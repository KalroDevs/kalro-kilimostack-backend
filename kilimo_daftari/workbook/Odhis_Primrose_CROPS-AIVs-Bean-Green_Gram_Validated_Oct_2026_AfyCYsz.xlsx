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KALRO\Workshop\Kilimo STACK\Templates\"/>
    </mc:Choice>
  </mc:AlternateContent>
  <xr:revisionPtr revIDLastSave="0" documentId="13_ncr:1_{3BC06709-33FB-4A82-8107-BEF8E0F7EC80}" xr6:coauthVersionLast="47" xr6:coauthVersionMax="47" xr10:uidLastSave="{00000000-0000-0000-0000-000000000000}"/>
  <bookViews>
    <workbookView xWindow="-120" yWindow="-120" windowWidth="29040" windowHeight="15720" tabRatio="500" activeTab="2" xr2:uid="{00000000-000D-0000-FFFF-FFFF00000000}"/>
  </bookViews>
  <sheets>
    <sheet name="Instructions" sheetId="1" r:id="rId1"/>
    <sheet name="CROP" sheetId="2" r:id="rId2"/>
    <sheet name="Sorghum" sheetId="12" r:id="rId3"/>
    <sheet name="Potato" sheetId="11" r:id="rId4"/>
    <sheet name="Millet" sheetId="10" r:id="rId5"/>
    <sheet name="Maize" sheetId="9" r:id="rId6"/>
    <sheet name="Cassava" sheetId="8" r:id="rId7"/>
    <sheet name="AIVs" sheetId="7" r:id="rId8"/>
    <sheet name="Green Gram" sheetId="3" r:id="rId9"/>
    <sheet name="BEAN" sheetId="4" r:id="rId10"/>
    <sheet name="Summary" sheetId="6" r:id="rId11"/>
  </sheets>
  <definedNames>
    <definedName name="_xlnm._FilterDatabase" localSheetId="9" hidden="1">BEAN!$B$1:$G$10</definedName>
    <definedName name="_xlnm._FilterDatabase" localSheetId="1" hidden="1">CROP!$B$1:$T$22</definedName>
    <definedName name="_xlnm._FilterDatabase" localSheetId="8" hidden="1">'Green Gram'!$B$1:$G$10</definedName>
    <definedName name="_xlnm.Print_Area" localSheetId="9">BEAN!$A$1:$G$10</definedName>
    <definedName name="_xlnm.Print_Area" localSheetId="1">CROP!$A$1:$T$22</definedName>
    <definedName name="_xlnm.Print_Area" localSheetId="8">'Green Gram'!$A$1:$G$10</definedName>
    <definedName name="_xlnm.Print_Area" localSheetId="0">Instructions!$A$1:$C$46</definedName>
    <definedName name="_xlnm.Print_Area" localSheetId="10">Summary!$A$1:$G$7</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21" i="11" l="1"/>
  <c r="E220" i="11"/>
  <c r="E219" i="11"/>
  <c r="E218" i="11"/>
  <c r="E217" i="11"/>
  <c r="E216" i="11"/>
  <c r="E215" i="11"/>
  <c r="E214" i="11"/>
  <c r="E213" i="11"/>
  <c r="E212" i="11"/>
  <c r="E211" i="11"/>
  <c r="E210" i="11"/>
  <c r="E209" i="11"/>
  <c r="E208" i="11"/>
  <c r="E207" i="11"/>
  <c r="E206" i="11"/>
  <c r="E205" i="11"/>
  <c r="E204" i="11"/>
  <c r="E203" i="11"/>
  <c r="E202" i="11"/>
  <c r="E201" i="11"/>
  <c r="E200" i="11"/>
  <c r="E199" i="11"/>
  <c r="E198" i="11"/>
  <c r="E197" i="11"/>
  <c r="E196" i="11"/>
  <c r="E195" i="11"/>
  <c r="E194" i="11"/>
  <c r="E193" i="11"/>
  <c r="E192" i="11"/>
  <c r="E191" i="11"/>
  <c r="E190" i="11"/>
  <c r="E189" i="11"/>
  <c r="E188" i="11"/>
  <c r="E187" i="11"/>
  <c r="E186" i="11"/>
  <c r="E185" i="11"/>
  <c r="E184" i="11"/>
  <c r="E183" i="11"/>
  <c r="E182" i="11"/>
  <c r="E181" i="11"/>
  <c r="E180" i="11"/>
  <c r="E179" i="11"/>
  <c r="E178" i="11"/>
  <c r="E177" i="11"/>
  <c r="E176" i="11"/>
  <c r="E175" i="11"/>
  <c r="E174" i="11"/>
  <c r="E173" i="11"/>
  <c r="E172" i="11"/>
  <c r="E171" i="11"/>
  <c r="E170" i="11"/>
  <c r="E169" i="11"/>
  <c r="E168" i="11"/>
  <c r="E167" i="11"/>
  <c r="E166" i="11"/>
  <c r="E165" i="11"/>
  <c r="E164" i="11"/>
  <c r="E163" i="11"/>
  <c r="E162" i="11"/>
  <c r="E161" i="11"/>
  <c r="E160" i="11"/>
  <c r="E159" i="11"/>
  <c r="E158" i="11"/>
  <c r="E157" i="11"/>
  <c r="E156" i="11"/>
  <c r="E155" i="11"/>
  <c r="E154" i="11"/>
  <c r="E153" i="11"/>
  <c r="E152" i="11"/>
  <c r="E151" i="11"/>
  <c r="E150" i="11"/>
  <c r="E149" i="11"/>
  <c r="E148" i="11"/>
  <c r="E147" i="11"/>
  <c r="E146" i="11"/>
  <c r="E145" i="11"/>
  <c r="E144" i="11"/>
  <c r="E143" i="11"/>
  <c r="E142" i="11"/>
  <c r="E141" i="11"/>
  <c r="E140" i="11"/>
  <c r="E139" i="11"/>
  <c r="E138" i="11"/>
  <c r="E137" i="11"/>
  <c r="E136" i="11"/>
  <c r="E135" i="11"/>
  <c r="E134" i="11"/>
  <c r="E133" i="11"/>
  <c r="E132" i="11"/>
  <c r="E131" i="11"/>
  <c r="E130" i="11"/>
  <c r="E129" i="11"/>
  <c r="E128" i="11"/>
  <c r="E127" i="11"/>
  <c r="E126" i="11"/>
  <c r="E125" i="11"/>
  <c r="E124" i="11"/>
  <c r="E123" i="11"/>
  <c r="E122" i="11"/>
  <c r="E121" i="11"/>
  <c r="E120" i="11"/>
  <c r="E119" i="11"/>
  <c r="E118" i="11"/>
  <c r="E117" i="11"/>
  <c r="E116" i="11"/>
  <c r="E115" i="11"/>
  <c r="E114" i="11"/>
  <c r="E113" i="11"/>
  <c r="E112" i="11"/>
  <c r="E111" i="11"/>
  <c r="E110" i="11"/>
  <c r="E109" i="11"/>
  <c r="E108" i="11"/>
  <c r="E107" i="11"/>
  <c r="E106" i="11"/>
  <c r="E105" i="11"/>
  <c r="E104" i="11"/>
  <c r="E103" i="11"/>
  <c r="E102" i="11"/>
  <c r="E101" i="11"/>
  <c r="E100" i="11"/>
  <c r="E99" i="11"/>
  <c r="E98" i="11"/>
  <c r="E97" i="11"/>
  <c r="E96" i="11"/>
  <c r="E95" i="11"/>
  <c r="E94" i="11"/>
  <c r="E93" i="11"/>
  <c r="E92" i="11"/>
  <c r="E91" i="11"/>
  <c r="E90" i="11"/>
  <c r="E89" i="11"/>
  <c r="E88" i="11"/>
  <c r="E87" i="11"/>
  <c r="E86" i="11"/>
  <c r="E85" i="11"/>
  <c r="E84" i="11"/>
  <c r="E83" i="11"/>
  <c r="E82" i="11"/>
  <c r="E81" i="11"/>
  <c r="E80" i="11"/>
  <c r="E79" i="11"/>
  <c r="E78" i="11"/>
  <c r="E77" i="11"/>
  <c r="E76" i="11"/>
  <c r="E75" i="11"/>
  <c r="E74" i="11"/>
  <c r="E73" i="11"/>
  <c r="E72" i="11"/>
  <c r="E71" i="11"/>
  <c r="E70" i="11"/>
  <c r="E69" i="11"/>
  <c r="E68" i="11"/>
  <c r="E67" i="11"/>
  <c r="E66" i="11"/>
  <c r="E65" i="11"/>
  <c r="E64" i="11"/>
  <c r="E63" i="11"/>
  <c r="E62" i="11"/>
  <c r="E61" i="11"/>
  <c r="E60" i="11"/>
  <c r="E59" i="11"/>
  <c r="E58" i="11"/>
  <c r="E57" i="11"/>
  <c r="E56" i="11"/>
  <c r="E55" i="11"/>
  <c r="E54" i="11"/>
  <c r="E53" i="11"/>
  <c r="E52" i="11"/>
  <c r="E51" i="11"/>
  <c r="E50" i="11"/>
  <c r="E49" i="11"/>
  <c r="E48" i="11"/>
  <c r="E47" i="11"/>
  <c r="E46" i="11"/>
  <c r="E45" i="11"/>
  <c r="E44" i="11"/>
  <c r="E43" i="11"/>
  <c r="E42" i="11"/>
  <c r="E41" i="11"/>
  <c r="E40" i="11"/>
  <c r="E39" i="11"/>
  <c r="E38" i="11"/>
  <c r="E37" i="11"/>
  <c r="E36" i="11"/>
  <c r="E35" i="11"/>
  <c r="E34" i="11"/>
  <c r="E33" i="11"/>
  <c r="E32" i="11"/>
  <c r="E31" i="11"/>
  <c r="E30" i="11"/>
  <c r="E29" i="11"/>
  <c r="E28" i="11"/>
  <c r="E27" i="11"/>
  <c r="E26" i="11"/>
  <c r="E25" i="11"/>
  <c r="E24" i="11"/>
  <c r="E23" i="11"/>
  <c r="E22" i="11"/>
  <c r="E21" i="11"/>
  <c r="E20" i="11"/>
  <c r="E19" i="11"/>
  <c r="E18" i="11"/>
  <c r="E17" i="11"/>
  <c r="E16" i="11"/>
  <c r="E15" i="11"/>
  <c r="E14" i="11"/>
  <c r="E13" i="11"/>
  <c r="E12" i="11"/>
  <c r="E11" i="11"/>
  <c r="E10" i="11"/>
  <c r="E9" i="11"/>
  <c r="E8" i="11"/>
  <c r="E7" i="11"/>
  <c r="E6" i="11"/>
  <c r="E5" i="11"/>
  <c r="E4" i="11"/>
  <c r="E3" i="11"/>
  <c r="E2" i="11"/>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G6" i="6"/>
  <c r="G7" i="6" s="1"/>
  <c r="F6" i="6"/>
  <c r="E6" i="6"/>
  <c r="D6" i="6"/>
  <c r="D7" i="6" s="1"/>
  <c r="C6" i="6"/>
  <c r="B22" i="2"/>
  <c r="B21" i="2"/>
  <c r="F7" i="6" l="1"/>
  <c r="C7" i="6"/>
  <c r="E7" i="6"/>
</calcChain>
</file>

<file path=xl/sharedStrings.xml><?xml version="1.0" encoding="utf-8"?>
<sst xmlns="http://schemas.openxmlformats.org/spreadsheetml/2006/main" count="10085" uniqueCount="5976">
  <si>
    <t>Screen &amp; Classify — Working Template</t>
  </si>
  <si>
    <t>Check scientific accuracy &amp; currency; sort by crop, topic and content type</t>
  </si>
  <si>
    <t>Purpose</t>
  </si>
  <si>
    <t>•  This is the working template for the Screen &amp; Classify step: checking each inventoried item's scientific accuracy and currency, then sorting/classifying it by crop, topic and content type.</t>
  </si>
  <si>
    <t>•  It follows on from the Content Inventory template — every item sourced there gets screened here before it is certified for the Kenya Advisory Knowledge Hub.</t>
  </si>
  <si>
    <t>How to Use This Workbook</t>
  </si>
  <si>
    <t>•  Each group has its own tab: Crop, Livestock, Fisheries, Soil, and Pest &amp; Disease.</t>
  </si>
  <si>
    <t>•  One row = one content item (one source publication/brochure/guide).</t>
  </si>
  <si>
    <t>•  The first data row on each tab is a worked EXAMPLE (greyed out) — reference only, do not edit. The Livestock tab's example is drawn from a real KALRO publication; see the 'Camel Calf Example' tab for its full section-level breakdown.</t>
  </si>
  <si>
    <t>•  Gold-shaded cells are yours to complete. The ID column auto-numbers itself.</t>
  </si>
  <si>
    <t>•  Use the filter arrows on the header row to sort or filter by Value Chain/Commodity, Advisory Domain/Topic, or Content Type.</t>
  </si>
  <si>
    <t>Screening Checks</t>
  </si>
  <si>
    <t>•  Currency Status — Current: reviewed/published within the last 2 years. Needs Update: 2-4 years old. Outdated: over 4 years old. Needs Verification: no review date on record.</t>
  </si>
  <si>
    <t>•  Scientific Accuracy Check — Verified: content checked against current science/regulation. Needs Review: unverified or has open questions. Flagged - Inaccurate: known errors, do not use until corrected.</t>
  </si>
  <si>
    <t>•  Validation Status — source_validated (validated by the originating institution), expert_reviewed (independently reviewed), pending_validation, or not_validated.</t>
  </si>
  <si>
    <t>•  Risk Level — flag High for anything involving drug/acaricide dosage, veterinary treatment, or other content where a wrong answer could harm people, animals or livelihoods. High-risk items should default to Quality Flag 'Needs Review' until an expert signs off.</t>
  </si>
  <si>
    <t>Field Definitions</t>
  </si>
  <si>
    <t>Content Title</t>
  </si>
  <si>
    <t>Title of the source publication/brochure/guide.</t>
  </si>
  <si>
    <t>Publication ID / Source Link</t>
  </si>
  <si>
    <t>Unique publication ID and/or URL where the source can be found.</t>
  </si>
  <si>
    <t>Institution &amp; Author(s)</t>
  </si>
  <si>
    <t>Originating institution and named author(s).</t>
  </si>
  <si>
    <t>Publish Date</t>
  </si>
  <si>
    <t>Date the source was published.</t>
  </si>
  <si>
    <t>Value Chain / Commodity</t>
  </si>
  <si>
    <t>Crop, livestock species, fish species or theme this item addresses.</t>
  </si>
  <si>
    <t>Advisory Domain / Topic</t>
  </si>
  <si>
    <t>The specific advisory topics covered (e.g. calving management, tick control).</t>
  </si>
  <si>
    <t>Content Type</t>
  </si>
  <si>
    <t>Production guide, protocol/SOP, factsheet, advisory bulletin, brochure, training manual, poster/infographic, video.</t>
  </si>
  <si>
    <t>Format</t>
  </si>
  <si>
    <t>The medium the content exists in (PDF, text, video, etc.).</t>
  </si>
  <si>
    <t>Production System</t>
  </si>
  <si>
    <t>Farming/production system the content applies to (e.g. pastoral, smallholder mixed farming).</t>
  </si>
  <si>
    <t>Target Users</t>
  </si>
  <si>
    <t>Who the advisory is written for (farmers, extension officers, CAHWs, etc.).</t>
  </si>
  <si>
    <t>Country / AEZ</t>
  </si>
  <si>
    <t>Geographic and agro-ecological applicability.</t>
  </si>
  <si>
    <t>Last Reviewed (Currency Check)</t>
  </si>
  <si>
    <t>Date the content was last checked for scientific currency.</t>
  </si>
  <si>
    <t>Currency Status</t>
  </si>
  <si>
    <t>Result of the currency check — see Screening Checks above.</t>
  </si>
  <si>
    <t>Scientific Accuracy Check</t>
  </si>
  <si>
    <t>Result of the accuracy check — see Screening Checks above.</t>
  </si>
  <si>
    <t>Validation Status</t>
  </si>
  <si>
    <t>Who has validated the content and to what degree.</t>
  </si>
  <si>
    <t>Risk Level</t>
  </si>
  <si>
    <t>Low / Medium / High — potential harm if the advisory is wrong or misapplied.</t>
  </si>
  <si>
    <t>Quality Flag</t>
  </si>
  <si>
    <t>Ready to Certify, Needs Review, Needs Update, Duplicate, or Reject.</t>
  </si>
  <si>
    <t>Screening Notes / Escalation Guidance</t>
  </si>
  <si>
    <t>Reviewer notes, open questions, and who to escalate high-risk items to.</t>
  </si>
  <si>
    <t>Legend</t>
  </si>
  <si>
    <t>Fill this in</t>
  </si>
  <si>
    <t>Gold-shaded cells — enter your screening data here.</t>
  </si>
  <si>
    <t>Example row</t>
  </si>
  <si>
    <t>Worked example — reference only, do not edit.</t>
  </si>
  <si>
    <t>ID</t>
  </si>
  <si>
    <t>Last Reviewed
(Currency Check)</t>
  </si>
  <si>
    <t>GRNGRM1</t>
  </si>
  <si>
    <t>COMMUNITY SEED BULKING: A model to improve and increase amount of good quality seed to farming communities</t>
  </si>
  <si>
    <t>https://navcdp.kalro.org/kalroknowledgebank/factsheets/COMMUNITY%20SEED%20BULKING%20Karanja.pdf</t>
  </si>
  <si>
    <t>KALRO Katumani/Karanja et al. (n.d.)</t>
  </si>
  <si>
    <t>Green gram</t>
  </si>
  <si>
    <t>Production Guide</t>
  </si>
  <si>
    <t>PDF</t>
  </si>
  <si>
    <t>Bean1</t>
  </si>
  <si>
    <t>Dry bean Climate Smart Agronomic Practices</t>
  </si>
  <si>
    <t>https://navcdp.kalro.org/kalroknowledgebank/factsheets/Eliezah%20Kamau%20Dry%20beans%20Climate%20smart%20agronomic%20practices%20Fact%20sheet%20June%202021.pdf</t>
  </si>
  <si>
    <t>KALRO Katumani/Kamau et al. (n.d.)</t>
  </si>
  <si>
    <t>Bean</t>
  </si>
  <si>
    <t>Factsheet</t>
  </si>
  <si>
    <t>Bean2</t>
  </si>
  <si>
    <t>The formal seed system in Kenya</t>
  </si>
  <si>
    <t>https://navcdp.kalro.org/kalroknowledgebank/factsheets/Formal%20Seed%20System%20In%20Kenya-1%20final%20Karanja.pdf</t>
  </si>
  <si>
    <t>Bean3</t>
  </si>
  <si>
    <t>Integrated disease management of Powdery mildew disease</t>
  </si>
  <si>
    <t>https://navcdp.kalro.org/kalroknowledgebank/factsheets/Musitys%20Diseaset%20Powdery%20mildew%20Fact%20sheetl%20June%202021.pdf</t>
  </si>
  <si>
    <t>KALRO Katumani/Mutisya et al. (2021)</t>
  </si>
  <si>
    <t>Bean4</t>
  </si>
  <si>
    <t>Integrated disease management of Anthracnose disease</t>
  </si>
  <si>
    <t>https://navcdp.kalro.org/kalroknowledgebank/factsheets/Mustisya%20Bean%20Diseaset%20Anthracnose%20Fact%20sheet%20June%202021.pdf</t>
  </si>
  <si>
    <t>Bean5</t>
  </si>
  <si>
    <t>Integrated disease management of Bacterial blight disease</t>
  </si>
  <si>
    <t>https://navcdp.kalro.org/kalroknowledgebank/factsheets/Mutisya%20Bean%20Diseaset%20Bacterial%20blight%20IFact%20sheet%20June%202021.pdf</t>
  </si>
  <si>
    <t>Bean6</t>
  </si>
  <si>
    <t>Integrated disease management of Common mosaic disease</t>
  </si>
  <si>
    <t>https://navcdp.kalro.org/kalroknowledgebank/factsheets/Mutisya%20Diseaset%20Common%20mosaic%20virus%20disease%20Fact%20sheetl%20June%202021.pdf</t>
  </si>
  <si>
    <t>Bean7</t>
  </si>
  <si>
    <t>Integrated disease management of Rust disease</t>
  </si>
  <si>
    <t>https://navcdp.kalro.org/kalroknowledgebank/factsheets/Mutisya%20Diseaset%20Rust%20disease%20IDM%20Fact%20sheet%20June%202021.pdf</t>
  </si>
  <si>
    <t>Bean8</t>
  </si>
  <si>
    <t>Integrated disease management of Angular leaf spot disease</t>
  </si>
  <si>
    <t>https://navcdp.kalro.org/kalroknowledgebank/factsheets/Mutisya%20DM-Bean-Diseaset%20Angular%20June%202021.pdf</t>
  </si>
  <si>
    <t>Bean9</t>
  </si>
  <si>
    <t>Integrated pest management of aphids in dry bean production</t>
  </si>
  <si>
    <t>https://navcdp.kalro.org/kalroknowledgebank/factsheets/Mutisya%20pest%20bean%20aphids%20in%20Integrated%20Management%20Fact%20sheet%20June%202021.pdf</t>
  </si>
  <si>
    <t>Bean10</t>
  </si>
  <si>
    <t>Integrated pest management of sucking bugs in dry bean production</t>
  </si>
  <si>
    <t>https://navcdp.kalro.org/kalroknowledgebank/factsheets/Mutisya%20pest%20bean%20sucking%20bugs%20Integrated%20Management%20Fact%20sheetl%20June%202021.pdf</t>
  </si>
  <si>
    <t>Bean11</t>
  </si>
  <si>
    <t>Integrated pest management of blister beetle in bean production</t>
  </si>
  <si>
    <t>https://navcdp.kalro.org/kalroknowledgebank/factsheets/Mutisya%20pest%20blister%20beetle%20IPM%20on%20Bean%20Crop%20Fact%20sheet%20June%202021.pdf</t>
  </si>
  <si>
    <t>Bean12</t>
  </si>
  <si>
    <t>Integrated pest management of bollworms in bean production</t>
  </si>
  <si>
    <t>https://navcdp.kalro.org/kalroknowledgebank/factsheets/Mutisya%20pest%20bollworm%20IPM%20on%20Bean%20Crop%20Fact%20sheet%20June%202021.pdf</t>
  </si>
  <si>
    <t>Bean13</t>
  </si>
  <si>
    <t>Integrated pest management of Desert locust in dry bean production</t>
  </si>
  <si>
    <t>https://navcdp.kalro.org/kalroknowledgebank/factsheets/Mutisya%20pest%20migratory%20desert%20locust%20in%20Integrated%20Management%20Fact%20sheet%20June%202021.pdf</t>
  </si>
  <si>
    <t>Bean14</t>
  </si>
  <si>
    <t>Integrated disease management of Red Spider Mite</t>
  </si>
  <si>
    <t>https://navcdp.kalro.org/kalroknowledgebank/factsheets/Mutisya%20Pest%20Red%20Spider%20mite%20IDM%20Fact%20sheet%20June%202021.pdf</t>
  </si>
  <si>
    <t>Bean15</t>
  </si>
  <si>
    <t>Integrated weed management of Black Jack weed in beans</t>
  </si>
  <si>
    <t>https://navcdp.kalro.org/kalroknowledgebank/factsheets/Mutisya%20Weed%20%20IWM%20Black%20Jack%20on%20beans%20Fact%20sheet%20June%202021.pdf</t>
  </si>
  <si>
    <t>AIV1</t>
  </si>
  <si>
    <t>African Indigenous Vegetables (AIVs) Volume I-(Pumpkins and Spiderplant)</t>
  </si>
  <si>
    <t>https://navcdp.kalro.org/docs/kcsap/AIV%20Volume%20I.pdf</t>
  </si>
  <si>
    <t>KALRO Katumani/Ndinya et al. (2022)</t>
  </si>
  <si>
    <t>African Indigenous Vegetables (AIVs)</t>
  </si>
  <si>
    <t>Other</t>
  </si>
  <si>
    <t>AIV2</t>
  </si>
  <si>
    <t>African Indigenous Vegetables (AIVs) Volume II-(Cowpea and Amaranth)</t>
  </si>
  <si>
    <t>https://navcdp.kalro.org/docs/kcsap/AIV%20Volume%202.pdf</t>
  </si>
  <si>
    <t>AIV3</t>
  </si>
  <si>
    <t>African Indigenous Vegetables (AIVs) Volume III-(Nightshade, Jute Mallow and Slendar)</t>
  </si>
  <si>
    <t>https://navcdp.kalro.org/docs/AIV%20Volume%203.pdf</t>
  </si>
  <si>
    <t>Dry Bean TIMPs</t>
  </si>
  <si>
    <t>https://navcdp.kalro.org/docs/kcsap/Final%20Dry-Beans-TIMPs%20for%20upload.pdf</t>
  </si>
  <si>
    <t>KALRO Katumani/Karanja et al. (2022)</t>
  </si>
  <si>
    <t>Dry Bean</t>
  </si>
  <si>
    <t>NRM-TIMP1</t>
  </si>
  <si>
    <t>NRM TIMPs</t>
  </si>
  <si>
    <t>https://navcdp.kalro.org/docs/kcsap/NRM-TIMPs-NEW.pdf</t>
  </si>
  <si>
    <t>KALRO Katumani/Kamau et al. (2022)</t>
  </si>
  <si>
    <t>NRM</t>
  </si>
  <si>
    <t>GRAM-TIMP1</t>
  </si>
  <si>
    <t>https://navcdp.kalro.org/docs/kcsap/Green%20Grams%20TIMP.pdf</t>
  </si>
  <si>
    <t>#</t>
  </si>
  <si>
    <t>Section Header</t>
  </si>
  <si>
    <t>Content Summary</t>
  </si>
  <si>
    <t>Pages</t>
  </si>
  <si>
    <t>Content Warnings</t>
  </si>
  <si>
    <t>Content Tags</t>
  </si>
  <si>
    <t>Introduction (Green gram Seed system)</t>
  </si>
  <si>
    <t>Use clean, healthy and good-quality seed; Do not mix different seed varieties; Store seed in a clean, dry and pest-free place; Remember that community-bulked seed may not be certified</t>
  </si>
  <si>
    <t>Seed, Quality seed, Clean seed, Planting materials, Seed bulking, Community seed bulking, Seed availability, Food security, Income generation, Germplasm conservation</t>
  </si>
  <si>
    <t>Seed systems in Kenya (Green gram Seed system)</t>
  </si>
  <si>
    <t>A seed system is the vehicle/means through which farmers get good quality seed of the crop varieties (especially new ones) they want and need. Effective seed systems have the potential to increase production quickly and economically. In Kenya there are two types of seed systems, namely the formal seed system and the informal seed system</t>
  </si>
  <si>
    <t>Do not use poor-quality seed, do not plant unsuitable varieties, beware of poor-quality informal seed, do not buy certified seed from unauthorised suppliers</t>
  </si>
  <si>
    <t>Seed system, Quality seed, Formal seed system, Informal seed system</t>
  </si>
  <si>
    <t>Formal seed system (Green gram Seed system)</t>
  </si>
  <si>
    <t>It’s a framework of institutions linked together by their involvement in or influence on breeding, multiplication, processing, marketing and quality control. Mostly includes research, seed companies, regulatory agents and seed stockists. In Kenya this system deals mainly with high value hybrid maize seed and horticultural seeds. A lot of seed companies will put a lot of resources in activities for hybrid maize and horticultural seeds. Few seed companies are interested in low returns as epitomized by open pollinated varieties. These open pollinated crops seed access by farmers is mostly under the informal seed system.</t>
  </si>
  <si>
    <t>Do not use poor-quality seed, do not plant varieties unsuitable for your area, beware of poor-quality seed from informal sources, buy certified seed only from authorised suppliers</t>
  </si>
  <si>
    <t>Formal seed system, Seed institutions, Seed companies, Hybrid maize seed, Horticultural seed</t>
  </si>
  <si>
    <t>Informal seed system (Green gram Seed system)</t>
  </si>
  <si>
    <t>The informal seed system supplies 90% of seed mostly in ASALs. It deals mainly with open pollinated varieties. It’s composed of two systems. (1) Assisted informal seed movement: The system involves close links between farmers, extension, research and NGOs. In most cases it targets resource poor farmers or farmer groups like CIGs, VMGs and farming communities that experience lack of improved OPV seed at planting. It involves mostly activities related to seed bulking. (2) Self-driven informal system: Farmers have mechanisms of seed multiplication and transfer which is not organized. The system has evolved over many years and farmers initiatives plays an important part. Seed sources sometimes known and sometimes not known (grain stores). It has only one seed type (Farmers seed). This article is mostly on the informal seed system and in particular community seed bulking</t>
  </si>
  <si>
    <t>Do not use seed from unknown sources, do not plant poor-quality or diseased seed, do not mix different varieties during seed bulking, do not assume farmer-saved seed is certified seed.</t>
  </si>
  <si>
    <t>Informal seed system, Community seed bulking, Open-pollinated varieties (OPVs), Farmer seed, Seed multiplication and transfer</t>
  </si>
  <si>
    <t>What is Seed Bulking (green gram)?</t>
  </si>
  <si>
    <t>In the informal seed system, it’s the systematic multiplication of basic seed sourced from the formal seed sector into quality seed that more farmers in the community can access and improve their crop production.</t>
  </si>
  <si>
    <t>Do not use poor-quality basic seed, do not multiply seed from unknown sources, do not mix different varieties during seed bulking, do not assume bulked seed is certified seed.</t>
  </si>
  <si>
    <t>Seed bulking, Informal seed system, Quality seed</t>
  </si>
  <si>
    <t>Characteristics of good quality seed of a variety (Green gram Seed system)</t>
  </si>
  <si>
    <t>The seed bulking process should produce seed of the green gram variety under production with the following characteristics: (1) The seed has one colour pattern (2) No seed of other green gram varieties or seed of other crop species (3) The seed is viable and has vigour (4) Not discolored (5) Not shriveled (6) Free from disease and insect damage (7) Grain not broken (8) No trash, straw, dirt, soil and stones in the seed</t>
  </si>
  <si>
    <t>Do not use seed with mixed colours or varieties, do not use shrivelled or discoloured seed, do not use seed damaged by pests or diseases, do not use seed containing dirt, stones, trash or broken grains.</t>
  </si>
  <si>
    <t>Quality seed, Seed purity, Seed viability and vigour, Clean seed</t>
  </si>
  <si>
    <t>Objectives of community seed bulking (Green gram)</t>
  </si>
  <si>
    <t>To improve crop production, To provide clean seed/vegetative materials, To develop capacity of small scale farmers to upgrade to seed production, To promote production and maintenance of quality seeds of improved varieties, To increase supply of seeds of improved crop varieties within communities</t>
  </si>
  <si>
    <t>Do not use poor-quality seed, do not distribute seed without checking its quality, do not mix different varieties during seed production, do not use unsuitable varieties for your area.</t>
  </si>
  <si>
    <t>Community seed bulking, Crop production, Quality seed, Improved crop varieties</t>
  </si>
  <si>
    <t>Roles of stakeholders in community seed bulking (Green gram Seed system)</t>
  </si>
  <si>
    <t>Roles of stakeholders in community seed bulking (Green gram). (1) FARMERS: Provide land, labour, security, other inputs, management; Agreement and selection of which varieties to bulk; Seed storage and disposal; Feedback to researchers and extension; Purchase bulking materials; Promoting bulked materials. (2) RESEARCHER ROLES: Breeding/variety development and release; Basic seed production and marketing; Extension staff/farmer training; Technical backstopping; Quality control; Research on new and emerging problems in seed bulking process. (3) EXTENSION ROLES: Community mobilization and sensitization; Identify farmers and bulking sites; Assist farmers/farmer groups select varieties to bulk; Procure and distribute seeds especially new varieties; Farmer training; Provide farm inputs and market information if possible; Supervision and follow up; Retrieve bulked seed and distribute to others; Quality control and documentation; TFCs promotion and new varieties demonstration; Regulatory and policy issues. (4) CBOS/NGOS roles: Community mobilization; Selection of varieties to bulk with support of extension/NGOs; Financial support and/or provide seed; Seed bulking, storage and distribution; Organise seed fairs and exhibitions; Promotion of seed banks and groups</t>
  </si>
  <si>
    <t>Do not bulk seed without proper guidance, do not use unapproved or poor-quality seed, do not mix varieties during bulking, do not ignore seed quality checks, do not store seed in poor conditions, do not distribute seed without proper records and traceability.</t>
  </si>
  <si>
    <t>Community seed bulking, Farmers, Researchers, Extension services, NGOs/CBOs, Seed quality control</t>
  </si>
  <si>
    <t>Constraints affecting community seed bulking (Green gram Seed system)</t>
  </si>
  <si>
    <t>Inadequate technical knowledge (Extension staff and farmers) on seed bulking techniques, lack of stakeholder involvement at the project formulation stage, lack of legal support and clear policy guidelines for packaging, labelling and marketing of informal seed, inadequate inputs and farmer dependency leading to low-quality and insufficient seed quantities, low uptake of bulked or certified seed due to perceptions that traditional food crops do not require improved seed, lack of seed varieties preferred by farmers, consumption of bulked seed by farmers, high cost of bulked seed compared to grain of the same variety in the market, farmers’ lack of perceived relative advantage of using certified seed, unreliable rainfall and poor access to irrigation, low economic value of bulked seed due to poverty.</t>
  </si>
  <si>
    <t>Do not bulk seed without proper technical guidance, do not use inadequate inputs that can reduce seed quality, do not mix or use varieties unsuitable for farmers’ needs, do not consume seed intended for bulking, do not market informal seed without following applicable requirements, do not rely on seed bulking where rainfall or irrigation is inadequate.</t>
  </si>
  <si>
    <t>Community seed bulking, Technical knowledge, Stakeholder involvement, Seed regulations, Seed quality, Farmer adoption, Seed varieties, Seed costs, Irrigation and rainfall variability</t>
  </si>
  <si>
    <t>Arrangements for community seed bulking (Green gram Seed system)</t>
  </si>
  <si>
    <t>The following are important factors that should be considered for the success of a seed-bulking program: Importance of crop and variety in ensuring food security; Socio-economic factors, target group and locality of bulking; Demand/preference for the crops and specific varieties by farmers; Availability of seed bulking materials i.e. reliability of the source of basic seed and subsequent generations of seed for further bulking; Technical knowledge for both farmers and extension staff; Availability of resources i.e. funds, personnel for supervision, land and labour; Suitable weather conditions during the season of bulking; Availability of irrigation water and the economic importance of the bulked materials compared to other high value crops available to the bulking farmer/groups; Policy guidelines on seed bulking; Farmers’ ability to manage bulking activities</t>
  </si>
  <si>
    <t>Do not use unreliable seed sources, do not choose unsuitable varieties, do not bulk seed without adequate skills and resources, do not bulk seed under unsuitable weather or water conditions, do not ignore seed regulations and quality requirements.</t>
  </si>
  <si>
    <t>Community seed bulking, Seed source, Farmer demand, Technical knowledge, Resources, Weather and irrigation conditions</t>
  </si>
  <si>
    <t>Arrangements for community seed bulking (Green gram).</t>
  </si>
  <si>
    <t>Farmers’ preference: While it is important to consider farmers’ preference for certain crops in different agro-ecological zones, technical recommendations for crops to be bulked should be considered while drawing up the bulking program to ensure high productivity. Farmer’s preference may be based on the following factors. Factors for preference: Agro-ecological suitability (Climatic conditions, Soil type and characteristic, Susceptibility to pest and disease) Cropping System (Maturity period, Suitability for intercrops, Farm input requirements)</t>
  </si>
  <si>
    <t>Do not choose varieties based on farmer preference alone, do not plant varieties unsuitable for the local climate or soil, do not ignore pest and disease risks, do not select varieties without considering the cropping system and input requirements.</t>
  </si>
  <si>
    <t>Farmer preference, Green gram, Agro-ecological suitability, Climatic conditions, Pest and disease susceptibility, Cropping system</t>
  </si>
  <si>
    <t>Steps in undertaking community seed bulking (Green gram Seed system)</t>
  </si>
  <si>
    <t>The following are the broad steps that any community based seed production initiative should follow: Identification and selection of target areas; Identification of crops/varieties grown in the target areas; Assessment of availability of improved varieties, Identification of target farmers/groups and site selection; Training of farmer/groups in seed production; Procurement of basic seed; Procurement of other farm inputs; Establishment of bulking sites; Monitoring, inspection and quality assurance; Seed processing and conditioning; Seed storage. Distribution and marketing: 1. Identification and selection of target areas (Consider agro-climatic requirements for specific crops, Area strategically located and reasonably accessible, Reduce transportation costs, Accessibility to other stakeholders to acquire planting materials, Capacity building through demonstrations and field days) 2. Crops identification (Crops to be grown selected in a participatory process, Crops will be suitable and preferred by beneficiaries, Contribution to food security, Availability of planting materials, Technical know how of extension and farmers. If information required then train.) 3. Identification of target farmers/groups (Seed crop requires high level management, Seed production is labour intensive, use recommended inputs and timely operations, Farmer/group follow advice given, Be socially acceptable in community, Pass amount given free, Enter in agreement with the MOA)</t>
  </si>
  <si>
    <t>Do not select unsuitable areas or varieties, do not use basic seed or inputs from unreliable sources, do not undertake seed bulking without proper training, do not skip monitoring and quality checks, do not store or market seed without proper processing and storage.</t>
  </si>
  <si>
    <t>Community seed bulking, Target area selection, Variety selection, Farmer training, Basic seed procurement, Seed quality assurance</t>
  </si>
  <si>
    <t>Characteristics of farmer groups doing seed bulking (Green gram)</t>
  </si>
  <si>
    <t>The target farmer groups selected to carry out bulking activities should have the following characteristics: Strongly cohesive with well articulated needs and interest for all members; Roles of individual group members in the process of seed production, storage and accessing of seed by members must be very clear; All group members must actively participate at all stages; Transparency and accountability in all activities by all members; Streamline gender issues in relation to seed acquisition, planting and other husbandry practices in view of the roles of women in other household activities.</t>
  </si>
  <si>
    <t>Do not join seed-bulking groups without clear roles, do not allow members to avoid their responsibilities, do not operate without transparency and accountability, do not ignore gender roles and equal participation.</t>
  </si>
  <si>
    <t>Farmer groups, Group cohesion, Member participation, Transparency and accountability, Gender inclusion</t>
  </si>
  <si>
    <t>Training of individuals/farmers’ groups in seed bulking techniques (Green gram Seed system)</t>
  </si>
  <si>
    <t>Capacity building for farmers involved in seed bulking is critical to ensure that they are equipped with the recommended crop husbandry and seed bulking techniques for effective community seed production. Care should be taken on the perceptions of this seed if the farmers are not on contract by seed merchants or seed companies so as not to break the law. Seed bulking can easily graduate to contract seed growers and efforts should be made to link successful groups with seed merchants/companies. Note also that in some communities or regions this may be the only seed source and efforts to make as many farmers as possible of this source of seed should be done. Farmers targeted for bulking should be trained on the following topics: Training topics for bulking farmers (Differences between seed and food grain, Procurement of basic seed and farm inputs, Establishment of bulking plots, Actual crop husbandry practices, Monitoring, inspection including roguing and quality assurance, Seed processing and conditioning, Seed storage, Marketing and distribution, Record keeping, Economics of production)</t>
  </si>
  <si>
    <t>Do not undertake seed bulking without proper training, do not market or sell bulked seed without following legal requirements, do not use uncertified seed as certified seed, do not skip quality control, record keeping and proper seed storage.</t>
  </si>
  <si>
    <t>Seed bulking training, Crop husbandry, Quality assurance, Seed processing and storage, Seed marketing and distribution</t>
  </si>
  <si>
    <t>Community seed banking/aggregation centres</t>
  </si>
  <si>
    <t>The seed bulking activities need to be supported by seed banks/aggregation centres. Seed banks ensure conservation of crop varieties and provide seed to community. Several community seed banks are successful while others normally flop. The following criteria and questions are essential for a successful seed bank/aggregation centre: For group banks to work effectively, the groups need to be very cohesive; Critical factors for success of community seed banks that need consideration are as follows: Success factors for community seed banks (Who initiates these banks and what are the interests of the initiators, What are the motivating factors in starting them, Are all farmers involved and if not why?, Is the group vulnerable to food insecurity, What is the process of running these banks?, Storage structures and management, Pest control, maintenance and management, Who benefits – members and community)</t>
  </si>
  <si>
    <t>Do not establish a seed bank without clear management responsibilities, do not store seed in unsuitable conditions, do not neglect pest control and regular maintenance, do not exclude farmers from decisions and access to seed.</t>
  </si>
  <si>
    <t>Community seed banks, Seed conservation, Seed storage, Group cohesion, Seed bank management</t>
  </si>
  <si>
    <t>The synergies of formal and informal seed production and marketing in KCSAP (Green gram Seed system)</t>
  </si>
  <si>
    <t>With legumes, it has been noted that majority of farmers use their own seed, from neighbours or from the grain market with little seed bought from the stockists. While this system is good for subsistence farming, it's not appropriate for commercial production. Good quality seed is crucial in commercial grain production and marketing of legume grain. Therefore, the farmers will need to develop a cycle of replenishing their seed supply by procuring from the formal seed system (seed merchant/company or agro-dealers). After two seasons of re-planting the seed (informal system), the farmers get seed from the formal system. The farmer CIGs, VIMPs etc need to develop a seed road map of let's say three years and then access seed from the formal seed system for bulking. There are pros and cons of either using a group farm or have individual farmers plant in their farms with a mechanism of a certain quantity of seed given back to the group.</t>
  </si>
  <si>
    <t>Do not rely on farmer-saved seed for continuous commercial production, do not use seed from unknown or unreliable sources, do not replant the same seed for too many seasons without replenishing from a formal source, do not bulk or distribute seed without proper quality control and group records.</t>
  </si>
  <si>
    <t>Formal seed system, Informal seed system, Legume seed, Quality seed, Seed replenishment, Commercial grain production, Seed merchants and agro-dealers, Community seed bulking</t>
  </si>
  <si>
    <t>CIGS, VIMPS and Grain/planting material Production (Green gram Seed system)</t>
  </si>
  <si>
    <t>While quality seed production is important for farmers especially in regions and seed stress periods, its major problem is saturation of the informal seed in the communities. When this happens, it becomes a disincentive to group members as there will be no difference between price of grain and price of seed. In this scenario, it's important for the farmer groups to be linked to the grain market. Another way is to link promising groups that meet requirements for formal seed production to the public and private sector seed merchants/companies. Since the project envisages working with a large group of farmers, the sustainability of the seed bulking requires a commercial angle through the grain market. Grain of the green gram crop is in high demand. Linking the CIGs, VIMPS farmers to the grain market is one step in sustaining the community seed production process. Of particular importance is that the stakeholders in the green gram value chain need to assist the farmer groups in selecting which variety to produce and market. In the marketing standards for green gram grain, the threshold for mixed grain is at 1%. To maintain this, farmers in a region need to produce and market one green gram variety at a time to avoid physical admixing of various varieties of green gram grains.</t>
  </si>
  <si>
    <t>Do not mix different green gram varieties during production or marketing, do not market seed as certified seed without meeting formal requirements, do not produce seed without considering market demand and profitability.</t>
  </si>
  <si>
    <t>Community seed production, Grain market, Green gram, Seed marketing, Variety purity</t>
  </si>
  <si>
    <t>Green gram variety KAT N26</t>
  </si>
  <si>
    <t>KAT N26 is a fairly early maturing variety (matures in 80-90 days) and has potential yields of 1000-1500kg/ha (4-6, 90 kg bags/acre). The variety has a determinate growth habit, is tolerant to aphids, resistant to yellow mosaic and moderately resistant to powdery mildew. Dry pods are black in colour. 85% of the grains are shiny green and bold hence some farmers call it nylon</t>
  </si>
  <si>
    <t>Varietal performance depends on environmental conditions, Potential yields are under optimal management, Monitor for diseases not listed as resistant, Ensure proper pest scouting for aphids, Verify seed purity from certified sources</t>
  </si>
  <si>
    <t>Early maturing, Aphid tolerant, Yellow mosaic resistant, High yield potential, Determinate growth</t>
  </si>
  <si>
    <t>Green gram variety Biashara (KAT 00308)</t>
  </si>
  <si>
    <t>Biashara is an early maturing (65–75 days), high yielding (1800-2100 kg/ha [8-9, 90 kg bags/acre]) Green gram variety. It is tolerant to aphids, resistant to yellow mosaic virus and moderately resistant to powdery mildew. The variety is tolerant to drought and suitable for the ASALs. Pods are large and cream in colour when dry. Seeds are large in size (8–10 g/100 seeds) making it easy to harvest. Grains are shiny green, non-stony and preferred by the market.</t>
  </si>
  <si>
    <t>Early maturity can be affected by severe drought stress, High yields require good soil fertility and agronomic practices, Monitor for other pests and diseases not mentioned, Market preference can change, Seed should be sourced from certified dealers</t>
  </si>
  <si>
    <t>Early maturing, Drought tolerant, High yielding, Market preferred, ASALs suitability</t>
  </si>
  <si>
    <t>Green gram variety Ndengu Tosha (KAT 00301)</t>
  </si>
  <si>
    <t>Ndengu Tosha is early maturing (65–70 days) and thus able to escape drought conditions that are common in the ASALs. It is high yielding (1800-2300 kg/ha (8-10, 90 kg bags/acre)) and tolerant to major Green gram diseases. Its characteristic features include cream pod colour when dry and shiny green grains. The Green gram variety grows in a wide range of climatic conditions from sea level to 1600 m above sea level. It is both heat and drought tolerant and thus can be grown in both semi-arid and well-watered areas. Seeds are non-stony and large in size (6-7g/100 seeds).</t>
  </si>
  <si>
    <t>Yields can be lower in marginal areas without proper management, "Tolerant to major diseases" is not a guarantee of immunity, Heat stress during flowering can still reduce pod set, Adaptability varies; local trials are recommended, Over-reliance on one variety increases vulnerability</t>
  </si>
  <si>
    <t>Early maturing, Drought escape, High yielding, Wide adaptability, Non-stony seeds</t>
  </si>
  <si>
    <t>Green gram variety Karembo (KAT 00309)</t>
  </si>
  <si>
    <t>Karembo is an improved early maturing (65-75 days), high yielding (1800-2100 kg/ha [8-9, 90 kg bags/acre]) Green gram variety that is tolerant to major Green gram diseases. Its other characteristic features include green shiny grains and large seed size (8–10 g/100 seeds). Dry pods are brown in colour. It can grow in a wide range of climatic conditions. It is also both heat and drought tolerant and thus can be grown in both semi-arid and well-watered areas.</t>
  </si>
  <si>
    <t>Performance depends on soil fertility and rainfall distribution, Disease tolerance may not cover all regional strains, Pest monitoring remains essential for optimal yields, Seed quality degrades over generations, Market prices can vary, affecting profitability</t>
  </si>
  <si>
    <t>Early maturing, Disease tolerant, Heat tolerant, Large seed size, Wide adaptability</t>
  </si>
  <si>
    <t>Green gram variety KS 20</t>
  </si>
  <si>
    <t>KS 20 is a Green gram variety that matures in 80-90 days and has a potential yield of 1600 - 2200 kg/ha (7-9, 90 kg bags/acre). Its characteristic features include large seed size (6-7g/100 seeds), dull green grains and pods that turn brown when dry. The variety is tolerant to aphids, resistant to yellow mosaic virus and moderately resistant to powdery mildew. Grains are dull green in color. Seeds are non-stony.</t>
  </si>
  <si>
    <t>Later maturity may expose crop to end-of-season drought, Yields can be lower on poor soils or with poor management, Market preference for shiny green grains may affect sale price, Monitor for diseases not covered by resistance, Ensure correct identification of the variety at planting</t>
  </si>
  <si>
    <t>Late maturing, Yellow mosaic resistant, Large seed size, High yield potential, Non-stony grains</t>
  </si>
  <si>
    <t>Green gram variety KAT N22</t>
  </si>
  <si>
    <t>This Green gram variety is tolerant to aphids, resistant to yellow mosaic virus and moderately resistant to powdery mildew. It matures in 80-90 days and has a potential yield of 1000-1300kg/ha (4-5, 90 kg bags/acre). Pods are yellow in colour when dry. Grains are golden yellow in colour and preferred for stews.</t>
  </si>
  <si>
    <t>Has lower yield potential compared to other improved varieties, Later maturity may be a risk in areas with short rains, Market for golden grains may be niche, requiring market research, Disease resistance is not absolute and requires monitoring, Storage pests like bruchids can still attack the grain</t>
  </si>
  <si>
    <t>Golden yellow grains, Late maturing, Stew preference, Yellow mosaic resistant, Low to medium yield</t>
  </si>
  <si>
    <t>Green gram Own Seed Selection and Production (Green gram)</t>
  </si>
  <si>
    <t>Own seed selection is a process of identifying and carefully picking quality seed plants before harvesting of the entire crop. Since Green gram is a self-pollinated crop with a minimal cross pollination, farmers maintain their own variety through proper seed selection method. Own seed selection involves observation of health, true-to-type plants in the middle of the farm where pollen from other farms cannot reach. The selected plants are then harvested early and well dried. These plants are threshed and the seed stored in a dry, clean, well-ventilated place for planting next season. Own seed selection should only be practiced on one variety for a maximum of three seasons then the farmer should get certified seed</t>
  </si>
  <si>
    <t>Seed quality declines after three seasons, increasing risk of poor yields, Incorrect selection can lead to genetic drift and loss of variety traits, Cross-pollination can still occur, contaminating the seed, Poor storage can lead to seed damage from pests and moisture, Using this method with multiple varieties leads to seed mixing</t>
  </si>
  <si>
    <t>Seed selection, Genetic purity, Self-pollination, Quality maintenance, Certified seed necessity</t>
  </si>
  <si>
    <t>Green gram informal seed system (Green gram)</t>
  </si>
  <si>
    <t>It is a systematic multiplication of basic seed sourced from the formal seed sector into quality seed that more farmers in the community can access and improve their crop production. It involves community seed bulking which is a process of engaging selected individuals or farmer groups to multiply Green gram seed under technical supervision following seed multiplication guidelines.</t>
  </si>
  <si>
    <t>Quality depends on the technical supervision and adherence to guidelines, Risk of contamination with off-types if isolation distances are not followed, Improper handling can reduce seed quality and germination rates, Scaling up requires strong community organization and trust, Dependence on a single source of basic seed can be a risk</t>
  </si>
  <si>
    <t>Seed multiplication, Community bulking, Quality assurance, Technical supervision, Formal sector linkage</t>
  </si>
  <si>
    <t>Formal Seed production (Green gram)</t>
  </si>
  <si>
    <t>Formal seed system is the process of producing quality seed starting from release of varieties, production of early generation seed and certified seed up to the stage where the farmers can access it through seed merchants for planting. The main stakeholders in formal seed systems include breeders, seed companies and retailers among others.</t>
  </si>
  <si>
    <t>Formal seed is often more expensive than farm-saved seed, Limited supply can lead to unavailability at planting time, Complex certification process can be a bottleneck for new varieties, Farmers may not be aware of all available certified varieties, Requires reliable market linkages for seed companies to be sustainable</t>
  </si>
  <si>
    <t>Certified seed, Variety release, Seed value chain, Stakeholder collaboration, Market access</t>
  </si>
  <si>
    <t>Good Agricultural Practices (GAP) (Green gram)</t>
  </si>
  <si>
    <t>It is a systematic process of implementing a standardized production system globally designed to reassure consumers about how food is produced on the farm, pre-farm gate or on-farm standards. It is not about a specific crop production but the process through which production takes place.</t>
  </si>
  <si>
    <t>GAP certification can be costly and complex for smallholder farmers, Implementation requires a significant change in mindset and practices, Non-compliance with GAP standards can lead to market loss, Records must be meticulously kept to demonstrate compliance, GAP is a continuous process of improvement and monitoring</t>
  </si>
  <si>
    <t>Food safety, Quality assurance, Standardization, Consumer confidence, Traceability</t>
  </si>
  <si>
    <t>Food Safety Management System: Hazard Analysis Critical Control Points (HACCP) Plan for Green Gram Value Chain in Kenya</t>
  </si>
  <si>
    <t>Food safety management system (FSMS) through Hazard Analysis and Critical Control Point (HACCP) in Green gram value chain is a system of food safety monitoring and control based on the systematic identification and assessment of various hazards. It is a preventive, rather than a reactive, tool that places the protection of the Green gram supply from biological, chemical and physical hazards into the hands of food management systems. The system is designed to minimize the risk of food safety hazards by identifying the hazards, establishing controls and monitoring these controls.</t>
  </si>
  <si>
    <t>Requires expert knowledge to correctly identify and monitor Critical Control Points, Failure to implement can lead to severe health risks and market rejection, High cost of implementation and maintenance can be a barrier, Aflatoxin contamination is a specific high-risk hazard for Green grams, The plan must be regularly reviewed and updated</t>
  </si>
  <si>
    <t>Hazard analysis, Critical control points, Preventive approach, Aflatoxin prevention, Food supply safety</t>
  </si>
  <si>
    <t>Plant spacing (Green gram)</t>
  </si>
  <si>
    <t>Plant spacing is the distance within and between rows at which seeds are planted. Green gram is planted at the spacing of 0.4 m x 0.15 m. One plant is maintained per station. Over-seeding reduces yield and lowers the quality of grains because of competition for light and nutrients.</t>
  </si>
  <si>
    <t>Overcrowding leads to reduced yields and lower quality grains, Too wide spacing may not maximize land use, Soil type and moisture availability can influence optimal spacing, Seed germination rate must be considered to achieve the correct plant population, Inconsistent spacing makes weeding and harvesting difficult</t>
  </si>
  <si>
    <t>Optimal plant population, Competition reduction, Yield quality, Inter-row weeding, Seed rate</t>
  </si>
  <si>
    <t>No- till (zero) tillage (Green gram)</t>
  </si>
  <si>
    <t>No-till, also referred to as zero tillage is a conservation agriculture tillage method whereby seed is planted into holes drilled into otherwise undisturbed soil. It is characterized by nil soil disturbance during land preparation, sowing and weeding operations. Only seeding or/and fertilizer holes are dug in the field. In case of weeds at sowing time, they are eradicated using non-selective post-emergence herbicides. For weeds occurring after the crop has emerged, weeds are controlled using selective post-emergence herbicides. Alternatively the weeding may be achieved through uprooting weeds or slashing weed at ground level without soil disturbance. Over 75% of residues are left on the soil surface after the crop harvest.</t>
  </si>
  <si>
    <t>Heavy reliance on herbicides, which can be costly and require careful handling, Requires specific equipment like no-till seed drills that may not be accessible, Herbicide resistance in weeds can become a serious problem, Can lead to a buildup of pests and diseases in soil residue, Requires proper training for effective and safe application of chemicals</t>
  </si>
  <si>
    <t>Zero tillage, Conservation agriculture, Soil health, Herbicide use, Residue retention</t>
  </si>
  <si>
    <t>Conventional tillage (Green gram)</t>
  </si>
  <si>
    <t>Conventional tillage is a land preparation system using cultivation as the major means of seedbed preparation and weed control. Typically includes a sequence of soil tillage (ploughing and harrowing) to provide a fine seedbed for seeding. The system also removes most of the plant residue from the previous crop. Later on after the crop has emerged, weed control is done using conventional tools that dig out weeds which are removed from the farmland. Over 75% of residues are removed from the farm land after the crop harvest. Conventional ploughing is normally done either using oxen or tractor pulled ploughs. The operation can also be done manually using hand tools (jembes, fork jembes and pangas).</t>
  </si>
  <si>
    <t>High labor requirement, which can be scarce and expensive, Repeated ploughing degrades soil structure and reduces organic matter, High risk of soil erosion, especially on slopes, Fuel costs for tractor ploughing are high, Removal of crop residues reduces soil fertility and moisture retention</t>
  </si>
  <si>
    <t>Soil degradation, High labor, Erosion risk, Residue removal, Fine seedbed creation</t>
  </si>
  <si>
    <t>Intercropping (also Soil and water conservation technology) (Green gram)</t>
  </si>
  <si>
    <t>Intercropping is a farming method that involves planting or growing more than one crop at the same time and on the same piece of land. The practice offers a potential to increase yields, enhance soil fertility and minimize the effects of climate change. There are two methods of intercropping: i. Moja-moja intercropping method: One Green gram row is alternated with that of a cereal (maize), thus referred to as 'moja moja' intercropping system. The spacing for either crop is maintained at 75 cm between rows.</t>
  </si>
  <si>
    <t>Competition between crops for water, light, and nutrients can reduce yields of both, Improper species selection can lead to one crop outcompeting the other, Managing two different crops simultaneously is more complex and time-consuming, Pest and disease dynamics can become more complex, The "moja-moja" system may not be optimal for all agro-ecological zones</t>
  </si>
  <si>
    <t>Moja-moja intercropping, Yield increase, Climate change mitigation, Soil fertility enhancement, Crop competition</t>
  </si>
  <si>
    <t>Manure Management (Green gram)</t>
  </si>
  <si>
    <t>Manure Management is the optimal, site-specific handling of livestock manure from collection, through treatment and storage up to application to crops (and aquaculture).</t>
  </si>
  <si>
    <t>Improperly composted manure can introduce weed seeds to the field, Pathogens in fresh manure can contaminate the crop, Nutrient content of manure is variable, requiring soil testing for proper application, Over-application can lead to nutrient runoff and environmental pollution, Odor and storage issues can be a problem near homesteads</t>
  </si>
  <si>
    <t>Livestock manure, Nutrient source, Composting, Soil fertility, Environmental management</t>
  </si>
  <si>
    <t>Integrated Nutrient Management (INM) (Green gram)</t>
  </si>
  <si>
    <t>Integrated Nutrient Management refers to the maintenance of soil fertility and of plant nutrient supply at an optimum level for sustaining the desired productivity through optimization of the benefits from all possible sources of organic, inorganic and biological components in an integrated manner Inorganic fertilizers Organic manures Bio-fertilizers Green manures Integrated nutrient management places emphasis on soil fertility status and special management needs, if any, local availability of nutrients resources (organic, inorganic and biological sources), economic conditions of farmers and profitability of proposed INM option. It emphasizes on the importance of using available organic fertilizers and micro-dosing with inorganic rates. This reduces costs from purchase of inorganic fertilizers, improves soil organic matter, fertility, texture and soil moisture retention while at the same time conserving the environment by ensuring nutrient recycling in the farms.</t>
  </si>
  <si>
    <t>Requires soil testing to formulate an effective plan, Sourcing quality organic inputs can be a challenge, Improper application of inorganic fertilizers can still cause environmental damage, The 'right' balance is site-specific and requires expert advice, Micro-dosing requires precision and high-quality fertilizer to be effective</t>
  </si>
  <si>
    <t>Soil fertility, Organic inputs, Inorganic fertilizers, Micro-dosing, Nutrient recycling</t>
  </si>
  <si>
    <t>Integrated Soil Fertility Management (ISFM) (Green gram)</t>
  </si>
  <si>
    <t>A set of soil fertility management practices that include the use of fertilizers, locally available organic inputs and improved seed combined to adapt practices to local conditions. The ISFM places emphasis on the importance of using often scarce resources like fertilizer and organic inputs efficiently through techniques such as fertilizer banding (field application of fertilizer directly in area of root-zone to increase the potential for uptake) and micro dosing (applying small quantities of fertilizer with the seed at planting time and a few weeks after emergence)</t>
  </si>
  <si>
    <t>Overlaps with INM, which can cause confusion for farmers, Requires knowledge of specific techniques like banding and micro-dosing, Success is heavily dependent on using improved, high-quality seed, The 'adaptation to local conditions' part is often overlooked, relying on blanket recommendations, Input availability and cost are major barriers to adoption</t>
  </si>
  <si>
    <t>Resource efficiency, Fertilizer banding, Micro-dosing, Improved seed, Local adaptation</t>
  </si>
  <si>
    <t>Rapid soil testing services (Green gram)</t>
  </si>
  <si>
    <t>This is a dry method for soil testing using simplicity of light—the interaction of electromagnetic radiation with matter to characterize biochemical composition of a soil and/or plant tissue. Requires partners involved (ICRAF, iSDA and SoilCares) to work closely with KALRO and county agricultural officers to sensitize farmers to embrace the testing method.</t>
  </si>
  <si>
    <t>Availability of services may be limited in remote areas, Technology may not be as accurate as traditional lab methods for all parameters, Requires farmer sensitization and training to interpret results effectively, Cost of the service may be a barrier for some farmers, Results need to be translated into clear fertilizer and management recommendations</t>
  </si>
  <si>
    <t>Soil diagnostics, Spectral technology, Rapid testing, Farmer sensitization, KALRO collaboration</t>
  </si>
  <si>
    <t>Contour bunds (Green gram)</t>
  </si>
  <si>
    <t>Contour bunds are stone or earthen walls built across a slope to prevent runoff.</t>
  </si>
  <si>
    <t>Labor-intensive to construct, especially stone bunds, Earthen bunds can be washed away by intense rainfall if not well-maintained, Requires landowner cooperation to be effective across a landscape, Reduces the area available for cultivation, May require periodic repair and maintenance</t>
  </si>
  <si>
    <t>Soil erosion control, Runoff prevention, Water conservation, Slope management, Stone/earth bunds</t>
  </si>
  <si>
    <t>Zai Pits (Green gram)</t>
  </si>
  <si>
    <t>Zai Pits are small planting pits typically measuring 15-30 cm in width, 10-20 cm deep and spaced 60-80 cm. Zai pits harvest and store water for prolonged crop use. Farmers plant seeds into the pits after filling one to three handfuls of organic material such as manure, compost, or dry plant biomass. The technology is highly suitable for areas with unpredictable rains especially the drought-prone areas (ASALs). It is also suited for reclamation of denuded land</t>
  </si>
  <si>
    <t>Labor-intensive to dig the pits, especially on a large scale, Requires a ready supply of organic material for filling, May not be effective in years with total rain failure, Can become breeding grounds for pests if not managed properly, Not suitable for all soil types, especially heavy clays</t>
  </si>
  <si>
    <t>Water harvesting, Drought adaptation, ASALs suitability, Soil reclamation, Organic matter use</t>
  </si>
  <si>
    <t>Bench terraces (Green gram)</t>
  </si>
  <si>
    <t>Bench terraces consist of a series of beds which are more or less level running across a slope at vertical intervals, supported by steep banks or risers (walls or bunds). The flat beds created by bench terraces enable the cultivation of crops on medium to steep slopes. The technology is highly suitable for semi-arid to humid regions of rainfall, 700 mm or more; medium to steep slopes (12- 47%) (Bench terraces are not recommended for slopes less than 12%); soil depth of greater than 50 cm; and areas with no gullies or stones.</t>
  </si>
  <si>
    <t>Extremely high initial labor and capital cost, Requires specific topographical conditions to be effective, The steep risers are prone to collapse if not properly engineered, Can lead to waterlogging on the flat beds, if not properly drained, May displace a significant amount of topsoil during construction</t>
  </si>
  <si>
    <t>Slope cultivation, Soil conservation, Water management, Steep slopes, Terracing technology</t>
  </si>
  <si>
    <t>Fanya juu terraces (Green gram)</t>
  </si>
  <si>
    <t>Fanya juu terraces (juu is Swahili word for ‘up’) are constructed by excavating soil and throwing it up-slope to make an embankment. The embankment forms a runoff barrier and the trench (ditch) is used to retain or collect runoff. The embankments are usually stabilized with fodder grasses. Crops, such as bananas, pawpaws, citrus and guava, are grown in the ditches. Through gradual redistribution of soils within the field, the terraces level off.</t>
  </si>
  <si>
    <t>Labor-intensive to construct and maintain, Requires a good understanding of slope and water flow, The trenches can become breeding grounds for mosquitoes if water stagnates, Stabilizing grasses need to be established and maintained, May not be suitable for all crop types</t>
  </si>
  <si>
    <t>Water harvesting, Embankment construction, Soil conservation, Fodder grass, Runoff control</t>
  </si>
  <si>
    <t>Tied ridges (Green gram)</t>
  </si>
  <si>
    <t>Tied ridges are small earthen ridges, 30 cm high, with an upslope furrow which accommodates water between the ridges.</t>
  </si>
  <si>
    <t>Labor-intensive to construct, Can be easily damaged by heavy rainfall, May hinder mechanical weeding and harvesting, Water logging can occur between ties in areas with excessive rainfall, Requires careful row orientation to be effective</t>
  </si>
  <si>
    <t>Water trapping, Ridge tillage, Erosion control, Semi-arid farming, Soil moisture</t>
  </si>
  <si>
    <t>Conservation Agriculture (CA) (Green gram)</t>
  </si>
  <si>
    <t>Requires a fundamental shift in mindset from conventional farming, Heavy reliance on herbicides for weed control in the absence of tillage, May not be suitable for soils with severe compaction or hard pans, The 'minimum soil disturbance' principle is incomplete; other principles include residue retention and crop rotation, Can lead to a buildup of certain pests and diseases in the mulch</t>
  </si>
  <si>
    <t>Soil conservation, Minimum tillage, Crop residue retention, Herbicide reliance, Sustainable intensification</t>
  </si>
  <si>
    <t>Multiple cropping (Intercropping) (Green gram)</t>
  </si>
  <si>
    <t>Intercropping is the growing of two or more crops in close proximity (in the same row or bed, or in rows or strips that are close enough) for biological interaction. It also includes the growing of two or more cash crops together. The practice offers the potential to increase yields, enhance soil fertility and minimize the effects of climate change.</t>
  </si>
  <si>
    <t>Competition for resources can be intense, requiring careful crop selection, Complexity in management, including varied timing for planting, weeding, and harvesting, May not be suitable for large-scale mechanized operations, The biological interaction can be beneficial or detrimental, increasing risk, Reduced efficiency for pesticide application due to multiple crop canopies</t>
  </si>
  <si>
    <t>Crop diversification, Biological interaction, Yield stability, Climate resilience, Resource utilization</t>
  </si>
  <si>
    <t>Integrated Management of Rust disease of Green gram</t>
  </si>
  <si>
    <t>Integrated management of Rust consists of several approaches applied in an integrated manner to break the disease cycle. These include: cultural management and chemical control.</t>
  </si>
  <si>
    <t>Early detection is critical; late action may not be effective, Fungicide sprays must be timed correctly and applied thoroughly, Over-reliance on chemical control can be costly and lead to resistance, Cultural management (like crop rotation) takes time to have an effect, Integrated approach requires a good understanding of the disease lifecycle</t>
  </si>
  <si>
    <t>Disease cycle disruption, Cultural practices, Chemical control, Early detection, Fungicide resistance management</t>
  </si>
  <si>
    <t>Integrated Management of anthracnose disease of Green gram</t>
  </si>
  <si>
    <t>Integrated management of anthracnose encompasses the use of various approaches in management of the diseases and are applied during pre-harvest stage. They include: cultural management, deployment of tolerant varieties and chemical control.</t>
  </si>
  <si>
    <t>Tolerant varieties may not be available for all agro-ecological zones, Preventive fungicide sprays may be costly, Infected plant debris must be carefully managed to prevent spread, The pathogen can be seed-borne, requiring certified seed, Wet conditions favor the disease, making it unpredictable</t>
  </si>
  <si>
    <t>Disease-tolerant varieties, Seed-borne pathogen, Cultural management, Chemical control, Pre-harvest management</t>
  </si>
  <si>
    <t>Integrated Management of powdery mildew disease of Green gram</t>
  </si>
  <si>
    <t>Integrated management of powdery mildew consists of several approaches applied in an integrated manner to break the disease cycle. These include: cultural management and chemical control.</t>
  </si>
  <si>
    <t>Fungicide application must be started early for effective control, Dry and humid conditions favor the disease, affecting timing of control, Resistance to fungicides can develop quickly, Cultural practices like crop rotation are essential, Dusts are a common application method, requiring careful handling</t>
  </si>
  <si>
    <t>Environmental conditions, Cultural management, Chemical control, Disease monitoring, Integrated control</t>
  </si>
  <si>
    <t>Integrated Management of Cercospora leaf spot disease of Green gram</t>
  </si>
  <si>
    <t>Integrated disease management for Cercospora leaf spot comprises the use of cultural management practices, deployment of tolerant varieties and chemical control in the management of the disease in Green gram. Cultural practices: Practice good field sanitation and hygiene practices by collecting and safely disposing infected plants. Regular weeding Grow tolerant varieties: Grow varieties that are less susceptible to the disease such as LGG-460. Chemical management: Spray Mancozeb 2kg/ha or Carbendazim 500 g/ha.</t>
  </si>
  <si>
    <t>Chemical recommendations must be checked for local registration and availability, Tolerant varieties may have lower yield potential, Clean fields and weeding are essential but not sufficient in high-disease areas, Fungicides should be applied as soon as symptoms appear, Safety data sheets must be followed for all chemical applications</t>
  </si>
  <si>
    <t>Tolerant variety LGG-460, Field sanitation, Chemical control (Mancozeb/Carbendazim), Disease cycle, Regular weeding</t>
  </si>
  <si>
    <t>Integrated Management of Yellow Mosaic disease of Green gram</t>
  </si>
  <si>
    <t>Integrated management of Yellow Mosaic disease of Green grams consists of various approaches that help to break the disease cycle. They include cultural management and chemical control. Yellow Mosaic disease of Green grams is associated with insect infestations that transmit the pathogen while sucking sap from plant tissues. The disease is effectively managed by controlling insect infestations</t>
  </si>
  <si>
    <t>Control relies heavily on managing the insect vector (whitefly), Insecticide use must be judicious to avoid resistance, Vector pressure is unpredictable and depends on weather, Roguing infected plants early is critical, The virus can be persistent and affect future crops if vector is not controlled</t>
  </si>
  <si>
    <t>Whitefly control, Disease management, Cultural practices, Chemical control, Vector-borne disease</t>
  </si>
  <si>
    <t>Integrated Management of halo blight disease of Green gram</t>
  </si>
  <si>
    <t>Integrated management of halo blight consists of various approaches that help to break the disease cycle. They include cultural management and chemical control.</t>
  </si>
  <si>
    <t>Disease is often seed-borne, requiring certified seed, Wet and cool conditions favor its development, making timing of control critical, Copper sprays are commonly used, but resistance is possible, Cultural practices like crop rotation are essential for long-term control, Requires meticulous sanitation to prevent spread in the field</t>
  </si>
  <si>
    <t>Seed-borne disease, Cultural practices, Chemical control, Environmental conditions, Crop rotation</t>
  </si>
  <si>
    <t>Integrated Management of bacterial leaf blight disease of Green gram</t>
  </si>
  <si>
    <t>Integrated management of Bacterial leaf blight comprises the use of cultural management practices and chemical control in its management. Cultural practices: Crop rotation with non- legumes for a period of 2 to 3 seasons Roguing out infected plants from the farm and burying them deeply. Avoidance of working in the fields when plants are wet to minimize spread. Disinfecting farm tools in jik solution (50 ml: litre). Practicing good field sanitation and hygiene practices by collecting and disposing infected plants. Chemical management: To suppress the disease, spray copper oxychloride (cuprocaffaro micro 37.5 at a rate of 50gm/20litres water or Isacop 50WP at a rate of 60g/20litres of water) Get other control products from the PCPB (www.pcpb.or.ke) list of registered pest control products, and use them according to the manufacturer's instructions.</t>
  </si>
  <si>
    <t>Strict crop rotation (2-3 years) with non-legumes is hard for small farms, Working in wet plants is a common but avoidable practice, Chemical controls are only partially effective once disease is visible, Disinfecting all tools is a significant labor requirement, Resistance to copper-based products is possible</t>
  </si>
  <si>
    <t>Crop rotation, Field sanitation, Tool disinfection, Chemical control (Copper), PCPB registered products</t>
  </si>
  <si>
    <t>Integrated Management of scab disease of Green gram</t>
  </si>
  <si>
    <t>Scab disease management, Copper-based fungicide, Flower-bud application, Field sanitation, PCPB registration</t>
  </si>
  <si>
    <t>Integrated Management of Root Knot nematodes in Green grams</t>
  </si>
  <si>
    <t>Root knot nematodes affecting Green grams are controlled through cultural management practices and chemical control;</t>
  </si>
  <si>
    <t>Nematode infestation is often invisible until severe damage is done, Chemical control options are often highly toxic and environmentally damaging, Crop rotation is the most effective practice but is difficult to enforce, Soil solarization is a non-chemical option but is not mentioned, Requires a soil test to confirm nematode presence before treatment</t>
  </si>
  <si>
    <t>Nematode control, Cultural practices, Soil fumigation, Crop rotation, Soil health</t>
  </si>
  <si>
    <t>Integrated Management of White flies (Bemisia tabaci) (Green gram)</t>
  </si>
  <si>
    <t>Timely application of integrated management options is required. The following cultural and chemical strategies are involved: Cultural practices; Ploughing in previous crop residue in the soil Intercropping with non-host crop i.e. onion, garlic Chemical management Limited chemical use pesticides will conserve black ants that are predators and feed on nymphal stages of the whiteflies Use of yellow sticky traps at the rate of 10-12 traps/ha to trap Neem-based derivative products such as Nimbecidine, Achook, Neemark that do not contaminate the environment</t>
  </si>
  <si>
    <t>Heavy reliance on chemical sprays can kill beneficial predators, Timing of spray is critical to manage both adults and nymphs, Yellow sticky traps are useful for monitoring, not mass control, Predator conservation is a long-term strategy, not a quick fix, Intercropping must be planned carefully to be effective</t>
  </si>
  <si>
    <t>Whitefly control, Sticky traps, Predator conservation, Neem-based products, Intercropping</t>
  </si>
  <si>
    <t>Integrated Management of Flea beetles (Green gram)</t>
  </si>
  <si>
    <t>Integrated Flea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t>
  </si>
  <si>
    <t>Hand picking is only feasible for small areas, The presence of birds and chickens can also damage the crop, Biopesticides require specific conditions for effectiveness, Overreliance on one control method reduces effectiveness, Alternative hosts must be identified and removed promptly</t>
  </si>
  <si>
    <t>Sanitation, Hand picking, Natural enemies, Biopesticides, Alternative host removal</t>
  </si>
  <si>
    <t>Integrated Management of Aphids (Green gram)</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</si>
  <si>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(e.g. flower bugs, ladybird beetles, praying mantis, hover flies, green lacewing, long horned grasshoppers and spiders) by planting lantana hedges to act as breeding grounds for predators Rotate with non-host crops e.g. maize, upland rice, sorghum, okra, sugarcane, and sunflower to prevent build-up of population. Avoid alternate host crops such as beans, lucerne, pigeon pea Remove heavily infested plant parts and destroy by burning Apply neem based products (e.g. neem oil 40ml/20lts of water, Achook) 2 times/month Spray with soapy water solution (mix 1 tablespoon of teepol detergent with 4 lts of water or use strong jet of water to wash off aphids) Chemical Control Use only pest control products recommended by Pest Control Products Board (PCPB) such as: Use Danadim Blue 40 EC (Dimethoate 400 g/L) Duduthrin 1.75 EC (Lambda-cyhalothrin 17.5 g/L) Spray using 10 - 15 mls/20lts of Karate, Atom or Decis at the rate of 10-15mls/20lts of water</t>
  </si>
  <si>
    <t>Over-fertilization with CAN/DAP can lead to other issues like aphid outbreaks, Ant control is complex and affects the entire ecosystem, Specific PCPB product recommendations must be verified, Washing plants with a strong jet of water can damage young plants, Neem-based products can be affected by rain after application</t>
  </si>
  <si>
    <t>Aphid control, Cultural practices, Predator conservation, PCPB chemicals, Botanical insecticide</t>
  </si>
  <si>
    <t>Integrated Management of Yellow striped blister beetle (Green gram)</t>
  </si>
  <si>
    <t>Integrated management of the beetle includes the use of various pest control strategies. The strategies include cultural, biological and chemical control. In order to realize an effective management program for this insect, one has to start chronologically from preventive to curative pest control measures i.e. from cultural to chemical control. The trend is such that you start with the most environmentally friendly (cultural) strategy as you move towards harsh (chemical) pest control methods. This management practice starts with pest scouting/ monitoring, pest identification and establishment of economic threshold and finally a decision is made on which of the following pest control measures to use</t>
  </si>
  <si>
    <t>Blister beetles can cause severe defoliation quickly, requiring fast action, They can be toxic to livestock if contaminated feed is made from infested plants, The economic threshold can be difficult to assess for a smallholder, Cultural controls like hand picking are hazardous due to blistering properties of the beetle, Pesticide sprays must be chosen to target adult beetles effectively</t>
  </si>
  <si>
    <t>Blister beetle, Integrated Pest Management (IPM), Economic threshold, Pest scouting, Sequential control</t>
  </si>
  <si>
    <t>Integrated Management of Desert locust (Schistocerca gregaria) (Green gram)</t>
  </si>
  <si>
    <t>Integrated management of desert locust is a regional program involving multi- sectoral efforts as follows; A global early warning system of prevention and control of DL is in place. Kenya is a member of Desert Locust Control Organization of Eastern and Central Africa (DLCO- EA). DLCO- EA uses remote sensing technology and ground surveys to identify and control desert locusts (DL) in their breeding sites. It uses satellite imagery for the identification of potential breeding sites and locust infestations. Prevention requires a collective effort across regions. Scouting and control of DL in recession (traditional breeding) regions will prevent infestation in invasion (non traditional) regions Scouting should be synchronized with early warning systems reports from FAO Spray hopper bands using Metarhizium anisopliae based products like Mazao Achieve (rate 2l/ha), Biomagic 1.5 LF (rate 20g/20lts water), Real metarhizium OD (rate 200ml/ha) among others. Spray at intervals of 3 - 14 days depending on risk of pest damage Spray with Chlorpyrifos ULV based products like Mursban 480 EC (rate 75ml/20lts water), Agropyrifos 48 EC (20ml/20lts water), Regulator 450 EC (20mls/20lts water), Gradomete R 480 EC. (rate is 1 ltr/ha) Spray with Fenitrothion based products like Delta 1.01% Dust, Sumicombi 1.8% Dust, Sumithion super. (rate of 1ltr/ha)</t>
  </si>
  <si>
    <t>Locust invasions are unpredictable and require a regional response, The cost of chemical control (especially ULV) is extremely high for individuals, Bio-pesticides (Metarhizium) require specific conditions and can be slow-acting, The FAO early warning system must be accessed and trusted, Chemical sprays can have a severe impact on non-target species and the environment</t>
  </si>
  <si>
    <t>Desert locust, DLCO-EA, Metarhizium anisopliae, Regional response, Early warning system</t>
  </si>
  <si>
    <t>Integrated management of Bruchid on Green gram</t>
  </si>
  <si>
    <t>The content is incomplete. It only mentions sorting, which is insufficient for bruchid control. Additional controls like hermetic storage and chemical treatment are necessary. Reliance on sorting alone will lead to major post-harvest losses.</t>
  </si>
  <si>
    <t>Bruchid control, Grain sorting, Incomplete management, Post-harvest pest, Storage pest</t>
  </si>
  <si>
    <t>Integrated management of Cut worms on Green gram</t>
  </si>
  <si>
    <t>Integrated cutworm management consists of various approaches to prevent grain damage. Cultural practices Ploughing exposes caterpillars to predators and to desiccation by the sun. Prepare the field and destroy vegetation and weeds 14 days before planting Delaying transplanting slightly until the stems are too wide for the cutworm to encircle and/or too hard for it to cut may reduce cutworm damage. Hand picking of caterpillars at night by torch or very early morning before they return into the soil is useful at the beginning of the infestation.</t>
  </si>
  <si>
    <t>Cutworm damage is often noticed only when plants are cut, making early action critical, Hand picking is laborious and requires effort at night/early morning, Ploughing must be timed well in advance of planting, Insecticide application is often necessary in high infestation, Destroying all vegetation 14 days prior is a key step often forgotten</t>
  </si>
  <si>
    <t>Cutworm control, Cultural practices, Ploughing, Hand picking, Monitoring</t>
  </si>
  <si>
    <t>Integrated Management of Flower Thrips on Green gram</t>
  </si>
  <si>
    <t>Integrated management (IPM) of thrips involves the use of a combination of cultural, biological and chemical control methods. These are; Cultural Control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(mix 5 teaspoonfuls of soap powder or chopped bar soap with cold water and dissolve and spray on the infested plants) Use blue sticky cardboard traps to attract thrips. Biological control Apply biocontrol agents e.g Beauvitech WP (Beauveria bassiana) or Bio-Power 1.5L (Beauveria bassiana), or Botanigard ES (Beauveria bassiana), Spray neem based products like neemroc EC and nimbecidine (Azadirachtin) use 1 lts/acre (10 plastic bottle tops per 20 lts of water). Chemical Control Spray with Spinosad based products eg tracer 480 SC at 4mls per 20lts of water or lambda cyhalothrin products at 7ml per 20l of water or duduthrin at 65mls per 20l of water or Karate at 20gms/20l Use synthetic insecticides with PHI of 3 days or less since Green gram is harvested at very short intervals.</t>
  </si>
  <si>
    <t>Thrips damage is often subtle (silvery leaves) and can be missed until severe, Overuse of insecticides is common, leading to resistance, Biological control agents require specific environmental conditions, Overhead irrigation can also increase fungal disease risk, Many chemicals have a short Pre-Harvest Interval (PHI), but this must be strictly followed</t>
  </si>
  <si>
    <t>Flower thrips, IPM, Biological control, Blue sticky traps, PHI adherence</t>
  </si>
  <si>
    <t>Integrated management of pod sucking bugs on Green gram</t>
  </si>
  <si>
    <t>The content is incomplete. Pod-sucking bugs are a major pest, and this entry lacks any management details. It leaves the farmer with no actionable information. Control measures (like early harvest, chemical sprays) are critically missing.</t>
  </si>
  <si>
    <t>Pod-sucking bugs, Incomplete management, Major pest, Information gap, Crop damage</t>
  </si>
  <si>
    <t>Integrated management of Bean fly in Green gram</t>
  </si>
  <si>
    <t>Integrated bean fly management consists of various approaches to prevent grain damage. Cultural practices Timely planting early in the season. Planting after green manure crop. Practise crop rotation with non-legumes such as cereals. Ridging the plants 2-3 weeks after germination helps to cover the adventitious roots produced by plants damaged by bean flies Mulch with rice straw. Remove and destroy crop residues and all plant parts with symptoms of damage by bean flies. Biological management Use botanical insecticides such as neem (100 g of dried leaves in 1 litre warm water (30°C) and kept for 12 hours. Filter and spray) Uproot infested plants from the field and destroy by burning.</t>
  </si>
  <si>
    <t>Bean fly damage is often mistaken for other problems, Timely planting is crucial, as late planting often suffers severe attacks, Ridging provides a quick solution but requires prompt action after germination, Neem extracts are a home remedy and have limited efficacy, Chemical control is not mentioned, which may be needed in severe cases</t>
  </si>
  <si>
    <t>Bean fly control, Timely planting, Ridge weeding, Crop rotation, Neem extract</t>
  </si>
  <si>
    <t>Integrated management of red spider mites on Green gram</t>
  </si>
  <si>
    <t>Integrated management of spider mites consists of several approaches applied in an integrated manner to break the cycle of the insect. These include: Cultural Control Keep the farm weed free from the alternative hosts such as solanum family crops that may harbour red spider mites Avoid planting tomato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(Phytotech and Amblytech from dudutech)</t>
  </si>
  <si>
    <t>Spider mites are a major problem in hot, dry conditions, Overhead irrigation can increase humidity and fungal diseases, Spraying with neem extracts is not sufficient for heavy infestations, The recommended predatory mites may not be easily accessible to all farmers, Over-reliance on chemical sprays can lead to mite resurgence due to killing natural enemies</t>
  </si>
  <si>
    <t>Red spider mite, Predatory mites, Overhead irrigation, Cultural control, Neem extract</t>
  </si>
  <si>
    <t>Integrated Weed Management in Green gram</t>
  </si>
  <si>
    <t>Integrated Weed Management (IWM) is the management of weeds using two or more appropriate approaches such as preventive, land preparation before planting, use of mulch (biodegradable or synthetic), cultural, rotation, intercropping and chemical, among others, depending on the weed types and intensity in the field. Annual and perennial narrow leaved weeds include crabgrass (Digitaria sanguinalis), goosegrass (Eleusine indica) and difficult to control couch grass (Cynodon dactylon) and sedges (such as yellow nutsedge (Cyperus esculentus)). Broad-leaved weeds include Wandering jew (Commelina benghalensis) and Black jack (Bidens pilosa).</t>
  </si>
  <si>
    <t>A single method is rarely effective; an integrated approach is required, Misidentification of weeds can lead to ineffective control, Herbicide resistance is a growing threat requiring rotation of modes of action, Some perennial weeds like couch grass are extremely difficult to control, The economics of weed control must be considered</t>
  </si>
  <si>
    <t>Integrated Weed Management, Weed identification, Herbicide resistance, Control methods, Perennial weeds</t>
  </si>
  <si>
    <t>Mulching for weed management in Green gram production</t>
  </si>
  <si>
    <t>The practice of covering the soil/ ground with natural or synthetic materials to effectively control germination of weed seeds in or at the soil surface using biodegradable or natural mulches. Biodegradable mulches include straw, grass and dead leaves. Organic mulches (maize stovers commonly used) should be between 2-4 inches deep to effectively prevent weed germination and suppress the growth in Green gram fields. In addition organic mulches retain moisture in the soil; keep the soil cool; and help improve soil fertility and improve microclimate when they decompose. Synthetic mulches will solarize soils, suppress weed growth, prevent seed germination and retain soil moisture. Inspect and pull out emerging weeds timely.</t>
  </si>
  <si>
    <t>Sourcing sufficient organic mulch can be a challenge, particularly for large areas, The 2-4 inch depth is labor-intensive to apply, Synthetic mulches are expensive and can create waste disposal problems, Mulch can harbor pests like rodents and slugs, Proper decomposition requires adequate moisture and soil biology</t>
  </si>
  <si>
    <t>Mulching technique, Organic mulch, Weed suppression, Moisture retention, Microclimate improvement</t>
  </si>
  <si>
    <t>Solarization bed for weed control in Green gram</t>
  </si>
  <si>
    <t>Solarisation is a method where transparent/ clear polythene films/ plastic is used to heat the soil and kill weed seedlings and dormant seeds in the top six inches of the soil. This increases soil temperatures by about 10°C or more than atmospheric. The basic phenomenon is building up of lethal high temperatures in the soil where most dormant and viable seeds are present.</t>
  </si>
  <si>
    <t>Requires the area to be vacant and fully exposed to sunlight for 4-6 weeks, Plastic sheeting must be securely held to maintain greenhouse effect, Not effective in cloudy or cooler weather, Plastic disposal and waste is a major environmental concern, Does not control weeds that may blow in from outside the treated area</t>
  </si>
  <si>
    <t>Soil solarization, High-temperature kill, Dormant weed seeds, Plastic sheeting, Pre-planting control</t>
  </si>
  <si>
    <t>Stale seed bed for Weed Control in Green gram</t>
  </si>
  <si>
    <t>A weed management practice in which weed seeds just below the soil surface are allowed/ stimulated to germinate after rainfall or wetting the soil and then killed prior to planting the Green gram seeds while minimizing soil disturbances. Weeds are killed using post-emergent herbicides such as glyphosate, sulfosate and glufosinate, or ploughed into the soil. At this stage shallow tillage or use of non-residue paraquat may be used to destroy dense flush young weed seedlings. This is followed by sowing the selected Green gram. Several passes made in the soil with rotary spike-tooth harrow is useful to destroy the emerging weeds during preparation of stale beds.</t>
  </si>
  <si>
    <t>Requires a timely flush of weeds, which is dependent on rainfall or irrigation, Herbicide use is a key component, requiring careful and correct application, If seeds are planted too late, a new flush of weeds can emerge, Ploughing the seed bed will bring more weed seeds to the surface, The quality of the initial herbicide application is critical</t>
  </si>
  <si>
    <t>Stale seedbed, Herbicide application, Weed seed germination, Soil disturbance, Non-selective herbicide</t>
  </si>
  <si>
    <t>Mechanical weed control in Green gram production</t>
  </si>
  <si>
    <t>Mechanical/ manual weed control is a technique that manages weed populations through physical methods that remove, injure, kill, or make the growing conditions unfavourable for growth using tools such as pangas, jembes and slashers. Some of the methods cause direct damage to the weeds through complete removal or causing a lethal injury. Other techniques may alter the growing environment by eliminating light, increasing the temperature of the soil, or depriving the plant of carbon dioxide or oxygen. Mechanical control can be either selective or non-selective. A selective method has very little impact on non-target plants whereas a non-selective method affects the entire area that is being treated. Land is prepared well using hand tools to get a weed free seedbed. Sowing is done in rows to facilitate inter- row weeding. Timely manual weeding is done 2-3 weeks after germination followed by a second weeding 2 to 3 weeks later depending on the rate of regrowth.</t>
  </si>
  <si>
    <t>Heavy labor requirement, which is a challenge for large-scale farming, Can be expensive to hire labor at peak times, Mechanical weeding can damage crop roots if not done carefully, Timeliness is critical; delayed weeding can significantly reduce yields, This method is not effective against deep-rooted perennial weeds</t>
  </si>
  <si>
    <t>Mechanical weeding, Labor intensity, Row planting, Timely weeding, Selective control</t>
  </si>
  <si>
    <t>Chemical weed control in Green gram production</t>
  </si>
  <si>
    <t>Chemical weed control is a technology used to control the germination and growth of the weed species through application of chemicals/ herbicides to weeds or the soil. The technology requires intensive knowledge on the mode of action of the herbicides, the selective ones for Green gram, conditions necessary for application to be effective, type of soil, when to apply and how application is done. Use only recommended herbicides listed by Pesticide Control Board.</t>
  </si>
  <si>
    <t>Herbicides meant for other crops can be highly toxic to Green gram. Farmers must ensure the herbicide is specifically labeled for Green gram to avoid crop damage. Requires precision to avoid crop damage</t>
  </si>
  <si>
    <t>Chemical weed control, Herbicide safety, PCPB approval, Application precision, Crop-specific herbicide</t>
  </si>
  <si>
    <t>Safe Use of herbicides in Green gram production</t>
  </si>
  <si>
    <t>The technology includes methodologies for proper herbicide handling, application, and disposal, right from transportation from the agro-dealers to storage in their houses, mixing process, application in the field, washing of equipment and disposing of the empty containers.</t>
  </si>
  <si>
    <t>All steps are dangerous and can lead to serious health and environmental issues, Personal Protective Equipment (PPE) is essential but often unavailable or unused, Proper disposal of containers is a major challenge, Washing equipment can contaminate water sources, Herbicides are a 'non-negotiable' risk when not used correctly</t>
  </si>
  <si>
    <t>Herbicide safety, PPE usage, Proper disposal, Handling practices, Environmental protection</t>
  </si>
  <si>
    <t>Harvesting (Green gram)</t>
  </si>
  <si>
    <t>This is a management practice involving careful maturity indices, pre-harvest operations and actual harvesting procedure.</t>
  </si>
  <si>
    <t>Harvesting at the wrong maturity will lead to poor quality, Higher moisture content at harvest is a risk for the development of aflatoxin, Weather can delay harvesting, leading to shattering, Proper pre-harvest operations (like clean tarps) are essential, Timely harvesting is critical to avoid losses</t>
  </si>
  <si>
    <t>Harvest timing, Maturity indices, Pre-harvest operations, Quality control, Minimizing shattering</t>
  </si>
  <si>
    <t>Tarpaulins for drying of Green gram pods before threshing</t>
  </si>
  <si>
    <t>The management practices involve drying of the pods on a tarpaulin (mats) until they are ready for threshing. This avoids contamination of the grain during drying, hence minimizing mycotoxin contamination of the grain.</t>
  </si>
  <si>
    <t>The tarpaulin must be clean and free of contaminants, Drying on tarpaulins requires ample space and good weather, Tarpaulins are an additional cost for the farmer, Pods should be dried to a uniform moisture content, Incorrect drying can lead to spoilage</t>
  </si>
  <si>
    <t>Pod drying, Tarpaulin use, Mycotoxin prevention, Contamination control, Quality preservation</t>
  </si>
  <si>
    <t>Threshing of Green gram pods (Multipurpose Legume Thresher)</t>
  </si>
  <si>
    <t>This is a motorised multipurpose thresher for threshing Green grams, common dry beans and pigeon peas.</t>
  </si>
  <si>
    <t>The cost of purchasing or hiring the thresher may be high, It can cause seed coat damage if not correctly adjusted, Access to fuel/electricity may be required for operation, Maintenance and availability of spare parts is a concern, Cross-contamination with other crops if not cleaned thoroughly</t>
  </si>
  <si>
    <t>Mechanical threshing, Multipurpose use, Seed coat damage, Cost implications, Machinery maintenance</t>
  </si>
  <si>
    <t>Winnowing (Green gram)</t>
  </si>
  <si>
    <t>Dry Green gram grains are winnowed to remove chaff, dust, foreign matter such as stones, broken grains, shrivelled, mouldy, insect damaged, rotten, discoloured or faded grains, and any remaining plant parts. Winnowing is then done using a winnowing tray (‘uteo’) to separate the dry grain from the soil matter before sorting. Sorting should be properly done as this attracts a better price than unsorted Green gram grains.</t>
  </si>
  <si>
    <t>Winnowing is a labor-intensive and skillful process, It is inefficient for large quantities, Manual winnowing exposes the worker to dust and allergens, The process does not remove internal insect damage, The presence of foreign matter indicates poor post-harvest handling and loses market</t>
  </si>
  <si>
    <t>Winnowing, Post-harvest handling, Grain cleaning, Market quality, Foreign matter removal</t>
  </si>
  <si>
    <t>Mechanized solar drying of threshed Green gram grains</t>
  </si>
  <si>
    <t>Drying of threshed grains can be done in open sunshine, or in mechanised solar dryers and electricity powered dryers, which are fast and efficient. Drying of threshed grain involves reducing the moisture content to 10%, which is important for safe storage</t>
  </si>
  <si>
    <t>Mechanized dryers have high capital and operating costs, Solar dryers can be expensive and may not be available locally, Inconsistent drying can lead to hotspots and spoilage, Over-drying can make grains brittle, Open sun drying is efficient but exposes grain to contamination, weather risk, and birds</t>
  </si>
  <si>
    <t>Moisture reduction, Safe storage, Solar/mechanical drying, Efficiency, Contamination risk</t>
  </si>
  <si>
    <t>Moisture meter for Green gram moisture determination</t>
  </si>
  <si>
    <t>This is a portable electronic machine for accurately measuring the moisture content of threshed Green gram and other food grains. Threshed grain is placed inside the bowl of the moisture meter, and the reading taken after 1-2 minutes. The grains should be dried to a moisture content of 10% which is important for safe storage.</t>
  </si>
  <si>
    <t>The meter is an additional cost for the farmer, It must be calibrated regularly for accuracy, The sample must be representative of the entire batch, Incorrect use can give a false reading, Drying to 10% moisture is critical but can be difficult to achieve uniformly</t>
  </si>
  <si>
    <t>Moisture meter, Accuracy, Calibration, Storage safety, Quality control</t>
  </si>
  <si>
    <t>De-stoning machine (Green gram)</t>
  </si>
  <si>
    <t>This is a machine which removes stones, glass, metal particles and other physical contamination from Green gram grains, using vibration and fluidized air.</t>
  </si>
  <si>
    <t>Machinery cost is a major limitation for smallholders, It requires electricity or fuel to operate, It is a time-consuming step in the post-harvest chain, It may not be available for hire locally, Regular maintenance and cleaning is required</t>
  </si>
  <si>
    <t>De-stoning, Physical contamination, Machinery cost, Grain quality, Advanced processing</t>
  </si>
  <si>
    <t>Purdue Improved Crop Storage (PICS) Hermetic Bags (Green gram)</t>
  </si>
  <si>
    <t>This is a gunny bag with two inner polythene linings. Dry Green gram (10% moisture content) to be stored is put inside the inner polythene bag which is then tied air-tight. The second polythene is also tied air-tight, followed by tying the outer gunny bag cover. This is a chemical-free storage of dry Green gram and other food grains. The PICS bags are very effective in keeping off Green gram storage pests, the main one being the bruchid. Grain can keep over one year inside the hermetic bags, if kept in a cool dry place, and other destructive agents e.g. rodents are kept at bay.</t>
  </si>
  <si>
    <t>The grain must be perfectly dry at 10% moisture; otherwise, it will spoil, A single tiny hole or puncture in the inner bag will allow insects to enter, They are more expensive than standard bags, The bags are not rodent-proof and must be stored in a secure place, They require careful handling to avoid punctures</t>
  </si>
  <si>
    <t>PICS bags, Hermetic storage, Bruchid control, Chemical-free, Moisture control</t>
  </si>
  <si>
    <t>Green gram stores (Green gram)</t>
  </si>
  <si>
    <t>The TIMP includes a storage structure for storage of the grains in hermetic bags. The storage structure ensures that the hermetic bags are not attacked by rodents, and maintains the quality of the grain. The store can adopt acoustic technology to monitor and control insect infestation of the store. Practice First In First Out (FIFO) principle in stock management.</t>
  </si>
  <si>
    <t>Construction of a proper store is a significant investment, The store must be well-ventilated to prevent moisture build-up, Rodent control in the store is an ongoing task, FIFO requires meticulous record-keeping, Acoustic monitoring technology is an advanced option that may be expensive</t>
  </si>
  <si>
    <t>Hermetic bag storage, Rodent control, First In First Out, Acoustic monitoring, Quality preservation</t>
  </si>
  <si>
    <t>Green gram flour (Green gram)</t>
  </si>
  <si>
    <t>Flour prepared from Green grams</t>
  </si>
  <si>
    <t>Raw Green gram flour contains anti-nutritional factors that must be reduced by proper processing (heating/soaking). Processing should be done in a clean environment to prevent contamination. It has a distinct flavor that may not be to everyone's taste. The flour has a short shelf life if not properly stored, leading to rancidity.</t>
  </si>
  <si>
    <t>Green gram flour, Processing, Anti-nutritional factors, Shelf life, Value addition</t>
  </si>
  <si>
    <t>Green gram balls (Green gram)</t>
  </si>
  <si>
    <t>A food product prepared from deep frying Green grams which have been boiled, mashed, mixed with wheat flour, and kneaded into balls</t>
  </si>
  <si>
    <t>Deep-fried products are high in fat and calories, which can be a health concern. Use of wheat flour may not be suitable for gluten-intolerant individuals. High oil absorption during frying. Boiling and mashing is a labor-intensive process. Storage of the product can affect its taste and texture.</t>
  </si>
  <si>
    <t>Green gram balls, Deep-frying, Value addition, Food safety, Gluten content</t>
  </si>
  <si>
    <t>Green gram crackies (Green gram)</t>
  </si>
  <si>
    <t>A food product prepared from deep frying Green grams which have been boiled, mashed, mixed with wheat flour, and extruded using a noodle machine.</t>
  </si>
  <si>
    <t>Similar to the balls, these are high-fat products. Requires specialized equipment (noodle machine/extruder) for preparation. Proper hygiene is crucial to prevent contamination and spoilage. The product is fragile and may break during packaging and transport. Use of wheat flour excludes consumers with gluten sensitivities.</t>
  </si>
  <si>
    <t>Green gram crackies, Extrusion processing, Deep-frying, Product fragility, Niche market</t>
  </si>
  <si>
    <t>Green gram cakes (Green gram)</t>
  </si>
  <si>
    <t>Cake prepared from a mixture of mashed Green gram and wheat flour</t>
  </si>
  <si>
    <t>Contains wheat flour, making it unsuitable for gluten-free diets. Cooking process must be monitored to avoid undercooking, which can lead to a raw taste. High sugar and fat content if a commercial recipe is followed. Storage for a short period is recommended to avoid spoilage. The cake may have a dense texture compared to standard cakes.</t>
  </si>
  <si>
    <t>Green gram cake, Baking, Flour composite, Food safety, Marketing</t>
  </si>
  <si>
    <t>Power Tiller (Green gram)</t>
  </si>
  <si>
    <t>A Power tiller is a low powered two-wheeled agricultural implement also referred to as a walking tractor 8-16hp that can be fitted with implements such as a rotary tiller, disk harrow, mouldboard plough, trailer, chisel or water pump at alternate times for easing farm operations. It can complete one hectare in two hours per operator. This will vary depending on the climatic conditions, soil types, soil moisture content, operator stamina and experience. Fuel consumption is about 15 liters per ha, though these results may vary with the technical ability or aptitude of the operator.</t>
  </si>
  <si>
    <t>High initial purchase cost, Requires skilled operation and regular maintenance, High fuel consumption (15 L/ha) can be a major ongoing cost, The 2 hours/ha is a best-case scenario, often not achievable in practice, Can cause soil compaction if used in wet conditions</t>
  </si>
  <si>
    <t>Power tiller, Walking tractor, Fuel consumption, Soil compaction, Farm mechanization</t>
  </si>
  <si>
    <t>Wheeled Tractor 50Hp (Green gram)</t>
  </si>
  <si>
    <t>A small sized, 4-wheeled tractor is a low powered agricultural implement of 40-55hp that can be fitted with a rotary tiller, disk harrow, moldboard plough, trailer, chisel or water pump at alternate times for easing farm operations. It can do 4 hectares per day by one operator but can have two operators to run another 8 hours of 4 hectares coming to 8ha per day. This will vary depending on the climatic conditions, soil types, soil moisture content and operator experience. Fuel consumption is about 15 liters per ha, though these results may vary with the technical ability of the operator.</t>
  </si>
  <si>
    <t>Extremely high capital cost, not feasible for most smallholders, Requires a skilled operator for efficient and safe use, Fuel cost (15 L/ha) is a substantial variable cost, The high weight can cause severe soil compaction, especially on heavier soils, Spare parts and maintenance can be difficult and expensive in rural areas</t>
  </si>
  <si>
    <t>4WD tractor, Farm mechanization, Fuel cost, Soil compaction, Operator skill</t>
  </si>
  <si>
    <t>Moldboard Plough (Green gram)</t>
  </si>
  <si>
    <t>Moldboard plough is an agricultural implement and is generally considered to be an important tillage implement. Moldboard ploughs are available for power tiller and tractor operation. A moldboard plough does four jobs namely a) cutting the furrow slice, b) lifting the furrow slice, c) inverting the furrow slice and d) pulverizing the furrow slice. Ploughing accounts for more traction energy than any other field operation.</t>
  </si>
  <si>
    <t>Requires high draft power, increasing fuel consumption, Can lead to soil degradation and erosion if used excessively, Creates a hardpan at the bottom of the furrow, Inverting the soil buries organic matter, reducing soil fertility, Requires careful adjustment to achieve the correct depth and width</t>
  </si>
  <si>
    <t>Moldboard plough, Soil inversion, High energy, Soil erosion risk, Plough pan</t>
  </si>
  <si>
    <t>Disk Harrow (Green gram)</t>
  </si>
  <si>
    <t>A harrow is a farm implement used to pulverize soil, break up crop residues, uproot weeds and cover seed. It is a farm implement used for surface tillage. It is used after ploughing for breaking up and smoothing out the surface of the soil. The purpose of harrowing is to break up clods and to provide a soil structure, called tilth, that is suitable for planting seeds. Coarser harrowing may also be used to remove weeds and to cover seed after sowing.</t>
  </si>
  <si>
    <t>Can also cause soil compaction, Requires significant horsepower, Pans may form at the harrow's working depth, Not effective in very stony or root-bound soils, The heavy discs can cause significant soil disturbance if used incorrectly</t>
  </si>
  <si>
    <t>Disk harrow, Secondary tillage, Weed control, Soil pulverization, Compaction risk</t>
  </si>
  <si>
    <t>Tine Harrow (Green gram)</t>
  </si>
  <si>
    <t>It is a harrow with peg-shaped teeth of diamond cross-section attached to a rectangular frame. It is used to break clods, stir soil, uproot weeds, level ground, break soil and cover seeds.</t>
  </si>
  <si>
    <t>Prone to clogging with crop residues in heavy stubble, Requires a careful operator to avoid dragging, Not suitable for hard, compacted soils, The tines can cause severe injury, Shallow working depth limits effectiveness</t>
  </si>
  <si>
    <t>Tine harrow, Secondary tillage, Weed removal, Soil leveling, Stubble management</t>
  </si>
  <si>
    <t>Seed Drill (Green gram)</t>
  </si>
  <si>
    <t>It is an implement consisting of a heavy frame set with separate hoppers for fertilizer and seed. It is wheel driven to rotate the seed and fertilizer dispenser sprockets. Calibration of seed and fertilizer is done separately by interchanging pairs of gears to match the required gear ratio. It has coulters to open a furrow for delivery of seed and fertilizer while another covers the planted furrow. The planter is dragged over harrowed land to plant.</t>
  </si>
  <si>
    <t>Expensive to purchase, Calibration for each crop is a complex task, High draft power required, Jamming of coulters and delivery tubes is common, Cannot be used in conservation agriculture (minimum-till) systems effectively</t>
  </si>
  <si>
    <t>Seed drill, Precision planting, Calibration, Fertilizer placement, Row planting</t>
  </si>
  <si>
    <t>Seed planter (Green gram)</t>
  </si>
  <si>
    <t>It is a seed dispenser on the farm that places seed and fertilizer at predetermined quantities. It is commonly used in small grains. It is propelled by a tractor. It is an attachment of a tractor of size 45-65hp that can economically tow the implement on a well prepared seedbed using a plough, disk harrow and tine harrow</t>
  </si>
  <si>
    <t>Requires a specific tractor hp (45-65hp), making it inaccessible to many, High cost and complexity of the implement, Can be difficult to adjust for different seed sizes, The requirement for a perfectly prepared seedbed adds time and cost, Jamming can occur in wet or clay soils</t>
  </si>
  <si>
    <t>Seed planter, Tractor-drawn, Precision seeding, High hp requirement, Seedbed preparation</t>
  </si>
  <si>
    <t>Multi-crop cultivator (Green gram)</t>
  </si>
  <si>
    <t>Five teeth furrow openers are capable of withstanding tough working conditions at heavy soils. With deep positive penetrations can break up hard soil clods and uproot stubbles to leave the ground perfectly worked. With the spacing adjustments or removal of tines on the main frame can be used for multiple number of applications suitable for Green gram cultivation. It is propelled by a small sized tractor 45-55hp.</t>
  </si>
  <si>
    <t>Requires tractor of 45-55hp, The heavy construction means it is expensive, Can cause deep soil disturbance if not adjusted properly, Not suitable for residue-rich conservation agriculture, The 'perfectly worked' ground is susceptible to erosion</t>
  </si>
  <si>
    <t>Multi-crop cultivator, Tractor-drawn, Secondary tillage, Soil clod breakage, Stubble uprooting</t>
  </si>
  <si>
    <t>Motorized Sprayer (Green gram)</t>
  </si>
  <si>
    <t>A motorized sprayer is a device used to spray a liquid, where sprayers are commonly used for projection of the chemical, weed killers, crop performance materials, pest maintenance chemicals, as well as manufacturing and production line ingredients. In agriculture, a sprayer is a piece of equipment that is used to apply herbicides, pesticides and fertilizers on agricultural crops. Sprayers are man-portable units typically backpacks with spray guns. They are used to control; weeds that can harbour insects by use of herbicides, insect pests that can cause diseases by the use of insecticides as well as pesticides. Control of fungal diseases by the use of fungicides. Application of micronutrients on the plants.</t>
  </si>
  <si>
    <t>Drift can contaminate non-target areas and water sources, Require PPE for operator safety, Calibration is crucial for effectiveness, Fuel and maintenance are ongoing costs, Can be heavy and uncomfortable for extended use</t>
  </si>
  <si>
    <t>Motorized sprayer, Application accuracy, PPE, Calibration, Chemical control</t>
  </si>
  <si>
    <t>Thresher (Green gram)</t>
  </si>
  <si>
    <t>A thresher was developed for threshing, separating, and cleaning Green gram seeds. The major components of the machine include threshing, separation and cleaning units. After being beaten, the grains fall through a concave grid into the cleaning unit which consists of blower set to a speed that only blows out chaff and grain is collected on a receptor</t>
  </si>
  <si>
    <t>Incorrect speed and clearance settings will damage the seed, High initial cost, Requires technical know-how for operation and adjustment, Potential for dust inhalation by the operator</t>
  </si>
  <si>
    <t>Thresher (Green gram), Crop-specific, Seed damage, Cost, Mechanization</t>
  </si>
  <si>
    <t>Combine Harvester (Green gram)</t>
  </si>
  <si>
    <t>A combine harvester is a versatile machine designed to efficiently harvest a variety of grain crops. The name derives from its combining three separate harvesting operations—reaping, threshing, and winnowing—into a single process. The major components of the machine include threshing, separation and cleaning units. After being beaten, the grains fall through a concave grid into the cleaning unit which consists of blower set to a speed that only blows out chaff and grain is collected on a receptor</t>
  </si>
  <si>
    <t>Extremely high cost and only viable for large-scale farming, Operation requires a highly skilled technician, Field conditions must be perfect; muddy fields can cause delays and damage, Can be extremely inefficient on smaller, uneven fields, High fuel consumption and maintenance costs</t>
  </si>
  <si>
    <t>Combine harvester, Large-scale farming, Harvest efficiency, High cost, Field conditions</t>
  </si>
  <si>
    <t>Transformative Model of production of Green gram</t>
  </si>
  <si>
    <t>The transformative model builds resiliency of farmers of Green gram to focus on market orientation. The transformation model aims at a shift from subsistence to semi-commercial to fully commercial. At the subsistence level, farmers use traditional inputs and the outputs consumed at home. At the semi-commercial level, farmers use both traditional and improved inputs while the output is consumed at home and some get into the markets. At fully commercial, inputs are accessed from the markets and outputs solely for the markets.</t>
  </si>
  <si>
    <t>The transition requires significant capital and market knowledge, Poor market access can prevent a shift from subsistence to commercial, Farmers risk losing their food security if the commercial crop fails, The model requires a supportive policy environment and infrastructure, Many farmers may not have the capacity to make this shift</t>
  </si>
  <si>
    <t>Transformative model, Market orientation, Commercialization, Resilience, Value chain shift</t>
  </si>
  <si>
    <t>Building a Business Plan for Green gram production</t>
  </si>
  <si>
    <t>A Green gram business plan serves as an internal management and organizing tool, used to communicate outside the business, or both. The document contains the elements of marketing strategy, marketing costs, income streams and financial requirements</t>
  </si>
  <si>
    <t>Developing a realistic business plan requires financial literacy, which many farmers lack, Changing market conditions can make the plan obsolete quickly, The plan requires accurate data on costs and returns, Over-optimistic projections can lead to poor decisions, Business plans are often not implemented effectively without discipline</t>
  </si>
  <si>
    <t>Business plan, Financial management, Marketing strategy, Cost analysis, Income streams</t>
  </si>
  <si>
    <t>Contracted Green gram production model (Green gram)</t>
  </si>
  <si>
    <t>Contract farming involves investment by the private companies, extending lines of credit to producers in the form of farming inputs and technical assistance. Under contract farming terms, contractors commit themselves to buy the entire product at an agreed price. On the other hand, producers avail desired produce for sale.</t>
  </si>
  <si>
    <t>Farmers may become indebted if the company is unreliable or if the crop fails, The contract may tie the farmer to an unfavorable price, Quality standards can be strict, leading to rejection of produce, The farmer may lose flexibility and decision-making power, Contract farming can lead to dependency on a single buyer</t>
  </si>
  <si>
    <t>Contract farming, Risk management, Quality standards, Market linkage, Input access</t>
  </si>
  <si>
    <t>Collective marketing (Green gram)</t>
  </si>
  <si>
    <t>Collective marketing is marketing as a group where farmers establish an entity to create market links. It involves formation of a group of farmers with an objective of reducing market inaccessibility. Collective marketing is carried out through Producer Organizations (POs), an institutional vehicle for promoting agricultural production by helping farmers solve common problems in relation to production inputs, credit, technical knowledge and marketing of the produce</t>
  </si>
  <si>
    <t>Requires strong group governance and trust among members, Free-riding and dishonesty can undermine the process, Individual member needs may conflict with group strategy, The group can become bureaucratic and slow in decision-making, Requires dedicated leadership and management</t>
  </si>
  <si>
    <t>Collective marketing, Producer Organizations, Group marketing, Negotiating power, Institutional approach</t>
  </si>
  <si>
    <t>Profitability analysis (Green gram)</t>
  </si>
  <si>
    <t>Profitability analysis involves recording of costs and returns and therefore determination of profit which indicates the performance of the Green gram agro-enterprise</t>
  </si>
  <si>
    <t>Requires accurate and systematic record-keeping, which is often lacking, Distinguishing between cash costs and opportunity costs is difficult, Market price volatility makes projections unreliable, Analysis is only as good as the data collected, May not account for non-monetary factors like family labor</t>
  </si>
  <si>
    <t>Profitability analysis, Cost &amp; returns, Record-keeping, Market prices, Enterprise assessment</t>
  </si>
  <si>
    <t>Market research for Green gram farmers</t>
  </si>
  <si>
    <t>Market research gathers information on the product buyers, demand, type required, minimum volume purchased, collective marketing volume, quality, packaging requirements, frequency of delivery, purchase price, means of payment and willingness to buy from local farmers</t>
  </si>
  <si>
    <t>Market research is often overlooked because farmers lack resources, The information can quickly become outdated, Identifying reliable sources of information can be challenging, Accessing buyers and negotiating is a skill farmers may not possess, Costs of travel and communication for research can be a barrier</t>
  </si>
  <si>
    <t>Market research, Market intelligence, Buyer requirements, Quality standards, Market access</t>
  </si>
  <si>
    <t>Marketing Innovation model (Green gram)</t>
  </si>
  <si>
    <t>Marketing innovation encompasses entrepreneurship where farmers undertake technology modification, finance and business acumen in an effort to transform innovations into economic goods and ultimately profit.</t>
  </si>
  <si>
    <t>Innovation requires capital and a high tolerance for risk, Market acceptance of new products is uncertain, May require new skills and knowledge not commonly held, The scale of production may not match innovation and market requirements, Returns are not guaranteed, and failure can be costly</t>
  </si>
  <si>
    <t>Marketing innovation, Entrepreneurship, Technology adoption, Economic value, Risk-taking</t>
  </si>
  <si>
    <t>Internet/mobile marketing (Green gram)</t>
  </si>
  <si>
    <t>Internet/mobile marketing refers to the online marketplace that provides buyers and sellers with an avenue to meet and exchange goods and services. These can include a variety of online platforms, tools, and content delivery systems</t>
  </si>
  <si>
    <t>Requires digital literacy and access to internet/smartphones, Scams and fraud are common on online platforms, Logistics for delivery of goods can be complex and expensive, Farmers may need to package and quality-grade produce to meet online standards, The platform may charge significant fees</t>
  </si>
  <si>
    <t>Internet marketing, Mobile marketing, E-commerce, Digital literacy, Logistics</t>
  </si>
  <si>
    <t>National Agricultural policy strategy framework (Green gram)</t>
  </si>
  <si>
    <t>The National Agricultural policy strategy framework provides instruments and rules for the Counties to develop agriculture in terms of productivity objectives which can assist the smallholder farmers of Green gram.</t>
  </si>
  <si>
    <t>Policy implementation at the county level can be slow and inconsistent, The strategy may not be well understood by the farmers it is meant to benefit, Political changes can lead to shifting priorities, Funding for policy programs is often insufficient, Coordination between national and county governments can be poor</t>
  </si>
  <si>
    <t>Agricultural policy, County government, Strategic framework, Productivity objectives, Smallholder support</t>
  </si>
  <si>
    <t>County Integrated Development Planning (Green gram)</t>
  </si>
  <si>
    <t>The County Integrated Development Planning builds a plan for each county in Kenya to be implemented in five years. The planning process is participatory, involving the development stakeholders in the county. It is during this planning period where the issues in Green gram production, marketing and processing are considered.</t>
  </si>
  <si>
    <t>The plans are often long-term, while farmers' needs are immediate, The planning process can be bureaucratic and dominated by political interests, Farmer participation may be tokenistic, not meaningful, Implementation often lags behind the planning document, The specific needs of Green gram farmers may be overlooked</t>
  </si>
  <si>
    <t>CIDP, County planning, Development planning, Stakeholder participation, Long-term strategy</t>
  </si>
  <si>
    <t>Policy instruments related to Green gram</t>
  </si>
  <si>
    <t>The policy instruments are the means to achieve policy objectives. For the Green gram production, some of the policy instruments include subsidy in the inputs and also minimum price for the Green gram outputs.</t>
  </si>
  <si>
    <t>Subsidies can be inefficient and lead to corruption, Minimum price can distort the market and reduce competition, Both can be fiscally unsustainable for the government, Farmers may become dependent on subsidies rather than building resilience, The quality of subsidized inputs can be poor</t>
  </si>
  <si>
    <t>Policy instruments, Input subsidies, Price controls, Market distortion, Government intervention</t>
  </si>
  <si>
    <t>Policy cycle (Green gram)</t>
  </si>
  <si>
    <t>The policy process is normally conceptualized as sequential parts or stages. These are (1) problem emergence, (2) agenda setting, (3) consideration of policy options, (4) decision-making, (5) implementation, and (6) evaluation. Policy cycle is a valuable device for new policy development. It is a tool which divides complex procedures into convenient and manageable steps. These individual steps provide a framework and anticipates any forthcoming issues related to policy development. The policy cycle is usually divided into four stages: agenda setting, formulation, implementation, and evaluation</t>
  </si>
  <si>
    <t>The policy cycle is an ideal and often not followed in practice, Implementation is often the weakest stage, Evaluation is often skipped or not done properly, It is a slow process that doesn't respond quickly to farmers' needs, The model can become an end in itself, losing sight of the actual problem</t>
  </si>
  <si>
    <t>Policy cycle, Agenda setting, Implementation gap, Policy evaluation, Policy formulation</t>
  </si>
  <si>
    <t>Good Agricultural Practices (GAP) (Dry Bean)</t>
  </si>
  <si>
    <t>The four 'pillars' of GAP (economic viability, environmental sustainability, social acceptability and food safety and quality) are included in most private and public sector standards. It is a systematic process of implementing a standardized production system globally designed to reassure consumers about how food is produced on the farm, pre-farm gate or on-farm standards.</t>
  </si>
  <si>
    <t>Bean-TIMP1</t>
  </si>
  <si>
    <t>Verify site-specific details with local agricultural extension officers, Compliance requires continuous training and documentation, Certification process takes time and involves continuous improvement, Non-compliance may lead to market rejection</t>
  </si>
  <si>
    <t>Food safety, Quality assurance, Sustainability, Risk prevention, Traceability</t>
  </si>
  <si>
    <t>Hazard Analysis Critical Control Points (HACCP) Plan for Dry bean Value Chain (Dry Bean)</t>
  </si>
  <si>
    <t>A system of food safety control based on systematic identification and assessment of various hazards and definition of means to control them. It is a preventive tool that places protection of dry bean supply from microbial, chemical and physical hazards into hands of food management systems.</t>
  </si>
  <si>
    <t>Requires expert team including HACCP specialist and food scientist, Implementation costs approximately Ksh 30,000, Requires continuous monitoring and documentation, May require movement on farm for record verification, High illiteracy levels may hinder adoption</t>
  </si>
  <si>
    <t>Food safety, Hazard prevention, Quality control, Risk assessment, Supply chain</t>
  </si>
  <si>
    <t>KK Rosecoco 194 (Dry Bean)</t>
  </si>
  <si>
    <t>A large seeded red mottled bean variety resistant to root rot and angular leaf spot diseases, matures within 75 days, high yielding (800Kg/acre), withstands medium to high rainfall.</t>
  </si>
  <si>
    <t>Seed cost KES 6,240 per acre (24Kg/acre @ 260/Kg), Returns KES 88,000 per acre (880kg @ KES 100/Kg), Women perform most bean activities increasing labor burden, Commercialization may edge out women from marketing decisions, Requires adequate seed availability for demonstrations</t>
  </si>
  <si>
    <t>Root rot resistance, High yielding, Disease tolerance, Medium-high rainfall, Fast maturing</t>
  </si>
  <si>
    <t>Nyota (Dry Bean)</t>
  </si>
  <si>
    <t>A high iron and zinc bean variety rich in iron (up to 90ppm) and zinc (up to 56ppm), early maturing (65-75 days), high yielding (800kg/acre), drought tolerant and resistant to major diseases, suitable for flour fortification.</t>
  </si>
  <si>
    <t>Seed cost KES 6,240 per acre (24Kg/acre @ 260/Kg), Returns KES 88,000 per acre (880kg @ KES 100/Kg), Women's labor burden may increase with bean activities, Limited access to land and credit for women and youth, Requires adequate extension services for adoption</t>
  </si>
  <si>
    <t>Biofortified, High iron-zinc, Drought tolerance, Early maturing, Flour milling</t>
  </si>
  <si>
    <t>Faida (Dry Bean)</t>
  </si>
  <si>
    <t>Red mottled/speckled variety with semi-climber characteristics, medium maturing (84-85 days), high yielder (800Kg/acre), tolerant to angular leaf spot and common bacterial blight, fast cooking, rich in zinc (56ppm) and iron (90ppm).</t>
  </si>
  <si>
    <t>Seed cost KES 6,240 per acre (24Kg/acre @ 260/Kg), Returns KES 80,000 per acre (800kg @ KES 100/Kg), Bean considered "women's crop" limiting men/youth participation, Women/youth have less access to land and credit, Women have limited access to training and extension services</t>
  </si>
  <si>
    <t>Semi-climber, High iron-zinc, Fast cooking, Disease tolerant, Flour fortification</t>
  </si>
  <si>
    <t>Katx 69 (Dry Bean)</t>
  </si>
  <si>
    <t>Large seeded red mottled kidney-shaped bean, determinate growth habit, early maturing (60-65 days), high yielding (800 Kg/acre), resistant to rust, BCMV, angular leaf spot and charcoal rot, suitable for cold dry highlands and dry lowlands.</t>
  </si>
  <si>
    <t>Seed cost KES 6,240 per acre (24Kg/acre @ 260/Kg), Returns KES 80,000 per acre (800kg @ KES 100/Kg), Suitable for 900-1500masl areas, Women have less access to agricultural information and technology, Need for organized farmers to produce tradable volumes</t>
  </si>
  <si>
    <t>Drought tolerance, Disease resistance, Early maturity, Cold highlands, Dry lowlands</t>
  </si>
  <si>
    <t>Katram (Dry Bean)</t>
  </si>
  <si>
    <t>Medium sized red mottled bean, drought tolerant, early maturing (60-70 days), determinate growth, resistant to rust and bean common mosaic virus, high yield potential of 800Kg/acre, suitable for marginal and medium potential areas.</t>
  </si>
  <si>
    <t>Seed cost KES 6,240 per acre (24Kg/acre @ 260/Kg), Returns KES 80,000 per acre (800kg @ KES 100/Kg), Very susceptible to bruchids attack - needs postharvest training, Women have less access to productive resources, Farmers complain about bruchid susceptibility</t>
  </si>
  <si>
    <t>Drought tolerance, Early maturing, Disease resistance, Determinate growth, Marginal areas</t>
  </si>
  <si>
    <t>Rosecoco (GLP 2) (Dry Bean)</t>
  </si>
  <si>
    <t>Large sized red mottled bean, medium maturing (90 days), tolerant to moderate low temperatures (18-20°C), resistant to angular leaf spot diseases, high yield potential (800Kg/acre), strong erect determinate growth.</t>
  </si>
  <si>
    <t>Seed cost KES 6,240 per acre (24Kg/acre @ 260/Kg), Returns KES 80,000 per acre (800kg @ KES 100/Kg), Women/youth have less access to land and credit, Women have limited access to extension services, Requires consistent market for anticipated increased production</t>
  </si>
  <si>
    <t>Cold tolerant, Determinate growth, Angular leaf spot resistance, High yielding, Intercropping suitable</t>
  </si>
  <si>
    <t>Chelalang (Dry Bean)</t>
  </si>
  <si>
    <t>Large red mottled bean, determinate bush bean, high yielding (1000Kg/acre), matures in 80-90 days, high iron (90ppm) and zinc (37 ppm), tolerant to moderate low temperatures (20°C).</t>
  </si>
  <si>
    <t>Seed cost KES 6,240 per acre (24Kg/acre @ 260/Kg), Returns KES 100,000 per acre (1000kg @ KES 100/Kg), Women's labor burden may increase, Women/youth have less access to land and credit, Commercialization may edge out women from marketing decisions</t>
  </si>
  <si>
    <t>High yielding, High iron-zinc, Cold tolerant, Determinate bush, Malnutrition fighting</t>
  </si>
  <si>
    <t>Tasha (Dry Bean)</t>
  </si>
  <si>
    <t>Large red mottled bean with determinate growth bush habit, moderate maturing (75-80 days), high yielding (1000Kg/acre), tolerant to moderate low temperatures (20°C), high zinc content (37 ppm).</t>
  </si>
  <si>
    <t>Seed cost KES 6,240 per acre (24Kg/acre @ 260/Kg), Returns KES 100,000 per acre (1000kg @ KES 100/Kg), Women/youth have less access to productive resources, Women have limited access to extension services, Commercialization may edge women out of decision-making</t>
  </si>
  <si>
    <t>High yielding, High zinc, Cold tolerant, Determinate bush, Malnutrition fighting</t>
  </si>
  <si>
    <t>Ciankui (Dry Bean)</t>
  </si>
  <si>
    <t>Red mottled medium sized bean, elliptic grain shape, determinate growth, moderate yield potential (720Kg/acre), tolerant to moderate low temperatures (20°C), tolerant to angular leaf spot and anthracnose diseases.</t>
  </si>
  <si>
    <t>Seed cost KES 6,240 per acre (24Kg/acre @ 260/Kg), Returns KES 75,000 per acre (750kg @ KES 100/Kg), Women/youth have less access to land and credit, Women have limited access to training and extension services, VMGs often excluded from decision-making</t>
  </si>
  <si>
    <t>Anthracnose tolerance, Angular leaf spot tolerance, Determinate growth, Cold tolerant, Monocropping/intercropping</t>
  </si>
  <si>
    <t>Kat B9 (Dry Bean)</t>
  </si>
  <si>
    <t>Small to medium seeded bean, brilliant red, circular to elliptic shape, early maturing (60-65 days), tolerant to drought and heat stress, yield potential 640Kg/acre, tolerant to bean common mosaic virus and rust diseases.</t>
  </si>
  <si>
    <t>Seed cost KES 5,200 per acre (20Kg/acre @ 260/Kg), Returns KES 51,200 per acre (640kg @ KES 80/Kg), Women/youth have less access to land and credit, Women have less access to agricultural information and technology, Suitable for 900-1500masl areas</t>
  </si>
  <si>
    <t>Heat tolerance, Drought tolerance, Early maturing, BCMV resistance, Rust resistance</t>
  </si>
  <si>
    <t>KK Red 16 (Dry Bean)</t>
  </si>
  <si>
    <t>Small seeded brilliant red coloured bean, circular to elliptic shape, tolerant to root rot, matures within 75 days, indeterminate growth habit, high yield potential up to 800Kg/acre, good local market.</t>
  </si>
  <si>
    <t>Seed cost KES 5,200 per acre (20Kg/acre @ 260/Kg), Returns KES 64,000 per acre (800kg @ KES 80/Kg), Women/youth have less access to land and credit, Women have limited access to extension services, VMGs have low adoption due to lack of awareness</t>
  </si>
  <si>
    <t>Root rot tolerance, Early maturing, Indeterminate growth, High yielding, Local market acceptance</t>
  </si>
  <si>
    <t>Wairimu (GLP 585) (Dry Bean)</t>
  </si>
  <si>
    <t>Small sized red oval shaped bean, medium maturing (75-90 days), indeterminate growth, moderate yield potential (640Kg/acre), tolerant to bean mosaic virus and anthracnose disease.</t>
  </si>
  <si>
    <t>Seed cost KES 5,200 per acre (20Kg/acre @ 260/Kg), Returns KES 51,200 per acre (640kg @ KES 80/Kg), Bean considered women's crop limiting men/youth participation, Women/youth have less access to land and credit, Commercialization may edge women out of marketing decisions</t>
  </si>
  <si>
    <t>Anthracnose tolerance, BCMV tolerance, Medium maturity, Indeterminate growth, Moderate yielding</t>
  </si>
  <si>
    <t>Angaza (KMR 11) (Dry Bean)</t>
  </si>
  <si>
    <t>Medium sized beige red (speckled sugar) rectangular oval shaped bean, medium maturing (75-85 days), determinate growth, yield potential up to 1000Kg/acre, high in iron (97ppm) and zinc (57ppm), fast cooking, tolerant to angular leaf spots.</t>
  </si>
  <si>
    <t>Seed cost KES 6,240 per acre (24Kg/acre @ 260/Kg), Returns KES 64,000 per acre (800kg @ KES 80/Kg), Commercial nature may deprive women of income source, Women/youth have less access to land and credit, Women have limited access to agricultural information</t>
  </si>
  <si>
    <t>High iron-zinc, Fast cooking, Determinate growth, Angular leaf spot tolerance, High yielding</t>
  </si>
  <si>
    <t>Miezi Mbili (Dry Bean)</t>
  </si>
  <si>
    <t>Large sized beige red (speckled sugar) kidney shaped bean, medium maturing (75-85 days), determinate growth, yield potential up to 750Kg/acre, tolerant to several diseases including floury leaf spot, halo blight, angular leaf spot, anthracnose, common bacterial blight and bean common mosaic virus.</t>
  </si>
  <si>
    <t>Seed cost KES 6,240 per acre (24Kg/acre @ 260/Kg), Returns KES 60,000 per acre (750kg @ KES 80/Kg), Women/youth have limited access to productive resources, Women have limited access to markets due to domestic roles, Emerging commercialization may edge women out of marketing decisions</t>
  </si>
  <si>
    <t>Multi-disease tolerance, Medium maturity, Determinate growth, High potential areas, Disease resistance</t>
  </si>
  <si>
    <t>Kat B1 (Dry Bean)</t>
  </si>
  <si>
    <t>Early maturing (60-65 days) with green yellow medium sized grain, circular to elliptic shape, determinate growth, drought and heat tolerant, short cooking time, tasty, no flatulence, moderate yield potential 640Kg/acre, wide market locally and regionally.</t>
  </si>
  <si>
    <t>Seed cost KES 5,200 per acre (20Kg/acre @ 260/Kg), Returns KES 51,200 per acre (640kg @ KES 80/Kg), Women/youth have less access to land and credit, Women have limited access to extension services, VMGs have low adoption due to lack of awareness</t>
  </si>
  <si>
    <t>Drought-heat tolerance, Short cooking time, No flatulence, Wide market, Early maturity</t>
  </si>
  <si>
    <t>Mwitemania (GLP-X 92) (Dry Bean)</t>
  </si>
  <si>
    <t>Beige and brown (pinto) coloured medium sized bean, drought and heat stress tolerant, medium maturity (70-85 days), moderate yield potential 600Kg/acre, adapted to both hot dry lowlands and cold dry highlands.</t>
  </si>
  <si>
    <t>Seed cost KES 6,240 per acre (24Kg/acre @ 260/Kg), Returns KES 38,400 per acre (640kg @ KES 60/Kg), Pinto grain type not popular in Kenyan market, Women/youth have less access to land and credit, VMGs have low adoption due to lack of awareness</t>
  </si>
  <si>
    <t>Heat-drought tolerance, Wide adaptability, Cold highlands, Hot lowlands, Food security</t>
  </si>
  <si>
    <t>KK 15 (Dry Bean)</t>
  </si>
  <si>
    <t>Black coloured elliptic kidney shaped bean, good tolerance to root rot diseases, moderate maturity (80-90 days), indeterminate growth, high in Zinc content, high yield potential 800Kg/acre, withstands medium to high rainfall.</t>
  </si>
  <si>
    <t>Seed cost KES 6,240 per acre (24Kg/acre @ 260/Kg), Returns KES 48,000 per acre (800kg @ KES 60/Kg), Black grain colour lacks good local market, Women/youth have less access to land and credit, Women have limited access to extension services</t>
  </si>
  <si>
    <t>Root rot tolerance, High zinc, Indeterminate growth, Medium-high rainfall, Food security</t>
  </si>
  <si>
    <t>Mwezi Moja (GLP 1004) (Dry Bean)</t>
  </si>
  <si>
    <t>Drought and heat tolerant bean with violet seed coat, early maturing (65-75 days), determinate growth, moderate yield potential 600Kg/acre, suitable for intercropping, good adaptability in drought prone areas.</t>
  </si>
  <si>
    <t>Seed cost KES 6,240 per acre (24Kg/acre @ 260/Kg), Returns KES 36,000 per acre (600kg @ KES 60/Kg), Violet grain type not popular in Kenyan market, Women/youth have less access to land and credit, VMGs have low adoption due to lack of awareness</t>
  </si>
  <si>
    <t>Drought-heat tolerance, Early maturing, Determinate growth, Intercropping, Food security</t>
  </si>
  <si>
    <t>New Mwezi Moja (GLP 1127) (Dry Bean)</t>
  </si>
  <si>
    <t>Drought and heat tolerant bean with greyish brown seed coat, moderate maturing (75-90 days), determinate growth, moderate yield potential 600Kg/acre, tolerant to common bean mosaic virus, halo blight and anthracnose diseases.</t>
  </si>
  <si>
    <t>Seed cost KES 6,240 per acre (24Kg/acre @ 260/Kg), Returns KES 36,000 per acre (600kg @ KES 60/Kg), Grey grain type not popular in Kenyan market, Women/youth have less access to land and credit, VMGs have limited access to extension services</t>
  </si>
  <si>
    <t>Drought tolerance, Disease tolerance, Determinate growth, Intercropping, Marginal areas</t>
  </si>
  <si>
    <t>Mac 64 (Kenya Mavuno) (Dry Bean)</t>
  </si>
  <si>
    <t>Red mottled large seeded climbing bean, high yielding (1200Kg/acre), moderate maturity (90-100 days), resistant to anthracnose and angular leaf spot, requires staking, suitable for areas with small land sizes.</t>
  </si>
  <si>
    <t>Seed cost KES 4,160 per acre (16Kg/acre @ 260/Kg), Returns KES 120,000 per acre (1500kg @ KES 80/Kg), Staking is a major challenge for most farmers, May lead to adverse environmental effects if wood not managed, Women/youth have less access to land and credit</t>
  </si>
  <si>
    <t>Climbing bean, High yielding, Anthracnose resistance, Angular leaf spot resistance, Small land size</t>
  </si>
  <si>
    <t>Mac 34 (Kenya Tamu) (Dry Bean)</t>
  </si>
  <si>
    <t>Red mottled large seeded climbing bean, kidney shaped, late maturing (120 days), high yielder (1500Kg/acre), resistant to angular leaf spot and common bacterial blight, requires staking support.</t>
  </si>
  <si>
    <t>Climbing bean, High yielding, Late maturing, Bacterial blight resistance, Angular leaf spot resistance</t>
  </si>
  <si>
    <t>Mac 13 (Kenya Safi) (Dry Bean)</t>
  </si>
  <si>
    <t>Large speckled sugar grain type climbing bean, medium maturing (90 days), high yielder (1500Kg/acre), resistant to anthracnose diseases, requires staking support.</t>
  </si>
  <si>
    <t>Seed cost KES 4,160 per acre (16Kg/acre @ 260/Kg), Returns KES 90,000 per acre (1500kg @ KES 60/Kg), Staking is a major challenge for most farmers, May lead to adverse environmental effects if wood not managed, Women/youth have less access to land and credit</t>
  </si>
  <si>
    <t>Climbing bean, High yielding, Anthracnose resistance, Speckled sugar type, Small land size</t>
  </si>
  <si>
    <t>Bean seed production (Dry Bean)</t>
  </si>
  <si>
    <t>Sources of dry bean certified seed of improved varieties including public entities (KALRO Seed Unit, Egerton Seed Unit, Kenya Seed Company) and private seed companies. Building capacity of farmers on selecting their own seeds with proper guidance from extension providers.</t>
  </si>
  <si>
    <t>Seed cost KES 250 per kg, Quality seed gives KES 20 more per kg purchase price, Seed system is very weak with poor uptake of new varieties, Disconnect between research and end users on variety needs, Farmers advised to buy certified seed after 3 seasons to avoid yield reduction</t>
  </si>
  <si>
    <t>Certified seed, Seed systems, Quality seed, Seed multiplication, Extension services</t>
  </si>
  <si>
    <t>Integrated Weed Management (Dry Bean)</t>
  </si>
  <si>
    <t>Using several weed approaches such as preventive, physical control, biological control, use of biodegradable mulch, cultural, mechanical and chemical control. Physical control removes weeds manually or mechanically. Biological control uses grazing animals. Chemical control uses appropriate herbicides. Cultural control includes crop rotation and selecting robust growing varieties.</t>
  </si>
  <si>
    <t>Estimated cost KES 4,000 per acre with returns KES 1,000 per acre, Herbicides are expensive with limited knowledge on proper use, Myths exist about appropriateness of using herbicides, Continuous use of herbicides is environmental and health hazard, Women/youth may have limited access to inputs</t>
  </si>
  <si>
    <t>Weed management, Integrated control, Herbicides, Cultural control, Mechanical weeding</t>
  </si>
  <si>
    <t>Land Preparation Practices (Dry Bean)</t>
  </si>
  <si>
    <t>Covers a wide range of practices from zero-tillage or minimum tillage through to conventional ploughing using hand hoe, ox plough or tractor. Involves plowing to till/dig-up/mix/overturn soil, harrowing to break soil clods and incorporate plant residue, and leveling the field. Other forms include ridging manually or mechanized by use of tillers.</t>
  </si>
  <si>
    <t>Cost KES 4,500 per acre with returns KES 6,000-7,000 per acre, Low mechanization of bean growing systems, Small land holding limits tractor mechanization, High cost of mechanized options for many farmers, Women/youth have limited access to mechanization</t>
  </si>
  <si>
    <t>Land preparation, Tillage, Mechanization, Ploughing, Soil management</t>
  </si>
  <si>
    <t>Optimum Plant Spacing (Dry Bean)</t>
  </si>
  <si>
    <t>Using correct spacing to achieve optimum population. Most released varieties recommend inter and intra row spacing of 50cm x 10cm (one seed per hill) with seed rate between 25-30kg/acre depending on seed size. Seed placed 3-5cm below soil surface to prevent sun scorch while allowing proper emergence.</t>
  </si>
  <si>
    <t>Low-cost management practice but requires knowledge, Inadequate tested low-cost seeding equipment, Inadequate information on optimal spacing options for different varieties/AEZ, Women/youth have limited access to training and extension services, VMGs often excluded from decision-making</t>
  </si>
  <si>
    <t>Plant spacing, Population density, Seed rate, Canopy management, Optimum density</t>
  </si>
  <si>
    <t>Legume Intercropping System (Dry Bean)</t>
  </si>
  <si>
    <t>Cropping of several plant species together reduces negative effects of monoculture. Provides better soil cover reducing weed incidences. Increases total productivity compared to sole cropping through better utilization of water, nutrients and solar energy. Climate adaptation strategy in case of crop failure.</t>
  </si>
  <si>
    <t>Knowledge-intensive system requiring adjustments to traditional ways, Requires intensive training and demonstrations for farmers, Women may have increased labor burden from complexity, Women/youth have less access to land and credit, VMGs often excluded from decision-making</t>
  </si>
  <si>
    <t>Intercropping, Biodiversity, Land equivalent ratio, Climate adaptation, Sustainable agriculture</t>
  </si>
  <si>
    <t>Mulching for weed control (Dry Bean)</t>
  </si>
  <si>
    <t>Covering soil with natural or synthetic materials to control weeds from seeds germinating near soil surface. Organic mulches (straw, dead leaves, compost) retain moisture, suppress weeds, keep soil cool, improve soil fertility as they decompose. Synthetic mulches (black) solarize soils, control weeds and weed seeds, retain soil moisture and control diseases.</t>
  </si>
  <si>
    <t>Organic mulch is labour intensive during initial application, Lack of enough plant/crop residues due to competing uses, Possibilities of insect build up or weed seeds in organic mulches, Synthetic mulch has disposal concerns after use, VMGs such as elderly may find mulching labor-intensive</t>
  </si>
  <si>
    <t>Mulching, Soil moisture, Weed suppression, Organic matter, Soil conservation</t>
  </si>
  <si>
    <t>Chemical Weed Control (Dry Bean)</t>
  </si>
  <si>
    <t>Technique involving application of herbicide to control weed growth or to soil to kill emerging weeds and/or weed seeds. Recommended herbicides: Lasso 50% EC @2.0 L/Ha and Trifluralin @2.5 litre/Ha within 3 DAS in 500 litres of water/Ha on moist soil. Requires knowledge on herbicides required for specific crops and weeds.</t>
  </si>
  <si>
    <t>Requires knowledge and training on safe use of herbicides, Technology not safe for expectant women and physically challenged, Women have less access to inputs such as chemicals, Farmers need to understand proper herbicide use to avoid buying wrong products, Requires liaison with agricultural and environmental officers for guidance</t>
  </si>
  <si>
    <t>Herbicides, Weed control, Chemical application, Safe use, Selective herbicides</t>
  </si>
  <si>
    <t>Mechanical Weeding (Dry Bean)</t>
  </si>
  <si>
    <t>Use of weeder implements with five teeth furrow openers capable of withstanding tough working conditions at heavy soils. With deep positive penetrations can break up hard soil clods and uproot stubbles. With spacing adjustments or removable tine on main frame can be used for multiple applications suitable for dry bean cultivation.</t>
  </si>
  <si>
    <t>Basic weeder cost KES 28,000, Women/youth have limited access to credit to purchase implements, Row weeders are heavy and can only be handled by men, VMGs have limited access to training and extension services, Low adoption by VMGs due to lack of awareness</t>
  </si>
  <si>
    <t>Mechanical weeding, Farm implements, Weeder, Labour saving, Soil cultivation</t>
  </si>
  <si>
    <t>Safe Use of Agrochemicals (Dry Bean)</t>
  </si>
  <si>
    <t>Capacity building of farmers and crop protection teams on safe handling and use of pesticides from transportation to storage, mixing procedures and field application to ensure safety of crop, handler and environment. Includes proper methodologies for pesticide disposal to minimize pollution.</t>
  </si>
  <si>
    <t>Cost KES 60,000 per acre with returns KES 500,000 per acre, Pesticides and protective gear expensive for women and youths, High illiteracy prevents reading and interpreting pesticide labels, Use of banned pesticides from neighboring countries, Hazardous nature requires young men and youth for scaling</t>
  </si>
  <si>
    <t>Agrochemicals, Safe handling, Personal protective equipment, Pesticide application, Environmental safety</t>
  </si>
  <si>
    <t>Bean Rhizobium Inoculation Technologies (Dry Bean)</t>
  </si>
  <si>
    <t>Legume bio-fertilizer containing highly competitive and effective rhizobia strain capable of forming symbiotic relationships with legumes fixing nitrogen. Alternative approach to improving nitrogen content in soil, cheaper than chemical fertilizers, efficient in sustainable ecosystem provision.</t>
  </si>
  <si>
    <t>Product retails at KES 40 for 10g pack (enough for 1kg seed), KES 450 for 150g pack, Limited knowledge on technology and how to use it, Limited supply of rhizobium products especially in rural areas with no electricity, Technology response varies from region to region</t>
  </si>
  <si>
    <t>Rhizobium, Bio-fertilizer, Nitrogen fixation, Soil fertility, Inoculation</t>
  </si>
  <si>
    <t>Physiological Maturity Index and Harvesting (Dry Bean)</t>
  </si>
  <si>
    <t>Beans require harvesting when dry using proper technologies. Mature plants turn yellow to brown or plants fall as maturity indices. Pods harvested when completely dry or when withered but continue to be sun dried. Grain moisture content ranges 20-25%. Use Tapirine to prevent grain loss. Harvesting too early results in immature unfilled grains; too late leads to losses and increased spillage.</t>
  </si>
  <si>
    <t>Women perform most harvesting activities increasing work burden, Women/youth have limited access to training and extension services, VMGs often excluded from decision-making, Low adoption by VMGs due to lack of awareness, Harvesting too early or too late causes yield loss</t>
  </si>
  <si>
    <t>Harvesting, Maturity index, Grain moisture, Postharvest, Tapirine</t>
  </si>
  <si>
    <t>Integrated Soil Fertility Management (ISFM) (Dry Bean)</t>
  </si>
  <si>
    <t>Set of soil fertility management practices including use of fertilizers, locally available organic inputs and improved seed combined to adapt practices to local conditions. Emphasizes efficient use of scarce resources through fertilizer banding and micro-dosing.</t>
  </si>
  <si>
    <t>Estimated cost per ha KES 51,000 with returns KES 200,000 (2.5 t/ha @ KES 80/kg), ISFM is labour intensive so may not be adopted by overburdened women, Women/youth have limited access to credit for inputs, Requires validation as context-specific, Cultural misconceptions about fertilizer use</t>
  </si>
  <si>
    <t>Soil fertility, Fertilizer banding, Micro-dosing, Organic inputs, Soil health</t>
  </si>
  <si>
    <t>Integrated Manure Management (Dry Bean)</t>
  </si>
  <si>
    <t>Optimal, site-specific handling of livestock manure from collection, through treatment and storage up to application to dry beans. Recycling macro and micro nutrients in manure reduces need for additional fertilizer purchase. Enhances soil fertility, soil health, agricultural productivity, soil structure and biodiversity.</t>
  </si>
  <si>
    <t>Estimated cost per ha KES 35,000 with returns KES 120,000 (1.5 t/ha @ KES 80/kg), Labour intensive in handling and application, Women/youth may have limited access to inputs such as manures, VMGs have limited access to credit, Lack of model demonstration farms in many areas</t>
  </si>
  <si>
    <t>Manure management, Soil fertility, Nutrient cycling, Composting, Soil health</t>
  </si>
  <si>
    <t>Rapid soil testing services (Dry Bean)</t>
  </si>
  <si>
    <t>Dry method for soil testing using simplicity of light—interaction of electromagnetic radiation with matter to characterize biochemical composition of soil and/or plant tissue. Partners work closely with KALRO and county agricultural officers to sensitize farmers. Works with agronomists to generate specific fertilizer recommendations driven by soil and crop data.</t>
  </si>
  <si>
    <t>Equipment and license cost KES 650,000, Requires continuous updating of methods, Women have less access to credit for soil testing services, Lack of awareness on importance of regular soil quality testing, Requires vans and qualified staff for sample collection</t>
  </si>
  <si>
    <t>Soil testing, Spectroscopic analysis, Fertilizer recommendation, Soil health, Precision agriculture</t>
  </si>
  <si>
    <t>Bean Fertilizer Recommendation (Dry Bean)</t>
  </si>
  <si>
    <t>Fertilizers classified as inorganic and organic. For beans, fertilizers with plenty of phosphorus (DSP, DAP, SSP) are recommended. P is major nutrient. Crops lacking P are stunted with poorly developed roots causing reduced uptake of water and nutrients. Other elements enhancing N-fixation: Molybdenum, Nitrogen, Ca, Mg, Zn available in blend fertilizers. Organic fertilizer applied when soils are low in organic matter at rate of 10 ton/ha.</t>
  </si>
  <si>
    <t>Fertilizer cost KES 3,200 per 50kg bag, Organic manure cost KES 500 per cart (200kg), Myth that beans do not require fertilizer, Women have less access to credit for fertilizer purchase, Small land holding limits large-scale fertilizer application</t>
  </si>
  <si>
    <t>Fertilizer recommendation, Phosphorus, Organic fertilizer, Soil fertility, Nutrient management</t>
  </si>
  <si>
    <t>Contour bunds (Dry Bean)</t>
  </si>
  <si>
    <t>Stone or earthen walls built across a slope to prevent runoff. Earthen bund formed by excavating channel and creating small ridge on downhill side (fanya-chini terraces). Highly suitable for areas with unpredictable rains especially drought-prone areas (ASALs). Aims to concentrate moisture into ridge and furrow area by trapping run off water from catchment area.</t>
  </si>
  <si>
    <t>Labour intensive - many farmers may find difficult to implement at large scale, Increased risk of soil erosion if contours become defective, Land tenure systems (communal land ownership) may hinder adoption, May be difficult for VMGs and elderly to implement, Women/youth have limited access to land</t>
  </si>
  <si>
    <t>Contour bunds, Soil conservation, Water harvesting, Erosion control, Terracing</t>
  </si>
  <si>
    <t>Tied ridges (Dry Bean)</t>
  </si>
  <si>
    <t>Soil conservation structures comprising shallow furrows (50 cm wide, 30 cm deep) along each contour with soil mound on down-slope side to create ridge (20-30 cm high). Cross ties (15-20 cm high) created every 2-3 meters. Ties must be lower than main ridges. Loss of water through evaporation minimized by placing mulch in furrows.</t>
  </si>
  <si>
    <t>Labour intensive during establishment phase, Poor management may lead to water use inefficiencies, Limited access to credit may limit uptake, Land tenure insecurity in some counties limits adoption, Women have less access to agricultural information and technology</t>
  </si>
  <si>
    <t>Tied ridges, Water harvesting, Soil conservation, Furrow irrigation, Moisture conservation</t>
  </si>
  <si>
    <t>Bench terraces (Dry Bean)</t>
  </si>
  <si>
    <t>Series of beds more or less level running across a slope at vertical intervals, supported by steep banks or risers (walls or bunds). Flat beds enable cultivation of crops on medium to steep slopes. Highly suitable for semi-arid to humid regions with rainfall 700mm or more, medium to steep slopes (12-47%), soil depth greater than 50cm.</t>
  </si>
  <si>
    <t>Labour intensive during construction and maintenance, Increased risk of soil erosion if terraces improperly laid out, Land tenure systems may hinder adoption, May be difficult for VMGs to implement, Women/youth have limited access to land</t>
  </si>
  <si>
    <t>Bench terraces, Soil conservation, Erosion control, Slope cultivation, Land management</t>
  </si>
  <si>
    <t>Integrated management of bean stem maggots (Ophiomyia phaseoli) (Dry Bean)</t>
  </si>
  <si>
    <t>IPM using cultural control (early planting, proper spacing, crop rotation, field hygiene, tolerant varieties), biological control (sticky pheromone traps, Bacillus thuringiensis products), and chemical control (imidacloprid products applied to soil simultaneously with sowing or immediately after germination).</t>
  </si>
  <si>
    <t>Estimated cost KES 10,000 per acre (insecticides KES 3,000, traps KES 4,000, labor KES 3,000), Losses of 50-100% without management, Women/youth have limited access to credit for inputs, Women have limited access to pest education and extension services, PCPB needs to enhance registration of crop protection products</t>
  </si>
  <si>
    <t>Bean stem maggot, IPM, Cultural control, Biological control, Chemical control</t>
  </si>
  <si>
    <t>Integrated management of cutworms (Agrotis spp) (Dry Bean)</t>
  </si>
  <si>
    <t>IPM using cultural control (plough land to expose caterpillars, field preparation, hand picking, flooding, bait traps, pheromone traps), biological control (neem-based products, conserving natural enemies), and chemical control (Alpha Cypermethrin or Lambda-cyhalothrin products).</t>
  </si>
  <si>
    <t>Losses of 30-40% without management, Women/youth have limited access to credit for inputs, Women have limited access to pest education and extension services, VMGs have limited access to training, Requires farmer willingness to adopt IPM technologies</t>
  </si>
  <si>
    <t>Cutworms, IPM, Cultural control, Biological control, Chemical control</t>
  </si>
  <si>
    <t>Integrated management of Aphids (Aphis fabae) (Dry Bean)</t>
  </si>
  <si>
    <t>IPM using cultural control (intercrop with repellant crops like onions/garlic, weeding, remove affected plants, overhead irrigation, blue sticky traps), biological control (neem oil, Beauveria bassiana products), and chemical control (Acetamiprid, lambda cyhalothrin, deltamethrin products).</t>
  </si>
  <si>
    <t>Estimated cost KES 10,000 per acre, Losses of 37-90% without management, Women/youth have limited access to credit for inputs, Women have limited access to pest education and extension services, VMGs have limited access to credit for chemicals</t>
  </si>
  <si>
    <t>Aphids, IPM, Neem products, Biological control, Cultural control</t>
  </si>
  <si>
    <t>Integrated management of Blister beetle (Mylabris spp) (Dry Bean)</t>
  </si>
  <si>
    <t>IPM using cultural control (scouting, hand picking, clean weeding, encouraging birds), biological control (Semaspore Bait with Nosema locustae, Metarhizium anisopliae products), and chemical control (pyrethroid insecticides such as Pesthrin, lambda-cyhalothrin, alpha-cypermethrin).</t>
  </si>
  <si>
    <t>Estimated cost KES 8,000 per acre, Losses up to 63% without management, Women/youth have limited access to credit for inputs, Women have limited access to pest education, VMGs have limited access to training and extension services</t>
  </si>
  <si>
    <t>Blister beetle, IPM, Pyrethroids, Biological control, Scouting</t>
  </si>
  <si>
    <t>Integrated management of African Bollworm (Helicoverpa armigera) (Dry Bean)</t>
  </si>
  <si>
    <t>IPM using cultural control (scouting, removing plant residues, ploughing, handpicking, intercropping with trap crops, crop rotation, agronets), biological control (neem products, Bacillus thuringiensis, sticky pheromone traps), and chemical control (Deltamethrin, Bifenthrin).</t>
  </si>
  <si>
    <t>Estimated cost KES 15,000 per acre, Losses of 36-60% without management, Women/youth have limited access to credit for inputs, Women have limited access to pest education and extension services, VMGs often excluded from decision-making</t>
  </si>
  <si>
    <t>African bollworm, IPM, Trap crops, Bacillus thuringiensis, Pheromone traps</t>
  </si>
  <si>
    <t>Integrated management of Maruca pod borer (Maruca vitrata) (Dry Bean)</t>
  </si>
  <si>
    <t>IPM using cultural control (scouting for webbing, crop rotation, intercropping with cereals, removing crop debris), biological control (neem products, Bacillus thuringiensis, sticky pheromone traps), and chemical control (Deltamethrin, Bifenthrin).</t>
  </si>
  <si>
    <t>Estimated cost KES 12,000 per acre, Losses of 20-80% without management, Women/youth have limited access to credit for inputs, Women have limited access to pest education, VMGs have limited access to training and extension services</t>
  </si>
  <si>
    <t>Maruca pod borer, IPM, Crop rotation, Biological control, Chemical control</t>
  </si>
  <si>
    <t>Integrated management of Thrips (Megalurothrips sjostedti) (Dry Bean)</t>
  </si>
  <si>
    <t>IPM using cultural control (healthy crop, avoid planting near infected field, mulching, overhead irrigation, remove volunteer plants, soapy sprays, blue sticky traps), biological control (Beauveria bassiana, neem products), and chemical control (Spinosad products, lambda cyhalothrin).</t>
  </si>
  <si>
    <t>Estimated cost KES 10,000 per acre, Losses of 13-64% without management, Women/youth have limited access to credit for inputs, Women have limited access to pest education, VMGs have limited access to training and extension services</t>
  </si>
  <si>
    <t>Thrips, IPM, Blue sticky traps, Beauveria bassiana, Cultural control</t>
  </si>
  <si>
    <t>Integrated Management for bean Army worm (Spodoptera exigua) (Dry Bean)</t>
  </si>
  <si>
    <t>IPM using cultural control (scouting, hand-picking, field sanitation, ploughing, resistant varieties, pitfall traps), biological control (Beauveria bassiana, neem products, sticky pheromone traps), and chemical control.</t>
  </si>
  <si>
    <t>Losses up to 92% without management, Women/youth have limited access to credit for inputs, Women have limited access to pest education and extension services, VMGs have limited access to credit for chemicals, Avoid burning and overgrazing grasslands which cause outbreaks</t>
  </si>
  <si>
    <t>Army worm, IPM, Scouting, Resistant varieties, Biological control</t>
  </si>
  <si>
    <t>Integrated Management for corn earworm (Helicoverpa zea) (Dry Bean)</t>
  </si>
  <si>
    <t>IPM using cultural control (scouting, removing plant residues, ploughing, handpicking, intercropping, crop rotation, trap crops, agronets), biological control (neem products, Bacillus thuringiensis, sticky pheromone traps), and chemical control (Deltamethrin, Bifenthrin).</t>
  </si>
  <si>
    <t>Estimated cost KES 15,000 per acre, Losses over 50% without management, Women/youth have limited access to credit for inputs, Women have limited access to pest education, VMGs have limited access to training and extension services</t>
  </si>
  <si>
    <t>Corn earworm, IPM, Trap crops, Biological control, Chemical control</t>
  </si>
  <si>
    <t>Integrated Management of leaf miner (Liriomyza trifolii) (Dry Bean)</t>
  </si>
  <si>
    <t>IPM using cultural control (clean seedlings, crop rotation, remove wild host plants, burn infected residues, remove infested leaves, black sticky traps), biological control (Bacillus thuringiensis, pheromone traps), and chemical control (spinetoram, chlorantraniliprole).</t>
  </si>
  <si>
    <t>Estimated cost KES 10,000 per acre, Losses of 50-80% without management, Women/youth have limited access to credit for inputs, Women have limited access to pest education and extension services, VMGs have limited access to credit for chemicals</t>
  </si>
  <si>
    <t>Leaf miner, IPM, Biological control, Chemical control, Cultural control</t>
  </si>
  <si>
    <t>Integrated Management for Red spider mites (Oligonychus gossypii) (Dry Bean)</t>
  </si>
  <si>
    <t>IPM using cultural control (keep farm weed-free, avoid planting infested crops, field hygiene, overhead irrigation, prune overcrowded plants), biological control (neem extracts, release predatory mites - Phytoseiulus persimilis, Amblyseius cucumeris, conserve natural enemies), and chemical control (abamectin, amitraz based miticides).</t>
  </si>
  <si>
    <t>Estimated cost KES 12,000 per acre, Losses of 40-60% without management, Women/youth have limited access to credit for inputs, Women have limited access to pest education, VMGs have limited access to training and extension services</t>
  </si>
  <si>
    <t>Red spider mites, IPM, Predatory mites, Neem extracts, Chemical miticides</t>
  </si>
  <si>
    <t>Integrated Management for stink bugs (Nezara viridula) (Dry Bean)</t>
  </si>
  <si>
    <t>IPM using cultural control (early maturing varieties as trap crops, remove volunteer plants, crop sanitation, washing tools, intercropping), biological control (botanical extracts like neem seed, soapy water, Beauveria bassiana), and chemical control.</t>
  </si>
  <si>
    <t>Estimated cost KES 10,000 per acre, Losses up to 58% without management, Women/youth have limited access to credit for inputs, Women have limited access to pest education, VMGs have limited access to training and extension services</t>
  </si>
  <si>
    <t>Stink bugs, IPM, Trap crops, Biological control, Cultural control</t>
  </si>
  <si>
    <t>Integrated Management for loppers (Autographa californica) (Dry Bean)</t>
  </si>
  <si>
    <t>Estimated cost KES 10,000 per acre, Losses of 12-30% without management, Women/youth have limited access to credit for inputs, Women have limited access to pest education, VMGs have limited access to training and extension services</t>
  </si>
  <si>
    <t>Loppers, IPM, Trap crops, Biological control, Chemical control</t>
  </si>
  <si>
    <t>Integrated Management of root knot nematodes (Dry Bean)</t>
  </si>
  <si>
    <t>IPM using cultural practices including crop rotation with grass family for 4-6 seasons, avoidance of surface run off, uprooting affected plants and burning, solarization (fields ploughed and exposed to high temperatures during dry hot months), and drenching soils with biopesticides (Achook, Nimbecidine, Trianum P).</t>
  </si>
  <si>
    <t>Estimated cost KES 5,000 per acre, Losses of 20-90% without management, Women/youth have limited access to credit for inputs, VMGs have limited access to training and extension services, Crop rotation difficult for small farms with limited resources</t>
  </si>
  <si>
    <t>Root knot nematodes, IPM, Crop rotation, Solarization, Biopesticides</t>
  </si>
  <si>
    <t>Integrated Management of Bean rust (Uromyces appendiculatus) (Dry Bean)</t>
  </si>
  <si>
    <t>IDM using clean bean seed, seed dress with pesticides (Murtano Super, Apron star 42WS), cultural practices (crop rotation with non-legumes for 2-3 seasons, appropriate spacing, field hygiene, drip irrigation, eliminate volunteer crops, weed control), and chemical control with relatively safe fungicides (Affair Top, Saaf WP, Amicop 50WP, King 250EW).</t>
  </si>
  <si>
    <t>Estimated cost KES 5,000 per acre, Losses of 30-50% without management, Women/youth have limited access to credit for inputs, Small farms may not effectively practice crop rotation for 2-3 seasons, VMGs have limited access to training and extension services</t>
  </si>
  <si>
    <t>Bean rust, IDM, Seed dressing, Fungicides, Crop rotation</t>
  </si>
  <si>
    <t>Integrated Management of anthracnose disease (Dry Bean)</t>
  </si>
  <si>
    <t>IDM starting with certified/disease-free seed, seed dressing with pesticides (Murtano Super, Apron star 42WS), cultural control (rotation with non-legumes for 3-4 seasons, field hygiene, recommended spacing), and chemical control with safe fungicides (Bendazim 500SC, Affair Top 800WDG).</t>
  </si>
  <si>
    <t>Estimated cost KES 5,166 per acre, Losses of 20-70% without management, Use of recycled seed contributes to increased spread, Farmers are not receptive to cultural methods, Crop rotation difficult for small land parcels</t>
  </si>
  <si>
    <t>Anthracnose, IDM, Seed-borne disease, Quarantine disease, Fungicides</t>
  </si>
  <si>
    <t>Integrated Management of powdery mildew (Dry Bean)</t>
  </si>
  <si>
    <t>IDM using clean seed, seed dressing (Murtano Super, Apron star 42WS), cultural practices (rotation with non-legumes for 2-3 seasons, appropriate spacing, field hygiene), Indigenous Technical Knowledge (bicarbonate of soda 1tsp in 1 litre of water), bio-pesticides (Biodewcon), and chemical control with safe fungicides (Domain 25%, Explorer 0.3SL, Iprode 500SC).</t>
  </si>
  <si>
    <t>Estimated cost KES 5,000 per acre, Losses of 30-70% without management, Farmers may not implement crop rotation on small farms, Bio-pesticides may not be available in local agrovets, VMGs have limited access to credit for inputs</t>
  </si>
  <si>
    <t>Powdery mildew, IDM, Indigenous knowledge, Bio-pesticides, Fungicides</t>
  </si>
  <si>
    <t>Integrated Management of leaf spots (Angular leaf spot/Cercospora leaf spot) (Dry Bean)</t>
  </si>
  <si>
    <t>IDM using clean seed, seed dressing (Murtano Super, Apron star 42WS), cultural control (rotation with non-legumes for at least 2-3 seasons, field hygiene, destroy volunteer crops), and chemical control with safe fungicides (Iprode 500SC, Domain 25% EC, Affair Top) applied in alternating manner.</t>
  </si>
  <si>
    <t>Estimated cost KES 3,500 per acre, Losses of 20-50% without management, Farmers are not receptive to cultural methods, Crop rotation difficult for small land holdings, Women/youth have limited access to credit for inputs</t>
  </si>
  <si>
    <t>Angular leaf spot, Cercospora leaf spot, IDM, Seed dressing, Fungicides</t>
  </si>
  <si>
    <t>Integrated Management of root rots and Fusarium wilt diseases (Dry Bean)</t>
  </si>
  <si>
    <t>IDM including Trichoderma based biological control agents (Rootgard, Eco-T, Trianum P, Trichotech, Biocure F), cultural practices (crop rotation with non-legumes for 6-8 seasons, field hygiene, avoid excessive watering, avoid surface run off, uproot affected plants, disinfect farm tools), and judicious use of safe pesticides (carbendazim based products like Rodazim, Bendazim).</t>
  </si>
  <si>
    <t>Estimated cost KES 4,000 per acre, Losses of 30-70% without management, Crop rotation for 6-8 seasons difficult for small farms, Women/youth have limited access to credit for inputs, VMGs have limited access to training and extension services</t>
  </si>
  <si>
    <t>Root rot, Fusarium wilt, Biological control, Trichoderma, Crop rotation</t>
  </si>
  <si>
    <t>Integrated Management of bacterial leaf blight &amp; Halo blight (Dry Bean)</t>
  </si>
  <si>
    <t>IDM using certified seed, crop rotation with non-legumes for 3-4 seasons, cultural practices (uprooting and destroying infected plants, disinfecting farm tools, avoidance of working in wet fields), scouting, and copper based fungicides (Funguran OH 50WP, Vitra 40 WG, Champflo SC) to protect against early bacterial spore development.</t>
  </si>
  <si>
    <t>Estimated cost KES 4,167 per acre, Losses of 20-70% without management, Seed-borne disease leads to total crop rejection by KEPHIS during inspection, Women/youth have limited access to credit for inputs, VMGs have limited access to credit for chemicals</t>
  </si>
  <si>
    <t>Bacterial leaf blight, Halo blight, IDM, Copper fungicides, Quarantine disease</t>
  </si>
  <si>
    <t>Integrated Management of mosaic diseases (Bean Yellow Mosaic &amp; Bean Common Mosaic) (Dry Bean)</t>
  </si>
  <si>
    <t>IDM using certified seed, monitoring insect vectors (aphids and whiteflies), avoiding working in wet fields, uprooting weeds (alternative hosts), bio-pesticides (Botanigard ES, Biocatch, Nimbecidine, Achook, Neemraj Super), yellow sticky traps, female pheromone traps, and safe synthetic pesticides (Calypso SC 480, Closer 240SC, Eabcl Contest 5.7 WDG) to control vectors.</t>
  </si>
  <si>
    <t>Estimated cost KES 7,167 per acre, Losses of 20-50% without management, Yellow Mosaic is seed borne so recycled seed limits control, Women/youth have limited access to credit for inputs, VMGs have limited access to training and extension services</t>
  </si>
  <si>
    <t>Mosaic viruses, IDM, Vector control, Certified seed, Bio-pesticides</t>
  </si>
  <si>
    <t>Solar Bubble Drier (SBD) (Dry Bean)</t>
  </si>
  <si>
    <t>Low-cost, portable, innovative sun-drying technology with photovoltaic system (solar panels) generating electricity needed for drying process. Grain dried in plastic bubble protecting it from contamination or rain. Drying process faster, more regulated, cost-efficient as it doesn't require fuel or power grid. Enclosed feature protects grains from spillage and foreign contaminants.</t>
  </si>
  <si>
    <t>Price KES 250,000 for half ton SBD to KES 500,000 for 1 MT SBD, Initial cost of equipment is high for individual farmers, Farmers need technical skills to assemble and use equipment, Lack of local availability of SBDs in rural areas, Requires group ownership to be affordable</t>
  </si>
  <si>
    <t>Solar drying, Postharvest, Grain quality, Photovoltaic, Portable drier</t>
  </si>
  <si>
    <t>Hermetic Grain Storage Bags and Cocoons (Dry Bean)</t>
  </si>
  <si>
    <t>Safe way of preserving grain in airtight and moisture-proof conditions. Gunny bag with two inner polythene linings. Dry beans (at 10% moisture content) placed inside inner polythene bag tied air-tight; second polythene tied air-tight followed by outer gunny bag cover. Chemical-free storage. Examples: PICS bags (Bell Industries), SuperGrainbag (GrainPro) and storage cocoons.</t>
  </si>
  <si>
    <t>50kg bag costs KES 200, 100kg costs KES 250, Grain must be dried to less than 10% moisture content, Low level of awareness of effectiveness, Limited availability at nearest agrodealer shops, Rodents must be controlled as they can damage bags</t>
  </si>
  <si>
    <t>Hermetic storage, PICS bags, Grain storage, Bruchid control, Chemical-free</t>
  </si>
  <si>
    <t>Hermetic Sealed Metal Silo (Dry Bean)</t>
  </si>
  <si>
    <t>Safe way of preserving grain in airtight conditions. Protects produce against rodents, weevils, grain borers, moths. Has capability of killing pests through oxygen deprivation without applying pesticides. Containers sealed tightly to prevent air circulation denying breeding of pests during grain storage.</t>
  </si>
  <si>
    <t>1 bag capacity costs KES 3,000, 8 bags KES 15,000, 12 bags KES 24,000, High initial capital investment, Limited availability of storage silos, Requires training on proper use and oxygen elimination, Level of awareness of effectiveness is limited</t>
  </si>
  <si>
    <t>Hermetic silo, Grain storage, Pest control, Airtight storage, Rodent protection</t>
  </si>
  <si>
    <t>Value Added Dry Bean Grain (Dry Bean)</t>
  </si>
  <si>
    <t>Clean good quality bean grain required by supermarkets and processing factories. Activities include sorting, cleaning and packaging for supermarkets, export, institutional buyers (schools, hospitals, disciplined forces) and processing factories.</t>
  </si>
  <si>
    <t>Women have less access to information and knowledge on TIMP, Women have limited access to education and training, VMGs often excluded from decision-making, Requires capacity building of farmers and stakeholders, Inefficient market system in many areas</t>
  </si>
  <si>
    <t>Value addition, Grain quality, Sorting, Packaging, Market standards</t>
  </si>
  <si>
    <t>Pre-cooked Dry Bean Grain Product (Dry Bean)</t>
  </si>
  <si>
    <t>Beans pre-cooked and water excluded, packaged and distributed. Products include 15-minute cooking bean meal and chocolate look-alike bean snack. Six bean varieties suitable for pre-cooking in Kenya. Reduces cooking time from 1-2 hours to only 15 minutes.</t>
  </si>
  <si>
    <t>Requires processing infrastructure which is often lacking, Women have less access to information and technology, Women have limited access to training, VMGs have limited access to information, Requires KEBS food safety standards for products</t>
  </si>
  <si>
    <t>Pre-cooked beans, Value addition, Convenience food, Processing, Food fortification</t>
  </si>
  <si>
    <t>Pre-cooked 100% Bean Flours (Dry Bean)</t>
  </si>
  <si>
    <t>Flour processed from common dry beans. Grain taken to factory where cooked, water excluded, milled into flour and packaged for sale. Bean grain has essential nutritional elements and is considered the meat of the poor. Can be blended with maize or wheat flours to make nutritious meals.</t>
  </si>
  <si>
    <t>Care needed during drying of cooked beans to prevent contamination, Women have less access to information and technology, Women have limited access to training, VMGs have limited access to information, Inefficient market system in many areas</t>
  </si>
  <si>
    <t>Bean flour, Value addition, Nutrition, Food fortification, Protein-energy malnutrition</t>
  </si>
  <si>
    <t>Bean Noodles (Dry Bean)</t>
  </si>
  <si>
    <t>Product to add value to common dry beans and fortify it for iron, zinc and amino acids. Offers product diversification and fortification to meet large market demand. Requires quality bean grain for better quality products.</t>
  </si>
  <si>
    <t>Estimated cost per kg for noodle processing KES 220, Returns after value addition KES 280 per kg, Women have less access to information and technology, Women have limited access to education and training, VMGs often excluded from decision-making</t>
  </si>
  <si>
    <t>Bean noodles, Value addition, Diversification, Fortification, Processing</t>
  </si>
  <si>
    <t>Dry Bean Recipes (Dry Bean)</t>
  </si>
  <si>
    <t>Guidelines on how to prepare various bean products ranging from porridge, samosas, cakes, chapatti, ugali, stews. Includes ways to cook beans addressing problematic issues like gas in stomach. Widens consumption range by combining beans with other ingredients to make appealing food products.</t>
  </si>
  <si>
    <t>Requires capacity building of consumers and stakeholders, Lack or insufficient resources for capacity building, Women may have limited access to information and training, VMGs have limited access to training and extension services, Weak stakeholder innovation platforms</t>
  </si>
  <si>
    <t>Recipes, Value addition, Nutrition, Food diversification, Cooking methods</t>
  </si>
  <si>
    <t>Power Tiller (Dry Bean)</t>
  </si>
  <si>
    <t>Two-wheeled agricultural implement fitted with rotary tillers, disk harrow, mouldboard plough, trailer, water pump or chisel at alternate times. Can complete 1ha per day by one operator in about two hours. Fuel consumption about 15 litres per ha. Applicable in tillage, sowing, spraying, irrigating, harvesting, threshing and transporting crops.</t>
  </si>
  <si>
    <t>Cost KES 280,000, Women/youth have limited access to credit for purchase, Women have limited access to training and extension services, Lack of machines available in many areas, High initial cost for small-scale farmers</t>
  </si>
  <si>
    <t>Power tiller, Mechanization, Tillage, Land preparation, Farm implements</t>
  </si>
  <si>
    <t>Wheeled Tractor (Dry Bean)</t>
  </si>
  <si>
    <t>Engineering vehicle delivering high tractive effort at slow speeds for hauling trailer or machinery. Provides power and traction to mechanize agricultural tasks including tillage, trailer towing, planting, weeding, ridging, spraying, harvesting, ground grading and more. Fitted with various equipment for easing farm operations.</t>
  </si>
  <si>
    <t>Cost KES 1,780,000, Women/youth have limited access to credit for purchase, Women have limited access to training, Lack of tractors available, Lack of facilitation to demonstration sites</t>
  </si>
  <si>
    <t>Wheeled tractor, Mechanization, Agricultural tasks, Power source, Farm operations</t>
  </si>
  <si>
    <t>Mouldboard Plough (Dry Bean)</t>
  </si>
  <si>
    <t>Agricultural implement considered important tillage implement. Does four jobs: cutting furrow slice, lifting furrow slice, inverting furrow slice and pulverizing furrow slice. Ploughing accounts for more traction energy than any other field operation. Available for power tiller and tractor operation.</t>
  </si>
  <si>
    <t>Cost KES 250,000, Women/youth have limited access to credit, Women have limited access to education and training, Lack of mouldboard plough innovation platforms, High initial cost for small-scale farmers</t>
  </si>
  <si>
    <t>Mouldboard plough, Tillage, Soil inversion, Ploughing, Farm implement</t>
  </si>
  <si>
    <t>Disc Harrow (Dry Bean)</t>
  </si>
  <si>
    <t>Farm implement used to pulverize soil, break up crop residues, uproot weeds and cover seed. Used for surface tillage after ploughing for breaking up and smoothing soil surface. Purpose: break up clods and provide soil structure (tilth) suitable for planting seeds. Coarser harrowing removes weeds and covers seed after sowing.</t>
  </si>
  <si>
    <t>Cost KES 280,000, Women/youth have limited access to credit, Women have limited access to education and training, Lack of dry bean innovation platforms, High initial cost for small-scale farmers</t>
  </si>
  <si>
    <t>Disc harrow, Surface tillage, Soil tilth, Weed control, Seed covering</t>
  </si>
  <si>
    <t>Spring Tine Harrow (Dry Bean)</t>
  </si>
  <si>
    <t>Harrow with peg-shaped teeth of diamond cross-section attached to a rectangular frame. Used to break clods, stir soil, uproot weeds, level ground, break soil and cover seeds.</t>
  </si>
  <si>
    <t>Cost KES 180,000, Women/youth have limited access to credit, Women have limited access to education and training, Lack of machines available in many areas, High initial cost for small-scale farmers</t>
  </si>
  <si>
    <t>Spring tine harrow, Soil preparation, Weed uprooting, Soil leveling, Seed covering</t>
  </si>
  <si>
    <t>Seed Planter (Dry Bean)</t>
  </si>
  <si>
    <t>Seed dispenser that places seed and fertilizer at predetermined quantities. Commonly used in small grains. Propelled by tractor (45-65hp) that can economically tow implement on well prepared seedbed using plough, disk harrow and tine harrow.</t>
  </si>
  <si>
    <t>Cost KES 380,000, Women/youth have limited access to credit, Need for trained plant operators, Land size limitations for tractor use, Calibration of planter requires training</t>
  </si>
  <si>
    <t>Seed planter, Precision planting, Mechanization, Fertilizer placement, Seed dispenser</t>
  </si>
  <si>
    <t>Weeder (Dry Bean)</t>
  </si>
  <si>
    <t>Five teeth furrow openers capable of withstanding tough working conditions at heavy soils. With deep positive penetrations can break up hard soil clods and uproot stubbles. With spacing adjustments or removable tine on main frame can be used for multiple applications suitable for dry bean cultivation. Propelled by small sized tractor 45-55hp.</t>
  </si>
  <si>
    <t>Cost KES 280,000, Women/youth have limited access to credit, Women have limited access to education and training, Lack of machines available in many areas, VMGs have limited access to credit for purchase</t>
  </si>
  <si>
    <t>Weeder, Mechanical weeding, Soil cultivation, Farm implement, Labour saving</t>
  </si>
  <si>
    <t>Multi-crop cultivator (Walking) (Dry Bean)</t>
  </si>
  <si>
    <t>Five teeth furrow opener capable of withstanding tough working conditions at heavy soils. With deep positive penetrations can break up hard soil clods and uproot stubbles. With spacing adjustments or removable tine on main frame can be used for multiple applications suitable for dry bean cultivation. Propelled by small sized tractor 45-55hp.</t>
  </si>
  <si>
    <t>Cost per acre production KES 1,200, Women/youth have limited access to credit, Machine availability limited, Need for trained plant operators, VMGs have limited access to training</t>
  </si>
  <si>
    <t>Multi-crop cultivator, Inter-row cultivation, Weeding, Soil tillage, Farm implement</t>
  </si>
  <si>
    <t>Motorized Sprayer (Dry Bean)</t>
  </si>
  <si>
    <t>Device used to spray liquid for projection of chemical, weed killers, crop performance materials, pest maintenance chemicals. Man-portable units typically backpacks with spray guns. Used to control weeds (herbicides), insect pests (insecticides), fungal diseases (fungicides), and apply micronutrients on plants. Modern motorized knapsack pumps four times faster and covers wide area.</t>
  </si>
  <si>
    <t>Cost KES 55,000 per unit, Women/youth have limited access to credit, Relatively high cost for individual small-scale farmer, Limited awareness of machine existence among some farmers, VMGs have limited access to training</t>
  </si>
  <si>
    <t>Motorized sprayer, Pest control, Herbicide application, Fungicide application, Crop protection</t>
  </si>
  <si>
    <t>Bean Thresher (Dry Bean)</t>
  </si>
  <si>
    <t>Developed for threshing, separating, and cleaning dry bean. Major components include threshing, separation and cleaning units. After detachment, grains fall through concave grid into cleaning unit consisting of blower set to speed that blows out chaff and grain collected on receptor.</t>
  </si>
  <si>
    <t>Cost KES 230,000, Women/youth have limited access to credit, Women have limited access to training, Need for protective clothing during operation, Need for trained machine operators</t>
  </si>
  <si>
    <t>Bean thresher, Threshing, Separation, Cleaning, Mechanization</t>
  </si>
  <si>
    <t>Combine Harvester (Dry Bean)</t>
  </si>
  <si>
    <t>Versatile machine designed to efficiently harvest variety of grain crops. Combines three separate harvesting operations: reaping, threshing, and winnowing into single process. Major components include threshing, separation and cleaning units.</t>
  </si>
  <si>
    <t>Cost KES 280,000, Women/youth have limited access to credit, Women have limited access to training, Lack of machines available, High initial cost for small-scale farmers</t>
  </si>
  <si>
    <t>Combine harvester, Harvesting, Threshing, Winnowing, Mechanization</t>
  </si>
  <si>
    <t>Solar Dryer (Dry Bean)</t>
  </si>
  <si>
    <t>Sun drying using direct sunlight and open air harnessing power of sun as solar heat for food preservation. Solar radiation intensity between 800-1000 W/m² harnessed using solar dryer tent fitted with drying trays. Converted greenhouse that is affordable and effective.</t>
  </si>
  <si>
    <t>Cost KES 220,000, Women/youth have limited access to credit, Lack of innovative dryers available, High cost for small-scale farmer, VMGs have limited access to training</t>
  </si>
  <si>
    <t>Solar dryer, Postharvest, Grain drying, Food preservation, Renewable energy</t>
  </si>
  <si>
    <t>Size Sorter (Dry Bean)</t>
  </si>
  <si>
    <t>Electric powered machine with two sieves arranged in descending order to grade two grades and lintel debris. Fitted with hopper as receptor, rotary wheel, sieves and three outlets. Reciprocating motion where larger grains retained and exit first outlet, smaller size through second outlet, debris through third. Designed for size grading for dry bean.</t>
  </si>
  <si>
    <t>Cost KES 280,000, Women/youth have limited access to credit, Relatively high cost for individual farmer, Limited awareness of machine among farming community, Women have limited access to training</t>
  </si>
  <si>
    <t>Size sorter, Grading, Quality sorting, Mechanization, Grain classification</t>
  </si>
  <si>
    <t>Packager (Dry Bean)</t>
  </si>
  <si>
    <t>Equipment with high precision controller for quantitative packaging of granules in food, grain, fodder, sugar making and chemical industry. Uses imported sensor, pneumatic actuator. Main material body is carbon steel with painted plastic, material contact part is stainless steel for corrosion resistance and long service life. Belt conveyor can adjust higher by hand or motor.</t>
  </si>
  <si>
    <t>Cost KES 14,000,000, Women/youth have limited access to credit, Women have limited access to training, Lack of trained technical personnel to operate, High initial cost for small-scale farmers</t>
  </si>
  <si>
    <t>Packager, Automated packaging, Quantitative packaging, Grain handling, Processing</t>
  </si>
  <si>
    <t>Transformative Model of production of Dry beans (Dry Bean)</t>
  </si>
  <si>
    <t>Builds resiliency of farmers to focus on market orientation. Aims at shift from subsistence to semi-commercial to fully commercial. At subsistence: traditional inputs, outputs consumed at home. Semi-commercial: both traditional and improved inputs, output consumed at home and some to markets. Fully commercial: inputs accessed from markets, outputs solely for markets.</t>
  </si>
  <si>
    <t>Total variable costs Ksh 22,357, Returns Ksh 130,000 per acre per season, Gross margin Ksh 107,643, Women are widely discriminated in rural producer organizations, Women have limited access to lucrative markets than men</t>
  </si>
  <si>
    <t>Commercialization, Market orientation, Production model, Subsistence transformation, Resiliency</t>
  </si>
  <si>
    <t>Building a Business Plan for Dry beans production (Dry Bean)</t>
  </si>
  <si>
    <t>Serves as internal management and organizing tool, used to communicate outside the business. Document contains marketing strategy, marketing costs, income streams and financial requirements. Enables farmers to control costs, develop marketing strategies and build plans for production to meet market demand.</t>
  </si>
  <si>
    <t>High illiteracy levels of women leading to poor record keeping, Opportunities exist for literate youths in business planning, Requires availability of farm records, Skills in market information collection needed, Requires training of ToTs on business plan development</t>
  </si>
  <si>
    <t>Business plan, Financial management, Cost control, Marketing strategy, Entrepreneurship</t>
  </si>
  <si>
    <t>Collective marketing (Dry Bean)</t>
  </si>
  <si>
    <t>Marketing as a group where farmers establish entity to create market links. Involves formation of group with objective of reducing market inaccessibility. Carried through Producer Organizations (POs) as institutional vehicle for promoting agricultural production by helping farmers solve common problems in production inputs, credit, technical knowledge and marketing.</t>
  </si>
  <si>
    <t>Women are widely discriminated in rural producer organizations, Strict rules of entry may limit women participation, Women's double and triple roles limit time to participate, VMGs have limited access to assets required to join groups, Formation of marketing groups and group dynamics challenges</t>
  </si>
  <si>
    <t>Collective marketing, Producer organizations, Bargaining power, Market access, Economies of scale</t>
  </si>
  <si>
    <t>Contracted dry beans production model (Dry Bean)</t>
  </si>
  <si>
    <t>Contract farming involving investment by private companies, extending lines of credit to producers in form of farming inputs and technical assistance. Contractors commit to buy entire product at agreed price; producers avail desired produce for sale. Benefits: market access, increased incomes, reduction in price fluctuation risk, credit, timely inputs, monitoring, collective bargaining.</t>
  </si>
  <si>
    <t>Women have less access to knowledge and information on contract farming, Women have less access to land for farming, VMGs have less access to knowledge and information, Contractors may break agreements, Limited awareness on contracted production by smallholder farmers</t>
  </si>
  <si>
    <t>Contract farming, Market access, Credit provision, Risk reduction, Agribusiness</t>
  </si>
  <si>
    <t>Profitability analysis (Dry Bean)</t>
  </si>
  <si>
    <t>Recording of costs and returns and determination of profit indicating performance of dry beans agro-enterprise. Reviews management success and sustainability of business. Indicates areas of adjustment.</t>
  </si>
  <si>
    <t>Total variable costs Ksh 22,357, Returns Ksh 130,000 per acre, Gross margin Ksh 107,643, High illiteracy levels of women leading to poor record keeping, Use of non-costed family labour in production</t>
  </si>
  <si>
    <t>Profitability, Cost-benefit analysis, Record keeping, Gross margin, Business performance</t>
  </si>
  <si>
    <t>Market research for Dry beans farmers (Dry Bean)</t>
  </si>
  <si>
    <t>Gathers information on product buyers, demand, type required, minimum volume purchased, collective marketing volume, quality, packaging requirements, frequency of delivery, purchase price, means of payment and willingness to buy from local farmers.</t>
  </si>
  <si>
    <t>Inadequate representation of women and youth in market research, Women have less access to market information than men, Issues related to literacy of marketing groups, VMGs have limited participation in market research, Levels of skills of market research group</t>
  </si>
  <si>
    <t>Market research, Market information, Buyer requirements, Quality standards, Market demand</t>
  </si>
  <si>
    <t>Marketing Innovation model (Dry Bean)</t>
  </si>
  <si>
    <t>Encompasses entrepreneurship where farmers undertake technology modification, finance and business acumen to transform innovations into economic goods and ultimately profit. Involves product diversification and developing various marketing channels.</t>
  </si>
  <si>
    <t>Women lack entrepreneurial skills compared to men, Women lack basic reading and numeracy skills, Women may not apply for loans due to lack of collateral, VMGs may lack business acumen, Conflicts with traditional methods may arise</t>
  </si>
  <si>
    <t>Marketing innovation, Entrepreneurship, Product diversification, Business acumen, Value addition</t>
  </si>
  <si>
    <t>Internet/mobile marketing (Dry Bean)</t>
  </si>
  <si>
    <t>Online marketplace providing buyers and sellers avenue to meet and exchange goods and services. Includes variety of online platforms, tools, and content delivery systems. Reduces costs, increasingly mandatory for businesses.</t>
  </si>
  <si>
    <t>Women have less access to phones and computers than men, Women have higher illiteracy rates affecting ICT use, Low digital skills of farmers, Internet connectivity challenges in rural areas, Unconsolidated produce for market delivery</t>
  </si>
  <si>
    <t>Digital marketing, E-commerce, Online platforms, Mobile marketing, ICT adoption</t>
  </si>
  <si>
    <t>National Agricultural Policy Strategy Framework (Dry Bean)</t>
  </si>
  <si>
    <t>Provides instruments and rules for Counties to develop agriculture in terms of productivity objectives which can assist smallholder farmers. Without it, agriculture remains not integrated with National development objectives.</t>
  </si>
  <si>
    <t>Inadequate representation of youth and women in policy development forums, Inadequate representation of VMGs in policy validation process, Dry bean yields remain low unable to satisfy demand, Weak aggregation models provide limited bargaining power, Lacks specific dry bean policy</t>
  </si>
  <si>
    <t>Agricultural policy, Policy framework, Productivity objectives, Smallholder farmers, Policy instruments</t>
  </si>
  <si>
    <t>County Integrated Development Planning (Dry Bean)</t>
  </si>
  <si>
    <t>Builds a plan for each county to be implemented in five years. Participatory planning process involving development stakeholders. During this period, issues in dry beans production, marketing and processing are considered.</t>
  </si>
  <si>
    <t>Inadequate representation of youth and women in development process, Inadequate representation of VMGs in policy validation, Disorganization and scattered farmers, Small-scale farming limits policy effectiveness, Lack of comprehensive land use policy</t>
  </si>
  <si>
    <t>County planning, CIDP, Agricultural development, Participatory planning, Policy integration</t>
  </si>
  <si>
    <t>Policy Instruments related to Dry beans (Dry Bean)</t>
  </si>
  <si>
    <t>Means to achieve policy objectives. For dry beans production, instruments include subsidy in inputs and minimum price for outputs. Designed to have primarily efficiency, distributive, or stability effects with impact on other objectives.</t>
  </si>
  <si>
    <t>Inadequate representation of youth and women in policy forums, Inadequate representation of VMGs in validation process, Lacks specific dry bean policy, Poor market infrastructure, Low understanding of policy instruments among farmers</t>
  </si>
  <si>
    <t>Policy instruments, Subsidies, Price control, Input support, Policy objectives</t>
  </si>
  <si>
    <t>Policy cycle (Dry Bean)</t>
  </si>
  <si>
    <t>Sequential parts or stages: (1) problem emergence, (2) agenda setting, (3) consideration of policy options, (4) decision-making, (5) implementation, and (6) evaluation. Tool dividing complex procedures into convenient and manageable steps. Stages include agenda setting, formulation, implementation, and evaluation.</t>
  </si>
  <si>
    <t>Inadequate representation of youth and women in policy development forums, Inadequate representation of VMGs in policy validation process, Disorganization and scattered farmers, Lacks specific dry bean policy, Poorly established dry bean value chain</t>
  </si>
  <si>
    <t>Policy cycle, Agenda setting, Policy formulation, Policy implementation, Policy evaluation</t>
  </si>
  <si>
    <t>Introduction (Dry bean production)</t>
  </si>
  <si>
    <t>Dry beans climate smart agronomic practices are sustainable crop management practices for maximum benefits. Productivity is enhanced using improved varieties combined with recommended agronomic practices.</t>
  </si>
  <si>
    <t>Varieties must be adapted to local conditions, improved varieties alone do not guarantee yield without proper management, climate conditions may affect variety performance, seed quality must be verified before planting, local extension advice should be sought for variety selection</t>
  </si>
  <si>
    <t>climate-smart, sustainable management, improved varieties, productivity enhancement, crop management</t>
  </si>
  <si>
    <t>Site/farm selection for planting beans (dry bean production)</t>
  </si>
  <si>
    <t>Beans grow best in well-drained soils with high organic matter. Avoid steep slopes, swampy areas, very sandy soils, shallow surface soil, and areas with heavy couch grass.</t>
  </si>
  <si>
    <t>Do not plant in waterlogged soils as beans are prone to root rot; avoid steep slopes to prevent erosion; sandy soils may require additional irrigation and fertility management; couch grass infestation can reduce yields if not controlled.</t>
  </si>
  <si>
    <t>Soil drainage, organic matter, site selection, slope avoidance, soil type</t>
  </si>
  <si>
    <t>Land preparation (dry bean production)</t>
  </si>
  <si>
    <t>Prepare land early before rains. Plough deep and create a fine seedbed for high germination. Minimum tillage (chisel/ripper) reduces erosion, conserves moisture, improves soil structure, and protects microorganisms. Slash and burn is not recommended as it releases CO₂, destroys organic matter, and increases erosion risk.</t>
  </si>
  <si>
    <t>Avoid over-tilling as it can destroy soil structure; slash and burn leads to long-term soil degradation; minimum tillage may require specific equipment not available to all farmers; early preparation is critical to avoid planting delays.</t>
  </si>
  <si>
    <t>Minimum tillage, soil conservation, organic matter, erosion control, seedbed preparation</t>
  </si>
  <si>
    <t>Planting and seed rates (dry bean production)</t>
  </si>
  <si>
    <t>Plant immediately after a heavy downpour (~30mm). Plant in rows for correct spacing. Seed rate: 16–30 kg/acre depending on seed size. Recommended spacing: 50×10 cm for mono-cropping; for intercropping with maize, plant 2 bean rows between maize rows at 15 cm within rows, one seed per hill.</t>
  </si>
  <si>
    <t>Planting too early before adequate moisture may cause poor germination; incorrect spacing reduces yield potential; large-seeded varieties require higher seed rates—using insufficient seed lowers plant population; intercropping spacing must be adjusted to avoid competition with maize.</t>
  </si>
  <si>
    <t>Seed rate, row spacing, planting time, intercropping, germination</t>
  </si>
  <si>
    <t>Crop Nutrition (dry bean production)</t>
  </si>
  <si>
    <t>Beans need sufficient macro and micronutrients. Apply organic manure (6–8 tons/acre) evenly or in furrows mixed with soil one week before planting. Inorganic fertilizer: 50 kg/acre of NPK (20:20:0 or 23:23:0) at planting. Foliar fertilizers can be applied during vegetative, flowering, and early podding stages. Soil testing is recommended.</t>
  </si>
  <si>
    <t>Over-application of nitrogen can reduce nodulation and yield; manure must be well-decomposed to avoid burning roots; foliar application at wrong stage may cause leaf scorch; soil testing is essential but may not be accessible to all farmers.</t>
  </si>
  <si>
    <t>NPK fertilizer, organic manure, foliar feeding, soil testing, nutrient management</t>
  </si>
  <si>
    <t>Weed Management (dry bean production)</t>
  </si>
  <si>
    <t>First weeding: 10–14 days after emergence. Second weeding: just before flowering. Avoid weeding during flowering to prevent flower drop. In semi-arid areas, weeds may not establish enough to warrant weeding. Weeding can be manual (hoe) or using post-emergence herbicides.</t>
  </si>
  <si>
    <t>Weeding during flowering can significantly reduce pod set; herbicide misuse can damage crop or cause resistance; manual weeding is labour-intensive and may not be timely; in dry areas, late weeding may not be necessary but can harbour pests if neglected.</t>
  </si>
  <si>
    <t>Weed control, flowering stage, manual weeding, herbicides, semi-arid adaptation</t>
  </si>
  <si>
    <t>Integrated Pest and Disease Management (IPM) (dry bean production)</t>
  </si>
  <si>
    <t>IPM combines cultural, biological, chemical control, and resistant/tolerant varieties. Guided by constant scouting for pests and diseases to prevent and control them.</t>
  </si>
  <si>
    <t>Over-reliance on chemical control can harm beneficial insects and lead to resistance; scouting requires training and time; resistant varieties may not be available for all pests; biological control methods may be slower to show results.</t>
  </si>
  <si>
    <t>IPM, pest scouting, disease resistance, biological control, chemical control</t>
  </si>
  <si>
    <t>Harvesting and processing (dry bean production)</t>
  </si>
  <si>
    <t>Harvest when pods turn yellow and moisture drops to 15–16%. Hand uprooting is common. Dry pods in sun or solar drier before threshing. Thresh on tarpaulin or use a threshing rack to avoid contamination. Bean threshers improve efficiency. Winnow to remove chaff. Dry grain to ≤13% moisture (test via moisture meter, teeth, pinch, or salt method). Dust with storage pesticides or use Hermetic Storage Technology (HST) as a healthier option. Package in clean gunny bags.</t>
  </si>
  <si>
    <t>Harvesting too early or too late reduces quality and storage life; threshing on bare ground causes contamination with stones and soil; over-drying can make beans brittle and prone to breakage; chemical pesticides for storage require careful handling and may pose health risks; HST may not be readily available.</t>
  </si>
  <si>
    <t>Harvest timing, threshing, moisture content, hermetic storage, post-harvest handling</t>
  </si>
  <si>
    <t>INTRODUCTION (Seed System)</t>
  </si>
  <si>
    <t>The formal seed system is one of two systems in Kenya, alongside the informal system. It encompasses all legally recognized seed supply activities by public and private bodies, including research, breeding, certification, multiplication, distribution, and marketing. It is governed by CAP 326 Laws of Kenya, which defines "Seed" broadly as any plant part used for propagation.</t>
  </si>
  <si>
    <t>This is a legal overview; specific regulations may have been updated since the document's publication., The CAP 326 definition is broad and covers many plant parts, not just grain., The distinction between formal and informal systems is fundamental but may not cover all seed exchange practices.</t>
  </si>
  <si>
    <t>Seed System, CAP 326, Legislation, Seed Definition, Agricultural Law</t>
  </si>
  <si>
    <t>CLASSES OF SEED IN KENYA (Seed System)</t>
  </si>
  <si>
    <t>Seed certification class shows the generations of seed multiplication from the original breeder seed. The model depends on genetic deterioration rate, multiplication ratio, and seed demand. Two main nomenclature systems are recognized: Organization for Economic Cooperation and Development (OECD) and Association of Official Seed Certifying Agencies (AOSCA).</t>
  </si>
  <si>
    <t>The specific generation limits may vary for different crop species., Not all seed sold in Kenya is certified; informal seed systems are prevalent., Farmers should confirm the seed class they are purchasing for their specific needs.</t>
  </si>
  <si>
    <t>Seed Classes, Seed Certification, OECD, AOSCA, Seed Multiplication</t>
  </si>
  <si>
    <t>FORMAL SEED CLASSES (Seed System)</t>
  </si>
  <si>
    <t>This section details the specific seed classes. Breeder Seed is the progenitor, 99.9% genetically pure, produced under breeder supervision. Pre-basic Seed is the progeny of breeder seed, also high status, and not for general cultivation. Basic Seed is produced from pre-basic seed and is used by seed companies to produce certified seed. Certified Generation Seed is the progeny of basic seed and is available to farmers for general cultivation. Standard Seed is only allowed during drought when the Minister declares a crop failure.</t>
  </si>
  <si>
    <t>Breeder and Pre-basic seed are not for direct use by farmers for general cultivation., Standard seed is a temporary measure and may have lower quality standards., Farmers should always seek Certified Generation seed for general planting., Using a lower-generation seed than required may not be cost-effective or may not be legally available.</t>
  </si>
  <si>
    <t>Seed Classes, Breeder Seed, Basic Seed, Certified Seed, Standard Seed</t>
  </si>
  <si>
    <t>ISOLATION DISTANCES (Seed System)</t>
  </si>
  <si>
    <t>This section provides a table of isolation distances for different seed classes. For example, isolation distances for dry beans are: Breeders (50m), Pre-basic (50m), Basic (50m), and C1-C4 (25m).</t>
  </si>
  <si>
    <t>Isolation distances are crop-specific and mandatory for maintaining genetic purity., These distances are for dry beans specifically; other crops have different requirements., Non-compliance can lead to seed certification failure.</t>
  </si>
  <si>
    <t>Isolation Distance, Seed Purity, Crop Production, Dry Bean, KEPHIS</t>
  </si>
  <si>
    <t>REQUIREMENTS TO BE A SEED MERCHANT OR GROWER (Seed System)</t>
  </si>
  <si>
    <t>This section outlines the legal requirements for operating in the seed industry. A Merchant must apply to KEPHIS (SR1), have premises inspected, pay registration (Ksh 75,000) and annual renewal (Ksh 10,000) fees, provide professional certificates, and have at least 12 acres of land for rotation. A Seed Grower must be appointed by a merchant and registered with KEPHIS.</t>
  </si>
  <si>
    <t>Registration requirements are mandatory and subject to change., The fees mentioned are for the "Merchant"; growers have different fees., Failure to renew registration is an offense.</t>
  </si>
  <si>
    <t>Seed Merchant, Seed Grower, KEPHIS, Registration, Seed Legislation</t>
  </si>
  <si>
    <t>COMMON OFFENCES AND PENALTIES (Seed System)</t>
  </si>
  <si>
    <t>Lists common offences under the Seeds and Plant Varieties Act CAP. 326. These include giving false information, obstructing a seed inspector, making false statements, selling seed that doesn't match its description, or selling seed that fails to meet standards. Upon conviction, penalties can be a fine of up to one million shillings, imprisonment for up to two years, or both.</t>
  </si>
  <si>
    <t>Penalties for seed-related offenses are severe., Farmers should always buy seed from registered merchants., Keep all receipts and records of seed purchases., Offences can be prosecuted for up to two years after commission.</t>
  </si>
  <si>
    <t>Offences, Penalties, Seed Legislation, CAP 326, KEPHIS</t>
  </si>
  <si>
    <t>INTRODUCTION (Bean, Powdery Mildew)</t>
  </si>
  <si>
    <t>Powdery mildew disease appears on the top part of the bean crop during cold periods. Without control, the crop can lose over 90% of its yield. Integrated disease management (IDM) using a combination of biological, chemical, and cultural/physical methods is necessary.</t>
  </si>
  <si>
    <t>Yield loss can be catastrophic (over 90%) if left unchecked., The disease is highly prevalent during cold, not hot, periods., Early detection is crucial for effective management.</t>
  </si>
  <si>
    <t>Powdery Mildew, Bean, Yield Loss, Disease Control, Cold Period</t>
  </si>
  <si>
    <t>Integrated Pest Management (IPM) principles for Powdery mildew disease (Bean, Powdery Mildew)</t>
  </si>
  <si>
    <t>Cultural options: Growing beans in a greenhouse to increase temperatures and using wood ash as a traditional method can help control the disease. Biological agent enrichment: Research is ongoing to find beneficial fungi to displace the mildew. Judicious use of chemicals: Suitable fungicides based on Chlorothalonil, Copper, or Sulfur can be used.</t>
  </si>
  <si>
    <t>Wood ash application is an indigenous practice with variable results., Chemical use must be judicious to avoid resistance and environmental harm., Applying chemicals during a cold period may be less effective if leaves are wet.</t>
  </si>
  <si>
    <t>IPM, Cultural Control, Biological Control, Chemical Control, Greenhouse</t>
  </si>
  <si>
    <t>Mandate Centres for bean crop are (Bean, Powdery Mildew)</t>
  </si>
  <si>
    <t>Lists the KALRO centres responsible for bean research: KALRO-Kakamega, KALRO-Katumani, KALRO-Kitale, and KALRO-Embu.</t>
  </si>
  <si>
    <t>Farmers should contact the correct centre for their region., Contact information may change., These centres may have additional, up-to-date advice.</t>
  </si>
  <si>
    <t>KALRO, Research Centres, Bean Research, Kenya, Agricultural Extension</t>
  </si>
  <si>
    <t>Major bean producing counties (Bean, Powdery Mildew)</t>
  </si>
  <si>
    <t>Lists major bean-producing counties in Kenya: Nyeri, Laikipia, Murang'a, Kiambu, Kakamega, Machakos, Narok, Nakuru, Meru, Embu.</t>
  </si>
  <si>
    <t>The list may not be exhaustive., The prevalence of powdery mildew may vary across these counties., The disease risk may be higher in cooler areas within these counties.</t>
  </si>
  <si>
    <t>Beans, Kenya, Counties, Agriculture, Crop Production</t>
  </si>
  <si>
    <t>Control options (Bean, Powdery Mildew)</t>
  </si>
  <si>
    <t>Farmers in the respective counties are advised to choose control components based on the intensity of the pest attack. They are directed to seek advice from agricultural extension officers or KALRO centres.</t>
  </si>
  <si>
    <t>The choice of control method should be based on the severity of the disease., It is recommended to combine methods for integrated management., Always follow the advice of qualified experts.</t>
  </si>
  <si>
    <t>Integrated Pest Management, Decision Making, Extension Services, Expert Advice, KALRO</t>
  </si>
  <si>
    <t>INTRODUCTION (Bean, Anthracnose)</t>
  </si>
  <si>
    <t>Anthracnose disease starts as chlorotic lesions on leaves that become circular brown rotting areas. The pods are later attacked, lowering yield by affecting kernel/grain development. Integrated disease management (IDM) is needed, exploiting biological, chemical, and cultural/physical methods.</t>
  </si>
  <si>
    <t>The disease affects both leaves and pods, directly reducing yield., Early infection may not be visible on seeds, making seed selection a key factor., The disease is easily spread through infected seed.</t>
  </si>
  <si>
    <t>Anthracnose, Bean, Yield Loss, Fungal Disease, Crop Rot</t>
  </si>
  <si>
    <t>Integrated Pest Management (IPM) principles for Anthracnose disease (Bean, Anthracnose)</t>
  </si>
  <si>
    <t>Cultural options: Plant in a fresh field that has been planted with non-Leguminosae crops or left fallow for 2-3 years to break the infection cycle. Fertilizer should be applied at planting. Biological agent enrichment: There are no tested beneficial organisms, so farmers should look for possible candidates. Judicious use of chemicals: The chosen fungicide should be highly biodegradable to minimize environmental pollution and harm to non-target organisms.</t>
  </si>
  <si>
    <t>Crop rotation is critical; planting beans after beans is a major risk factor., Using a highly biodegradable fungicide may mean it requires more frequent application., There may be no recommended fungicide for Anthracnose on beans; consult an expert.</t>
  </si>
  <si>
    <t>IPM, Cultural Control, Crop Rotation, Biological Control, Chemical Control</t>
  </si>
  <si>
    <t>Mandate Centres for bean crop are (Bean, Anthracnose)</t>
  </si>
  <si>
    <t>Major bean producing counties (Bean, Anthracnose)</t>
  </si>
  <si>
    <t>The list may not be exhaustive., The prevalence of Anthracnose may vary across these counties., The disease risk is higher in wet and cool conditions.</t>
  </si>
  <si>
    <t>Control options (Bean, Anthracnose)</t>
  </si>
  <si>
    <t>INTRODUCTION (Bean, Bacterial Blight)</t>
  </si>
  <si>
    <t>Bacterial blight disease lesions are abundant during wet periods. The disease causes high leaf rot, reducing photosynthetic area and leading to yield loss. It can also cause pod rotting. Integrated disease management (IDM) is necessary, exploiting biological, chemical, and cultural/physical methods.</t>
  </si>
  <si>
    <t>The disease is most severe in wet and humid conditions., The bacteria can survive in plant debris and seeds., Yield loss is a direct result of reduced photosynthesis and pod damage.</t>
  </si>
  <si>
    <t>Bacterial Blight, Bean, Yield Loss, Disease Control, Wet Period</t>
  </si>
  <si>
    <t>Integrated Pest Management (IPM) principles for Bacterial blight disease (Bean, Bacterial Blight)</t>
  </si>
  <si>
    <t>Cultural options: Establish new crop in a field without previous Leguminosae crops and plant resistant varieties. Biological agent enrichment: Consider incorporating an antibiotic-producing bacterium into the field. Judicious use of chemicals: The selected antibiotic should not be broad-spectrum to avoid harming beneficial bacteria in the soil.</t>
  </si>
  <si>
    <t>Resistant varieties are the most effective and economical option., Avoid using broad-spectrum antibiotics as they can harm soil health., The use of chemical antibiotics in agriculture may be restricted.</t>
  </si>
  <si>
    <t>IPM, Cultural Control, Resistant Varieties, Biological Control, Chemical Control</t>
  </si>
  <si>
    <t>Mandate Centres for bean crop are (Bean, Bacterial Blight)</t>
  </si>
  <si>
    <t>Major bean producing counties (Bean, Bacterial Blight)</t>
  </si>
  <si>
    <t>The list may not be exhaustive., The prevalence of Bacterial Blight may vary across these counties., The disease risk is highest in areas with high rainfall.</t>
  </si>
  <si>
    <t>Control options (Bean, Bacterial Blight)</t>
  </si>
  <si>
    <t>INTRODUCTION (Bean, Common Mosaic Virus)</t>
  </si>
  <si>
    <t>Common mosaic virus disease causes curled leaves with a light green look (mosaic), reducing the leaf tissue's photosynthetic area. An integrated disease management (IDM) approach can be used, exploiting biological, chemical, and cultural/physical methods.</t>
  </si>
  <si>
    <t>This is a viral disease; fungicides will not be effective., The virus is often spread by insects like aphids or through infected seed., Visual symptoms are the primary method of identification.</t>
  </si>
  <si>
    <t>Common Mosaic Virus, Bean, Viral Disease, Photosynthesis, Leaf Curl</t>
  </si>
  <si>
    <t>Integrated Pest Management (IPM) principles for Common mosaic virus disease (Bean, Common Mosaic Virus)</t>
  </si>
  <si>
    <t>Cultural options: There is no soil infection, so the virus is only on leaves. Fertilize at planting for fast growth, and uproot all infected plants at an early stage. A resistant variety is the most ideal solution. Biological agent enrichment: There are no tested beneficial organisms, so look for possible candidates. Judicious use of chemicals: No economic value is achieved by using chemical sprays.</t>
  </si>
  <si>
    <t>No chemical or fungicide will cure a viral infection., The best control is prevention through resistant varieties and removing infected plants., Insects can quickly spread the virus to healthy plants after you remove infected ones.</t>
  </si>
  <si>
    <t>IPM, Cultural Control, Resistant Varieties, Virus Control, Uprooting</t>
  </si>
  <si>
    <t>Mandate Centres for bean crop are (Bean, Common Mosaic Virus)</t>
  </si>
  <si>
    <t>Major bean producing counties (Bean, Common Mosaic Virus)</t>
  </si>
  <si>
    <t>The list may not be exhaustive., The prevalence of Common Mosaic Virus may vary across these counties., The virus is widespread and can be a problem almost anywhere beans are grown.</t>
  </si>
  <si>
    <t>Control options (Bean, Common Mosaic Virus)</t>
  </si>
  <si>
    <t>Cultural options input (Rust disease)</t>
  </si>
  <si>
    <t>Investigate the history of the cropping type to choose an appropriate cultural method. Fertilize the crop at planting time.</t>
  </si>
  <si>
    <t>May not be effective if the field has a long history of the disease, Requires knowledge of field history, Fertilizer application alone is not a cure</t>
  </si>
  <si>
    <t>Crop Rotation, Field History, Fertilization, Cultural Control, Disease Suppression</t>
  </si>
  <si>
    <t>Biological agent enrichment (Rust disease)</t>
  </si>
  <si>
    <t>With no immediate tested beneficial organism, it is important to look for possible candidates or start with a suitable fungicide.</t>
  </si>
  <si>
    <t>Biocontrol agents may not be locally available, Effectiveness is unproven for this specific disease, May require time to establish</t>
  </si>
  <si>
    <t>Biological Control, Beneficial Organisms, Fungicide, Agroecosystem, Biodegradation</t>
  </si>
  <si>
    <t>Judicious use of chemicals (Rust disease)</t>
  </si>
  <si>
    <t>The selected fungicide should be short-lasting and highly biodegradable to prevent environmental pollution and harm to non-target organisms.</t>
  </si>
  <si>
    <t>Re-application may be necessary, The specific fungicide is not named, Over-reliance on chemicals can lead to resistance</t>
  </si>
  <si>
    <t>Biodegradable, Fungicide, Environmental Safety, Non-target Organisms, Chemical Control</t>
  </si>
  <si>
    <t>Cultural options input (Angular leaf spot)</t>
  </si>
  <si>
    <t>Establish the next crop in a field that has not recently been planted with any Leguminosae crop or has been left fallow for 2-3 years. Fertilize at planting.</t>
  </si>
  <si>
    <t>Land may be scarce, Fallowing for 2-3 years may not be economically feasible, Pathogen can persist in soil for a long time</t>
  </si>
  <si>
    <t>Crop Rotation, Leguminosae, Fallow, Soil Pathogen, Cultural Control</t>
  </si>
  <si>
    <t>Biological agent enrichment (Angular leaf spot)</t>
  </si>
  <si>
    <t>Look for possible candidates for biological control or start with a suitable fungicide choice.</t>
  </si>
  <si>
    <t>Untested agents may be ineffective or cause unintended harm, Fungicide use may negate biological control efforts</t>
  </si>
  <si>
    <t>Biological Control, Fungicide, Beneficial Organisms, Agroecosystem, Pathogen Suppression</t>
  </si>
  <si>
    <t>Judicious use of chemicals (Angular leaf spot)</t>
  </si>
  <si>
    <t>The selected fungicide should be short-lasting and highly biodegradable to protect the environment and non-target organisms.</t>
  </si>
  <si>
    <t>Specific fungicides are not recommended, Risk of fungicide resistance, Must adhere to safety guidelines for application</t>
  </si>
  <si>
    <t>Cultural options input (Aphids)</t>
  </si>
  <si>
    <t>Aphids suck plant juice, causing wilting during heavy infestations and reducing flowering.</t>
  </si>
  <si>
    <t>Cultural controls are not detailed, Early detection is critical, Can cause rapid yield loss</t>
  </si>
  <si>
    <t>Aphids, Wilting, Vegetative Stage, Flowering, Sucking Pests</t>
  </si>
  <si>
    <t>Biological agent enrichment (Aphids)</t>
  </si>
  <si>
    <t>Conserve beneficial bio-agents by using a one-time spray of soft chemicals or biological insecticides to ensure natural enemies like spiders and parasitoids remain.</t>
  </si>
  <si>
    <t>Requires accurate timing of pesticide application, May not work in heavily infested fields, Identifying natural enemies can be difficult</t>
  </si>
  <si>
    <t>Biological Control, Natural Enemies, Parasitoids, Spiders, Soft Chemicals</t>
  </si>
  <si>
    <t>Judicious use of chemicals (Aphids)</t>
  </si>
  <si>
    <t>Use highly biodegradable 'soft chemicals' to minimize harm to beneficial organisms. Only one or two sprays within a month to allow for predator recovery.</t>
  </si>
  <si>
    <t>Product choice is critical, Incorrect timing can harm beneficial populations, May need multiple applications if pest pressure is high</t>
  </si>
  <si>
    <t>Soft Chemicals, Biodegradable, Beneficial Organisms, Chemical Control, Integrated Pest Management (IPM)</t>
  </si>
  <si>
    <t>Biological agent enrichment (Sucking Bugs)</t>
  </si>
  <si>
    <t>Conservation of beneficial bio-agents through one-time sprays of soft chemicals or biological insecticides is a pillar of biological control.</t>
  </si>
  <si>
    <t>May not provide immediate control, Requires preservation of existing beneficials, The specific types of beneficial bugs are not detailed</t>
  </si>
  <si>
    <t>Biological Control, Beneficial Organisms, Soft Chemicals, Predators, Biological Insecticides</t>
  </si>
  <si>
    <t>Judicious use of chemicals (Sucking Bugs)</t>
  </si>
  <si>
    <t>Use highly biodegradable 'soft chemicals' to minimize harm to beneficial organisms. One or two sprays within a month allow beneficials like spiders and other predators to recover.</t>
  </si>
  <si>
    <t>Must correctly identify the pest to apply the correct spray, Risk of resurgence if natural enemies are harmed, The specific 'soft chemicals' are not named</t>
  </si>
  <si>
    <t>Soft Chemicals, Biodegradable, Spiders, Predators, Chemical Control</t>
  </si>
  <si>
    <t>Judicious use of chemicals (Blister Beetle)</t>
  </si>
  <si>
    <t>Use highly biodegradable 'soft chemicals'. One or two sprays within a month enable recovery of beneficial organisms like wasps, ants, predators, and parasitoids.</t>
  </si>
  <si>
    <t>Beetles can be highly mobile and re-infest quickly, Hand-picking may be needed for severe outbreaks, The specific 'soft chemical' is not identified</t>
  </si>
  <si>
    <t>Blister Beetle, Soft Chemicals, Beneficial Organisms, Parasitoids, Chemical Control</t>
  </si>
  <si>
    <t>Cultural options input (Bollworm)</t>
  </si>
  <si>
    <t>Intercrop with onion to reduce bollworm numbers. The critical stage of damage is from vegetative to seed formation. Fertilizer should be applied.</t>
  </si>
  <si>
    <t>Intercropping may not be practical for all farmers, Intercropping alone may not provide complete control, Requires careful field planning</t>
  </si>
  <si>
    <t>Intercropping, Onion, Vegetative Stage, Seed Formation, Cultural Control</t>
  </si>
  <si>
    <t>Biological agent enrichment (Bollworm)</t>
  </si>
  <si>
    <t>Use short-duration systemic sprays instead of contact insecticides. Augment predators like ants and hymenopteran parasitoids to suppress bollworm.</t>
  </si>
  <si>
    <t>Systemic pesticides can still be toxic to beneficials, Augmentation of predators may be complex, Requires identification of specific parasitoids</t>
  </si>
  <si>
    <t>Systemic Insecticide, Predators, Parasitoids, Ants, Biological Control</t>
  </si>
  <si>
    <t>Judicious use of chemicals (Bollworm)</t>
  </si>
  <si>
    <t>Use highly biodegradable 'soft chemicals'. One or two sprays within a month allow beneficial organisms (wasps, ants, predators, parasitoids) to recover.</t>
  </si>
  <si>
    <t>The specific insecticide is not named, Over-reliance can lead to resistance, Spray must be timed correctly for larva, not eggs</t>
  </si>
  <si>
    <t>Soft Chemicals, Beneficial Organisms, Wasps, Biodegradable, Chemical Control</t>
  </si>
  <si>
    <t>Cultural options input (Desert Locust)</t>
  </si>
  <si>
    <t>Little cultural control exists. Beating drums may help, but only national governments can effectively suppress migratory swarms.</t>
  </si>
  <si>
    <t>Farmer-level control is largely ineffective, Government response may be slow, Damage is rapid and devastating</t>
  </si>
  <si>
    <t>Desert Locust, Cultural Control, Government Intervention, Migratory Pest, Swarm</t>
  </si>
  <si>
    <t>Biological agent enrichment (Desert Locust)</t>
  </si>
  <si>
    <t>A large flock of birds could help, but cannot match the insect population.</t>
  </si>
  <si>
    <t>Biological control is not a practical solution for swarms, Bird flocks are unpredictable, Will not prevent significant damage</t>
  </si>
  <si>
    <t>Biological Control, Birds, Swarm, Locust, Predation</t>
  </si>
  <si>
    <t>Judicious use of chemicals (Desert Locust)</t>
  </si>
  <si>
    <t>The most viable option for swarms. Aerial spraying with highly biodegradable 'soft chemicals' is needed, but logistics are challenging and damage may occur before spraying.</t>
  </si>
  <si>
    <t>Aerial spraying is expensive and requires government coordination, Risk of off-target drift and environmental contamination, Damage is often inevitable before control is implemented</t>
  </si>
  <si>
    <t>Aerial Spraying, Soft Chemicals, Chemical Control, Environmental Safety, Emergency Response</t>
  </si>
  <si>
    <t>Cultural options input (Red Spider Mite)</t>
  </si>
  <si>
    <t>Red spider mites are susceptible to wet environments; irrigation and rain cause high mortalities. Planning irrigation in dry conditions can suppress populations.</t>
  </si>
  <si>
    <t>Over-irrigation can lead to other problems (e.g., fungal diseases), May not be effective in all climates, Timing of irrigation is critical</t>
  </si>
  <si>
    <t>Red Spider Mite, Irrigation, Wet Environment, Cultural Control, Population Suppression</t>
  </si>
  <si>
    <t>Biological agent enrichment (Red Spider Mite)</t>
  </si>
  <si>
    <t>Enrich predatory mites by maintaining optimum temperature and humidity through irrigation. Introduce predatory mites from an infested leaf to establish equilibrium.</t>
  </si>
  <si>
    <t>Requires careful monitoring, The specific predatory mite species is not named, May take time to achieve control equilibrium</t>
  </si>
  <si>
    <t>Predatory Mites, Biological Control, Microclimate, Irrigation, Equilibrium</t>
  </si>
  <si>
    <t>Judicious use of chemicals (Red Spider Mite)</t>
  </si>
  <si>
    <t>Apply a single spray of Abamectin and monitor. A second spray should only be done if necessary, allowing predatory mite populations to grow as the chemical biodegrades.</t>
  </si>
  <si>
    <t>Abamectin can be toxic to some beneficials, Resistance to Abamectin is a risk, Requires careful scouting to determine if a second spray is necessary</t>
  </si>
  <si>
    <t>Abamectin, Chemical Control, Monitoring, Predatory Mites, Biodegradable</t>
  </si>
  <si>
    <t>Integrated weed management of Black Jack weed in beans (Weed)</t>
  </si>
  <si>
    <t>Black Jack is a fast-growing and competitive weed that can cause 40-90% yield loss if not controlled within two weeks of crop establishment.</t>
  </si>
  <si>
    <t>Early intervention is critical, The specific control methods (cultural, chemical) are not detailed, Yield loss can be massive if the critical window is missed</t>
  </si>
  <si>
    <t>Black Jack Weed, Yield Loss, Competition, Critical Stage, Weed Control</t>
  </si>
  <si>
    <t>Ready to Certify</t>
  </si>
  <si>
    <t>Screening Summary (live count)</t>
  </si>
  <si>
    <t>Updates automatically as each group screens and classifies its items.</t>
  </si>
  <si>
    <t>Group</t>
  </si>
  <si>
    <t>Total Items</t>
  </si>
  <si>
    <t>Needs Review</t>
  </si>
  <si>
    <t>Needs Update</t>
  </si>
  <si>
    <t>High Risk</t>
  </si>
  <si>
    <t>Crop</t>
  </si>
  <si>
    <t>TOTAL</t>
  </si>
  <si>
    <t>Seed is an essential component in green gram production. Clean seed and planting materials are a basic resource for crop production and have a direct contribution to the harvest attained. Bulking of quality seed informally in communities ensures that farmers have improved seed availability, ensure household food security and increased income through sale of surplus food. The seed bulking is also important in maintenance of germplasm in communities.</t>
  </si>
  <si>
    <t>Integrated Management of root rot in Green gram</t>
  </si>
  <si>
    <t>Conservation agriculture is a farming approach that sustainably increases crop yields while conserving soil, soil moisture and nutrients, stabilising production and reducing production costs. It is based on three key principles: (1) minimal soil disturbance, such as zero tillage, ripping or planting in basins and planting holes; (2) permanent soil cover using crop residues, mulch or cover crops; and (3) crop diversification through rotation and intercropping, for example rotating Green gram with cereals such as maize or sorghum. Together, these practices improve soil structure and organic matter, reduce erosion and increase tolerance to drought, which is important for the ASALs.</t>
  </si>
  <si>
    <t>Integrated management of scab combines cultural practices and chemical control. Cultural practices: Use clean, certified seed; practise crop rotation with non-legumes such as cereals for 2-3 seasons; practise good field sanitation and hygiene by collecting and disposing of infected plants and crop residues; observe proper spacing, regular weeding and other good agronomic practices to improve air circulation; avoid working in the field when plants are wet. Chemical management: Where the disease is severe, apply fungicides from the flower-bud formation stage until the pods are half-grown. Effective options include copper-based fungicides and trifloxystrobin + tebuconazole based fungicides. Use only products registered by the Pest Control Products Board (PCPB) and follow the label instructions on rates, spray interval and pre-harvest interval.</t>
  </si>
  <si>
    <t>Prophylactic spraying from flower-bud formation is a costly schedule, Copper-based fungicides can be phytotoxic at certain temperatures, Specific products  must be registered and available, Strict adherence to timing (up to pod half-grown) is vital, Use PCPB-registered products, all must be used according to label</t>
  </si>
  <si>
    <t>Integrated bruchid management consists of various approaches to prevent grain damage in the field and in storage. Cultural practices: Harvest promptly when pods are mature and dry, because infestation starts in the field; dry grain to 10% moisture content; sort and remove damaged grain before storage; clean and disinfect stores and storage containers; and do not mix new grain with old grain. Physical and hermetic storage: Store dry grain in hermetic bags such as PICS bags, which suffocate the insects without chemicals. Botanical options: Mix grain with dry neem leaf or seed powder, or with fine wood ash, to reduce egg laying and insect development. Chemical control: Where necessary, use only PCPB-registered grain protectants, applied strictly according to the label and the recommended waiting period before consumption.</t>
  </si>
  <si>
    <t>Integrated management of pod sucking bugs consists of various approaches to prevent pod and grain damage. Cultural control: Plant early and uniformly with recommended varieties so that podding does not coincide with high bug populations; keep the field and its surroundings free of weeds and alternative host plants; rotate with non-host crops such as maize or sorghum; scout the crop regularly from flowering through pod filling; hand pick and destroy bugs in small plots; and harvest on time. Biological control: Conserve natural enemies, such as egg parasitoids, by avoiding unnecessary spraying, and use botanical products such as neem-based formulations (e.g. Nimbecidine, Achook) or Beauveria bassiana based products. Chemical control: Where infestation exceeds the economic threshold, spray a PCPB-registered insecticide (e.g. lambda-cyhalothrin based products) at flowering and early podding. Spray in the early morning or late evening, and observe the label rate and pre-harvest interval.</t>
  </si>
  <si>
    <t>Integrated management of root rot consists of various approaches that help to break the disease cycle. They include cultural management, biological control and chemical control. Root rot is caused by soil-borne fungi that attack the roots and the base of the stem, and it is worst in waterlogged, poorly drained and compacted soils. Cultural practices: Plant in well-drained fields and avoid waterlogging, using raised beds or ridges where drainage is poor; use clean, certified seed; rotate with non-legumes such as cereals for 2-3 seasons; avoid planting in fields with a history of the disease; uproot and destroy infected plants; avoid injuring roots during weeding; and disinfect farm tools. Biological control: Apply Trichoderma-based products (e.g. Rootgard, Trianum P, Trichotech) to the soil or seed, following the label. Chemical management: Dress seed with a PCPB-registered fungicide before planting, and where necessary drench the soil around affected plants with carbendazim based products (e.g. Rodazim) as per the manufacturer's recommendations.</t>
  </si>
  <si>
    <t>Root rot is mainly managed through good drainage and soil health, not insect control, Fields with a history of the disease need long rotations with non-legumes, Infected plants cannot be cured and should be removed early, Biological products need moist soil and correct timing for effectiveness, Use only PCPB-registered fungicides and follow label instructions and pre-harvest intervals</t>
  </si>
  <si>
    <t>Root rot, Soil-borne disease, Cultural management, Drainage, Biological control (Trichoderma), Chemical control</t>
  </si>
  <si>
    <t>o</t>
  </si>
  <si>
    <t>Status</t>
  </si>
  <si>
    <t>Validated</t>
  </si>
  <si>
    <t>KALRO/Wasike V.W., et al. (2022)</t>
  </si>
  <si>
    <t>Inventory of Climate Smart Agriculture Technologies, Innovations and Management Practices for Green Gram Value Chain</t>
  </si>
  <si>
    <t>Elgon Cream Pumpkin Variety</t>
  </si>
  <si>
    <t>Elgon cream is an improved open pollinated dual purpose variety. It is high yielding (50-75MT/ha) because produces more female flowers (flowers that bear fruits) than male flowers. Its fruits are smooth textured (non-fibrous) with sugary taste and a long shelf life. This variety is tolerant to diseases and performs well in altitudes of 100-1800 meters above sea level. Maturity period is between 100-150 days after planting. Average leaf yield is 5 -9 MT/ha.</t>
  </si>
  <si>
    <t>Verify altitude suitability (100-1800 m asl) before planting, Disease tolerance does not eliminate the need for regular monitoring, Female to male flower ratio (70:30) may be affected by environmental stress, Long maturity period requires proper planning before planting, Get certified seeds from approved sources/suppliers.</t>
  </si>
  <si>
    <t>high yielding, open pollinated, disease tolerance, long shelf life, sugary taste, dual purpose</t>
  </si>
  <si>
    <t>KAT Pumpkin 1</t>
  </si>
  <si>
    <t>This variety is a medium maturing variety (140 days) with medium sized fruit (3-3.5 kg) fresh weight. The colour is predominantly green with light creamish speckles. Fruit shape is ovoid round soft and tasty. Vines spreading extensively. It is a highly nutritious variety which contains vitamins A, B complex, C, D, E, K calcium, iron, phosphorus, magnesium, potassium and zinc. KAT Pumpkin 1 is high in dietary fibre, and protein and low in calories. Other qualities are drought tolerance, fast growth making it a food security crop. It requires minimal inputs, has a yield potential of 30 t/ha-1.</t>
  </si>
  <si>
    <t>Extended vine growth requires adequate spacing and land area, Drought tolerance does not eliminate need for irrigation during extreme dry spells, Nutritional content varies with soil fertility and agronomic practices, Requires official release and seed availability confirmation</t>
  </si>
  <si>
    <t>drought tolerant, high nutrition, minimal inputs, food security, medium maturing, ovoid fruit</t>
  </si>
  <si>
    <t>KAT Pumpkin 2</t>
  </si>
  <si>
    <t>This variety is a medium maturing variety (140 days) with medium sized fruit (3-3.5 kg) fresh weight. The colour is predominantly green with light creamish speckles. Fruit shape is ovoid round soft and tasty. Vines spreading extensively. It is a highly nutritious variety which contains vitamins A, B complex, C, D, E, K calcium, iron, phosphorus, magnesium, potassium and zinc. KAT Pumpkin 2 is high in dietary fibre, and protein and low in calories. Other qualities are drought tolerance, fast growth making it a food security crop. It requires minimal inputs, has a yield potential of 30 t/ha-1.</t>
  </si>
  <si>
    <t>Formal Pumpkin Seed System</t>
  </si>
  <si>
    <t>A Seed System is a set of activities contributing to variety development and seed production and delivery to farmers. The formal Pumpkin Seed System is characterized by a well-regulated and organized set of activities, from breeding to delivering certified seeds of known and registered varieties to farmers and other stakeholders. It ensures continuous production, processing, supply and distribution of quality Pumpkin seeds to farmers through organized marketing channels.</t>
  </si>
  <si>
    <t>Certified seeds may be more expensive than informal sources, Verify seed authenticity through KEPHIS certification labels, Formal Seed Systems may have limited variety options, Plan seed purchases in advance of planting seasons</t>
  </si>
  <si>
    <t>certified seeds, quality assurance, KEPHIS, breeding, seed distribution, marketing channels</t>
  </si>
  <si>
    <t>Informal Pumpkin Seed System</t>
  </si>
  <si>
    <t>A Seed System is a set of activities contributing to variety development and seed production and delivery to farmers. The informal Pumpkin Seed System entails seed selection, treatment, storage, multiplication, and distribution. The informal Pumpkin Seed System is outside the control of government agencies, with no external seed quality control. This system includes farmer-saved seed, gifts, barter, exchange and seed purchasing from local markets.</t>
  </si>
  <si>
    <t>No quality assurance for seed health, purity and viability, Higher risk of seed-borne diseases and pests, Lack of traceability for variety authenticity</t>
  </si>
  <si>
    <t>farmer-saved seed, seed exchange, local markets, seed selection, seed health, seed viability, informal system</t>
  </si>
  <si>
    <t>Semi-Informal Pumpkin seed production system</t>
  </si>
  <si>
    <t>A Seed System is a set of activities contributing to variety development and seed production and delivery to farmers. The semi-formal Seed System (termed community-based) is at the interface of formal and informal Seed Systems. A community-based seed production system involves individual farmers, farmer groups or cooperatives producing quality seed of improved varieties for farmers using the formal seed production guidelines.</t>
  </si>
  <si>
    <t>Requires training and capacity building for quality seed production, Community-based systems need strong group governance, Quality standards are less stringent than formal certified seed, Market acceptance may vary for community-produced seed</t>
  </si>
  <si>
    <t>community-based, seed production, farmer groups, quality guidelines, variety testing, semi-formal system, interface</t>
  </si>
  <si>
    <t>Selection of a suitable Pumpkin variety, Seed acquisition or Own Seed Selection, Planting, Weeding, Thinning, Fertilizer Application, Pest and Disease Management and Harvesting.</t>
  </si>
  <si>
    <t>Select adapted varieties such as Elgon Cream or drought-tolerant KAT Pumpkin 1 suited to local agro-ecological zones. Acquire certified seed from accredited sources to avoid seed-borne viruses like CMV, or select seed from healthy, fully mature fruit. Plant 2–3 seeds per hill at 2 cm depth with 2×2 m spacing for Elgon Cream, or 5×3 m for larger varieties. Thin to 2–3 vigorous seedlings per hill after emergence. Apply well-decomposed manure before planting, then top-dress with CAN at 50 kg N/ha three weeks after emergence, splitting a second dose at flowering</t>
  </si>
  <si>
    <t>Choosing the right variety must be guided by agroecological zone suitability for optimal performance and intended use (fruits or leaves or both), Rain-fed planting timing must align with reliable rainfall patterns, Soil must be deep and of fine tilth before planting. Fertilizer application must follow expert recommendations</t>
  </si>
  <si>
    <t>variety selection, certified seed, planting, land preparation, rain-fed farming,</t>
  </si>
  <si>
    <t>Mobile soil testing services (Pumpkin)</t>
  </si>
  <si>
    <t>Mobile van mounted with the necessary soil testing equipment for rapid and on the spot soil testing services.</t>
  </si>
  <si>
    <t>Soil testing equipment requires regular calibration for accuracy, Samples must be collected properly to represent the field, Rapid testing may provide limited nutrient analysis compared to lab testing, Results should be interpreted with expert guidance</t>
  </si>
  <si>
    <t>mobile testing, soil analysis, rapid results, farm gate service, nutrient assessment, soil fertility</t>
  </si>
  <si>
    <t>Integrated Soil Fertility management (ISFM) for Pumpkins</t>
  </si>
  <si>
    <t>This is a set of soil fertility management practices that include the use of inorganic fertilizer, organic inputs and improved germplasm combined with the knowledge on how to adapt these practices to local conditions with an aim of maximizing the agronomic use efficiency of the applied nutrients and improving crop yields.</t>
  </si>
  <si>
    <t>Requires soil testing to determine specific nutrient needs, Avoid over-application of inorganic fertilizers to prevent environmental pollution, Organic inputs need proper composting before application, Site-specific adaptation is critical for success</t>
  </si>
  <si>
    <t>soil fertility, inorganic fertilizer, organic inputs, improved germplasm, nutrient efficiency, crop yields</t>
  </si>
  <si>
    <t>Integrated Manure Management (IMM) (Pumpkin)</t>
  </si>
  <si>
    <t>Integrated Manure Management (IMM) is the optimal, site-specific handling of livestock manure from collection, through treatment and storage up to application to crops. Manure is obtained from different animals (poultry, cow, sheep, goat, horse) on the farm, but it can also be bought from other farmers or at the market. When managed properly, it provides plant nutrients, builds soil organic matter, and improves soil physical properties all of which are important for soil quality and crop production.</t>
  </si>
  <si>
    <t>Improperly composted manure may contain pathogens and viable weed seeds, Fresh manure can burn plant roots if applied directly, Manure quality varies by animal type, health and feed, GHG emissions can occur if manure is not properly managed</t>
  </si>
  <si>
    <t>manure management, soil organic matter, nutrient cycling, composting, soil health, crop production</t>
  </si>
  <si>
    <t>Rain water Roof water catchment (Pumpkin)</t>
  </si>
  <si>
    <t>Rain water harvesting is a technique of collection and storage of rainwater into natural reservoirs or tanks, or the infiltration of surface water into subsurface aquifers (before it is lost as surface run off). A vast number of techniques allow flexibility and adaptability to site-specific situations to best fight water scarcity and make agricultural production more resilient. Examples of rainwater harvesting are rooftop harvesting and harvesting through earth dams.</t>
  </si>
  <si>
    <t>Requires regular maintenance of gutters and storage systems, Mosquito breeding can occur in uncovered water storage, Initial investment costs may be high for some households, Water quality may be affected by roof materials and debris</t>
  </si>
  <si>
    <t>water harvesting, rainwater collection, storage tanks, irrigation, water scarcity, climate resilience</t>
  </si>
  <si>
    <t>Mulching (Pumpkin - Soil/Water)</t>
  </si>
  <si>
    <t>The practice of covering the soil/ground with materials such as straw, dead leaves, polythene sheets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 decomposes).</t>
  </si>
  <si>
    <t>Organic mulch may harbor pests and diseases therefore continue scouting after mulching, Plastic mulch requires proper disposal to prevent environmental pollution, Mulch can compete with livestock feed and fuelwood needs, Excessive organic mulch may harbor rodents and slugs</t>
  </si>
  <si>
    <t>mulching, soil moisture conservation, weed suppression, temperature regulation, soil fertility, organic matter</t>
  </si>
  <si>
    <t>Solar Irrigation Systems for smallholder farmers (Pumpkin)</t>
  </si>
  <si>
    <t>This is a technology that uses solar power in the pumping of irrigation water and running of the irrigation systems.</t>
  </si>
  <si>
    <t>High initial investment costs for solar panels and pumps, Requires adequate sunlight for optimal performance, System components need regular maintenance, Battery storage may be needed for cloudy periods</t>
  </si>
  <si>
    <t>solar irrigation, renewable energy, water pumping, smallholder farming, climate smart, green technology</t>
  </si>
  <si>
    <t>Drip irrigation (Pumpkin)</t>
  </si>
  <si>
    <t>The technology involves dripping water onto the soil at very low rates from a system of small diameter plastic pipes fitted with outlets called emitters or drippers. The technology delivers water and nutrients directly to the plant's root zone, in the right amounts, at the right time, so each plant gets exactly what it needs, when it needs it, to grow optimally. Drip irrigation is well suited for small holder farm units.</t>
  </si>
  <si>
    <t>Emitters can clog with sediment, Requires regular filter cleaning and maintenance, High initial cost for quality drip systems, Poly tubing can collapse or be damaged by rodents, so continue scouting after installing drip lines.</t>
  </si>
  <si>
    <t>drip irrigation, water efficiency, fertigation, root zone, smallholder farming, water conservation</t>
  </si>
  <si>
    <t>Integrated management of Melon/cotton Aphid (Aphis gossypii) in Pumpkin</t>
  </si>
  <si>
    <t>This is an integrated approach of various control methods to suppress the aphids below economic injury levels. Cultural Control: Prepare land well and apply 10 kg CAN/acre and 14 kg/acre DAP to increase plant vigour; Remove weeds which may provide additional breeding grounds for aphids, Conserve natural enemies by planting lantana hedges to act as breeding grounds for predators; Rotate with non-host crops; Remove heavily infested plant parts and destroy by burning; Spray with soapy water solution.</t>
  </si>
  <si>
    <t>Over-fertilization can attract aphids to nitrogen-rich plants, Soapy water sprays may damage plants if concentration is too high, Natural enemy conservation requires reduced pesticide use</t>
  </si>
  <si>
    <t>aphids, cultural control, natural enemies, soap spray, crop rotation, integrated pest management</t>
  </si>
  <si>
    <t>Integrated management of Pickle worm/melon worm (Diaphania hyalinata) in Pumpkin</t>
  </si>
  <si>
    <t>Integrated management of melon Pickle worm/melon worm includes the use of various pest control strategies. The strategies include cultural, biological and chemical control. Cultural practises: Early planting; Sanitation and weed control; Trap cropping with squash. Biological management: Spray neem oil solution. Chemical management: Use of appropriate contact insecticide such as malathion (2ml/l of water).</t>
  </si>
  <si>
    <t>Neem oil requires proper mixing and timing for effectiveness, Trap cropping requires additional land and management, Early planting must align with weather patterns, Always follow manufacturer's instructions for chemical application</t>
  </si>
  <si>
    <t>pickle worm, melon worm, cultural control, trap cropping, neem oil, integrated pest management</t>
  </si>
  <si>
    <t>Integrated management of melon Leaf cutting beetle includes the use of various pest control strategies. The strategies include cultural, biological and chemical control.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Nimbeidine EC (Azadirachtin 0.03%).</t>
  </si>
  <si>
    <t>Hand picking is labor-intensive and may not be practical for large farms, Domestic chickens may damage young plants when foraging, Biopesticides require proper timing for effectiveness, Always wear protective gear when applying chemical pesticides</t>
  </si>
  <si>
    <t>leaf cutting beetle, cultural control, biological control, biopesticides, sanitation, pest management</t>
  </si>
  <si>
    <t>Integrated management of thrips includes the use of various pest control strategies. The strategies include cultural, biological and chemical control. Cultural practises: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Use blue sticky cardboard traps to attract thrips.</t>
  </si>
  <si>
    <t>Overhead irrigation may promote fungal diseases in some conditions, Blue sticky traps need regular replacement, Mulch may harbor other pests if not properly managed, Soapy sprays require correct concentration to avoid crop damage</t>
  </si>
  <si>
    <t>thrips, cultural control, sticky traps, overhead irrigation, mulching, integrated pest management</t>
  </si>
  <si>
    <t>This is an integrated approach of various control methods to suppress the white flies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Remove heavily infested plant parts and destroy by burning; Spray with soapy water solution. Bio-control: Apply neem based products (e.g. neem oil 40ml/20lts of water, Achook) 2 times/month.</t>
  </si>
  <si>
    <t>Over-fertilization can attract white flies, Neem products require proper mixing and regular application, Soapy water sprays may damage plants if concentration is too high, Natural enemy conservation requires reduced broad-spectrum pesticide use</t>
  </si>
  <si>
    <t>white fly, cultural control, biological control, neem products, crop rotation, integrated pest management</t>
  </si>
  <si>
    <t>Integrated management of Rind worm in Pumpkin</t>
  </si>
  <si>
    <t>Integrated management of Rind worm applies a combination of several approaches to manage the pest cycle. These include: cultural, biological and chemical control. Cultural Control: Plant clean seedlings free from all stages of the moth; Rotate with non-host crops such as maize, beans and cabbages; Remove and bury all infested plants, foliage and infected crop residues in a deep pit (over 1m); Remove infested leaves before the caterpillar pupates inside and becomes an egg-laying adult. Bio-control: Use of Bacillus thuringiensis at recommended rates; Use of Pheromone traps; Use sticky traps - 24 pcs/acre.</t>
  </si>
  <si>
    <t>Pheromone traps require regular monitoring and replacement, Deep burial of infested plant parts (over 1m) requires significant labor, Bt products require proper timing for effectiveness, Crop rotation requires long-term planning</t>
  </si>
  <si>
    <t>rind worm, cultural control, biological control, Bt, pheromone traps, crop rotation</t>
  </si>
  <si>
    <t>Integrated management of Leaf miner (Liriomyza sp) in Pumpkin</t>
  </si>
  <si>
    <t>Pheromone traps require regular monitoring and replacement, Deep burial (over 1m) requires significant labor, Bt products require proper timing for effectiveness, Crop rotation requires long-term planning</t>
  </si>
  <si>
    <t>leaf miner, cultural control, biological control, Bt, pheromone traps, crop rotation</t>
  </si>
  <si>
    <t>Integrated management of Melon fly in Pumpkin</t>
  </si>
  <si>
    <t>Integrated management of Melon fly applies a combination of several approaches to manage the pest cycle. These include: cultural, biological and chemical control. Cultural Control: Rotate with non-host crops such as maize, beans and cabbages; Remove and bury all infested plants, foliage and infected crop residues in a deep pit (over 1m). Bio-control: Use of Bacillus thuringiensis at recommended rates; Use of Pheromone traps; Use sticky traps - 24 pcs/acre.</t>
  </si>
  <si>
    <t>Pheromone traps require regular monitoring and replacement, Deep burial of infested plants (over 1m) requires significant labor, Bt products require proper timing for effectiveness, Crop rotation requires long-term planning</t>
  </si>
  <si>
    <t>melon fly, cultural control, biological control, Bt, pheromone traps, crop rotation</t>
  </si>
  <si>
    <t>Integrated management of Red spider mite in Pumpkin</t>
  </si>
  <si>
    <t>Integrated management of Red spider mites consists of several approaches applied simultaneously to break the cycle of the insect. Cultural Control: Keep the farm weed free from the alternative hosts such as solanum family crops that may harbour red spider mites; Avoid planting Pumpkin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t>
  </si>
  <si>
    <t>Overhead irrigation may promote fungal diseases, Purchasing predatory mites adds to production costs, Neem extract requires proper preparation and timing, Pruning requires knowledge to avoid reducing yield</t>
  </si>
  <si>
    <t>red spider mite, cultural control, biological control, predatory mites, overhead irrigation, neem extract</t>
  </si>
  <si>
    <t>Integrated management of Root Knot nematodes in Pumpkin</t>
  </si>
  <si>
    <t>Nematodes affecting Pumpkin are controlled through cultural management practices and chemical control. Cultural practices: Crop rotation with non-cucurbitaceae crops i.e. crops in the grass family for 4-6 seasons; Avoidance of surface run off as it spreads the pest to non-infected areas, uprooting affected plants and burying; Soil solarization during dry months of the year on severely affected fields; Cleaning of farm tools and equipments after use; Incorporate Tithonia or Mexican marigold as green manure into the infested soil during planting. Biological control: Drench infested soil with neem based products e.g. Nimbecidine at a rate of 60ml/20L.</t>
  </si>
  <si>
    <t>Long crop rotation (4-6 seasons) may not be feasible for small farms, Soil solarization requires specific climatic conditions (hot dry months), Follow label instructions carefully when using neem products, Tool cleaning requires consistent practice</t>
  </si>
  <si>
    <t>nematode management, crop rotation, soil solarization, biological control, neem products, green manure</t>
  </si>
  <si>
    <t>Integrated management of Cut worm in Pumpkin</t>
  </si>
  <si>
    <t>Cut worm affecting Pumpkin is controlled through cultural management practises and chemical control. Cultural practices: Crop rotation with non-cucurbitaceae crops such as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t>
  </si>
  <si>
    <t>Long crop rotation (4-6 seasons) may not be feasible for small farms, Soil solarization requires specific climatic conditions, Follow label instructions carefully when using neem products, Uprooting affected plants requires early detection</t>
  </si>
  <si>
    <t>cutworms, crop rotation, soil solarization, biological control, neem products, cultural control</t>
  </si>
  <si>
    <t>Integrated management of Leaf eating caterpillar in Pumpkin</t>
  </si>
  <si>
    <t>Leaf eating caterpillar affecting Pumpkin is controlled through cultural management practises and chemical control. Cultural practices: Crop rotation with non-cucurbitaceae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t>
  </si>
  <si>
    <t>leaf eating caterpillar, crop rotation, soil solarization, biological control, neem products, cultural control</t>
  </si>
  <si>
    <t>Integrated Management of Anthracnose disease in Pumpkin</t>
  </si>
  <si>
    <t>Integrated management of anthracnose applies various approaches in management of the diseases. They include: cultural and chemical control. Cultural practices: Use certified seeds; Practice crop rotation with non-cucurbitaceae; Work in uninfected parts of the field first before the infected area; Avoid unnecessary movement in infected areas to minimize spread of the disease, disinfect farm implements after working from one field before proceeding to the other; Hot water treatment of Pumpkins at 54°C for 10min. Chemical management: Applying fungicides from flower-bud formation stage until when pods are fully developed; Spraying Carbendazim 500g or Mancozeb 2kg/ha soon after the appearance of disease and repeat after 15 days.</t>
  </si>
  <si>
    <t>Hot water treatment requires precise temperature control (54°C), Fungicide timing (flower-bud stage) requires accurate crop monitoring, Overuse of fungicides can lead to resistance, Always observe pre-harvest intervals</t>
  </si>
  <si>
    <t>anthracnose, cultural control, chemical control, hot water treatment, crop rotation, fungicides</t>
  </si>
  <si>
    <t>Integrated Management of Powdery mildew disease in Pumpkin</t>
  </si>
  <si>
    <t>Integrated management of powdery mildew applies a combination of several approaches to break the disease cycle. These include: cultural management and chemical control. Cultural management options: Plant early using certified seeds; Practice crop rotation with non-cucurbitaceae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</si>
  <si>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Copper-based fungicides require careful application to avoid phytotoxicity, Early planting may not be possible in all areas, Walking through wet fields should be avoided to prevent spread, Disease symptoms must be detected early for effective control</t>
  </si>
  <si>
    <t>powdery mildew, cultural control, chemical control, copper fungicides, crop rotation, field sanitation</t>
  </si>
  <si>
    <t>Integrated Management of Alternaria leaf spot disease in Pumpkin</t>
  </si>
  <si>
    <t>Integrated disease management of Alternaria leaf spot applies cultural management practices, deployment of tolerant varieties and chemical control in the management of the disease in Pumpkin. Cultural practices: Practice good field sanitation and hygiene practices by collecting and safely disposing infected plants; Regular weeding. Grow tolerant varieties: Grow varieties that are less susceptible to the disease such as KAT60/80 and Mbaazi 2. Chemical management: Spray Mancozeb based products (Oshothane or Farmcozeb at 2kg/ha or Carbendazim 500 g/ha).</t>
  </si>
  <si>
    <t>Tolerant varieties may still require disease monitoring, Field sanitation and weeding require consistent effort, Fungicide application timing is critical for effectiveness, Mancozeb products have pre-harvest intervals to observe</t>
  </si>
  <si>
    <t>Alternaria leaf spot, tolerant varieties, cultural control, chemical control, field sanitation, Mancozeb</t>
  </si>
  <si>
    <t>Integrated Management of Cucumber Mosaic Viral disease in Pumpkin</t>
  </si>
  <si>
    <t>Virus diseases are not curable once infection occurs, Vector control requires consistent and timely pesticide application, Certified seeds reduce but do not eliminate virus risk, Always follow label instructions for chemical application</t>
  </si>
  <si>
    <t>cucumber mosaic virus, viral disease, white fly vector, certified seeds, seed treatment, vector control</t>
  </si>
  <si>
    <t>Integrated Management of Yellow Mosaic Viral disease in Pumpkin</t>
  </si>
  <si>
    <t>Integrated management of Yellow Mosaic Viral disease of Pumpkins is the combined application of cultural and chemical management practices against the disease. The virus is transmitted by White flies (Bemisia tabaci) as they suck sap from plant tissues. Cultural practices: Use of certified seed; Monitoring and control of vectors (White flies) that transmit the viruses; Avoiding work on fields when wet to prevent spread; Uprooting weeds that could serve as alternative hosts. Chemical management: Treat the seeds with CELEST TOP 312 FS Flowable Concentrate, MARSHAL 350 STD Dry seed treatment; Spray Thiamethoxam-25WG @ 100g or Imidacloprid 17.8% SL @ 100 ml in 500 lit of water.</t>
  </si>
  <si>
    <t>yellow mosaic virus, viral disease, white fly vector, certified seeds, seed treatment, vector control</t>
  </si>
  <si>
    <t>Integrated Management of Phytophthora blight in Pumpkins</t>
  </si>
  <si>
    <t>Integrated management of Phytophthora blight applies cultural and chemical practices to manage the disease. Cultural practices: Crop rotation with non-cucurbitaceae for a period of 2 to 3 seasons; Rogueing out infected plants from the farm and burying them deeply; Good drainage in the fields and the plants should be protected from stem injury; Crop rotation should be followed; Avoidance of working in the fields when plants are wet to minimize spread; Disinfecting farm tools in jik solution (50 ml: litre); Practicing good field sanitation and hygiene practices by collecting and disposing infected plants. Chemical management: Seed treated with Metalaxyl 35 WS @3 g/ kg of seed.</t>
  </si>
  <si>
    <t>Good field drainage is essential and may require land preparation, Jik solution (1:20 ratio) must be prepared correctly, Seed treatment with Metalaxyl requires proper mixing, Crop rotation (2-3 seasons) requires long-term planning</t>
  </si>
  <si>
    <t>Phytophthora blight, cultural control, chemical control, drainage, seed treatment, crop rotation</t>
  </si>
  <si>
    <t>Integrated Management of Fusarium wilt in Pumpkin</t>
  </si>
  <si>
    <t>Integrated management of Fusarium wilt applies cultural and chemical practices to manage the disease. Cultural practices: A three-year crop rotation schedule with non-cucurbitaceae and the planting of resistant varieties is advised; Field sanitation by removing or rouging infected plants and burning them should be done; A soil sample analysis should be done before planting of Pumpkins at each and every season; Disinfecting farm tools in jik solution (50 ml: litre). Chemical management: Suspected infected soils can be drenched with Carbendazim based products like Rodazim SC or Bendazim SC as per the manufacturers' recommendations.</t>
  </si>
  <si>
    <t>Three-year crop rotation may not be feasible for small farms, Soil drenching requires proper application rate and timing, Jik solution (1:20 ratio) must be prepared correctly, Resistant varieties may not be available locally</t>
  </si>
  <si>
    <t>Fusarium wilt, crop rotation, field sanitation, soil drenching, resistant varieties, Carbendazim</t>
  </si>
  <si>
    <t>Integrated management of seedling blight disease in Pumpkin</t>
  </si>
  <si>
    <t>Integrated management of seedling blight consists of several approaches applied in an integrated manner to break the disease cycle. These include: cultural management and chemical control. Cultural management options: Plant early using certified seeds; Use quality certified seeds; Remove and destroy infected seedlings by burning; Practice crop rotation with non-cucurbitaceae crops for a period of 2-3 seasons; Ensure that field sanitation and hygiene practices are adhered to by collecting and safely disposing infected plants by deeply burying them. Chemical control options: Dressed seeds with Imidacloprid based fungicides such as 'Gaucho', Thiamethoxam based products "Poncho", Thiram based products "Moncerene" at recommended rates; Drench using carbendazim based products e.g. Rodazim or Mancozeb based products.</t>
  </si>
  <si>
    <t>Seed dressing requires proper mixing and handling, Early planting may not be possible in all areas, Destroying infected seedlings by burning requires proper disposal, Certified seeds reduce but do not eliminate disease risk</t>
  </si>
  <si>
    <t>seedling blight, seed dressing, cultural control, chemical control, crop rotation, field sanitation</t>
  </si>
  <si>
    <t>Integrated management of Rind and Bud Necrosis in Pumpkin</t>
  </si>
  <si>
    <t>Integrated management of Rind and Bud Necrosis disease a combination of various cultural practices against the disease. Cultural practices: Control the thrips; Use disease free seeds; Avoid unnecessary handling of plants to limit the spread of the disease; Plow-down or thoroughly compost field debris and cull piles after each growing cycle; Maintaining a clean buffer zone free of weeds of at least 25 m between a virus source and a susceptible crop can considerably reduce virus levels.</t>
  </si>
  <si>
    <t>Thrips control requires integrated pest management, 25m buffer zone may not be feasible on small farms, Thorough composting requires proper technique and time, Disease-free seeds must be sourced from certified suppliers</t>
  </si>
  <si>
    <t>rind necrosis, bud necrosis, thrips control, buffer zone, disease-free seeds, field sanitation</t>
  </si>
  <si>
    <t>Integrated management of Bacterial Fruit Blotch disease in Pumpkin</t>
  </si>
  <si>
    <t>Integrated management of Bacterial Fruit Blotch disease encompasses the use of various approaches in management of the diseases. They include: cultural and chemical practices. Cultural practices: Use disease free seeds; Providing good drainage (raised beds, properly graded fields); Maintain low humidity and eliminate free water using sub-irrigation of flats to control spread of the bacterium; Avoid overhead irrigation; Do not handle plants while the foliage is wet; Segregate seed lots to reduce the chance of lot-to-lot; Avoid unnecessary handling of plants to limit the spread of the disease; Plow-down or thoroughly compost field debris and cull piles after each growing cycle. Chemical management: Apply etridiazole and metalaxyl; benomyl, mancozeb, maneb, and thiophanate methyl based fungicides at recommended rates.</t>
  </si>
  <si>
    <t>Avoiding overhead irrigation may require irrigation system changes, Sub-irrigation requires specific infrastructure, Seed lot segregation requires careful record keeping, Chemical application requires adherence to label instructions</t>
  </si>
  <si>
    <t>bacterial fruit blotch, cultural control, chemical control, drainage, seed selection, field sanitation</t>
  </si>
  <si>
    <t>Integrated management of Damping off disease in Pumpkin</t>
  </si>
  <si>
    <t>Integrated management of Damping off disease encompasses the use of various approaches in management of the diseases. They include: cultural, biological and chemical practices. Cultural practices: Use disease free seeds; Providing good drainage (raised beds, properly graded fields); Plant when soil and air temperatures are favorable for rapid seedling emergence. Biological: Apply Trichoderma spp. and Gliocladium spp. or bacteria such as Pseudomonas spp. and Bacillus spp. at recommended rates. Chemical management: Apply etridiazole and metalaxyl; benomyl, mancozeb, maneb, and thiophanate methyl based fungicides at recommended rates against Fusarium wilt pathogens.</t>
  </si>
  <si>
    <t>Biological control agents require proper handling and storage, Soil temperature must be monitored for optimal germination, Raised beds require additional labor for preparation, Chemical application should be the last resort</t>
  </si>
  <si>
    <t>damping off, cultural control, biological control, chemical control, Trichoderma, seed treatment</t>
  </si>
  <si>
    <t>Integrated Weed Management (Pumpkin)</t>
  </si>
  <si>
    <t>Integrated weed management (IWM) is using of several weed approaches such as preventive, physical control, biological control, use of biodegradable mulch, cultural, mechanical and chemical control the management of weeds. Physical control is the removal of weeds manually or mechanical means, such as hand weeding or mowing. Biological control is the use of selected weeds as animal feed e.g. grasses. Chemical control is where appropriate herbicides are used to control weeds. Cultural control includes the practice of crop rotation since various crops may influence the diversity and abundance of particular weed flora.</t>
  </si>
  <si>
    <t>Herbicide misuse can damage crops and harm the environment, Manual weeding is labor-intensive and costly, Biological control through grazing requires careful management to avoid crop damage and exposure of livestock to poisonous weeds such as datura, Some weeds may develop resistance to herbicides</t>
  </si>
  <si>
    <t>integrated weed management, physical control, biological control, chemical control, cultural control, crop rotation</t>
  </si>
  <si>
    <t>Land Preparation Practices to control weeds in AIVs (Pumpkin)</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</si>
  <si>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Pumpkin seeds.</t>
  </si>
  <si>
    <t>Land preparation in steep areas can lead to soil erosion, Herbicide use in no-till systems requires careful application, Mechanical tillage may damage soil structure if done improperly, Dry weather preparation requires planning before rains begin</t>
  </si>
  <si>
    <t>land preparation, zero tillage, ploughing, harrowing, ridging, weed control</t>
  </si>
  <si>
    <t>Legume Intercropping System (Pumpkin)</t>
  </si>
  <si>
    <t>Innovative Legume Intercropping System is the growing of legumes crops such as Cowpea with Pumpkin in a field at the same time, as a tool to enhance agricultural production and to obtain efficient land use. Legumes benefit the main crop (Pumpkin) by replenishing soil nitrogen, smothering weeds and retaining soil moisture.</t>
  </si>
  <si>
    <t>Competition between Cowpea and Pumpkin for water, nutrients and light can reduce Pumpkin yields, Increased labor for management and harvesting, May complicate mechanization and pesticide application</t>
  </si>
  <si>
    <t>intercropping, legume, mixed cropping, strip cropping, relay cropping, alley cropping</t>
  </si>
  <si>
    <t>Pumpkin Intercropping</t>
  </si>
  <si>
    <t>Intercropping of Pumpkin is the practice of planting Pumpkin between other crops between rows such as cereal (maize, millets), tubers (cassava), and bananas. Intercropping must be planned to use space available and smother the weeds.</t>
  </si>
  <si>
    <t>Competition for resources may reduce yields of both crops, Requires proper spacing to avoid shading, May complicate pest management and harvesting, Not suitable for all cropping systems</t>
  </si>
  <si>
    <t>intercropping, companion planting, weed suppression, space utilization, crop diversification</t>
  </si>
  <si>
    <t>Mulching (Weed Control) (Pumpkin)</t>
  </si>
  <si>
    <t>The practice of covering the soil/ground with natural or synthetic materials to control weeds from seeds that germinate near or at the soil surface. There are two types of mulch: biodegradable or natural mulch including straw, dead leaves and compost to make more favourable conditions for plant growth, development and efficient crop production. The mulch should be between 2-4 inches deep to be effective. Non degradable or synthetic mulches can be used in growing for long season Pumpkin. Only black mulch should be used to control weeds.</t>
  </si>
  <si>
    <t>Organic mulches may introduce weed seeds if not properly prepared, Plastic mulches require proper disposal to prevent environmental damage, Mulch thickness should not exceed 4 inches to prevent oxygen deprivation, Black plastic may overheat soil in hot climates</t>
  </si>
  <si>
    <t>mulching, weed control, organic mulch, synthetic mulch, black plastic, soil coverage</t>
  </si>
  <si>
    <t>Chemical Weed Control (Pumpkin)</t>
  </si>
  <si>
    <t>Chemical weed control refers a technique that involves the application of herbicide to control the growth of weeds or to kill emerging weed seedlings and/or weed seeds. Herbicide technology requires knowledge on herbicides required for specific crops, weeds occurring and the environmental conditions in the cropping system. Use ONLY Recommended herbicides where need be.</t>
  </si>
  <si>
    <t>Use only PCPB-approved herbicides for Pumpkin, Follow label instructions strictly to avoid crop damage, Apply herbicides during recommended weather conditions, Wear appropriate personal protective equipment</t>
  </si>
  <si>
    <t>herbicides, weed control, PCPB, pre-emergence, post-emergence, crop safety</t>
  </si>
  <si>
    <t>Mechanical weeding (Pumpkin)</t>
  </si>
  <si>
    <t>This is where an implement is used to weed after having planted clean certified seeds in weed free well prepared ground. Planting should be done in rows to facilitate inter row weeding. Two weedings at 15 and 30 days after sowing (DAS). These implements are used to weed between the rows. The intra row weeds are removed by hand pulling.</t>
  </si>
  <si>
    <t>Mechanical weeders may damage crop roots if not properly adjusted, Requires row planting which may not suit all farmers, Equipment can be expensive for smallholder farmers, Manual hand pulling of intra-row weeds is labor-intensive</t>
  </si>
  <si>
    <t>mechanical weeding, row weeder, inter-row weeding, timeliness, labor saving, implements</t>
  </si>
  <si>
    <t>Safe Use of Agrochemicals (Pumpkin)</t>
  </si>
  <si>
    <t>This refers to the correct application of agrochemicals based on manufacturer's instructions. It includes capacity building of stakeholders and crop protection teams on safe handling, application, use of pesticides right from transportation from the agro-dealers to storage in a special store, mixing procedures and their application in the field in order to ensure safety of the crop, the person handling them and the environment at large and community surrounding. It also covers proper methodologies for pesticide disposal to minimize pollution of the environment.</t>
  </si>
  <si>
    <t>Always wear appropriate Personal Protective Equipment (PPE), Never store pesticides in food or drink containers, Follow pre-harvest intervals (PHI) strictly, Dispose of pesticide containers properly through designated collection centers</t>
  </si>
  <si>
    <t>agrochemical safety, pesticide handling, PPE, storage, disposal, pre-harvest interval</t>
  </si>
  <si>
    <t>Power tiller (Pumpkin)</t>
  </si>
  <si>
    <t>A Power Tiller is a two-wheeled agricultural implement fitted with rotary tillers, disk harrow, moldboard plough, trailer, water pump or chisel at alternate times for easing farm operations. It can complete 1ha per day by one operator in about two hours. This will vary depending on the climatic conditions, soil types, soil moisture content, stamina and experience of the operator. Fuel consumption is about 15 liters per ha. Though these results vary with the technical ability of the operator.</t>
  </si>
  <si>
    <t>Requires training for safe operation, High initial investment cost, Maintenance costs can be significant, Not suitable for very small or rocky fields</t>
  </si>
  <si>
    <t>power tiller, mechanization, tillage, land preparation, two-wheel tractor</t>
  </si>
  <si>
    <t>Wheeled Tractor less than 50Hp (Pumpkin)</t>
  </si>
  <si>
    <t>A tractor is an engineering vehicle specifically designed to deliver a high tractive effort (or torque) at slow speeds, for the purposes of hauling a trailer or machinery such as that used in agriculture. Most commonly, the term is used to describe a farm vehicle that provides the power and traction to mechanize agricultural tasks, especially (and originally) tillage, trailer towing, planting, weeding, ridging, planting, spraying, harvesting, ground grading and much more agricultural functions.</t>
  </si>
  <si>
    <t>High initial purchase cost, Requires regular maintenance and fuel, Operator needs proper training and licensing, May not be feasible for smallholder farms</t>
  </si>
  <si>
    <t>tractor, mechanization, tillage, planting, spraying, harvesting</t>
  </si>
  <si>
    <t>Mould board plough (Pumpkin)</t>
  </si>
  <si>
    <t>Mouldboard plough is an agricultural implement and is generally considered to be an important tillage implement. Mouldboard ploughs are available for power tiller and tractor operation. A mouldboard plough does four jobs namely a) cutting the furrow slice, b) lifting the furrow slice, c) inverting the furrow slice and d) pulverizing the furrow slice. Ploughing accounts for more traction energy than any other field operation. The plough conserves moisture and biomass while pulverizing the soil hence climate smart.</t>
  </si>
  <si>
    <t>Requires proper adjustment for desired depth, May cause soil erosion on slopes, Inverts soil layers which can bring weed seeds to surface, Requires significant tractor power to operate</t>
  </si>
  <si>
    <t>mouldboard plough, tillage, furrow, soil inversion, ploughing, climate smart</t>
  </si>
  <si>
    <t>Disc Harrow (Pumpkin)</t>
  </si>
  <si>
    <t>A harrow, farm implement used to pulverize soil, break up crop residues, uproot weeds and cover seed. It is a farm implement used for surface tillage. It is used after ploughing for breaking up and smoothing out the surface of the soil. The purpose of harrowing is to break up clods and to provide a smooth soil structure, called tilth, that is suitable for planting seeds. Coarser harrowing may also be used to remove weeds and to cover seed after sowing.</t>
  </si>
  <si>
    <t>Requires multiple passes for effective soil preparation, May not work well in heavy clay soils, Can cause soil compaction if used when soil is wet, Regular maintenance of discs is required</t>
  </si>
  <si>
    <t>disc harrow, tillage, seedbed preparation, clod breaking, soil smoothing, weed uprooting</t>
  </si>
  <si>
    <t>AIV Planter (Pumpkin)</t>
  </si>
  <si>
    <t>A seed drill is a farm implement that sow seeds at a desired seeding rate and depth, ensuring that the seeds are covered and compacted under soil. This saves them from being eaten by birds and animals, or being dried up due to exposure to sun. With seed drill machines, seeds are distributed in rows, however the distance between seeds along the row can be adjusted by the user. This allows plants to get sufficient sunlight, nutrients, and water from the soil.</t>
  </si>
  <si>
    <t>Requires calibration for different seed types and sizes, Adjustable row spacing needs proper settings, Equipment is expensive for smallholder farmers, Requires training for proper operation</t>
  </si>
  <si>
    <t>seed drill, planter, seeding rate, row spacing, mechanized planting, seed placement</t>
  </si>
  <si>
    <t>Motorized Sprayer (Pumpkin)</t>
  </si>
  <si>
    <t>A motorized sprayer is a device used to spray a liquid, where sprayers are commonly used for projection of water, weed killers, crop performance materials, pest maintenance chemicals, as well as manufacturing and production line ingredients. In agriculture, a sprayer is a piece of equipment that is used to apply herbicides, pesticides and fertilizers on agricultural crops. Sprayers are man-portable units typically backpacks with spray guns.</t>
  </si>
  <si>
    <t>Requires proper calibration to avoid over/under application, Regular maintenance of nozzle and filters needed, Always wear PPE when handling chemicals, Follow wind direction to avoid spray drift</t>
  </si>
  <si>
    <t>motorized sprayer, pest control, herbicide application, fertilizer application, crop protection, spray equipment</t>
  </si>
  <si>
    <t>Power weeder (Pumpkin)</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</si>
  <si>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Pumpkin farmers. It is designed to weed specified spacing inter raw within Pumpkin.</t>
  </si>
  <si>
    <t>Requires specific row spacing to operate effectively, Fuel and maintenance costs can be significant, May damage crop roots if not carefully operated, Not suitable for all soil types and conditions</t>
  </si>
  <si>
    <t>power weeder, mechanical weeding, soil cultivation, inter-row weeding, self-propelled, weed control</t>
  </si>
  <si>
    <t>Back Pack Weeder (Pumpkin)</t>
  </si>
  <si>
    <t>It is a hand held machine that simultaneously cut the soil and weeds in AIV and is an intermediate technology machine appropriate for Small Holder Farmers. It is designed to weed specified spacing inter raw within Pumpkin.</t>
  </si>
  <si>
    <t>Manual operation can be physically demanding, Requires proper technique to avoid crop damage, Regular blade maintenance needed for effective cutting, May not be suitable for large-scale operations</t>
  </si>
  <si>
    <t>backpack weeder, hand-held weeder, weed cutting, smallholder, inter-row weeding, manual mechanization</t>
  </si>
  <si>
    <t>Back Pumpkin Harvester</t>
  </si>
  <si>
    <t>It is a hand held machine that simultaneously cut the vegetable leaves and is an intermediate technology machine appropriate for Small Holder Farmers. It is designed to harvest specified spacing inter raw within Pumpkin.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</si>
  <si>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Requires electricity or battery power source, May not be suitable for all leaf vegetable types, Cutting height needs proper adjustment, Initial investment cost may be high for smallholders</t>
  </si>
  <si>
    <t>leaf harvester, vegetable harvesting, electric motor, leaf cutting, mechanized harvesting, smallholder</t>
  </si>
  <si>
    <t>Sorting and Grading of Pumpkin</t>
  </si>
  <si>
    <t>Sorting involves removal of diseased, rotten, nutrient deficiencies signs (e.g. yellowing spots), weeds and debris. Grading is grouping of Pumpkin according to weight, maturity, turgidity, physical damage, and market demand.</t>
  </si>
  <si>
    <t>Requires training to identify quality defects consistently, Can be labor-intensive and time-consuming, Market specifications may vary between buyers, Rejected produce needs proper disposal or alternative use</t>
  </si>
  <si>
    <t>sorting, grading, quality control, postharvest, market standards, value addition</t>
  </si>
  <si>
    <t>Zero Energy Brick Cooler (Pumpkin)</t>
  </si>
  <si>
    <t>The Zero Energy Brick Cooler consists of a double brick wall filled with sand in between, and a storage chamber. The sand is kept moist with water. The inside chamber is cooled through the water in the sand.</t>
  </si>
  <si>
    <t>Requires constant water supply to maintain moisture, Most effective in dry and windy environments, Regular maintenance and sand replacement needed, Construction requires specific materials and skills</t>
  </si>
  <si>
    <t>zero energy cooler, evaporative cooling, brick cooler, postharvest storage, shelf life extension</t>
  </si>
  <si>
    <t>CoolBot™ (Pumpkin)</t>
  </si>
  <si>
    <t>It is a low cost postharvest temperature management that improved the shelf life of Pumpkin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</si>
  <si>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Requires reliable electricity supply for operation, Room must be properly insulated for effectiveness, Initial cost includes air conditioner and installation, Temperature needs regular monitoring</t>
  </si>
  <si>
    <t>CoolBot, cold storage, postharvest, temperature management, shelf life, electricity saving</t>
  </si>
  <si>
    <t>Wakati™ technology (Pumpkin)</t>
  </si>
  <si>
    <t>Wakati™ is a simple and innovative solution where altered environment in the chamber contributes to shelf life extension. Altered environment is due to: High relative humidity; Oxidation of ethylene from the storage environment by oxidizing (ozone oxidation). It is a 1m by 1m canvas tent with a solar powered fan at one corner. The fan is placed in a cuplike reservoir. As it rotates, it picks up water into mist droplets, which are distributed in the tent by air currents. When a moisture concentration of 80% is achieved, the surface of the fruit or vegetables remain fresh because there is no loss of water. This low-cost solution helps produce last up to 10 times longer without any refrigeration.</t>
  </si>
  <si>
    <t>Requires adequate sunlight for solar fan operation, Water reservoir needs regular refilling, Limited capacity (1m x 1m tent), Most effective in warm and dry climates</t>
  </si>
  <si>
    <t>Wakati, postharvest, humidity control, ethylene oxidation, solar-powered, shelf life extension</t>
  </si>
  <si>
    <t>Modified Atmosphere Packaging of Pumpkin (Ziploc® and Xtend® bag packaging)</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</si>
  <si>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Pumpkin for between 5-7 days.</t>
  </si>
  <si>
    <t>Bags require proper sealing to maintain modified atmosphere, Only suitable for short-term storage (5-7 days), May not be cost-effective for large quantities, Requires cool and stable storage conditions</t>
  </si>
  <si>
    <t>modified atmosphere packaging, shelf life, moisture control, Xtend bags, postharvest, vegetable storage</t>
  </si>
  <si>
    <t>Pumpkin solar drying</t>
  </si>
  <si>
    <t>The technology includes use of different solar dryers in removing excess water from Pumpkin. The methods include cabinet solar, greenhouse solar dryer and DeHytray.</t>
  </si>
  <si>
    <t>Weather conditions affect drying time and quality, Risk of contamination during open drying, Quality deterioration if moisture is not fully removed, Requires training on proper drying techniques</t>
  </si>
  <si>
    <t>solar drying, preservation, cabinet drier, greenhouse drier, DeHytray, postharvest</t>
  </si>
  <si>
    <t>Pumpkin Fruit Flour</t>
  </si>
  <si>
    <t>Diversification of processing of Pumpkin fruit through dehydration of sliced fruit and milling to produce Pumpkin flour.</t>
  </si>
  <si>
    <t>Requires proper dehydration to prevent spoilage, Milling equipment needed for flour production, Nutritional content varies with processing method, Proper storage needed to maintain flour quality</t>
  </si>
  <si>
    <t>Pumpkin flour, value addition, dehydration, milling, food processing, utilization</t>
  </si>
  <si>
    <t>Nature – Super Pumpkin Cake</t>
  </si>
  <si>
    <t>The Pumpkin cake is a product developed by blending Pumpkin flour with wheat flour. 20% of the flour is Pumpkin flour while 80% is wheat flour.</t>
  </si>
  <si>
    <t>Recipe may require adaptation to local tastes, Nutritional content varies with preparation methods, Allergens and dietary restrictions should be considered, Food safety practices must be followed</t>
  </si>
  <si>
    <t>Pumpkin cake, value addition, flour blending, processed food, nutrition, recipe development</t>
  </si>
  <si>
    <t>Nature – Super Pumpkin Cookies</t>
  </si>
  <si>
    <t>The Pumpkin cookies is a product developed by blending Pumpkin flour with wheat flour. 5% of the flour is Pumpkin flour while 95% is wheat flour.</t>
  </si>
  <si>
    <t>Pumpkin cookies, value addition, flour blending, processed food, nutrition, recipe development</t>
  </si>
  <si>
    <t>Nature – Super Pumpkin Mandazi</t>
  </si>
  <si>
    <t>The Pumpkin mandazi is a product developed by blending Pumpkin flour with wheat flour. 5% of the flour is Pumpkin flour while 95% is wheat flour.</t>
  </si>
  <si>
    <t>Pumpkin mandazi, value addition, flour blending, processed food, nutrition, recipe development</t>
  </si>
  <si>
    <t>Nature – Super Pumpkin Scones</t>
  </si>
  <si>
    <t>Pumpkin scones are made of composite Pumpkin flour (5%) and wheat flour and are highly nutritious.</t>
  </si>
  <si>
    <t>Pumpkin scones, value addition, flour blending, processed food, nutrition, recipe development</t>
  </si>
  <si>
    <t>Nature – Super Pumpkin Bread</t>
  </si>
  <si>
    <t>Pumpkin bread is made from Pumpkin flour (5%) combined with wheat flour.</t>
  </si>
  <si>
    <t>Pumpkin bread, value addition, flour blending, processed food, nutrition, recipe development</t>
  </si>
  <si>
    <t>Transformative Model of Pumpkin production</t>
  </si>
  <si>
    <t>An approach to transform smallholder farmers from low improved inputs to high and therefore build market linkages. At the fully commercial level, inputs are accessed from the markets and outputs solely for the markets.</t>
  </si>
  <si>
    <t>Requires significant investment in inputs and infrastructure, Market access and price volatility can affect profitability, Farmers need capacity building and support services, Risk of debt if market conditions change</t>
  </si>
  <si>
    <t>market linkages, commercialization, smallholder transformation, input access, output marketing</t>
  </si>
  <si>
    <t>Building a Business Plan for Pumpkin</t>
  </si>
  <si>
    <t>A business plan is a document that guides the operations in a business. The document contains details such as introduction, business organization, product, marketing strategy, risks, business operation plan, marketing costs, Income streams, profit and loss analysis and financial requirements.</t>
  </si>
  <si>
    <t>Requires understanding of business principles, Markets and prices can change affecting financial projections, Regular review and update of plan is needed, External factors (weather, prices) may impact implementation</t>
  </si>
  <si>
    <t>business planning, farm management, marketing strategy, financial analysis, risk assessment, enterprise development</t>
  </si>
  <si>
    <t>Profitability analysis (Pumpkin)</t>
  </si>
  <si>
    <t>Profitability analysis involves recording of costs and returns and therefore determination of profit which indicates the performance of the Pumpkin agro-enterprise. Profit analysis detects whether the business is operating at a loss or gain, leading to low productivity.</t>
  </si>
  <si>
    <t>Requires accurate record keeping, Prices and costs fluctuate over time, Hidden costs (labor, transport) may be overlooked, Profitability varies with scale and efficiency</t>
  </si>
  <si>
    <t>profitability, cost analysis, returns, record keeping, business performance, enterprise analysis</t>
  </si>
  <si>
    <t>Marketing Innovation model Pumpkin Production and marketing</t>
  </si>
  <si>
    <t>Production and marketing innovation encompasses entrepreneurship where farmers undertake technology modification, finance and business acumen in an effort to transform innovations into economic goods and ultimately profit. An entrepreneur farmer undertakes innovations and finances business acumen in an effort to transform innovations into economic goods and ultimately profit.</t>
  </si>
  <si>
    <t>Innovation involves risk and potential failure, Requires access to finance and credit, Market acceptance of innovations may be uncertain, Continuous learning and adaptation needed</t>
  </si>
  <si>
    <t>marketing innovation, entrepreneurship, value addition, commercialization, business acumen</t>
  </si>
  <si>
    <t>Collective marketing (Pumpkin)</t>
  </si>
  <si>
    <t>A marketing or producer organizations formed by farmers.</t>
  </si>
  <si>
    <t>Requires strong group governance and trust, Members must agree on common standards and prices, Market power depends on group cohesion and volume, Leadership and management capacity are essential</t>
  </si>
  <si>
    <t>collective marketing, farmer organization, bargaining power, group marketing, cooperatives</t>
  </si>
  <si>
    <t>Contracted production (Pumpkin)</t>
  </si>
  <si>
    <t>Contract farming involves private companies extending lines of credit to producers in the form of farming inputs and technical assistance. Under contract farming terms, contractors commit themselves to buy the entire product at an agreed price. On the other hand, producers avail desired produce for sale.</t>
  </si>
  <si>
    <t>Contract terms must be clearly understood before signing, Price and quality specifications must be achievable, Default risk can lead to loss of inputs and income, Power imbalance may disadvantage smallholder farmers</t>
  </si>
  <si>
    <t>contract farming, vertical integration, market access, input credit, quality specifications</t>
  </si>
  <si>
    <t>Digital marketing (Pumpkin)</t>
  </si>
  <si>
    <t>Internet marketing refers to the strategies used to market products and services online and through other digital means. These can include a variety of online platforms, tools, and content delivery systems.</t>
  </si>
  <si>
    <t>Requires digital literacy and access to internet, Quality and consistency of produce must meet online standards, Logistics and delivery costs can be significant, Online market platforms may have fees and terms</t>
  </si>
  <si>
    <t>digital marketing, e-commerce, online platforms, market access, digital literacy, agro-marketing</t>
  </si>
  <si>
    <t>Market research (Pumpkin)</t>
  </si>
  <si>
    <t>An approach by farmers to gather market information.</t>
  </si>
  <si>
    <t>Requires knowledge of research methods, Information may become outdated quickly, Access to market data may be limited, Analysis requires business and marketing skills</t>
  </si>
  <si>
    <t>market research, market intelligence, market information, price discovery, market analysis</t>
  </si>
  <si>
    <t>Advocacy in farmers' participation in the National Agricultural Policy development and implementation (Pumpkin)</t>
  </si>
  <si>
    <t>National Agricultural policy framework includes policies that have framed smallholder farmers, as poor with no agencies and voices. The policies focus on large scale farmers. The National Agricultural policy framework provides objectives.</t>
  </si>
  <si>
    <t>Policy advocacy requires sustained engagement and resources, Institutional barriers may limit participation, Policy changes take time to implement, Coordination among stakeholders is essential</t>
  </si>
  <si>
    <t>policy advocacy, farmer participation, agricultural policy, policy development, smallholder rights</t>
  </si>
  <si>
    <t>Participation in the County Integrated Development Planning (Pumpkin)</t>
  </si>
  <si>
    <t>The County Integrated Development Planning builds a plan for each county in Kenya to be implemented in five years. The planning process is participatory, involving the development stakeholders in the county. It is during this planning period where the issues in Pumpkin production, marketing and processing are considered.</t>
  </si>
  <si>
    <t>Requires active participation and preparation, Planning cycles are fixed (5 years), May require engagement with multiple stakeholders, Implementation depends on available county resources</t>
  </si>
  <si>
    <t>county planning, CIDP, development planning, stakeholder participation, resource allocation</t>
  </si>
  <si>
    <t>Policy instruments related to Pumpkin production</t>
  </si>
  <si>
    <t>Agricultural policy is implemented through instruments which are the intervention points. Therefore, the policy instruments are the means to achieve policy objectives.</t>
  </si>
  <si>
    <t>Policy instruments may not always benefit smallholder farmers, Implementation gaps between policy and practice, Monitoring and evaluation systems may be weak, Advocacy needed for farmer-friendly instruments</t>
  </si>
  <si>
    <t>policy instruments, agricultural policy, intervention, implementation, policy objectives</t>
  </si>
  <si>
    <t>Policy cycle (Pumpkin)</t>
  </si>
  <si>
    <t>Policy cycle involves problem definition or concerns, formulation, implementation and evaluation components.</t>
  </si>
  <si>
    <t>Policy cycle can be lengthy and political, Farmer participation may be limited at key stages, Evaluation may not lead to policy revision, Implementation depends on available resources</t>
  </si>
  <si>
    <t>policy cycle, formulation, implementation, evaluation, policy analysis, stakeholder engagement</t>
  </si>
  <si>
    <t>Good Agricultural Practices (GAP) (Pumpkin)</t>
  </si>
  <si>
    <t>It is a systematic process of implementing a standardized production system globally designed to reassure consumers about how food is produced on the farm, pre-farm gate or on-farm standards (It is not about a specific crop production, but the process through which production takes). The four 'pillars' of GAP (economic viability, environmental sustainability, social acceptability and food safety and quality) are included in most private and public sector standards.</t>
  </si>
  <si>
    <t>Requires training and certification for compliance, Documentation and record keeping are essential, Market premiums may not always cover implementation costs, Smallholders may face barriers to certification</t>
  </si>
  <si>
    <t>Good Agricultural Practices, food safety, quality standards, certification, traceability, sustainable agriculture</t>
  </si>
  <si>
    <t>Food Safety Management System: Hazard Analysis Critical Control Points (HACCP) Plan for Pumpkin Value Chain in Kenya</t>
  </si>
  <si>
    <t>Food safety management system (FSMS) through Hazard Analysis and Critical Control Point (HACCP) in Pumpkin value chain is a system of food safety monitoring and control based on the systematic identification and assessment of various hazards. It is a preventive, rather than a reactive, tool that places the protection of the Pumpkin supply from biological, chemical and physical hazards into the hands of food management systems. The system is designed to minimize the risk of food safety hazards by identifying the hazards, establishing controls and monitoring these controls.</t>
  </si>
  <si>
    <t>Requires identification and monitoring of all CCPs, Knowledge of hazard analysis is essential, Documentation and record keeping is critical, HACCP plan needs regular review and updates</t>
  </si>
  <si>
    <t>HACCP, food safety, hazard analysis, critical control points, monitoring, quality assurance</t>
  </si>
  <si>
    <t>Purple Stem (PS) Spider Plant</t>
  </si>
  <si>
    <t>An improved high yielding (12 t/ha-1) variety, that is mild in taste. It grows tall and can be harvested for long (1 month).</t>
  </si>
  <si>
    <t>Verify variety suitability for your specific agro-ecological zone, Ensure proper soil preparation and fertilization for optimal yields, Monitor for pests and diseases despite variety tolerance, Source certified seeds from reputable suppliers</t>
  </si>
  <si>
    <t>high yielding, mild taste, tall growth, long harvest, improved variety, Spider Plant</t>
  </si>
  <si>
    <t>Spider Plant variety Abukutsa Spider Plant 1</t>
  </si>
  <si>
    <t>A high yielding (20-40 t/ha), tall variety, High Iron content, maturity period 4-5 weeks, areas of production (100-1800 m asl).</t>
  </si>
  <si>
    <t>Confirm altitude suitability (100-1800 m asl) before planting, Iron content varies with soil conditions and agronomic practices, Early maturity requires timely harvesting to prevent quality loss, High yields depend on proper soil fertility management</t>
  </si>
  <si>
    <t>high yielding, tall variety, high iron, early maturity, wide altitude range, Spider Plant</t>
  </si>
  <si>
    <t>Formal Spider Plant Seed System</t>
  </si>
  <si>
    <t>A Seed System is a set of activities contributing to variety development and seed production and delivery to farmers. The formal Spider Plant Seed System is characterized by a well-regulated and organized set of activities, from breeding to delivering certified seeds of known and registered varieties to farmers and other stakeholders. It ensures continuous production, processing, supply and distribution of quality Spider Plant seeds to farmers through organized marketing channels.</t>
  </si>
  <si>
    <t>Certified seeds may be more expensive than informal sources, Verify seed authenticity through KEPHIS certification labels, Formal Seed Systems may have limited variety options, Farmers should plan seed purchases in advance of planting seasons</t>
  </si>
  <si>
    <t>certified seeds, quality assurance, regulated system, breeding, seed distribution, marketing channels</t>
  </si>
  <si>
    <t>Informal Spider Plant Seed System</t>
  </si>
  <si>
    <t>A Seed System is a set of activities contributing to variety development and seed production and delivery to farmers. The informal Spider Plant Seed System entails seed selection, treatment, storage, multiplication, and distribution. The informal Spider Plant Seed System is outside the control of government agencies, with no external seed quality control. This system includes farmer-saved seed, gifts, barter, exchange and seed purchasing from local markets.</t>
  </si>
  <si>
    <t>No quality assurance for seed health and purity, Higher risk of seed-borne diseases and pests, Seed viability may be compromised by poor storage, Lack of traceability for variety authenticity</t>
  </si>
  <si>
    <t>farmer-saved seed, seed exchange, local markets, seed selection, seed storage, informal system</t>
  </si>
  <si>
    <t>Semi-Informal Spider Plant seed production system</t>
  </si>
  <si>
    <t>The semi-formal Seed System (termed community-based) is at the interface of formal and informal Seed Systems. A community-based seed production system involves individual farmers or farmer groups or cooperatives producing quality seed of farmers and improved varieties (at testing and sensitization stage) using the formal seed production guidelines.</t>
  </si>
  <si>
    <t>community-based, seed production, farmer groups, quality guidelines, variety testing, semi-formal system</t>
  </si>
  <si>
    <t>Spider Plant agronomic practices</t>
  </si>
  <si>
    <t>Spider Plant is a nutritious green leafy African Indigenous Vegetable. It contains proteins, minerals (iron, calcium) and vitamins such as A and C required to complement the staple food diets. It is easy to grow, early maturing and requires little external input. Most African Indigenous vegetables such as Spider Plant can grow well in a wide range of environments during the warm and cool seasons. These vegetables are climate smart and well adapted and can be grown from sea level up to 2400 m above sea level.</t>
  </si>
  <si>
    <t>Avoid waterlogged or shaded areas for planting, Nutrient content varies with soil fertility and agronomic practices, Early maturity requires timely harvesting to prevent bitterness, Despite being climate-smart, irrigation may be needed during dry spells</t>
  </si>
  <si>
    <t>agronomic practices, leafy vegetable, nutritional value, early maturing, climate smart, wide adaptability</t>
  </si>
  <si>
    <t>Mobile soil testing services</t>
  </si>
  <si>
    <t>Integrated Soil Fertility Management (Spider Plant)</t>
  </si>
  <si>
    <t>This is a set of soil fertility management practices that include the use of inorganic fertilizer, organic inputs and improved germplasm combined with the knowledge on how to adapt these practices to local conditions in aim of maximizing the agronomic use efficiency of the applied nutrients and improving crop productivity.</t>
  </si>
  <si>
    <t>soil fertility, inorganic fertilizer, organic inputs, improved germplasm, nutrient efficiency, crop productivity</t>
  </si>
  <si>
    <t>Integrated Manure Management (IMM) (Spider Plant)</t>
  </si>
  <si>
    <t>Improperly composted manure may contain pathogens and weed seeds, Fresh manure can burn plant roots if applied directly, Manure quality varies by animal type and feed, GHG emissions can occur if manure is not properly managed</t>
  </si>
  <si>
    <t>Rain water Roof water catchment (Spider Plant)</t>
  </si>
  <si>
    <t>Mulching (Spider Plant - Soil/Water)</t>
  </si>
  <si>
    <t>The practice of covering the soil/ground with natural materials such as straw, dead leaves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mulches decompose).</t>
  </si>
  <si>
    <t>Organic mulches may harbor pests and diseases if not managed, Plastic mulches require proper disposal to prevent environmental pollution, Mulch can compete with livestock feed and fuelwood needs, Excessive mulch may harbor rodents and slugs</t>
  </si>
  <si>
    <t>Solar Irrigation Systems for smallholder farmers (Spider Plant)</t>
  </si>
  <si>
    <t>Drip irrigation system (Spider Plant)</t>
  </si>
  <si>
    <t>Emitters can clog with sediment or salt buildup, Requires regular filter cleaning and maintenance, High initial cost for quality drip systems, Poly tubing can collapse or be damaged by rodents</t>
  </si>
  <si>
    <t>Integrated Management of Root Knot nematodes in Spider Plant</t>
  </si>
  <si>
    <t>Root knot nematodes affecting Spider Plants are controlled through cultural management practises and chemical control. Cultural practices: Crop rotation with non-host crops such as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 e.g. Trianum P at a rate of 45g/15L of water.</t>
  </si>
  <si>
    <t>Long crop rotation (4-6 seasons) may not be feasible for small farms, Soil solarization requires specific climatic conditions (hot dry months), Follow label instructions carefully when using neem products, Trichoderma spp products require proper storage and handling</t>
  </si>
  <si>
    <t>nematode management, crop rotation, soil solarization, biological control, neem products, Trichoderma</t>
  </si>
  <si>
    <t>Integrated Management of Flea beetle (Spider Plant)</t>
  </si>
  <si>
    <t>Integrated Flea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Pest Control Products Board (PCPB).</t>
  </si>
  <si>
    <t>flea beetle, cultural control, biological control, biopesticides, PCPB, pest management</t>
  </si>
  <si>
    <t>Integrated Management of Aphids (Spider Plant)</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</si>
  <si>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Remove heavily infested plant parts and destroy by burning. Biological control: Apply neem based products (e.g. neem oil 40ml/20lts of water, Achook) 2 times/month; Spray with soapy water solution.</t>
  </si>
  <si>
    <t>Over-fertilization can attract aphids to nitrogen-rich plants, Flooding may not be suitable for all soil types, Neem products require proper mixing and timing, Soapy water sprays may damage plants if concentration is too high</t>
  </si>
  <si>
    <t>aphids, cultural control, natural enemies, neem products, soap spray, integrated pest management</t>
  </si>
  <si>
    <t>Integrated Management of Desert locust (Schistocerca gregaria) (Spider Plant)</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</si>
  <si>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t>
  </si>
  <si>
    <t>Requires coordinated regional response, Chemical pesticides must be applied following DLCO-EA guidelines, Biological control (Metarhizium spp) requires specific weather conditions, Early warning systems need reliable communication networks</t>
  </si>
  <si>
    <t>desert locust, early warning system, DLCO-EA, remote sensing, regional coordination, biological control</t>
  </si>
  <si>
    <t>Integrated management of Cotton Jassids (Spider Plant)</t>
  </si>
  <si>
    <t>Integrated management of Cotton Jassids consist of various approaches to prevent grain damage. Cultural practises: Predatory bugs like ladybird beetles and spiders will attack jassids; Clean cultivation: avoid excessive use of fertilizer (no more then 3-4 bags of urea) as Jassids will be attracted to crops higher in nitrogen, as they will be tastier; Grow cotton from 15 April to 31 May to escape jassid attack.</t>
  </si>
  <si>
    <t>Avoid excessive nitrogen fertilization to prevent attraction, Planting dates may need adjustment based on local climate, Natural predators require conservation practices, Neem powder may need frequent reapplication</t>
  </si>
  <si>
    <t>cotton jassids, predatory insects, nitrogen management, planting date, neem powder, pest management</t>
  </si>
  <si>
    <t>Integrated management of Cut worms in Spider Plant</t>
  </si>
  <si>
    <t>Integrated cutworm management consist of various approaches to prevent grain damage. Cultural practises: Ploughing exposes caterpillars to predators and to desiccation by the sun; Prepare field and vegetation and weeds destroyed 14 days before planting; Delaying transplanting slightly until the stems are too wide for the cutworm to encircle and/or too hard for it to cut may reduce cutworm damage; Hand picking of caterpillars at night by torch or very early morning before they return into the soil is useful at the beginning of the infestation; Flooding of the field for a few days before sowing or transplanting. Biological management: Use repellent neem extract 3 times at weekly intervals; Use of ash on the seedbed; Use of molasses at the base of each plant.</t>
  </si>
  <si>
    <t>Hand picking is labor-intensive and requires vigilance, Flooding is not suitable for all soil types or crops, Ash application may alter soil pH, Molasses can attract other pests</t>
  </si>
  <si>
    <t>cutworms, cultural control, ploughing, hand picking, neem extract, biological management</t>
  </si>
  <si>
    <t>Integrated management of Hurricane bugs on Spider Plant</t>
  </si>
  <si>
    <t>Integrated management of Hurricane bugs consist of various approaches to prevent plant damage. Cultural Control: Bugs can be collected by hand regularly and killed, especially during flowering and pod formation; Conserve natural enemies such as assassin bugs, spiders, praying mantises and ants. Biological control: Spray Neem products in the morning when the immature stages are exposed.</t>
  </si>
  <si>
    <t>Hand collection is labor-intensive for large fields, Natural enemy conservation requires reduced pesticide use, Neem spray timing is critical (morning applications), Monitor populations regularly before infestation becomes severe</t>
  </si>
  <si>
    <t>hurricane bugs, hand collection, natural enemies, neem spray, flowering stage, pod formation</t>
  </si>
  <si>
    <t>Integrated Weed Management (Spider Plant)</t>
  </si>
  <si>
    <t>Herbicide misuse can damage crops and harm the environment, Manual weeding is labor-intensive and costly, Biological control through grazing requires careful management to avoid crop damage, Some weeds may develop resistance to herbicides</t>
  </si>
  <si>
    <t>Land Preparation Practices to control weeds in Spider Plant</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</si>
  <si>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Spider Plant seeds.</t>
  </si>
  <si>
    <t>Legume Intercropping System (Spider Plant)</t>
  </si>
  <si>
    <t>Innovative Legume Intercropping System is the growing of legumes crops such as Cowpea with Spider Plant in a field at the same time, as a tool to enhance agricultural production and to obtain efficient land use. Legumes benefit the main crop (Pumpkin) by replenishing soil nitrogen, smothering weeds and retaining soil moisture.</t>
  </si>
  <si>
    <t>Competition between crops for water, nutrients and light can reduce yields, Increased labor for management and harvesting, May complicate mechanization and pesticide application</t>
  </si>
  <si>
    <t>Spider Plant Intercropping</t>
  </si>
  <si>
    <t>Intercropping of Spider Plant is the practice of planting Spider Plant between other crops between rows such as cereal (maize, millets), tubers (cassava), and bananas. Intercropping must be planned to use space available and smother the weeds.</t>
  </si>
  <si>
    <t>Mulching (Spider Plant - Weed Control)</t>
  </si>
  <si>
    <t>The practice of covering the soil/ground with natural materials or synthetic materials to control weeds from seeds that germinate near or at the soil surface. There are two types of mulch: biodegradable or natural mulches including straw, dead leaves and compost to make more favourable conditions for plant growth, development and efficient crop production. The mulch should be between 2-4 inches deep to be effective. Non degradable or synthetic mulches can be used in growing for long season Spider Plant. Only black mulch should be used to control weeds.</t>
  </si>
  <si>
    <t>Chemical Weed Control (Spider Plant)</t>
  </si>
  <si>
    <t>Chemical weed control refers a technique that involves the application of herbicide to control the growth of weeds or to soil to kill emerging weed seedlings and/or weed seeds. Herbicide technology requires knowledge on herbicides required for specific crops, weeds occurring and the environmental conditions in the cropping system. Use ONLY Recommended herbicides where need be.</t>
  </si>
  <si>
    <t>Use only PCPB-approved herbicides for Spider Plant, Follow label instructions strictly to avoid crop damage, Apply herbicides during recommended weather conditions, Wear appropriate personal protective equipment</t>
  </si>
  <si>
    <t>Mechanical weeding (Spider Plant)</t>
  </si>
  <si>
    <t>Safe Use of Agrochemicals (Spider Plant)</t>
  </si>
  <si>
    <t>Power tiller (Spider Plant)</t>
  </si>
  <si>
    <t>Wheeled Tractor less than 50Hp (Spider Plant)</t>
  </si>
  <si>
    <t>Mould board plough (Spider Plant)</t>
  </si>
  <si>
    <t>Disc Harrow (Spider Plant)</t>
  </si>
  <si>
    <t>AIV Planter (Spider Plant)</t>
  </si>
  <si>
    <t>Motorized Sprayer (Spider Plant)</t>
  </si>
  <si>
    <t>Power weeder (Spider Plant)</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</si>
  <si>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Spider Plant farmers. It is designed to weed specified spacing inter raw within Spider Plant.</t>
  </si>
  <si>
    <t>Back Pack Weeder (Spider Plant)</t>
  </si>
  <si>
    <t>It is a hand held machine that simultaneously cut the soil and weeds in AIV and is an intermediate technology machine appropriate for Small Holder Farmers. It is designed to weed specified spacing inter raw within Spider Plant.</t>
  </si>
  <si>
    <t>Back Spider Plant Harvester</t>
  </si>
  <si>
    <t>It is a hand held machine that simultaneously cut the vegetable leaves and is an intermediate technology machine appropriate for Small Holder Farmers. It is designed to harvest specified spacing inter raw within Spider Plant.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</si>
  <si>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Sorting and grading of Spider Plant</t>
  </si>
  <si>
    <t>Sorting is removal of diseased vegetables, vegetables with nutrient deficiencies symptoms (e.g. yellowing spots), weeds and debris. Grading is categorizing Spider Plant according to leaf size, weight, maturity, turgidity, physical damage, and market demand.</t>
  </si>
  <si>
    <t>Zero Energy Brick Cooler (Spider Plant)</t>
  </si>
  <si>
    <t>CoolBot™ (Spider Plant)</t>
  </si>
  <si>
    <t>It is a low cost postharvest temperature management that improved the shelf life of Spider Plant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</si>
  <si>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(Spider Plant)</t>
  </si>
  <si>
    <t>Modified Atmosphere Packaging of Spider Plant (Ziploc® and Xtend® bag packaging)</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</si>
  <si>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Spider Plant leaves for between 5-7 days.</t>
  </si>
  <si>
    <t>Postharvest handling and preservation (Spider Plant)</t>
  </si>
  <si>
    <t>Solar drying is a technique for preserving farm produce using solar energy either directly or indirectly. Indirect sun drying is recommended to enhance retention of nutrients. Two types of dryers are used which include cabinet solar drier and high tunnel/greenhouse solar dryers.</t>
  </si>
  <si>
    <t>solar drying, preservation, cabinet drier, greenhouse drier, nutrient retention, postharvest</t>
  </si>
  <si>
    <t>Spider Plant vegetable drying</t>
  </si>
  <si>
    <t>The technology involves drying of Spider Plant vegetables to remove excess moisture thus improving their shelf life.</t>
  </si>
  <si>
    <t>Proper drying prevents mold growth and spoilage, Temperature control is critical for nutrient retention, Rehydration quality depends on drying method, Storage conditions after drying affect shelf life</t>
  </si>
  <si>
    <t>vegetable drying, moisture removal, shelf life, preservation, solar drying, postharvest</t>
  </si>
  <si>
    <t>Recipe development for Spider Plant</t>
  </si>
  <si>
    <t>Recipes for the utilization and values added products for home consumption.</t>
  </si>
  <si>
    <t>Recipes may require adaptation to local tastes and ingredients, Nutritional content varies with preparation methods, Allergens and dietary restrictions should be considered, Food safety practices must be followed</t>
  </si>
  <si>
    <t>recipes, value addition, utilization, home consumption, food processing, nutrition</t>
  </si>
  <si>
    <t>Transformative Model of AIV production (Spider Plant)</t>
  </si>
  <si>
    <t>Building a Business Plan for Spider Plant</t>
  </si>
  <si>
    <t>Profitability analysis (Spider Plant)</t>
  </si>
  <si>
    <t>Profitability analysis involves recording of costs and returns and therefore determination of profit which indicates the performance of the Spider Plant agro-enterprise. Profit analysis detects whether the business is operating at a loss or gain, leading to low productivity.</t>
  </si>
  <si>
    <t>Marketing Innovation model Spider Plant Production and marketing</t>
  </si>
  <si>
    <t>Collective marketing (Spider Plant)</t>
  </si>
  <si>
    <t>Contracted production (Spider Plant)</t>
  </si>
  <si>
    <t>Digital marketing (Spider Plant)</t>
  </si>
  <si>
    <t>Market research (Spider Plant)</t>
  </si>
  <si>
    <t>Advocacy in farmers' participation in the National Agricultural Policy development and implementation (Spider Plant)</t>
  </si>
  <si>
    <t>Participation in the County Integrated Development Planning (Spider Plant)</t>
  </si>
  <si>
    <t>The County Integrated Development Planning builds a plan for each county in Kenya to be implemented in five years. The planning process is participatory, involving the development stakeholders in the county. It is during this planning period where the issues in Spider Plant production, marketing and processing are considered.</t>
  </si>
  <si>
    <t>Policy instruments related to Spider Plant production</t>
  </si>
  <si>
    <t>Policy cycle (Spider Plant)</t>
  </si>
  <si>
    <t>Good Agricultural Practices (GAP) (Spider Plant)</t>
  </si>
  <si>
    <t>Food Safety Management System: Hazard Analysis Critical Control Points (HACCP) Plan for Spider Plant Value Chain in Kenya</t>
  </si>
  <si>
    <t>Food safety management system (FSMS) through Hazard Analysis and Critical Control Point (HACCP) in Spider Plant value chain is a system of food safety monitoring and control based on the systematic identification and assessment of various hazards. It is a preventive, rather than a reactive, tool that places the protection of the Spider Plant supply from biological, chemical and physical hazards into the hands of food management systems. The system is designed to minimize the risk of food safety hazards by identifying the hazards, establishing controls and monitoring these controls.</t>
  </si>
  <si>
    <t>Cowpea Variety K80</t>
  </si>
  <si>
    <t>K80: - Released in 1998. Yield potential of 1.2 -1.8 t/ha under good management. Maturity period 80 -90 days. Creamy brown in color. Dual purpose variety for both grain and vegetable use.</t>
  </si>
  <si>
    <t>Verify variety suitability for your specific agro-ecological zone, Yield potential depends on good management practices including proper fertilization, Dual purpose use requires different harvesting approaches for grain vs leaves, Source certified seeds from reputable suppliers</t>
  </si>
  <si>
    <t>Cowpea K80, dual purpose, high yielding, creamy brown, 80-90 days, released 1998</t>
  </si>
  <si>
    <t>High yielding KVU27-1 (Cowpea)</t>
  </si>
  <si>
    <t>KVU27-1: - Released in 1998. Yield potential of 1.2 -1.8 t/ha under good management. Maturity period 80 -90 days. Red in colour. Dual purpose variety for both grain and vegetable use.</t>
  </si>
  <si>
    <t>KVU27-1, dual purpose, high yielding, red colour, 80-90 days, released 1998</t>
  </si>
  <si>
    <t>High yielding Kunde Tumaini (Cowpea)</t>
  </si>
  <si>
    <t>Kunde Tumaini: - Released in June, 2017. Yield potential of 1.5 -2.0 t/ha under good management. Maturity period 80 -90 days. Tolerant to Alectra vogelii parasitic weed which is a common in dry regions of eastern Kenya. Large seeded grain, deep brown in color with brown eye. Dual purpose variety for both grain and vegetable use. Developed using Farmer participatory variety selection.</t>
  </si>
  <si>
    <t>Alectra tolerance reduces but does not eliminate the need for field monitoring, Yield potential requires good management including proper weed control, Farmer participatory selection indicates good local adaptation, Large seeded grain may have specific market preferences</t>
  </si>
  <si>
    <t>Kunde Tumaini, Alectra tolerant, dual purpose, large seeded, farmer participatory, deep brown</t>
  </si>
  <si>
    <t>High yielding Kunde Faulu (Cowpea)</t>
  </si>
  <si>
    <t>Kunde Faulu, Alectra tolerant, dual purpose, large seeded, farmer participatory, deep brown</t>
  </si>
  <si>
    <t>High yielding Kunde soko (Cowpea)</t>
  </si>
  <si>
    <t>Kunde Soko, Alectra tolerant, dual purpose, large seeded, farmer participatory, creamy brown</t>
  </si>
  <si>
    <t>High yielding Kunde Tamu (Cowpea)</t>
  </si>
  <si>
    <t>Kunde Tamu: - Released in June, 2017. Yield potential of 1.5 -2.0 t/ha under good management. Early maturing takes 70 -80 days. Tolerant to Alectra vogelii parasitic weed which is a common in dry regions of eastern Kenya. Brown coat color with purple splashes and greenish eye around the hilum. Dual purpose variety for both grain and vegetable use. Developed using Farmer participatory variety selection.</t>
  </si>
  <si>
    <t>Alectra tolerance reduces but does not eliminate the need for field monitoring, Early maturity requires timely harvesting to prevent shattering, Farmer participatory selection indicates good local adaptation, Purple splashes may affect market acceptability in some regions</t>
  </si>
  <si>
    <t>Kunde Tamu, Alectra tolerant, dual purpose, early maturing, farmer participatory, purple splashes</t>
  </si>
  <si>
    <t>High yielding KAT Kunde (Cowpea)</t>
  </si>
  <si>
    <t>Alectra tolerance reduces but does not eliminate the need for field monitoring, Yield potential requires good management including proper weed control, Farmer participatory selection indicates good local adaptation, Verify official release status and seed availability</t>
  </si>
  <si>
    <t>KAT Kunde, Alectra tolerant, dual purpose, farmer participatory, creamy brown, greenish eye</t>
  </si>
  <si>
    <t>Formal Cowpea Seed System</t>
  </si>
  <si>
    <t>A Seed System is a set of activities contributing to variety development and seed production and delivery to farmers. The formal Cowpea Seed System is characterized by a well-regulated and organized set of activities, from breeding to delivering certified seeds of known and registered varieties to farmers and other stakeholders. It ensures continuous production, processing, supply and distribution of quality Cowpea seeds to farmers through organized marketing channels.</t>
  </si>
  <si>
    <t>Informal Cowpea Seed System (Cowpea)</t>
  </si>
  <si>
    <t>A Seed System is a set of activities contributing to variety development and seed production and delivery to farmers. The informal Cowpea Seed System entails seed selection, treatment, storage, multiplication, and distribution. The informal Cowpea Seed System is outside the control of government agencies, with no external seed quality control. This system includes farmer-saved seed, gifts, barter, exchange and seed purchasing from local markets.</t>
  </si>
  <si>
    <t>Semi-Informal Cowpea seed production system (Cowpea)</t>
  </si>
  <si>
    <t>Variety selection, Seed acquisition or Own Seed Selection, Planting, Weeding, Thinning, Fertilizer Application, Pest and Disease Management, Harvesting, Storage (Cowpea)</t>
  </si>
  <si>
    <t>This includes: Variety selection: Planting the recommended improved Cowpea variety suitable for target area and end use; Seed acquisition: Certified seed or training on proper own selection; Planting: Fine land preparation and early planting. May be planted on the flat. Spacing: mono-cropping 60cm x 20cm (semi-arid areas), High rainfall areas (30cm x 10-20cm). Plant 3-4 seeds per hill. Depth 4-5 cm. Seed rate 10-12 kg/acre. Weeding: Two weeks after germination. Thereafter the field should be kept weed free until the plants form own canopy. Thinning: 2-3 weeks after germination thin to 1-2 per hill. Harvesting: May be done by uprooting whole plants or over extended period. Whole plants may be harvested 4-5 weeks after germination. For prolonged leaf harvesting commences at 4-6 weeks after germination, then once every 2 weeks until onset of flowering. Seeds should be harvested at physiological maturity.</t>
  </si>
  <si>
    <t>Spacing varies significantly between semi-arid and high rainfall areas, Proper thinning is critical to avoid overcrowding and yield reduction, Harvest timing differs for leaf vs grain production, Physiological maturity for seed harvesting requires careful observation</t>
  </si>
  <si>
    <t>agronomic practices, spacing, thinning, weeding, harvesting, seed rate</t>
  </si>
  <si>
    <t>Mobile soil testing services (Cowpea)</t>
  </si>
  <si>
    <t>Integrated Soil Fertility Management (Cowpea)</t>
  </si>
  <si>
    <t>Integrated Manure Management (IMM) (Cowpea)</t>
  </si>
  <si>
    <t>Integrated Manure Management (IMM) is the optimal, site-specific handling of livestock manure from collection, through treatment and storage up to application to crops. Manure is obtained from different animals (poultry, cow, goat, horse) on the farm, but it can also be bought from other farmers or at the market. When managed properly, it provides plant nutrients, builds soil organic matter, and improves soil physical properties all of which are important for soil quality and crop production.</t>
  </si>
  <si>
    <t>Rain water Roof water catchment (Cowpea)</t>
  </si>
  <si>
    <t>Mulching (Cowpea)</t>
  </si>
  <si>
    <t>The practice of covering the soil/ground with natural materials such as straw, dead leaves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mulche decomposes).</t>
  </si>
  <si>
    <t>Solar Irrigation Systems for smallholder farmers (Cowpea)</t>
  </si>
  <si>
    <t>Drip irrigation system (Cowpea)</t>
  </si>
  <si>
    <t>Integrated Management of anthracnose disease in Cowpea</t>
  </si>
  <si>
    <t>Integrated management of anthracnose encompasses the use of various approaches in management of the diseases and are applied during pre-harvest stage. They include: cultural management, deployment of tolerant varieties and chemical control. Cultural practices: Use certified seeds; Practice crop rotation with non-legumes; Work in uninfected parts of the field first before the infected area; Avoid unnecessary movement in infected areas to minimize spread of the disease, disinfect farm implements after working from one field before proceeding to the other; Hot water treatment of grains at 54° for 10min. Chemical management: Applying fungicides from flower-bud formation stage until when pods are fully developed. The most susceptible stage is bud-formation, flowering period and early pod development. Spraying Carbendazim 500g or Mancozeb 2kg/ha soon after the appearance of disease and repeat after 15 days.</t>
  </si>
  <si>
    <t>Integrated Management of powdery mildew disease in Cowpea</t>
  </si>
  <si>
    <t>Integrated management of powdery mildew consists of several approaches applied in an integrated manner to break the disease cycle. These include: cultural management and chemical control. Cultural management options: Plant early using certified seeds; Practice crop rotation with non-legumes for a period of 2-3 seasons; Uproot and destroy severely affected plants, including weeds and volunteer crops by burying them deeply; Do not walk through your field during wet weather to prevent the spread of the disease from one plant to another. Chemical management options: Spraying copper based products such as copper oxychloride once initial symptoms are observed.</t>
  </si>
  <si>
    <t>Integrated Management of Cercospora leaf spot disease in Cowpea</t>
  </si>
  <si>
    <t>Integrated disease management for Cercospora leaf spot comprises of the use of cultural management practices, deployment of tolerant varieties and chemical control in the management of the disease in Cowpea. Cultural practices: Practice good field sanitation and hygiene practices by collecting and safely disposing infected plants; Regular weeding. Chemical management: Spray Mancozeb 2kg/ha or Carbendazim 500 g/ha.</t>
  </si>
  <si>
    <t>Cercospora leaf spot, tolerant varieties, cultural control, chemical control, field sanitation, Mancozeb</t>
  </si>
  <si>
    <t>Integrated Management of Cowpea Mosaic Virus (Cowpea)</t>
  </si>
  <si>
    <t>Integrated management of Cowpea Mosaic Virus consists of various approaches that help to break the disease cycle. They include cultural management and chemical control. Cowpea Mosaic Virus is associated with insect infestations that transmit the pathogen while sacking sap from plant tissues. The disease is effectively managed by controlling insect infestations. Cultural practices: Use of certified seed; Monitoring insect vectors that transmit the viruses; Avoiding work on fields when wet to prevent spread; Uprooting weeds that could serve as alternative hosts; Increase the seed rate (25 kg/ha). Chemical management: Treat the seeds with Thiomethoxam-70WS or Imidacloprid-70WS @4g/kg; Spray Thiamethoxam25WG @ 100g or Imidacloprid 17.8% SL @ 100 ml in 500 lit of water.</t>
  </si>
  <si>
    <t>Cowpea mosaic virus, viral disease, insect vectors, certified seeds, seed treatment, vector control</t>
  </si>
  <si>
    <t>Integrated Management of Bacterial blight disease in Cowpea</t>
  </si>
  <si>
    <t>Integrated management of Bacterial blight consists of various approaches that help to break the disease cycle. They cultural management and chemical control. Cultural practices: Use of certified seed; Practicing crop rotation with non-legume crops for 3-4 years; Uprooting and destroying infected plants/volunteers by burying deeply; Disinfecting farm tools in jik solution (50ml : litre); Avoidance of working in wet fields will be validated. Chemical management: To suppress the disease, spray copper oxychloride once initial symptoms are observed.</t>
  </si>
  <si>
    <t>Jik solution (1:20 ratio) must be prepared correctly, Long crop rotation (3-4 years) may not be feasible for small farms, Copper oxychloride requires careful application to avoid phytotoxicity, Certified seed reduces but does not eliminate disease risk</t>
  </si>
  <si>
    <t>bacterial blight, cultural control, chemical control, crop rotation, jik disinfection, copper oxychloride</t>
  </si>
  <si>
    <t>Integrated Management of Macrophomina root rot disease in Cowpea</t>
  </si>
  <si>
    <t>Integrated Management of Macrophomina root rot disease consists of various approaches that help to break the disease cycle. They include cultural management and chemical control. Cultural practices: Crop rotation with non-legumes for 6-8 seasons; Practicing field hygiene; Avoidance of excessive watering when irrigating; Avoid surface run off as it spreads the pathogen to non-infected areas; Uprooting infected plants and burying deeply to reduce inoculum; Disinfecting farm tools in jik solution (50 ml : litre) to prevent spread; Apply farm yard manure or green leaf manure (Gliricidia maculate) at 10 t/ha. Biological management: Applying rootgard, Trianum P and Trichotech. Chemical management: Treat the seeds with Carbendazim + Thiram at 2 g/kg or pellet the seeds with Trichoderma viride at 4 g/kg or Pseudomonas fluorescens @ 10g/kg of seed; Applying neem cake at 150 kg/ha.</t>
  </si>
  <si>
    <t>Long crop rotation (6-8 seasons) may not be feasible for small farms, Biological control agents require proper handling and storage, Seed treatment requires proper mixing and application, Neem cake application requires significant quantities</t>
  </si>
  <si>
    <t>Macrophomina root rot, cultural control, biological control, seed treatment, Trichoderma, crop rotation</t>
  </si>
  <si>
    <t>Integrated Management of Root Knot nematodes in Cowpea</t>
  </si>
  <si>
    <t>Root knot nematodes affecting Cowpeas are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</si>
  <si>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Integrated Management of White flies (Bemisia tabaci) (Cowpea)</t>
  </si>
  <si>
    <t>Timely application of integrated management options is required. The following cultural and chemical strategies are involved: Cultural practises: Ploughing in previous crop residue in the soil; Intercropping with non-host crop i.e. onion, garlic. Chemical management: Limited chemical use pesticides will conserve black ants that are predators and feed on nymphal stages of the whiteflies; Use of yellow sticky traps at the rate of 10-12 traps/ha to trap; Neem-based derivative products such as Nimbeidine, Achook, Neemark that do not contaminate the environment.</t>
  </si>
  <si>
    <t>Yellow sticky traps require regular monitoring and replacement, Intercropping requires additional land and management, Neem products require proper mixing and timing for effectiveness, Limited chemical use requires careful pest monitoring</t>
  </si>
  <si>
    <t>white flies, sticky traps, intercropping, neem products, biological control, integrated pest management</t>
  </si>
  <si>
    <t>Integrated Management of Blossom beetle (Cowpea)</t>
  </si>
  <si>
    <t>Integrated Blossom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Pest Control Products Board (PCPB). Synthetic pesticides should be used as the last option since most of them are detrimental to the environment.</t>
  </si>
  <si>
    <t>blossom beetle, cultural control, biological control, biopesticides, PCPB, integrated pest management</t>
  </si>
  <si>
    <t>Integrated Management of Cowpea Aphids (Cowpea)</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</si>
  <si>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Remove heavily infested plant parts and destroy by burning; Apply neem based products (e.g. neem oil 40ml/20lts of water, Achook) 2 times/month; Spray with soapy water solution. Chemical Control: Use only pest control products recommended by Pest Control Products Board (PCPB).</t>
  </si>
  <si>
    <t>Over-fertilization can attract aphids to nitrogen-rich plants, Flooding may not be suitable for all soil types, Neem products require proper mixing and regular application, Soapy water sprays may damage plants if concentration is too high</t>
  </si>
  <si>
    <t>Integrated Management of blister beetle (Cowpea)</t>
  </si>
  <si>
    <t>Integrated management of the beetle includes the use of various pest control strategies. The strategies include cultural, biological and chemical control. In order to realize an effective management program for this insect, one has to start chronologically from preventive to curative pest control measures i.e. from cultural to chemical control. It begins with the most environmentally friendly (cultural) strategy as you move towards harsh (chemical) pest control methods. This management practice starts with pest scouting/monitoring, pest identification and establishment of economic threshold and finally a decision is made on which pest control measures to use.</t>
  </si>
  <si>
    <t>Pest scouting requires regular and systematic monitoring, Economic threshold determination requires knowledge of pest damage levels, Cultural methods require consistent implementation, Chemical control should be the last resort</t>
  </si>
  <si>
    <t>blister beetle, pest scouting, economic threshold, cultural control, biological control, integrated pest management</t>
  </si>
  <si>
    <t>Integrated Management of Desert locust (Schistocerca gregaria) (Cowpea)</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</si>
  <si>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 Scouting and control of DL in recession (traditional breeding) regions will prevent infestation in invasion (non-traditional) regions. Scouting should be synchronized with early warning systems reports from FAO. Spray hopper bands using Metarhizium anisopliae based products.</t>
  </si>
  <si>
    <t>Requires coordinated regional response, Chemical pesticides must be applied following DLCO-EA guidelines, Biological control (Metarhizium) requires specific weather conditions, Early warning systems need reliable communication networks</t>
  </si>
  <si>
    <t>Integrated management of Bruchid on Cowpea (Cowpea)</t>
  </si>
  <si>
    <t>Integrated bean bruchid management consist of various approaches to prevent grain damage. Cultural practises: Sort grains and remove visibly damaged; Cover with plastic or store grains with husks; Use pheromone traps to attract weevils. Chemical management: Use repellent neem powder to repel.</t>
  </si>
  <si>
    <t>Sorting grains is labor-intensive and requires attention to detail, Plastic covering must be properly sealed to be effective, Pheromone traps require regular monitoring and replacement, Neem powder may need frequent reapplication</t>
  </si>
  <si>
    <t>bruchid, grain storage, pheromone traps, neem powder, sorting, pest management</t>
  </si>
  <si>
    <t>Integrated management of Cut worms on Cowpea</t>
  </si>
  <si>
    <t>Hand picking is labor-intensive and requires vigilance, Flooding is not suitable for all soil types, Ash application may alter soil pH, Molasses can attract other pests</t>
  </si>
  <si>
    <t>Integrated Management of Thrips on Cowpea</t>
  </si>
  <si>
    <t>Integrated management (IPM) of thrips involves the use of a combination of cultural, biological and chemical control methods. These are: Cultural Control: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Use blue sticky cardboard traps to attract thrips. Biological control: Apply biocontrol agents e.g Beauivtech WP (Beauveria bassiana) or Bio-Power 1.5L (Beauveria bassiana), or Botanigard ES (Azadirachtin); Spray neem based products like neemroc EC and nimbecidine (Azadirachtin) use 1 lts/acre. Chemical Control: Spray with Spinosad based products eg tracer 480 SC at 4mls per 20lts of water or lambda cyhalothrin products at 7ml per 20l of water or duduthrin at 65mls per 20l of water or Karate at 20gms/20l. Use synthetic insecticides with PHI of 3 days or less since garden pea is harvesting at very short intervals.</t>
  </si>
  <si>
    <t>Overhead irrigation may promote fungal diseases in some conditions, Blue sticky traps need regular replacement, Biocontrol agents require proper handling and storage, Always observe pre-harvest intervals when applying synthetic insecticides</t>
  </si>
  <si>
    <t>thrips, sticky traps, biocontrol, neem products, overhead irrigation, integrated pest management</t>
  </si>
  <si>
    <t>Integrated management of leaf and pod sucking bugs on Cowpea</t>
  </si>
  <si>
    <t>Integrated management of Pod sucking bugs consist of various approaches to prevent plant damage. Cultural Control: Bugs can be collected by hand regularly and killed, especially during flowering and pod formation; Conserve natural enemies such as assassin bugs, spiders, praying mantises and ants. Biological control: Spray Neem products in the morning when the immature stages are exposed.</t>
  </si>
  <si>
    <t>pod sucking bugs, hand collection, natural enemies, neem spray, flowering stage, pod formation</t>
  </si>
  <si>
    <t>Integrated management of red spider mites on Cowpea</t>
  </si>
  <si>
    <t>Integrated management of spider mites consists of several approaches applied in an integrated manner to break the cycle of the insect. These include: Cultural Control: Keep the farm weed free from the alternative hosts such as solanum family crops that may harbour red spider mites; Avoid planting Cowpea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Conserve natural enemies. Chemical Control: Spray with abamectin 18g/kg based synthetic pesticides or Amitraz 200g/L based miticides.</t>
  </si>
  <si>
    <t>red spider mites, cultural control, biological control, predatory mites, overhead irrigation, neem extract</t>
  </si>
  <si>
    <t>Safe Use of Agrochemicals (Cowpea)</t>
  </si>
  <si>
    <t>Power tiller (Cowpea)</t>
  </si>
  <si>
    <t>Wheeled Tractor less than 50Hp (Cowpea)</t>
  </si>
  <si>
    <t>Mould board plough (Cowpea)</t>
  </si>
  <si>
    <t>Disc Harrow (Cowpea)</t>
  </si>
  <si>
    <t>AIV Planter (Cowpea)</t>
  </si>
  <si>
    <t>Motorized Sprayer (Cowpea)</t>
  </si>
  <si>
    <t>Power weeder (Cowpea)</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</si>
  <si>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Cowpea farmers. It is designed to weed specified spacing inter raw within Cowpea.</t>
  </si>
  <si>
    <t>Back Pack Weeder (Cowpea)</t>
  </si>
  <si>
    <t>It is a hand held machine that simultaneously cut the soil and weeds in Cowpea and is an intermediate technology machine appropriate for Small Holder Farmers. It is designed to weed specified spacing inter raw within Cowpea.</t>
  </si>
  <si>
    <t>Back AIVs Harvester (Cowpea)</t>
  </si>
  <si>
    <t>It is a hand held machine that simultaneously cut the vegetable leaves and is an intermediate technology machine appropriate for Small Holder Farmers. It is designed to harvest specified spacing inter raw within Cowpea.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</si>
  <si>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Cowpea sorting and grading (Cowpea)</t>
  </si>
  <si>
    <t>Sorting involves removal of diseased vegetables, vegetables with nutrient deficiencies signs (e.g. yellowing spots), weeds and debris. Grading is categorization of vegetables according to leaf size, weight, maturity, turgidity, physical damage, and market demand.</t>
  </si>
  <si>
    <t>Zero Energy Brick Cooler (Cowpea)</t>
  </si>
  <si>
    <t>CoolBot™ (Cowpea)</t>
  </si>
  <si>
    <t>It is a low cost postharvest temperature management that improved the shelf life of banana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</si>
  <si>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(Cowpea)</t>
  </si>
  <si>
    <t>Modified Atmosphere Packaging of cow pea (Ziploc® and Xtend® bag packaging) (Cowpea)</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</si>
  <si>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Cowpea vegetables to between 5-7 days.</t>
  </si>
  <si>
    <t>Cowpea solar drying (Cowpea)</t>
  </si>
  <si>
    <t>Solar drying involves removal of excess moisture in Cowpea leaves hence increase the shelf life and reduce bulkiness during marketing. The methods used in drying include cabinet solar dryer, greenhouse solar dryer and De-hytray.</t>
  </si>
  <si>
    <t>Utilization of Cowpea leaves for high nutritional and medicinal properties (Cowpea)</t>
  </si>
  <si>
    <t>Value addition of Cowpea leaves increases available products that can be consumed. Value addition also improves palatability of Cowpea.</t>
  </si>
  <si>
    <t>Nutritional content varies with preparation methods, Palatability improvements may require recipe adaptation, Allergens and dietary restrictions should be considered, Food safety practices must be followed</t>
  </si>
  <si>
    <t>value addition, Cowpea leaves, nutrition, palatability, food processing, utilization</t>
  </si>
  <si>
    <t>Transformative Model of AIV production (Cowpea)</t>
  </si>
  <si>
    <t>Building a Business Plan for AIVs (Cowpea)</t>
  </si>
  <si>
    <t>Profitability analysis (Cowpea)</t>
  </si>
  <si>
    <t>Profitability analysis involves recording of costs and returns and therefore determination of profit which indicates the performance of the agro-enterprise. Profit analysis detects whether the business is operating at a loss or gain, leading to low productivity.</t>
  </si>
  <si>
    <t>Marketing Innovation model for the AIV Production and marketing (Cowpea)</t>
  </si>
  <si>
    <t>Collective marketing (Cowpea)</t>
  </si>
  <si>
    <t>Contracted production (Cowpea)</t>
  </si>
  <si>
    <t>Digital marketing (Cowpea)</t>
  </si>
  <si>
    <t>Market research (Cowpea)</t>
  </si>
  <si>
    <t>Advocacy in farmers' participation in the National Agricultural Policy development and implementation (Cowpea)</t>
  </si>
  <si>
    <t>Participation in the County Integrated Development Planning (Cowpea)</t>
  </si>
  <si>
    <t>The County Integrated Development Planning builds a plan for each county in Kenya to be implemented in five years. The planning process is participatory, involving the development stakeholders in the county. It is during this planning period where the issues in Cowpea production, marketing and processing are considered.</t>
  </si>
  <si>
    <t>Policy instruments related to AIV production (Cowpea)</t>
  </si>
  <si>
    <t>Policy cycle (Cowpea)</t>
  </si>
  <si>
    <t>Good Agricultural Practices (GAP) (Cowpea)</t>
  </si>
  <si>
    <t>Food Safety Management System: Hazard Analysis Critical Control Points (HACCP) Plan for AIVs Value Chain in Kenya (Cowpea)</t>
  </si>
  <si>
    <t>Food safety management system (FSMS) through Hazard Analysis and Critical Control Point (HACCP) in AIVs value chain is a system of food safety monitoring and control based on the systematic identification and assessment of various hazards. It is a preventive, rather than a reactive, tool that places the protection of the Cowpea supply from biological, chemical and physical hazards into the hands of food management systems. The system is designed to minimize the risk of food safety hazards by identifying the hazards, establishing controls and monitoring these controls.</t>
  </si>
  <si>
    <t>KK Mrambi (Ex-Zim) Amaranth</t>
  </si>
  <si>
    <t>Improved variety: High yielding at 5-10 t/ha. Long periods of harvesting (2 months). Tall variety. Area of production 200-2000 masl. High calcium, magnesium and zinc contents.</t>
  </si>
  <si>
    <t>Verify altitude suitability (200-2000 masl) before planting, High yields depend on good management including proper fertilization, Long harvesting period requires regular leaf plucking to maintain productivity, Nutritional content varies with soil fertility and agronomic practices</t>
  </si>
  <si>
    <t>high yielding, tall variety, long harvest, high calcium, magnesium, zinc</t>
  </si>
  <si>
    <t>KK Livokoyi (AC 38) (Amaranth)</t>
  </si>
  <si>
    <t>Yield 5-10 t/ha. High calcium, magnesium and zinc contents. Long periods of harvesting (2 months). Not bitter in taste. Area of production 200-2000 masl.</t>
  </si>
  <si>
    <t>Verify altitude suitability (200-2000 masl) before planting, Mild taste may vary with growing conditions and soil type, Long harvesting period requires regular maintenance and pest monitoring, Nutritional content varies with soil fertility</t>
  </si>
  <si>
    <t>high yielding, mild taste, long harvest, high calcium, magnesium, zinc</t>
  </si>
  <si>
    <t>KATVeg Amaranth 1 (Amaranth)</t>
  </si>
  <si>
    <t>Highly nutritious variety which contains vitamins A, B complex, C, D, E and K, calcium, iron, phosphorus, potassium magnesium and zinc. Drought tolerant. Fast growing (food security crop). Require minimal inputs. High yielding - 10 t/ha-1. High consumer acceptability – very tasty. Widely adopted. Wide harvesting intervals. Attacked by few pests and diseases.</t>
  </si>
  <si>
    <t>Drought tolerance does not eliminate need for irrigation during extreme dry spells, Minimal inputs still require basic soil fertility management, Wide harvesting intervals require regular monitoring for optimal harvest timing, Verify variety availability and official release status</t>
  </si>
  <si>
    <t>highly nutritious, drought tolerant, fast growing, high yielding, wide harvesting, consumer acceptability</t>
  </si>
  <si>
    <t>Formal Amaranth Seed System</t>
  </si>
  <si>
    <t>A Seed System is a set of activities contributing to variety development and seed production and delivery to farmers. The formal Amaranth Seed System is characterized by a well-regulated and organized set of activities, from breeding to delivering certified seeds of known and registered varieties to farmers and other stakeholders. It ensures continuous production, processing, supply and distribution of quality Amaranth seeds to farmers through organized marketing channels.</t>
  </si>
  <si>
    <t>Informal Amaranth Seed System</t>
  </si>
  <si>
    <t>A Seed System is a set of activities contributing to variety development and seed production and delivery to farmers. The informal Amaranth Seed System entails seed selection, treatment, storage, multiplication, and distribution. The informal Amaranth Seed System is outside the control of government agencies, with no external seed quality control. This system includes farmer-saved seed, gifts, barter, exchange and seed purchasing from local markets.</t>
  </si>
  <si>
    <t>Semi-Informal Amaranth seed production system</t>
  </si>
  <si>
    <t>Variety selection, Seed acquisition or Own Seed Selection, Planting, Weeding, Thinning, Fertilizer Application, Pest and Disease Management and Harvesting (Amaranth)</t>
  </si>
  <si>
    <t>This includes: Seed acquisition: Certified seed or training on proper own selection. Land preparation: Vegetable amaranth is small seeded hence fine seedbed is required for excellent crop emergence. Two operations, ploughing and Harrowing are necessary to achieve fine tilth. Soil fertility Management: Farm yard manure application at the rate of 10 ton/ha-1. Planting: Early planting before on-set rains is highly recommended. Seed rate 2-3 Kg/acre. Since Amaranth seeds are very small, seeds are mixed with sand at a ratio of 1g seed to 100g sand for easy sowing &amp; uniform stand. For drilling, make furrows 0.5 to 1.0 cm deep &amp; space rows 10 cm apart on the bed. Drill the seeds in the furrows and cover with soil mixed with compost. Weeding: Keep the crop weed free until it is well established. Thereafter weed as necessary. Thinning: Subsequent thinning should be done until the onset of heading, leaving one plant at an intra-row spacing of 25 cm apart. Harvesting: Leaf harvesting commences at four weeks after germination, then once every 2 weeks for two months. Seed harvesting and drying.</t>
  </si>
  <si>
    <t>Fine seedbed preparation is critical due to small seed size, Seed-sand mixing ratio (1:100) must be accurate for uniform sowing, Shallow planting depth (0.5-1.0 cm) requires careful execution, Thinning to 25 cm spacing is essential to avoid overcrowding</t>
  </si>
  <si>
    <t>agronomic practices, fine seedbed, seed-sand mixing, thinning, farm yard manure, harvesting</t>
  </si>
  <si>
    <t>Rapid Soil Testing Services (Amaranth)</t>
  </si>
  <si>
    <t>This is a dry method for soil testing using the interaction of electromagnetic radiation with matter to characterize biochemical composition of a soil and/or plant tissue. It does not require the routine laboratory analysis using chemicals. When a sample is run through a scanner, soil testing results are generated with accompanying recommendations instantly. However, the method requires partners involved (ICRAF, iSDA and SoilCares) to work closely with KALRO and county agricultural officers to sensitize farmers to embrace the testing method. This innovation will involve working closely with agronomists to generate specific fertilizer recommendation driven by soil and crop data obtained.</t>
  </si>
  <si>
    <t>Soil scanners require regular calibration for accuracy, Samples must be collected properly to represent the field, Results should be interpreted with expert guidance, Technology requires collaboration with multiple partners for effectiveness</t>
  </si>
  <si>
    <t>rapid soil testing, dry method, scanner technology, fertilizer recommendation, agronomists, soil fertility</t>
  </si>
  <si>
    <t>Integrated Soil Fertility Management (ISFM) (Amaranth)</t>
  </si>
  <si>
    <t>A set of soil fertility management practices that include the use of fertilizers, locally available organic inputs and improved seed and good agronomic practices to adapt to local conditions. ISFM places emphasis on the importance of using often scarce resources like fertilizer and organic inputs efficiently through techniques such as fertilizer banding (field application of fertilizer directly in area of root-zone to increase the potential for uptake) and micro dosing (applying small quantities of fertilizer with the seed at planting time and a few weeks after emergence).</t>
  </si>
  <si>
    <t>Requires soil testing to determine specific nutrient needs, Fertilizer banding requires careful placement to avoid root damage, Micro dosing requires accurate measurement of small quantities, Site-specific adaptation is critical for success</t>
  </si>
  <si>
    <t>soil fertility, fertilizer banding, micro dosing, organic inputs, improved seed, agronomic practices</t>
  </si>
  <si>
    <t>Integrated Manure Management (IMM) (Amaranth)</t>
  </si>
  <si>
    <t>Rain water Roof water catchment (Amaranth)</t>
  </si>
  <si>
    <t>Mulching (Amaranth)</t>
  </si>
  <si>
    <t>The practice of covering the soil/ground with natural materials such as straw, dead leaves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 decomposes).</t>
  </si>
  <si>
    <t>Solar Irrigation Systems for smallholder farmers (Amaranth)</t>
  </si>
  <si>
    <t>Drip Irrigation Systems for smallholder farmers (Amaranth)</t>
  </si>
  <si>
    <t>This is a technology that supplies water to plants grown in solid substrates in small controlled drops. It allows the optimal usage of the limited water resource by dripping water slowly into the crop roots at low pressure through a number of emission points (drippers). Drip system saves water by minimizing evaporation losses and delivering water at the root zone where it is required. It also provides the opportunity for farmers to increase crop yields. It's easy to design and operated. The layout can either be above surface or buried below the surface. System provides efficient fertilizer usage (fertigation) with irrigation water.</t>
  </si>
  <si>
    <t>Integrated Management of anthracnose disease in Amaranth</t>
  </si>
  <si>
    <t>Integrated management of anthracnose encompasses the use of various approaches in management of the diseases and are applied during pre-harvest stage. They include: cultural management, deployment of tolerant varieties and chemical control. Cultural practices: Use certified seeds; Practice crop rotation with non-legumes; Work in uninfected parts of the field first before the infected area; Avoid unnecessary movement in infected areas to minimize spread of the disease, disinfect farm implements after working from one field before proceeding to the other; Hot water treatment of grains at 54° for 10min. Chemical management: Applying fungicides from flower-bud formation stage until when pods are fully developed; Spraying Carbendazim 500g or Mancozeb 2kg/ha soon after the appearance of disease and repeat after 15 days; Spraying other fungicides such as Copper based fungicides, Trifloxystrobin + Tebuconazole based fungicides, or Carbendazim based fungicides in strict adherence to manufacturer's instructions.</t>
  </si>
  <si>
    <t>Integrated Management of powdery mildew disease in Amaranth</t>
  </si>
  <si>
    <t>Integrated management of powdery mildew consists of several approaches applied in an integrated manner to break the disease cycle. These include: cultural management and chemical control. Cultural management options: Plant early using certified seeds; Practice crop rotation with non-legumes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</si>
  <si>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Integrated Management of Bacterial blight disease (Amaranth)</t>
  </si>
  <si>
    <t>Integrated Management of Wet rot disease of Amaranths</t>
  </si>
  <si>
    <t>Integrated sooty mold management consists of various approaches that help to break the disease cycle. They cultural management and chemical control. Sooty mold is associated with insect infestations that excreta sugary excreta which provides sugars for fungal growth on the plant. Disease is effectively managed by controlling insect infestations. Cultural practices: Crop rotation with non-legumes for 6-8 seasons; Practicing field hygiene; Avoidance of excessive watering when irrigating; Avoid surface run off as it spreads the pathogen to non-infected areas; Uprooting infected plants and burying deeply to reduce inoculum; Disinfecting farm tools in jik solution (50 ml : litre) to prevent spread; Apply farm yard manure or green leaf manure (Gliricidia maculate) at 10 t/ha. Biological management: Applying rootgard, Trianum P and Trichotech. Chemical management: Treat the seeds with Carbendazim + Thiram at 2 g/kg or pellet the seeds with Trichoderma viride at 4 g/kg or Pseudomonas fluorescens @ 10g/kg of seed; Applying neem cake at 150 kg/ha.</t>
  </si>
  <si>
    <t>wet rot, cultural control, biological control, seed treatment, Trichoderma, crop rotation</t>
  </si>
  <si>
    <t>Integrated management of Damping off disease in Amaranth</t>
  </si>
  <si>
    <t>Integrated management of Panicle black mold (Amaranth)</t>
  </si>
  <si>
    <t>Integrated management of head and kernel smut diseases consists of several approaches applied in an integrated manner to break the disease cycle. These include: cultural management and chemical control. Cultural management options: Plant early using certified seeds; Practice crop rotation with non-legumes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</si>
  <si>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Copper-based fungicides require careful application, Early planting may not be possible in all areas, Field sanitation requires consistent effort, Disease symptoms must be detected early for effective control</t>
  </si>
  <si>
    <t>panicle black mold, cultural control, chemical control, copper fungicides, field sanitation, crop rotation</t>
  </si>
  <si>
    <t>Integrated Management of Root Knot nematodes in Amaranth</t>
  </si>
  <si>
    <t>Root knot nematodes affecting Amaranths are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</si>
  <si>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Integrated Management of Pig weed beetle (Amaranth)</t>
  </si>
  <si>
    <t>Integrated pig weed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Pest Control Products Board (PCPB). Synthetic pesticides should be used as the last option since most of them are detrimental to the environment.</t>
  </si>
  <si>
    <t>pig weed beetle, cultural control, biological control, biopesticides, PCPB, integrated pest management</t>
  </si>
  <si>
    <t>Integrated Management of Aphids (Amaranth)</t>
  </si>
  <si>
    <t>Integrated Management of Desert locust (Schistocerca gregaria) (Amaranth)</t>
  </si>
  <si>
    <t>Integrated management of Cut worms on Amaranth</t>
  </si>
  <si>
    <t>Integrated management of red spider mites on Amaranth</t>
  </si>
  <si>
    <t>Integrated management of spider mites consists of several approaches applied in an integrated manner to break the cycle of the insect. These include: Cultural Control: Keep the farm weed free from the alternative hosts such as solanum family crops that may harbour red spider mites; Avoid planting Amaranth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Conserve natural enemies. Chemical Control: Spray with abamectin 18g/kg based synthetic pesticides or Amitraz 200g/L based miticides.</t>
  </si>
  <si>
    <t>Integrated management of Leaf miner (Liriomyza sp) (Amaranth)</t>
  </si>
  <si>
    <t>Integrated management of leaf miner applies a combination of several approaches to manage the pest cycle. These include: cultural, biological and chemical control. Cultural Control: Plant clean seedlings free from all stages of the moth; Rotate with non-host crops such as maize, beans and cabbages; Remove and bury all infested plants, foliage and infected crop residues in a deep pit (over 1m); Remove infested leaves before the caterpillar pupates inside and becomes an egg-laying adult. Bio-control: Use of Bacillus thuringiensis at recommended rates; Use of Pheromone traps; Use sticky traps - 24 pcs/acre. Chemical Control: Spray spinetoram (Radiant 120 SC(R)) at rate of 18-30ml/20lts of water; Chlorantraniliprol (Corragen 20 SC(R)) at rate of 2ml/20lts of water; Belt insecticide.</t>
  </si>
  <si>
    <t>Integrated management of leaf caterpillar in Amaranth</t>
  </si>
  <si>
    <t>Leaf eating caterpillar affecting amaranth is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</si>
  <si>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leaf caterpillar, crop rotation, soil solarization, biological control, neem products, cultural control</t>
  </si>
  <si>
    <t>Integrated Weed Management (AIVs) (Amaranth)</t>
  </si>
  <si>
    <t>Integrated weed management (IWM) is using of several weed approaches such as preventive, physical control, biological control, use of biodegradable mulch, cultural, mechanical and chemical control the management of weeds. Physical control is the removal of weeds manually or mechanical means, such as hand weeding or mowing. Biological control is where you graze by big animals. Chemical control is where appropriate herbicides are used to control weeds. Cultural control includes the practice of crop rotation since various crops may influence the diversity and abundance of particular weed flora.</t>
  </si>
  <si>
    <t>Land Preparation Practices to control weeds in AIVs (Amaranth)</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</si>
  <si>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Amaranth seeds. We recommended this to be 3-4 weeks before the rain commence. For no till choose appropriate herbicides and follow the manufacturers label and recommendations specific to each herbicide.</t>
  </si>
  <si>
    <t>Legume Intercropping System (AIVs) (Amaranth)</t>
  </si>
  <si>
    <t>Innovative Legume Intercropping System is the growing of legumes crops such as Cowpea with Amaranth in a field at the same time, as a tool to enhance agricultural production and to obtain efficient land use. Legumes benefit the main crop (Amaranth) by replenishing soil nitrogen, smothering weeds and retaining soil moisture.</t>
  </si>
  <si>
    <t>Competition between crops for water, nutrients and light can reduce yields, Requires careful selection of compatible crop varieties, Increased labor for management and harvesting, May complicate mechanization and pesticide application</t>
  </si>
  <si>
    <t>AIVs Intercropping (Amaranth)</t>
  </si>
  <si>
    <t>Intercropping of Amaranth is the practice of planting Amaranth between other crops between rows such as cereal (maize, millets), tubers (cassava), and bananas. Intercropping must be planned to use space available and smother the weeds.</t>
  </si>
  <si>
    <t>Mulching (AIVs Weed Control) (Amaranth)</t>
  </si>
  <si>
    <t>The practice of covering the soil/ground with natural materials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Amaranth. Only black mulches should be used to control weeds. Benefits: Organic mulches suppress weeds while retaining moisture in the soil; keep the soil cool; improve soil fertility (as the mulches decompose) and improves microclimate hence increasing biodiversity. Synthetic mulches will solarize soils, control weed seedlings and weed seeds.</t>
  </si>
  <si>
    <t>Chemical Weed Control (AIVs) (Amaranth)</t>
  </si>
  <si>
    <t>Use only PCPB-approved herbicides for amaranth, Follow label instructions strictly to avoid crop damage, Apply herbicides during recommended weather conditions, Wear appropriate personal protective equipment</t>
  </si>
  <si>
    <t>Mechanical weeding (AIVs) (Amaranth)</t>
  </si>
  <si>
    <t>Safe Use of Agrochemicals (AIVs) (Amaranth)</t>
  </si>
  <si>
    <t>Power tiller (AIVs) (Amaranth)</t>
  </si>
  <si>
    <t>Wheeled Tractor less than 50Hp (AIVs) (Amaranth)</t>
  </si>
  <si>
    <t>Mould board plough (AIVs) (Amaranth)</t>
  </si>
  <si>
    <t>Disc Harrow (AIVs) (Amaranth)</t>
  </si>
  <si>
    <t>AIV Planter (Amaranth)</t>
  </si>
  <si>
    <t>Motorized Sprayer (AIVs) (Amaranth)</t>
  </si>
  <si>
    <t>Power weeder (AIVs) (Amaranth)</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</si>
  <si>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Amaranth farmers. It is designed to weed specified spacing inter raw within Amaranthus.</t>
  </si>
  <si>
    <t>Back Pack Weeder (AIVs) (Amaranth)</t>
  </si>
  <si>
    <t>It is a hand held machine that simultaneously cut the soil and weeds in Amaranth and is an intermediate technology machine appropriate for Small Holder Farmers. It is designed to weed specified spacing inter raw within Amaranth.</t>
  </si>
  <si>
    <t>Back AIVs Harvester (Amaranth)</t>
  </si>
  <si>
    <t>It is a hand held machine that simultaneously cut the vegetable leaves and is an intermediate technology machine appropriate for Small Holder Farmers. It is designed to harvest specified spacing inter raw within Amaranth.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</si>
  <si>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Amaranth sorting and grading</t>
  </si>
  <si>
    <t>Sorting is removal of infected vegetables, vegetables with yellowing spots, weeds and debris. Grading is grouping of Amaranth according to leaf size, weight, maturity, turgidity, physical damage, and market demand.</t>
  </si>
  <si>
    <t>Zero Energy Brick Cooler (Amaranth)</t>
  </si>
  <si>
    <t>CoolBot™ (Amaranth)</t>
  </si>
  <si>
    <t>It is a low cost postharvest temperature management that improved the shelf life of Amaranth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</si>
  <si>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(Amaranth)</t>
  </si>
  <si>
    <t>Modified Atmosphere Packaging of AIVs (Ziploc® and Xtend® bag packaging) (Amaranth)</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</si>
  <si>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African Nightshade for between 5-7 days.</t>
  </si>
  <si>
    <t>Amaranth solar drying</t>
  </si>
  <si>
    <t>Solar drying involves drying of Amaranth where cabinet solar dryer, greenhouse solar dryer and dehytray are used.</t>
  </si>
  <si>
    <t>Transformative Model of AIV  production (Amaranth)</t>
  </si>
  <si>
    <t>Building a Business Plan for AIVs (Amaranth)</t>
  </si>
  <si>
    <t>Profitability analysis for AIVs (Amaranth)</t>
  </si>
  <si>
    <t>Marketing Innovation model for AIVs: Production and marketing (Amaranth)</t>
  </si>
  <si>
    <t>Collective marketing of AIVs (Amaranth)</t>
  </si>
  <si>
    <t>Contracted production of AIVs (Amaranth)</t>
  </si>
  <si>
    <t>Digital marketing of AIVs (Amaranth)</t>
  </si>
  <si>
    <t>Market research for AIVs (Amaranth)</t>
  </si>
  <si>
    <t>Advocacy in farmers' participation in the National Agricultural Policy development and implementation (Amaranth)</t>
  </si>
  <si>
    <t>Participation in the County Integrated Development Planning (Amaranth)</t>
  </si>
  <si>
    <t>The County Integrated Development Planning builds a plan for each county in Kenya to be implemented in five years. The planning process is participatory, involving the development stakeholders in the county. It is during this planning period where the issues in Amaranth production, marketing and processing are considered.</t>
  </si>
  <si>
    <t>Policy instruments related to AIV production (Amaranth)</t>
  </si>
  <si>
    <t>Policy cycle for AIVs (Amaranth)</t>
  </si>
  <si>
    <t>Good Agricultural Practices (GAP) (Amaranth)</t>
  </si>
  <si>
    <t>Food Safety Management System: Hazard Analysis Critical Control Points (HACCP) Plan for AIVs Value Chain in Kenya (Amaranth)</t>
  </si>
  <si>
    <t>Food safety management system (FSMS) through Hazard Analysis and Critical Control Point (HACCP) in Amaranth value chain is a system of food safety monitoring and control based on the systematic identification and assessment of various hazards. It is a preventive, rather than a reactive, tool that places the protection of the Amaranth supply from biological, chemical and physical hazards into the hands of food management systems. The system is designed to minimize the risk of food safety hazards by identifying the hazards, establishing controls and monitoring these controls.</t>
  </si>
  <si>
    <t>KK Bigi (African Nightshade)</t>
  </si>
  <si>
    <t>An improved African Nightshade variety released in 2017. Has large green leaves, is high yielding (15 t/ha-1) and can be harvested for 2 months. Very nutritious and rich in calcium, zinc and magnesium. Has a mild taste. Area of production is 250-2000 masl.</t>
  </si>
  <si>
    <t>Verify altitude suitability (250-2000 masl) before planting, High yields depend on good management including proper fertilization, Long harvesting period requires regular leaf plucking to maintain productivity, Nutritional content varies with soil fertility and agronomic practices</t>
  </si>
  <si>
    <t>high yielding, large leaves, mild taste, 2-month harvest, calcium rich, released 2017</t>
  </si>
  <si>
    <t>KK Ayaro (African Nightshade)</t>
  </si>
  <si>
    <t>Has large green leaves. It is high yielding (15 t/ha-1). It is early maturing with short harvesting period. Very nutritious and rich in calcium, iron, magnesium. Has mild taste.</t>
  </si>
  <si>
    <t>Early maturity requires timely harvesting to prevent quality loss, Short harvesting period may limit total yield, Nutritional content varies with soil fertility, Verify variety availability and official release status</t>
  </si>
  <si>
    <t>large leaves, high yielding, early maturing, mild taste, calcium iron magnesium, nutritious</t>
  </si>
  <si>
    <t>Abuku mnavu-1 (African Nightshade)</t>
  </si>
  <si>
    <t>Green Scrabrum. High yielding (20-40 t/ha-1). Maturity time 5 weeks. Harvesting duration 8 weeks. Very high anti-oxidant activity. Has a mild taste. Released in 2016. Growing area 100-2500 masl.</t>
  </si>
  <si>
    <t>Verify altitude suitability (100-2500 masl) before planting, High yields depend on good management including proper fertilization, High anti-oxidant content may vary with growing conditions, Source certified seeds from reputable suppliers</t>
  </si>
  <si>
    <t>Green Scrabrum, high yielding, 5-week maturity, high anti-oxidant, mild taste, released 2016</t>
  </si>
  <si>
    <t>Abuku Mnavu2 (African Nightshade)</t>
  </si>
  <si>
    <t>High leaf yields (20-40 t/ha-1). Maturity time 5 weeks. Harvesting duration 8 weeks. Very high anti-oxidant activity. Purple Scrabrum. Areas of production 250-2000 masl.</t>
  </si>
  <si>
    <t>Verify altitude suitability (250-2000 masl) before planting, Purple coloration may affect market acceptability in some regions, High anti-oxidant content may vary with growing conditions, Source certified seeds from reputable suppliers</t>
  </si>
  <si>
    <t>Purple Scrabrum, high yielding, 5-week maturity, high anti-oxidant, 8-week harvest, 250-2000 masl</t>
  </si>
  <si>
    <t>Formal African Nightshade Seed System</t>
  </si>
  <si>
    <t>A Seed System is a set of activities contributing to variety development and seed production and delivery to farmers. The formal African Nightshade Seed System is characterized by a well-regulated and organized set of activities, from breeding to delivering certified seeds of known and registered varieties to farmers and other stakeholders. It ensures continuous production, processing, supply and distribution of quality African Nightshade seeds to farmers through organized marketing channels.</t>
  </si>
  <si>
    <t>Informal African Nightshade Seed System</t>
  </si>
  <si>
    <t>A Seed System is a set of activities contributing to variety development and seed production and delivery to farmers. The informal African Nightshade Seed System entails seed selection, treatment, storage, multiplication, and distribution. The informal African Nightshade Seed System is outside the control of government agencies, with no external seed quality control. This system includes farmer-saved seed, gifts, barter, exchange and seed purchasing from local markets.</t>
  </si>
  <si>
    <t>Semi-Informal African Nightshade seed production system</t>
  </si>
  <si>
    <t>Variety selection, Seed acquisition or Own Seed Selection, Planting, Weeding, Thinning, Fertilizer Application, Pest and Disease Management, Harvesting, Storage (African Nightshade)</t>
  </si>
  <si>
    <t>This includes: seed acquisition: Certified seed or training on proper own selection. Land preparation: Plough deeply and harrow to obtain fine seedbed. Raising Seedlings: Use of clean seed is recommended due to high incidences of seed borne diseases. Seed Rate: 50 g per acre. Nursery Site Selection: The nursery should be located in a plot that has not been planted with crops in the Solanaceae family for at least three (3) years. Nursery Establishment: Involves site preparation, construction of nursery infrastructure and basic nursery tools. Management of Nursery: Adequate watering is essential for proper growth. Weeding: Keep the crop weed free until it is well established. Thinning: Subsequent thinning should be done until the onset of heading, leaving one plant at an intra-row spacing of 30 to 40 cm apart depending on varieties. Harvesting: Maturity Period: 60 days after direct seed sowing in the field or 30 days after transplanting.</t>
  </si>
  <si>
    <t>Nursery site must avoid Solanaceae family crops for at least 3 years to prevent soil-borne diseases, Seed rate (50 g/acre) requires accurate measurement for optimal establishment, Thinning to 30-40 cm spacing is critical to avoid overcrowding, Regular removal of flowers ensures longer harvesting period</t>
  </si>
  <si>
    <t>nursery establishment, seed rate, Solanaceae rotation, thinning, transplanting, harvesting</t>
  </si>
  <si>
    <t>Rapid Soil Testing Services (African Nightshade)</t>
  </si>
  <si>
    <t>This is a dry method for soil testing using the interaction of electromagnetic radiation with matter to characterize biochemical composition of a soil and/or plant tissue. It does not require the routine laboratory analysis using chemicals. When a sample is run through a scanner, soil testing results are generated with accompanying recommendations instantly. However, the method requires partners involved (ICRAF, iSDA and SoilCares) to work closely with KALRO and county agricultural officers to sensitize farmers to embrace the testing method.</t>
  </si>
  <si>
    <t>rapid soil testing, dry method, scanner technology, fertilizer recommendation, ICRAF, SoilCares</t>
  </si>
  <si>
    <t>Integrated Soil Fertility Management (ISFM) (African Nightshade)</t>
  </si>
  <si>
    <t>Integrated Manure Management (IMM) (African Nightshade)</t>
  </si>
  <si>
    <t>Rain water Roof water catchment (African Nightshade)</t>
  </si>
  <si>
    <t>Mulching (African Nightshade)</t>
  </si>
  <si>
    <t>Solar Irrigation Systems for smallholder farmers (African Nightshade)</t>
  </si>
  <si>
    <t>Drip Irrigation Systems for smallholder farmers (African Nightshade)</t>
  </si>
  <si>
    <t>Integrated Management of Early blight disease in African Nightshade</t>
  </si>
  <si>
    <t>Integrated management comprises the use of cultural management practices and chemical control in its management. Cultural practices: Crop rotation with non-solanaceae for a period of 2 to 3 seasons; Rogueing out infected plants from the farm and burying them deeply; Avoidance of working in the fields when plants are wet to minimize spread; Disinfecting farm tools in jik solution (50 ml: litre); Practicing good field sanitation and hygiene practices by collecting and disposing infected plants. Chemical management: To suppress the disease, spray copper oxychloride once initial symptoms are observed.</t>
  </si>
  <si>
    <t>Jik solution (1:20 ratio) must be prepared correctly, Copper oxychloride requires careful application to avoid phytotoxicity, Crop rotation (2-3 seasons) requires long-term planning, Disease symptoms must be detected early for effective control</t>
  </si>
  <si>
    <t>early blight, cultural control, chemical control, crop rotation, jik disinfection, copper oxychloride</t>
  </si>
  <si>
    <t>Integrated Management of Root Knot nematodes in African Nightshade</t>
  </si>
  <si>
    <t>Root knot nematodes affecting African Nightshades are controlled through cultural management practises and chemical control. Cultural practices: Crop rotation with non-solanaceae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</si>
  <si>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Integrated Management of Black aphids (African Nightshade)</t>
  </si>
  <si>
    <t>black aphids, cultural control, natural enemies, neem products, soap spray, integrated pest management</t>
  </si>
  <si>
    <t>Integrated Management of Flea beetle (African Nightshade)</t>
  </si>
  <si>
    <t>Integrated management of the beetle includes the use of various pest control strategies. The strategies include cultural, biological and chemical control. In order to realize an effective management program for this insect, one has to start chronologically from preventive to curative pest control measures i.e. from cultural to chemical control.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PCPB. Synthetic pesticides should be used as the last option.</t>
  </si>
  <si>
    <t>Pest scouting requires regular and systematic monitoring, Hand picking is labor-intensive and may not be practical for large farms, Domestic chickens may damage young plants when foraging, Biopesticides require proper timing for effectiveness</t>
  </si>
  <si>
    <t>flea beetle, cultural control, biological control, biopesticides, PCPB, integrated pest management</t>
  </si>
  <si>
    <t>Integrated Management of Desert locust (Schistocerca gregaria) (African Nightshade)</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</si>
  <si>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 Scouting and control of DL in recession (traditional breeding) regions will prevent infestation in invasion (non-traditional) regions. Spray hopper bands using Metarhizium anisopliae based products.</t>
  </si>
  <si>
    <t>Integrated management of Cut worms on African Nightshade</t>
  </si>
  <si>
    <t>Integrated management of red spider mites on African Nightshade</t>
  </si>
  <si>
    <t>Integrated management of spider mites consists of several approaches applied in an integrated manner to break the cycle of the insect. Cultural Control: Keep the farm free from the weeds and alternative hosts such as solanum family crops that may harbour red spider mites; Avoid planting African Nightshade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Conserve natural enemies. Chemical Control: Spray with abamectin 18g/kg based synthetic pesticides or Amitraz 200g/L based miticides.</t>
  </si>
  <si>
    <t>Integrated Weed Management (African Nightshade)</t>
  </si>
  <si>
    <t>Land Preparation Practices to control weeds in AIVs (African Nightshade)</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</si>
  <si>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AIVs seeds.</t>
  </si>
  <si>
    <t>Legume Intercropping System (African Nightshade)</t>
  </si>
  <si>
    <t>Innovative Legume Intercropping System is the growing of legumes crops such as Cowpea with African Nightshade in a field at the same time, as a tool to enhance agricultural production and to obtain efficient land use. Legumes benefit the main crop (African Nightshade) by replenishing soil nitrogen, smothering weeds and retaining soil moisture.</t>
  </si>
  <si>
    <t>AIVs Intercropping (African Nightshade)</t>
  </si>
  <si>
    <t>Intercropping of African Nightshade is the practice of planting African Nightshade between other crops between rows such as cereal (maize, millets), tubers (cassava), and bananas. Intercropping must be planned to use space available and smother the weeds.</t>
  </si>
  <si>
    <t>Mulching (African Nightshade - Weed Control)</t>
  </si>
  <si>
    <t>The practice of covering the soil/ground with natural materials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African Nightshade. Only black mulches should be used to control weeds.</t>
  </si>
  <si>
    <t>Chemical Weed Control (African Nightshade)</t>
  </si>
  <si>
    <t>Use only PCPB-approved herbicides for African Nightshade, Follow label instructions strictly to avoid crop damage, Apply herbicides during recommended weather conditions, Wear appropriate personal protective equipment</t>
  </si>
  <si>
    <t>Mechanical weeding (African Nightshade)</t>
  </si>
  <si>
    <t>Safe Use of Agrochemicals (African Nightshade)</t>
  </si>
  <si>
    <t>Power tiller (African Nightshade)</t>
  </si>
  <si>
    <t>Wheeled Tractor less than 50Hp (African Nightshade)</t>
  </si>
  <si>
    <t>Mould board plough (African Nightshade)</t>
  </si>
  <si>
    <t>Disc Harrow (African Nightshade)</t>
  </si>
  <si>
    <t>AIV Planter (African Nightshade)</t>
  </si>
  <si>
    <t>Motorized Sprayer (African Nightshade)</t>
  </si>
  <si>
    <t>Power weeder (African Nightshade)</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</si>
  <si>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African Nightshade farmers. It is designed to weed specified spacing inter raw within African Nightshade.</t>
  </si>
  <si>
    <t>Back Pack Weeder (African Nightshade)</t>
  </si>
  <si>
    <t>It is a hand held machine that simultaneously cut the soil and weeds in AIV and is an intermediate technology machine appropriate for Small Holder Farmers. It is designed to weed specified spacing inter raw within African Nightshade.</t>
  </si>
  <si>
    <t>Back AIVs Harvester (African Nightshade)</t>
  </si>
  <si>
    <t>It is a hand held machine that simultaneously cut the vegetable leaves and is an intermediate technology machine appropriate for Small Holder Farmers. It is designed to harvest specified spacing inter raw within African Nightshade.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</si>
  <si>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African Nightshade sorting and grading</t>
  </si>
  <si>
    <t>Sorting is removal of infected vegetables, vegetables with yellowing spots, weeds and debris. Grading is grouping of vegetables according to leaf size, weight, maturity, turgidity, physical damage, and market demand.</t>
  </si>
  <si>
    <t>Zero Energy Brick Cooler (African Nightshade)</t>
  </si>
  <si>
    <t>CoolBot™ (African Nightshade)</t>
  </si>
  <si>
    <t>It is a low cost postharvest temperature management that improved the shelf life of African Nightshade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</si>
  <si>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(African Nightshade)</t>
  </si>
  <si>
    <t>Modified Atmosphere Packaging of AIVs (Ziploc® and Xtend® bag packaging) (African Nightshade)</t>
  </si>
  <si>
    <t>African Nightshade solar drying</t>
  </si>
  <si>
    <t>Solar drying involves drying of Africa nightshade where cabinet solar dryer, greenhouse solar dryer and dehytray are used.</t>
  </si>
  <si>
    <t>Transformative Model of AIV production (African Nightshade)</t>
  </si>
  <si>
    <t>Building a Business Plan for AIVs (African Nightshade)</t>
  </si>
  <si>
    <t>Profitability analysis (African Nightshade)</t>
  </si>
  <si>
    <t>Marketing Innovation model for AIV production and marketing (African Nightshade)</t>
  </si>
  <si>
    <t>Collective marketing (African Nightshade)</t>
  </si>
  <si>
    <t>Contracted production (African Nightshade)</t>
  </si>
  <si>
    <t>Digital marketing (African Nightshade)</t>
  </si>
  <si>
    <t>Market research (African Nightshade)</t>
  </si>
  <si>
    <t>Advocacy in farmers' participation in the National Agricultural Policy development and implementation (African Nightshade)</t>
  </si>
  <si>
    <t>Participation in the County Integrated Development Planning (African Nightshade)</t>
  </si>
  <si>
    <t>The County Integrated Development Planning builds a plan for each county in Kenya to be implemented in five years. The planning process is participatory, involving the development stakeholders in the county. It is during this planning period where the issues in African Nightshade production, marketing and processing are considered.</t>
  </si>
  <si>
    <t>Policy instruments related to AIV production (African Nightshade)</t>
  </si>
  <si>
    <t>Policy cycle (African Nightshade)</t>
  </si>
  <si>
    <t>Good Agricultural Practices (GAP) (African Nightshade)</t>
  </si>
  <si>
    <t>Food Safety Management System: Hazard Analysis Critical Control Points (HACCP) Plan for AIVs Value Chain in Kenya (African Nightshade)</t>
  </si>
  <si>
    <t>Food safety management system (FSMS) through Hazard Analysis and Critical Control Point (HACCP) in African Nightshade value chain is a system of food safety monitoring and control based on the systematic identification and assessment of various hazards. It is a preventive, rather than a reactive, tool that places the protection of the African Nightshade supply from biological, chemical and physical hazards into the hands of food management systems. The system is designed to minimize the risk of food safety hazards by identifying the hazards, establishing controls and monitoring these controls.</t>
  </si>
  <si>
    <t>KATMrenda 1 (Jute Mallow)</t>
  </si>
  <si>
    <t>High yielding - 10 t/ha-1. High consumer acceptability – very tasty. Affected by few pests and disease. It is late maturing (6 months) hence wide harvesting interval. Does not require much attention. Highly nutritious variety which contains dietary fiber, calcium, protein, iron, potassium, copper, magnesium, zinc Vitamin C, Vitamin E, Vitamin B1, Vitamin B2 and Beta carotene.</t>
  </si>
  <si>
    <t>Late maturity (6 months) requires long-term planning and patience, Wide harvesting interval requires regular monitoring for optimal harvest timing, Nutritional content varies with soil fertility and agronomic practices, Verify variety availability and official release status</t>
  </si>
  <si>
    <t>high yielding, late maturing, wide harvesting, highly nutritious, consumer acceptability, minimal inputs</t>
  </si>
  <si>
    <t>Formal Jute Mallow Seed System</t>
  </si>
  <si>
    <t>A Seed System is a set of activities contributing to variety development and seed production and delivery to farmers. The formal Jute Mallow Seed System is characterized by a well-regulated and organized set of activities, from breeding to delivering certified seeds of known and registered varieties to farmers and other stakeholders. It ensures continuous production, processing, supply and distribution of quality Jute Mallow seeds to farmers through organized marketing channels.</t>
  </si>
  <si>
    <t>Informal Jute Mallow Seed System</t>
  </si>
  <si>
    <t>A Seed System is a set of activities contributing to variety development and seed production and delivery to farmers. The informal Jute Mallow Seed System entails seed selection, treatment, storage, multiplication, and distribution. The informal Jute Mallow Seed System is outside the control of government agencies, with no external seed quality control. This system includes farmer-saved seed, gifts, barter, exchange and seed purchasing from local markets.</t>
  </si>
  <si>
    <t>Semi-Informal Jute Mallow seed production system</t>
  </si>
  <si>
    <t>Variety selection, Seed acquisition or Own Seed Selection, Planting, Weeding, Thinning, Fertilizer Application, Pest and Disease Management, Harvesting, Storage (Jute Mallow)</t>
  </si>
  <si>
    <t>This includes: seed acquisition: Certified seed or training on proper own selection. Land preparation: Ploughing; Harrowing is necessary; Preparation of a fine seedbed. Soil fertility Management: Farm yard manure application at the rate of 5 ton/ha-1. Planting and seed rate: Early planting at onset of rains; Depth 5 cm; Seed rate 2-3 Kg/acre; Mix Jute Mallow seeds with dry sand or soil at the rate of 1 part seed: 3-5 parts dry soil/sand. Spacing: Make drills at a spacing of 45-60 cm x 10-20 cm apart, thinly sow the seeds in the drills and cover lightly with soil. Weeding: Keep the crop weed free until it is well established. Thinning: Subsequent thinning should be done 2-3 times until leaving one plant at an intra-row spacing of 15-20 cm apart. Harvesting: Leaf harvesting commences at four weeks after germination, then once every 2 weeks for 3-4 months.</t>
  </si>
  <si>
    <t>Fine seedbed preparation is critical for small seeds, Seed-sand mixing ratio (1:3-5) must be accurate for uniform sowing, Thinning 2-3 times requires careful scheduling and labor planning, Farm yard manure (5 ton/ha) requires proper composting before application</t>
  </si>
  <si>
    <t>Rapid Soil Testing Services (Jute Mallow)</t>
  </si>
  <si>
    <t>Integrated Soil Fertility Management (ISFM) (Jute Mallow)</t>
  </si>
  <si>
    <t>A set of soil fertility management practices that include the use of fertilizers, locally available organic inputs and improved seed and good agronomic practices to adapt to local conditions. ISFM places emphasis on the importance of using often scarce resources like fertilizer and organic inputs efficiently through techniques such as fertilizer banding and micro dosing.</t>
  </si>
  <si>
    <t>Integrated Manure Management (IMM) (Jute Mallow)</t>
  </si>
  <si>
    <t>Rain Water Roof Water Catchment (Jute Mallow)</t>
  </si>
  <si>
    <t>Mulching (Jute Mallow)</t>
  </si>
  <si>
    <t>Solar irrigation systems for smallholder farmers (Jute Mallow)</t>
  </si>
  <si>
    <t>Drip Irrigation Systems for smallholder farmers (Jute Mallow)</t>
  </si>
  <si>
    <t>This is a technology that supplies water to plants grown in solid substrates in small controlled drops. It allows the optimal usage of the limited water resource by dripping water slowly into the crop roots at low pressure through a number of emission points (drippers). Drip system saves water by minimizing evaporation losses and delivering water at the root zone where it is required. It also provides the opportunity for farmers to increase crop yields. It's easy to design and operated.</t>
  </si>
  <si>
    <t>Integrated Weed Management (Jute Mallow)</t>
  </si>
  <si>
    <t>Land Preparation Practices to control weeds in AIVs (Jute Mallow)</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</si>
  <si>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Jute Mallow seeds.</t>
  </si>
  <si>
    <t>Legume Intercropping System (Jute Mallow)</t>
  </si>
  <si>
    <t>Innovative Legume Intercropping Systems is the growing of a legume crop and Jute Mallow in a field at the same time, as a tool to enhance agricultural production and to obtain efficient land use. Intercropping systems are defined based on the temporal and spatial arrangements of the crops. There are several intercropping systems such as mixed, strip, row intercropping patterns, Relay and Alley intercropping.</t>
  </si>
  <si>
    <t>AIVs Intercropping (Jute Mallow)</t>
  </si>
  <si>
    <t>Intercropping in Jute Mallow is the practice of planting Jute Mallow between other crops between rows such as cereal (maize, millets), tubers (cassava), and bananas. Intercropping must be planned to use space available and smother the weeds.</t>
  </si>
  <si>
    <t>Mulching (Jute Mallow - Weed Control)</t>
  </si>
  <si>
    <t>The practice of covering the soil/ground with natural materials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Jute Mallow. Only black mulches should be used to control weeds.</t>
  </si>
  <si>
    <t>Chemical Weed Control (Jute Mallow)</t>
  </si>
  <si>
    <t>Use only PCPB-approved herbicides for Jute Mallow, Follow label instructions strictly to avoid crop damage, Apply herbicides during recommended weather conditions, Wear appropriate personal protective equipment</t>
  </si>
  <si>
    <t>Mechanical weeding (Jute Mallow)</t>
  </si>
  <si>
    <t>Safe Use of Agrochemicals (Jute Mallow)</t>
  </si>
  <si>
    <t>Power tiller (Jute Mallow)</t>
  </si>
  <si>
    <t>A Power Tiller is a two-wheeled agricultural implement fitted with rotary tillers, disk harrow, moldboard plough, trailer, water pump or chisel at alternate times for easing farm operations. It can complete 1ha per day by one operator in about two hours. This will vary depending on the climatic conditions, soil types, soil moisture content, stamina and experience of the operator. Fuel consumption is about 15 liters per ha.</t>
  </si>
  <si>
    <t>Wheeled Tractor less than 50Hp (Jute Mallow)</t>
  </si>
  <si>
    <t>Mould board plough (Jute Mallow)</t>
  </si>
  <si>
    <t>Disc Harrow (Jute Mallow)</t>
  </si>
  <si>
    <t>AIV Planter (Jute Mallow)</t>
  </si>
  <si>
    <t>Motorized Sprayer (Jute Mallow)</t>
  </si>
  <si>
    <t>Power weeder (Jute Mallow)</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</si>
  <si>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Jute Mallow farmers. It is designed to weed specified spacing inter raw within Jute Mallow.</t>
  </si>
  <si>
    <t>Back Pack Weeder (Jute Mallow)</t>
  </si>
  <si>
    <t>It is a hand held machine that simultaneously cut the soil and weeds in Jute Mallow and is an intermediate technology machine appropriate for Small Holder Farmers. It is designed to weed specified spacing inter raw within Jute Mallow.</t>
  </si>
  <si>
    <t>Back AIVs Harvester (Jute Mallow)</t>
  </si>
  <si>
    <t>It is a hand held machine that simultaneously cut the vegetable leaves and is an intermediate technology machine appropriate for Small Holder Farmers. It is designed to harvest specified spacing inter raw within Jute Mallow.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</si>
  <si>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Jute Mallow Sorting and Grading</t>
  </si>
  <si>
    <t>Sorting is done to remove diseased vegetables, vegetables with yellowing spots, weeds and debris. Grading is categorization of Jute Mallow according to leaf size, weight, maturity, turgidity, physical damage, and market demand.</t>
  </si>
  <si>
    <t>Zero Energy Brick Cooler (Jute Mallow)</t>
  </si>
  <si>
    <t>CoolBot™ (Jute Mallow)</t>
  </si>
  <si>
    <t>Wakati™ technology (Jute Mallow)</t>
  </si>
  <si>
    <t>Jute Mallow solar drying (Jute Mallow)</t>
  </si>
  <si>
    <t>Drying of Jute Mallow removes excess water thus extending their shelf leading to reduced postharvest losses.</t>
  </si>
  <si>
    <t>solar drying, preservation, moisture removal, shelf life extension, postharvest, drying techniques</t>
  </si>
  <si>
    <t>Transformative Model of AIV production (Jute Mallow)</t>
  </si>
  <si>
    <t>Building a Business Plan for AIVs (Jute Mallow)</t>
  </si>
  <si>
    <t>Profitability analysis (Jute Mallow)</t>
  </si>
  <si>
    <t>Marketing Innovation model for AIV production and marketing (Jute Mallow)</t>
  </si>
  <si>
    <t>Collective marketing (Jute Mallow)</t>
  </si>
  <si>
    <t>Contracted production (Jute Mallow)</t>
  </si>
  <si>
    <t>Digital marketing (Jute Mallow)</t>
  </si>
  <si>
    <t>Market research (Jute Mallow)</t>
  </si>
  <si>
    <t>Advocacy in farmers' participation in the National Agricultural Policy development and implementation (Jute Mallow)</t>
  </si>
  <si>
    <t>Participation in the County Integrated Development Planning (Jute Mallow)</t>
  </si>
  <si>
    <t>The County Integrated Development Planning builds a plan for each county in Kenya to be implemented in five years. The planning process is participatory, involving the development stakeholders in the county. It is during this planning period where the issues in Jute Mallow production, marketing and processing are considered.</t>
  </si>
  <si>
    <t>Policy instruments related to AIV production (Jute Mallow)</t>
  </si>
  <si>
    <t>Policy cycle (Jute Mallow)</t>
  </si>
  <si>
    <t>Good Agricultural Practices (GAP) (Jute Mallow)</t>
  </si>
  <si>
    <t>Food Safety Management System: Hazard Analysis Critical Control Points (HACCP) Plan for AIVs Value Chain in Kenya (Jute Mallow)</t>
  </si>
  <si>
    <t>Food safety management system (FSMS) through Hazard Analysis and Critical Control Point (HACCP) in Jute Mallow value chain is a system of food safety monitoring and control based on the systematic identification and assessment of various hazards. It is a preventive, rather than a reactive, tool that places the protection of the AIVs supply from biological, chemical and physical hazards into the hands of food management systems. The system is designed to minimize the risk of food safety hazards by identifying the hazards, establishing controls and monitoring these controls.</t>
  </si>
  <si>
    <t>Katumani Mito 1 (Slenderleaf)</t>
  </si>
  <si>
    <t>High yielding - 8 t/ha-1. Wide harvesting intervals. Attacked by few pests and diseases. The vegetable is a rich source Vitamin A and C which improve blood circulation and immunity. It also contains calcium responsible for strong bones. It has zinc which helps to repair worn out tissues. It is a good source of iron, beta carotene, flavonoids. It has a mild taste.</t>
  </si>
  <si>
    <t>Over-reliance on a single variety, Potential for nutrient depletion in soil, Market price fluctuations for high yields, Need for proper harvesting techniques to maintain quality, Verify yield claims with local conditions</t>
  </si>
  <si>
    <t>High-yielding, Vitamin A, Vitamin C, Calcium, Iron, Mild taste</t>
  </si>
  <si>
    <t>Katumani Mito 2 (Slenderleaf)</t>
  </si>
  <si>
    <t>The Slenderleaf vegetable is a rich source of Vitamin A and C and proteins. It also contains minerals like calcium, zinc and iron. It is a good source of antioxidants. It has a bitter taste. High yielding - 8 t/ha-1. Wide harvesting intervals. Attacked by few pests and diseases.</t>
  </si>
  <si>
    <t>Bitter taste may affect marketability, Over-reliance on a single variety, Potential for nutrient depletion in soil, Market price fluctuations for high yields, Verify yield claims with local conditions</t>
  </si>
  <si>
    <t>Slenderleaf, Vitamin A, Vitamin C, Protein, Bitter taste, Antioxidants</t>
  </si>
  <si>
    <t>Formal Slenderleaf Seed System (Slenderleaf)</t>
  </si>
  <si>
    <t>A Seed System is a set of activities contributing to variety development and seed production and delivery to farmers. The formal Slenderleaf Seed System is characterized by a well-regulated and organized set of activities, from breeding to delivering certified seeds of known and registered varieties to farmers and other stakeholders. It ensures continuous production, processing, supply and distribution of quality Slenderleaf seeds to farmers through organized marketing channels.</t>
  </si>
  <si>
    <t>Higher cost of certified seeds, Dependence on external suppliers, Potential for supply chain disruptions, Requires strict adherence to regulations, May not be accessible to all farmers</t>
  </si>
  <si>
    <t>Formal Seed System, Certified seeds, Quality control, Seed distribution, Regulated, Slenderleaf</t>
  </si>
  <si>
    <t>Informal Slenderleaf Seed System (Slenderleaf)</t>
  </si>
  <si>
    <t>A Seed System is a set of activities contributing to variety development and seed production and delivery to farmers. The informal Slenderleaf Seed System entails seed selection, treatment, storage, multiplication, and distribution. The informal Slenderleaf Seed System is outside the control of government agencies, with no external seed quality control. This system includes farmer-saved seed, gifts, barter, exchange and seed purchasing from local markets.</t>
  </si>
  <si>
    <t>No external quality control, Risk of poor seed quality or disease, Limited access to new/improved varieties, Reliance on traditional knowledge, Potential for seed-borne pests</t>
  </si>
  <si>
    <t>Informal Seed System, Farmer-saved seed, Seed exchange, Local markets, No quality control, Traditional knowledge</t>
  </si>
  <si>
    <t>Semi-Informal Slenderleaf seed production system (Slenderleaf)</t>
  </si>
  <si>
    <t>Requires strong community organization, May lack resources for quality testing, Potential for conflict over seed sharing, Dependence on external training, Quality may be inconsistent</t>
  </si>
  <si>
    <t>Community-based, Seed production, Farmer groups, Improved varieties, Quality guidelines, Cooperatives</t>
  </si>
  <si>
    <t>Variety selection, Seed acquisition or Own Seed Selection, Planting, Weeding, Thinning, Fertilizer Application, Pest and Disease Management, Harvesting, Storage (Slenderleaf)</t>
  </si>
  <si>
    <t>This includes: seed acquisition: Certified seed or training on proper own selection. Rainfall: Requires well distributed rainfall with annual average of 500mm-2700mm. Temperature: Thrives well at 12-300c. Land preparation: Ploughing and Harrowing operations are necessary. Planting and seed rate: Early planting; Depth 5 cm; Seed rate 2-3 Kg/acre; Mix seeds with dry sand or soil at the rate of 1 part Seed to 3 parts dry soil/sand. Spacing: Make shallow drills spaced 45 - 60cm apart. Weeding: Keep the crop weed free until it is well established. Thinning: Subsequent thinning should be done after the fourth week of planting. Harvesting: Thinned plants are used as the first harvest. Harvesting begins at week 8 and continues up to four months.</t>
  </si>
  <si>
    <t>Incorrect seed rate or spacing reduces yield, Poor timing of thinning affects plant growth, Inadequate weeding leads to competition, Improper harvesting damages plants, Climate variability (rainfall/temperature) can affect growth</t>
  </si>
  <si>
    <t>Seed acquisition, Planting depth, Seed rate, Spacing, Thinning, Harvesting time</t>
  </si>
  <si>
    <t>Rapid Soil Testing Services (Slenderleaf)</t>
  </si>
  <si>
    <t>Requires specialized equipment and training, May not be widely available to all farmers, Recommendations may be generic, Dependence on partner organizations, Potential for technology failure</t>
  </si>
  <si>
    <t>Rapid soil testing, Dry method, Scanner, Instant results, Biochemical composition, ICRAF/KALRO</t>
  </si>
  <si>
    <t>Integrated Soil Fertility Management (ISFM) (Slenderleaf)</t>
  </si>
  <si>
    <t>Requires knowledge of specific techniques, Improper use of fertilizers can harm crops, Organic inputs may be inconsistent in quality, High initial cost for inputs, Soil variability requires adapted approaches</t>
  </si>
  <si>
    <t>Soil fertility, Fertilizers, Organic inputs, Agronomic practices, Micro dosing, Resource efficiency</t>
  </si>
  <si>
    <t>Integrated Manure Management (IMM) (Slenderleaf)</t>
  </si>
  <si>
    <t>Improperly stored manure causes nutrient loss, Risk of weed seeds or pathogens in manure, Over-application can burn crops, Variable nutrient content depending on source, Requires labor for handling and application</t>
  </si>
  <si>
    <t>Manure management, Soil organic matter, Nutrient supply, Crop production, Animal manure, Soil quality</t>
  </si>
  <si>
    <t>Rain water Roof water catchment (Slenderleaf)</t>
  </si>
  <si>
    <t>Requires initial investment in structures, Seasonal water availability, Water quality issues (contamination), Maintenance of storage systems, Inadequate rainfall in dry seasons</t>
  </si>
  <si>
    <t>Rainwater harvesting, Rooftop catchment, Water storage, Subsurface aquifers, Water scarcity, Resilience</t>
  </si>
  <si>
    <t>Mulching (Slenderleaf)</t>
  </si>
  <si>
    <t>Improper mulching can harbor pests, Plastic mulch creates disposal issues, Natural mulch may introduce weed seeds, Can be labor-intensive to apply, Over-mulching can cause root rot</t>
  </si>
  <si>
    <t>Mulching, Moisture retention, Weed suppression, Soil temperature, Soil fertility, Natural materials</t>
  </si>
  <si>
    <t>Solar irrigation systems for smallholder farmers (Slenderleaf)</t>
  </si>
  <si>
    <t>High initial cost of solar panels/pumps, Dependence on sunlight (cloudy days reduce efficiency), Requires technical maintenance, Theft/vandalism of equipment, Needs adequate water source</t>
  </si>
  <si>
    <t>Solar irrigation, Solar power, Water pumping, Smallholder farmers, Renewable energy, Irrigation technology</t>
  </si>
  <si>
    <t>Drip Irrigation Systems for smallholder farmers (Slenderleaf)</t>
  </si>
  <si>
    <t>Higher initial cost than traditional methods, Risk of clogging of drippers, Requires regular maintenance, Needs clean water source, Dependence on spare parts availability</t>
  </si>
  <si>
    <t>Drip irrigation, Water efficiency, Root-zone watering, Yield increase, Smallholder farmers, Low pressure</t>
  </si>
  <si>
    <t>Integrated Management of powdery mildew disease in Slenderleaf</t>
  </si>
  <si>
    <t>Integrated management of powdery mildew consists of several approaches applied in an integrated manner to break the disease cycle. These include: cultural management and chemical control. Cultural management options: Plant early using certified seeds; Practice crop rotation with non-host crops e.g grasses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</si>
  <si>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Copper-based sprays can be phytotoxic if misapplied, Chemical control may affect beneficial organisms, Requires timely application for effectiveness, Crop rotation may not be feasible for all, Walking in wet fields spreads disease</t>
  </si>
  <si>
    <t>Powdery mildew, Integrated management, Cultural control, Chemical control, Crop rotation, Copper oxychloride</t>
  </si>
  <si>
    <t>Integrated Management of Bacterial blight disease in Slenderleaf</t>
  </si>
  <si>
    <t>Integrated management of Bacterial blight consists of various approaches that help to break the disease cycle. They cultural management and chemical control. Cultural practices: Use of certified seed; Practicing crop rotation with non-host crops e.g. grasses for 3-4 years; Uprooting and destroying infected plants/volunteers by burying deeply; Disinfecting farm tools in jik solution (50ml : litre); Avoidance of working in wet fields will be validated. Chemical management: To suppress the disease, spray copper oxychloride once initial symptoms are observed.</t>
  </si>
  <si>
    <t>Long crop rotation (3-4 years) may not be practical, Copper sprays can be harmful if overused, Disinfection of tools is often neglected, Working in wet fields increases disease spread, Requires diligent monitoring</t>
  </si>
  <si>
    <t>Bacterial blight, Integrated management, Certified seed, Crop rotation, Tool disinfection, Copper oxychloride</t>
  </si>
  <si>
    <t>Integrated Management of Root Knot nematodes in Slenderleaf</t>
  </si>
  <si>
    <t>Root knot nematodes affecting Crotalarias are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</si>
  <si>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Long crop rotation (4-6 seasons) may be impractical, Soil solarization is weather-dependent, Neem products may not be effective in all soils, Biopesticides require proper application, Surface runoff can spread nematodes rapidly</t>
  </si>
  <si>
    <t>Root knot nematodes, Integrated management, Crop rotation, Soil solarization, Biopesticides, Green manure</t>
  </si>
  <si>
    <t>Integrated Management of Aphids in Slenderleaf</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</si>
  <si>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e.g. grasses. Remove heavily infested plant parts and destroy by burning; Apply neem based products (e.g. neem oil 40ml/20lts of water, Achook) 2 times/month; Spray with soapy water solution. Chemical Control: Use only pest control products recommended by Pest Control Products Board (PCPB).</t>
  </si>
  <si>
    <t>Over-fertilization can worsen aphid damage, Burning infested plants must be done safely, Neem oil requires frequent application, Chemical pesticides can harm natural enemies, Lantana may become invasive</t>
  </si>
  <si>
    <t>Aphids, Integrated management, Cultural control, Natural enemies, Neem products, Chemical control</t>
  </si>
  <si>
    <t>Integrated Management of Desert locust (Schistocerca gregaria) in Slenderleaf</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</si>
  <si>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 Spray hopper bands using Metarhizium anisopliae based products.</t>
  </si>
  <si>
    <t>Relies on regional cooperation (may be slow), Biopesticides may require specific conditions, Farmers lack direct control over the response, Locust swarms can overwhelm efforts, Requires continuous monitoring</t>
  </si>
  <si>
    <t>Desert locust, Integrated management, Early warning system, DLCO-EA, Remote sensing, Metarhizium anisopliae</t>
  </si>
  <si>
    <t>Integrated management of Cut worms on Slenderleaf</t>
  </si>
  <si>
    <t>Hand picking is labor-intensive for large fields, Flooding may not be feasible in dry areas, Neem extract requires frequent reapplication, Ash may alter soil pH, Delaying transplanting may not suit all crops</t>
  </si>
  <si>
    <t>Cutworms, Integrated management, Cultural control, Hand picking, Neem extract, Flooding</t>
  </si>
  <si>
    <t>Integrated Management of Thrips on Slenderleaf</t>
  </si>
  <si>
    <t>Integrated management (IPM) of thrips involves the use of a combination of cultural, biological and chemical control methods. Cultural Control: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Use blue sticky cardboard traps to attract thrips. Biological control: Apply biocontrol agents e.g Beauvitech WP (Beauveria bassiana) or Bio-Power 1.5L (Beauveria bassiana), or Botanigard ES (Azadirachtin); Spray neem based products like neemroc EC and nimbecidine. Chemical Control: Spray with Spinosad based products eg tracer 480 SC at 4mls per 20lts of water or lambda cyhalothrin products at 7ml per 20l of water.</t>
  </si>
  <si>
    <t>Overhead irrigation can worsen fungal diseases, Sticky traps require regular replacement, Biocontrol agents may be expensive, Chemical pesticides can harm beneficial insects, Burning infested material must be done safely</t>
  </si>
  <si>
    <t>Thrips, Integrated management, Cultural control, Biological control, Chemical control, Sticky traps</t>
  </si>
  <si>
    <t>Integrated management of pod borer on Slenderleaf</t>
  </si>
  <si>
    <t>Hand collection is labor-intensive, Neem products require frequent and timely application, Natural enemies may not control heavy infestations, Timing of sprays is critical, Pod damage may be noticed too late</t>
  </si>
  <si>
    <t>Pod borer, Integrated management, Hand collection, Natural enemies, Neem products, Biological control</t>
  </si>
  <si>
    <t>Integrated Weed Management (Slenderleaf)</t>
  </si>
  <si>
    <t>Grazing animals may damage crops, Improper herbicide use can harm crops, Mechanical weeding can damage crop roots, Crop rotation may not be suitable for all, Requires multiple strategies for effectiveness</t>
  </si>
  <si>
    <t>Integrated weed management, Physical control, Biological control, Chemical control, Cultural control, Mulching</t>
  </si>
  <si>
    <t>Land Preparation Practices to control weeds in AIVs (Slenderleaf)</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</si>
  <si>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Slenderleaf seeds.</t>
  </si>
  <si>
    <t>Ploughing can cause soil erosion, Harrowing may not eliminate deep-rooted weeds, Dry weather may delay planting, Over-tillage can degrade soil structure, Manual labor is intensive</t>
  </si>
  <si>
    <t>Land preparation, Ploughing, Harrowing, Weed control, Soil tillage, Ridging</t>
  </si>
  <si>
    <t>Legume Intercropping System (Slenderleaf)</t>
  </si>
  <si>
    <t>Innovative Legume Intercropping Systems is the application of growing more than one crop in a field at the same time, as a tool to enhance agricultural production and to obtain efficient land use. Intercropping systems are defined based on the temporal and spatial arrangements of the crops. There are several intercropping systems such as mixed, strip, row intercropping patterns, Relay and Alley intercropping.</t>
  </si>
  <si>
    <t>Competition between crops for resources, Complex management, Requires careful planning, May reduce yield of main crop, Pest attraction can increase</t>
  </si>
  <si>
    <t>Intercropping, Legumes, Land use efficiency, Mixed cropping, Strip cropping, Alley cropping</t>
  </si>
  <si>
    <t>AIVs Intercropping (Slenderleaf)</t>
  </si>
  <si>
    <t>Intercropping is the practice of planting Slenderleaf between other crops between rows such as cereal (maize, millets), tubers (cassava), and bananas. Intercropping must be planned to use space available and smother the weeds.</t>
  </si>
  <si>
    <t>Shading from main crop may reduce yield, Competition for water/nutrients, Complex management, Not all crops are compatible, May increase pest pressure</t>
  </si>
  <si>
    <t>AIV intercropping, Weed suppression, Space utilization, Cereals, Tubers, Bananas</t>
  </si>
  <si>
    <t>Mulching (Slenderleaf - Weed Control)</t>
  </si>
  <si>
    <t>The practice of covering the soil/ground with natural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Slenderleaf. Only black mulches should be used to control weeds.</t>
  </si>
  <si>
    <t>Synthetic mulches create disposal issues, Natural mulches may contain weed seeds, Incorrect depth reduces effectiveness, Black plastic can heat soil excessively, May harbor pests under mulch</t>
  </si>
  <si>
    <t>Mulching, Weed control, Biodegradable mulch, Synthetic mulch, Black plastic, Natural materials</t>
  </si>
  <si>
    <t>Chemical Weed Control (Slenderleaf)</t>
  </si>
  <si>
    <t>Risk of crop damage from misapplication, Herbicide resistance development, Environmental pollution, Requires protective equipment, May harm non-target organisms</t>
  </si>
  <si>
    <t>Chemical weed control, Herbicides, Recommended use, Crop safety, Environmental conditions, Application technique</t>
  </si>
  <si>
    <t>Mechanical weeding (Slenderleaf)</t>
  </si>
  <si>
    <t>Can damage crop roots if not careful, Hand pulling is labor-intensive, Requires well-prepared soil, Not effective for all weed types, Implements may not be accessible to all</t>
  </si>
  <si>
    <t>Mechanical weeding, Row planting, Inter-row weeding, Hand pulling, Timely weeding, Implements</t>
  </si>
  <si>
    <t>Safe Use of Agrochemicals (Slenderleaf)</t>
  </si>
  <si>
    <t>Pesticide poisoning risk, Environmental contamination, Improper disposal, Residues on crops, Lack of protective gear, Need for regular training</t>
  </si>
  <si>
    <t>Agrochemical safety, Pesticide handling, Storage, Application, Personal protective equipment, Disposal</t>
  </si>
  <si>
    <t>Power tiller (Slenderleaf)</t>
  </si>
  <si>
    <t>High fuel cost, Maintenance and repairs, Operator fatigue, Soil compaction risk, Not suitable for all soil types, Requires skilled operator</t>
  </si>
  <si>
    <t>Power tiller, Two-wheeled, Farm operations, Fuel consumption, Soil preparation, Mechanization</t>
  </si>
  <si>
    <t>Wheeled Tractor less than 50Hp (Slenderleaf)</t>
  </si>
  <si>
    <t>High purchase/maintenance cost, Requires skilled operator, Risk of accidents, Soil compaction, Fuel consumption, Not affordable for smallholders</t>
  </si>
  <si>
    <t>Tractor, Mechanization, Traction, Tillage, Hauling, Agricultural tasks</t>
  </si>
  <si>
    <t>Mould board plough (Slenderleaf)</t>
  </si>
  <si>
    <t>High tractor/tiller requirement, Can cause soil erosion, Inverts soil, burying organic matter, Fuel intensive, Requires depth control, Not suitable for all soils</t>
  </si>
  <si>
    <t>Mouldboard plough, Tillage, Furrow slice, Soil inversion, Moisture conservation, Climate-smart</t>
  </si>
  <si>
    <t>Disc Harrow (Slenderleaf)</t>
  </si>
  <si>
    <t>Requires tractor/tiller, Can cause soil compaction, Not effective on hard soils, May spread perennial weeds, Needs careful depth adjustment</t>
  </si>
  <si>
    <t>Disc harrow, Soil pulverization, Surface tillage, Weed control, Seed covering, Tilth</t>
  </si>
  <si>
    <t>AIV Planter (Slenderleaf)</t>
  </si>
  <si>
    <t>Requires calibration for each crop, High cost for smallholders, Mechanical breakdowns, Needs clean, uniform seeds, Not suitable for all field shapes</t>
  </si>
  <si>
    <t>Seed drill, Seeding rate, Row planting, Depth control, Seed coverage, Mechanization</t>
  </si>
  <si>
    <t>Motorized Sprayer (Slenderleaf)</t>
  </si>
  <si>
    <t>Risk of chemical exposure, Drift to non-target areas, Requires calibration, Maintenance of nozzles/pump, Can be heavy for prolonged use</t>
  </si>
  <si>
    <t>Motorized sprayer, Pesticide application, Herbicide application, Spray drift, Calibration, Backpack sprayer</t>
  </si>
  <si>
    <t>Power weeder (Slenderleaf)</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</si>
  <si>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Slenderleaf farmers. It is designed to weed specified spacing inter raw within Slenderleaf.</t>
  </si>
  <si>
    <t>High cost for smallholders, Can damage crop roots if misused, Requires operator skill, Fuel or electricity needed, Maintenance required</t>
  </si>
  <si>
    <t>Power weeder, Mechanical weeding, Inter-row weeding, Soil loosening, AIVs, Self-propelled</t>
  </si>
  <si>
    <t>Back Pack Weeder (Slenderleaf)</t>
  </si>
  <si>
    <t>It is a hand held machine that simultaneously cut the soil and weeds in Slenderleaf and is an intermediate technology machine appropriate for Small Holder Farmers. It is designed to weed specified spacing inter raw within Slenderleaf.</t>
  </si>
  <si>
    <t>Requires physical effort, May be ineffective in hard soils, Can damage crop roots, Needs regular maintenance, Not suitable for large fields</t>
  </si>
  <si>
    <t>Backpack weeder, Hand-held, Smallholder farmers, Inter-row weeding, Soil cutting, AIVs</t>
  </si>
  <si>
    <t>Back AIVs Harvester (Slenderleaf)</t>
  </si>
  <si>
    <t>It is a hand held machine that simultaneously cut the vegetable leaves and is an intermediate technology machine appropriate for Small Holder Farmers. It is designed to harvest specified spacing inter raw within Slenderleaf.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</si>
  <si>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Requires electricity source, High initial cost, Maintenance of motor/blades, May not handle all crop types, Operator training needed</t>
  </si>
  <si>
    <t>Back harvester, Electric, Leaf harvesting, Smallholder farmers, Low labor, AIVs</t>
  </si>
  <si>
    <t>Slender leaf sorting and grading (Slenderleaf)</t>
  </si>
  <si>
    <t>Slender leaf vegetables are sorted to remove infected vegetables, yellowing spotted vegetables, weeds and debris. Grading vegetables according to leaf size, weight, maturity, turgidity, physical damage, and market demand.</t>
  </si>
  <si>
    <t>Labor-intensive, Subjective grading, Requires training, Market demands may vary, Discarded produce is waste</t>
  </si>
  <si>
    <t>Sorting, Grading, Leaf size, Market demand, Quality control, Postharvest</t>
  </si>
  <si>
    <t>Zero Energy Brick Cooler (Slenderleaf)</t>
  </si>
  <si>
    <t>Requires regular watering, Brick construction cost, Limited storage capacity, Performance depends on humidity, Needs proper site</t>
  </si>
  <si>
    <t>Zero energy cooler, Brick cooler, Evaporative cooling, Postharvest, Storage, Moisture</t>
  </si>
  <si>
    <t>CoolBot™ (Slenderleaf)</t>
  </si>
  <si>
    <t>Requires electricity, Needs a well-insulated room, Installation requires some skill, Air conditioner maintenance, Not portable</t>
  </si>
  <si>
    <t>CoolBot, Cold room, Energy efficient, Postharvest, Temperature management, Air conditioner</t>
  </si>
  <si>
    <t>Wakati™ technology (Slenderleaf)</t>
  </si>
  <si>
    <t>Wakati™ is a simple and innovative solution where altered environment in the chamber contributes to shelf life extension. Altered environment is due to: High relative humidity; Oxidation of ethylene from the storage environment by oxidizing (ozone oxidation). It is a 1m by 1m canvas tent with a solar powered fan to one corner. The fan is placed in a cuplike reservoir. As it rotates, it picks up water into mist droplets, which are distributed in the tent by air currents. When a moisture concentration of 80% is achieved, the surface of the fruit or vegetables remain fresh because there is no loss of water. This low-cost solution helps produce last up to 10 times longer without any refrigeration.</t>
  </si>
  <si>
    <t>Limited capacity (1m x 1m tent), Requires solar power (weather dependent), Needs water refilling, Not for all crop types, May not suit large volumes</t>
  </si>
  <si>
    <t>Wakati, Solar-powered, Humidity control, Ethylene oxidation, Shelf life extension, Canvas tent</t>
  </si>
  <si>
    <t>Modified Atmosphere Packaging of AIVs (Ziploc® and Xtend® bag packaging) (Slenderleaf)</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</si>
  <si>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Slenderleaf for between 5-7 days.</t>
  </si>
  <si>
    <t>Packaging material cost, Requires proper sealing, Not reusable, May not suit all AIVs, Storage conditions affect effectiveness</t>
  </si>
  <si>
    <t>Modified atmosphere, Xtend bags, Shelf life extension, Moisture control, Postharvest, Nutrient retention</t>
  </si>
  <si>
    <t>Solar drying of Slender leaf vegetables (Slenderleaf)</t>
  </si>
  <si>
    <t>The technology involves removal of excess moisture from slender leaf vegetables. This is done by use of Dehytray, green house dryer or cabinet solar drier.</t>
  </si>
  <si>
    <t>Weather-dependent, Requires space, Risk of over-drying, Product contamination, Initial cost of dryer</t>
  </si>
  <si>
    <t>Solar drying, Moisture removal, Dehytray, Greenhouse dryer, Cabinet dryer, Preservation</t>
  </si>
  <si>
    <t>Transformative Model of AIV production (Slenderleaf)</t>
  </si>
  <si>
    <t>Requires high capital investment, Market price volatility, Dependency on market access, Risk of overproduction, Requires business skills</t>
  </si>
  <si>
    <t>Transformative model, Commercial farming, Market linkages, High inputs, Smallholder farmers, Business approach</t>
  </si>
  <si>
    <t>Building a Business Plan for AIVs (Slenderleaf)</t>
  </si>
  <si>
    <t>Time-consuming to develop, Requires financial knowledge, Market conditions may change, Unrealistic projections, Implementation challenges</t>
  </si>
  <si>
    <t>Business plan, Marketing strategy, Profit analysis, Financial requirements, Risk assessment, Income streams</t>
  </si>
  <si>
    <t>Profitability analysis (Slenderleaf)</t>
  </si>
  <si>
    <t>Requires accurate record-keeping, Fluctuating prices, Hidden costs, Time-consuming, May not capture non-monetary benefits</t>
  </si>
  <si>
    <t>Profitability analysis, Cost recording, Returns, Agro-enterprise, Loss/gain, Productivity</t>
  </si>
  <si>
    <t>Marketing Innovation model for AIV production and marketing (Slenderleaf)</t>
  </si>
  <si>
    <t>High risk, Need for business skills, Market uncertainty, Capital requirement, Adapting to new technologies</t>
  </si>
  <si>
    <t>Marketing innovation, Entrepreneurship, Business acumen, Technology adoption, Economic goods, Profit</t>
  </si>
  <si>
    <t>Collective marketing (Slenderleaf)</t>
  </si>
  <si>
    <t>Requires group coordination, Potential for internal conflicts, Shared profits, Dependence on group decisions, May exclude some farmers</t>
  </si>
  <si>
    <t>Collective marketing, Producer organization, Farmer group, Shared profits, Group coordination, Marketing</t>
  </si>
  <si>
    <t>Contracted production (Slenderleaf)</t>
  </si>
  <si>
    <t>Price may be lower than market, Dependency on contractor, Risk of contract breach, Limited flexibility, Quality requirements</t>
  </si>
  <si>
    <t>Contract farming, Production credit, Technical assistance, Agreed price, Market guarantee, Quality standards</t>
  </si>
  <si>
    <t>Digital marketing (Slenderleaf)</t>
  </si>
  <si>
    <t>Requires internet access, Digital literacy, Online platform fees, Delivery logistics, Competition from other sellers</t>
  </si>
  <si>
    <t>Digital marketing, Internet marketing, Online platforms, Digital tools, Market access, Delivery systems</t>
  </si>
  <si>
    <t>Market research (Slenderleaf)</t>
  </si>
  <si>
    <t>Time-consuming, May require skills, Information may be inaccurate, Access to markets, Costs of research</t>
  </si>
  <si>
    <t>Market research, Market information, Farmers, Market access, Information gathering, Decision making</t>
  </si>
  <si>
    <t>Advocacy in farmers' participation in the National Agricultural Policy development and implementation (Slenderleaf)</t>
  </si>
  <si>
    <t>Requires collective action, Time-consuming, Political process, Limited farmer awareness, May not reflect all needs</t>
  </si>
  <si>
    <t>Advocacy, National agricultural policy, Farmer participation, Policy development, Implementation, Smallholder farmers</t>
  </si>
  <si>
    <t>Participation in the County Integrated Development Planning (Slenderleaf)</t>
  </si>
  <si>
    <t>The County Integrated Development Planning builds a plan for each county in Kenya to be implemented in five years. The planning process is participatory, involving the development stakeholders in the county. It is during this planning period where the issues in Slenderleaf production, marketing and processing are considered.</t>
  </si>
  <si>
    <t>Requires active participation, Limited county resources, Bureaucracy, Political influences, May not prioritize agriculture</t>
  </si>
  <si>
    <t>County planning, CIDP, Participatory planning, Stakeholders, Five-year plan, Agricultural issues</t>
  </si>
  <si>
    <t>Policy instruments related to AIV production (Slenderleaf)</t>
  </si>
  <si>
    <t>Instruments may not be enforced, Lack of farmer awareness, Inconsistent implementation, Resources for instruments, Policy gaps</t>
  </si>
  <si>
    <t>Policy instruments, Agricultural policy, Intervention points, Policy objectives, Implementation, Enforcement</t>
  </si>
  <si>
    <t>Policy cycle (Slenderleaf)</t>
  </si>
  <si>
    <t>May be slow, Political interference, Inadequate resources, Lack of stakeholder input, Evaluation gaps</t>
  </si>
  <si>
    <t>Policy cycle, Problem definition, Formulation, Implementation, Evaluation, Policy process</t>
  </si>
  <si>
    <t>Good Agricultural Practices (GAP) (Slenderleaf)</t>
  </si>
  <si>
    <t>Certification cost, Documentation burden, Market access may require GAP, Labor training, Compliance monitoring</t>
  </si>
  <si>
    <t>Good Agricultural Practices, Standardization, Food safety, Environmental sustainability, Economic viability, Consumer reassurance</t>
  </si>
  <si>
    <t>Food Safety Management System: Hazard Analysis Critical Control Points (HACCP) Plan for AIVs Value Chain in Kenya (Slenderleaf)</t>
  </si>
  <si>
    <t>Food safety management system (FSMS) through Hazard Analysis and Critical Control Point (HACCP) in Slenderleaf value chain is a system of food safety monitoring and control based on the systematic identification and assessment of various hazards. It is a preventive, rather than a reactive, tool that places the protection of the Slenderleaf supply from biological, chemical and physical hazards into the hands of food management systems. The system is designed to minimize the risk of food safety hazards by identifying the hazards, establishing controls and monitoring these controls.</t>
  </si>
  <si>
    <t>Requires technical expertise, Detailed documentation, Implementation cost, Continuous monitoring, May be too complex for smallholders</t>
  </si>
  <si>
    <t>HACCP, Food safety, Hazard analysis, Critical control points, Preventive tool, Value chain</t>
  </si>
  <si>
    <r>
      <t>Integrated management of Leaf cutting beetle (</t>
    </r>
    <r>
      <rPr>
        <i/>
        <sz val="12"/>
        <rFont val="Times New Roman"/>
        <family val="1"/>
      </rPr>
      <t>Diabrotica seporata</t>
    </r>
    <r>
      <rPr>
        <sz val="12"/>
        <rFont val="Times New Roman"/>
        <family val="1"/>
      </rPr>
      <t>) in Pumpkin</t>
    </r>
  </si>
  <si>
    <r>
      <t>Integrated management of thrips (</t>
    </r>
    <r>
      <rPr>
        <i/>
        <sz val="12"/>
        <rFont val="Times New Roman"/>
        <family val="1"/>
      </rPr>
      <t>Thrips palmi</t>
    </r>
    <r>
      <rPr>
        <sz val="12"/>
        <rFont val="Times New Roman"/>
        <family val="1"/>
      </rPr>
      <t>) in Pumpkin</t>
    </r>
  </si>
  <si>
    <r>
      <t>Integrated management of white fly (</t>
    </r>
    <r>
      <rPr>
        <i/>
        <sz val="12"/>
        <rFont val="Times New Roman"/>
        <family val="1"/>
      </rPr>
      <t>Bemisia tabaci</t>
    </r>
    <r>
      <rPr>
        <sz val="12"/>
        <rFont val="Times New Roman"/>
        <family val="1"/>
      </rPr>
      <t>) in Pumpkin</t>
    </r>
  </si>
  <si>
    <r>
      <t xml:space="preserve">Integrated management of leaf miner applies a combination of several approaches to manage the pest cycle. These include: cultural, biological and chemical control. Cultural Control: Plant clean seedlings free from all stages of the moth; Rotate with non-host crops such as maize, beans and cabbages; Remove and bury all infested plants, foliage and infected crop residues in a deep pit (over 1m); Remove infested leaves before the caterpillar pupates inside and becomes an egg-laying adult. Bio-control: Use of </t>
    </r>
    <r>
      <rPr>
        <i/>
        <sz val="12"/>
        <rFont val="Times New Roman"/>
        <family val="1"/>
      </rPr>
      <t>Bacillus thuringiensis</t>
    </r>
    <r>
      <rPr>
        <sz val="12"/>
        <rFont val="Times New Roman"/>
        <family val="1"/>
      </rPr>
      <t xml:space="preserve"> at recommended rates; Use of Pheromone traps; Use sticky traps - 24 pcs/acre.</t>
    </r>
  </si>
  <si>
    <r>
      <t>Integrated management of Cucumber Mosaic Viral disease of Pumpkins is the combined application of cultural and chemical management practices against the disease. The virus is transmitted by White flies (</t>
    </r>
    <r>
      <rPr>
        <i/>
        <sz val="12"/>
        <rFont val="Times New Roman"/>
        <family val="1"/>
      </rPr>
      <t>Bemisia tabaci</t>
    </r>
    <r>
      <rPr>
        <sz val="12"/>
        <rFont val="Times New Roman"/>
        <family val="1"/>
      </rPr>
      <t>) as they suck sap from plant tissues. Cultural practices: Use of certified seed; Monitoring and control of vectors (White flies) that transmit the viruses; Avoiding work on fields when wet to prevent spread; Uprooting weeds that could serve as alternative hosts. Chemical management: Treat the seeds with CELEST TOP 312 FS Flowable Concentrate, MARSHAL 350 STD Dry seed treatment; Spray Thiamethoxam-25WG @ 100g or Imidacloprid 17.8% SL @ 100 ml in 500 lit of water.</t>
    </r>
  </si>
  <si>
    <r>
      <t xml:space="preserve">Kunde Faulu: - Released in June, 2017. Yield potential of 1.5 -2.2 t/ha under good management. Maturity period 80 -90 days. Tolerant to </t>
    </r>
    <r>
      <rPr>
        <i/>
        <sz val="12"/>
        <rFont val="Times New Roman"/>
        <family val="1"/>
      </rPr>
      <t>Alectra vogelii</t>
    </r>
    <r>
      <rPr>
        <sz val="12"/>
        <rFont val="Times New Roman"/>
        <family val="1"/>
      </rPr>
      <t xml:space="preserve"> parasitic weed which is a common in dry regions of eastern Kenya. Large seeded grain, deep brown in color with brown eye. Dual purpose variety for both grain and vegetable use. Developed using Farmer participatory variety selection.</t>
    </r>
  </si>
  <si>
    <r>
      <t xml:space="preserve">Kunde Soko: - Released in June 2017. Yield potential of 1.5 -2.2 t under good management. Maturity period 80 -90 days. Tolerant to </t>
    </r>
    <r>
      <rPr>
        <i/>
        <sz val="12"/>
        <rFont val="Times New Roman"/>
        <family val="1"/>
      </rPr>
      <t xml:space="preserve">Alectra vogelii </t>
    </r>
    <r>
      <rPr>
        <sz val="12"/>
        <rFont val="Times New Roman"/>
        <family val="1"/>
      </rPr>
      <t>a parasitic weed which is a common in dry regions of eastern Kenya. Large seeded grain, creamy brown in color with greenish eye. Dual purpose variety for both grain and vegetable use. Developed using Farmer participatory variety selection.</t>
    </r>
  </si>
  <si>
    <r>
      <t xml:space="preserve">Kat-Kunde: - Released in June, 2017. Yield potential of 1.5 -2.0 t/ha under good management. Maturity period 80 -90 days. Tolerant to </t>
    </r>
    <r>
      <rPr>
        <i/>
        <sz val="12"/>
        <rFont val="Times New Roman"/>
        <family val="1"/>
      </rPr>
      <t xml:space="preserve">Alectra vogelii </t>
    </r>
    <r>
      <rPr>
        <sz val="12"/>
        <rFont val="Times New Roman"/>
        <family val="1"/>
      </rPr>
      <t>parasitic weed which is a common in dry regions of eastern Kenya. Creamy brown in color with greenish eye. Dual purpose variety for both grain and vegetable use. Developed using Farmer participatory variety selection.</t>
    </r>
  </si>
  <si>
    <t>CROP-EX</t>
  </si>
  <si>
    <t>Maize (Zea mays) Production Guide - Highland Zones</t>
  </si>
  <si>
    <t>KALRO-CROP-2024-011</t>
  </si>
  <si>
    <t>KALRO Katumani / J. Mwangi</t>
  </si>
  <si>
    <t>2024-03-15</t>
  </si>
  <si>
    <t>Maize</t>
  </si>
  <si>
    <t>Production guide; agronomy; variety selection</t>
  </si>
  <si>
    <t>Smallholder mixed farming</t>
  </si>
  <si>
    <t>Smallholder farmers, extension officers</t>
  </si>
  <si>
    <t>Kenya - Highland zones</t>
  </si>
  <si>
    <t>Current</t>
  </si>
  <si>
    <t>Verified</t>
  </si>
  <si>
    <t>source_validated</t>
  </si>
  <si>
    <t>Low</t>
  </si>
  <si>
    <t>Currency check needed against 2026 seed catalogue before certification.</t>
  </si>
  <si>
    <t>CASSAVA-1</t>
  </si>
  <si>
    <t>Technology, Innovations and Management Practices for Cassava</t>
  </si>
  <si>
    <t xml:space="preserve">https://navcdp.kalro.org/docs/kcsap/Cassava%20Aug2019-Munga.pdf </t>
  </si>
  <si>
    <t>Kenya Agricultural and Livestock Research Organization</t>
  </si>
  <si>
    <t>Cassava</t>
  </si>
  <si>
    <t>Training Manual</t>
  </si>
  <si>
    <t>Farmers</t>
  </si>
  <si>
    <t>CASSAVA4</t>
  </si>
  <si>
    <t>Cassava Training Manual</t>
  </si>
  <si>
    <t>https://www.kalro.org/navcdp/index.php/information-resoures/publications/training-manuals23</t>
  </si>
  <si>
    <t>KALRO-NAVCDP</t>
  </si>
  <si>
    <t>Not stated</t>
  </si>
  <si>
    <t>Climate-smart cassava production; agronomy; varieties</t>
  </si>
  <si>
    <t>Training manual</t>
  </si>
  <si>
    <t>Smallholder; rainfed</t>
  </si>
  <si>
    <t>Farmers; extension officers; trainers</t>
  </si>
  <si>
    <t>CASSAVA-5</t>
  </si>
  <si>
    <t>Cassava Climate-Smart Agricultural Technologies Training Manual</t>
  </si>
  <si>
    <t>https://keep.kalro.org/appfiles/media/vc_files/cassava-8-12-20.pdf</t>
  </si>
  <si>
    <t>KALRO; climate-smart agriculture programme</t>
  </si>
  <si>
    <t>Climate change; FFBS; varieties; clean seed; agronomic practices</t>
  </si>
  <si>
    <t>Climate-smart; rainfed</t>
  </si>
  <si>
    <t>Trainers; extension officers; lead farmers; farmers</t>
  </si>
  <si>
    <t>CASSAVA-6</t>
  </si>
  <si>
    <t>Cassava Good Agricultural Practices</t>
  </si>
  <si>
    <t>https://keep.kalro.org/good-agricultural-practices/Cassava</t>
  </si>
  <si>
    <t>KALRO Kenya Digital Agriculture Platform</t>
  </si>
  <si>
    <t>Varieties; site selection; land preparation; planting; crop management</t>
  </si>
  <si>
    <t>Digital learning resource</t>
  </si>
  <si>
    <t>Web</t>
  </si>
  <si>
    <t>Farmers; extension officers</t>
  </si>
  <si>
    <t>CASSAVA-8</t>
  </si>
  <si>
    <t>KALRO New Cassava Varieties</t>
  </si>
  <si>
    <t>https://www.kalro.org/navcdp/index.php/information-resoures/mobile-apps</t>
  </si>
  <si>
    <t>Improved varieties; varietal selection</t>
  </si>
  <si>
    <t>Mobile learning application</t>
  </si>
  <si>
    <t>Mobile app</t>
  </si>
  <si>
    <t>Smallholder; climate-smart</t>
  </si>
  <si>
    <t>Farmers; extension officers; agro-dealers</t>
  </si>
  <si>
    <t>Cassava variety MM95/0183 (Cassava)</t>
  </si>
  <si>
    <t>Mid-maturing variety ready for harvest from 8–12 months after planting, medium/high yielding 25–62 t/ha, sweet tasting (low cyanide content 7.9 mg/100 g). Tolerant to CBSD, CBB, CMD, CMB and CGM with 26% dry matter. Performs well at 800–1200 mm rainfall, altitudes of 800–1500 m.a.s.l. and temperatures of 14–30 °C.</t>
  </si>
  <si>
    <t>Requires well-drained sandy loam soils, Optimal rainfall 800–1200 mm annually, Certified seed availability limited, Monitor for emerging disease strains, Best for Western and Coastal Kenya regions</t>
  </si>
  <si>
    <t>mid-maturing, high yielding, low cyanide, disease tolerant, 26% dry matter, sweet tasting</t>
  </si>
  <si>
    <t>Cassava variety Katsuhanzala (990132) (Cassava)</t>
  </si>
  <si>
    <t>Yields 36.7 t/ha, matures in 8–10 months, resistant to CMD and tolerant to CBSD, CGM and CMB with cream root flesh colour. Dry matter 29%. Adapted to a wide range of agroecological zones from coastal lowlands to highland coffee zones (200–1500 m.a.s.l.).</t>
  </si>
  <si>
    <t>Adapted to wide altitude range (200–1500 m.a.s.l.), Requires well-drained sandy loam soils, Rainfall 500–1000 mm annually, Monitor for pest resistance durability, Seed availability may be limited in some regions</t>
  </si>
  <si>
    <t>CMD resistant, CBSD tolerant, cream flesh, 29% dry matter, wide adaptation, moderate yielder</t>
  </si>
  <si>
    <t>Cassava variety KME-3 (Cassava)</t>
  </si>
  <si>
    <t>Drought tolerant, medium yielder (40 t/ha), resistant to CMD, early maturing variety with low cyanogenic potential (CNP), sweet and easy to mash. Root flesh creamy-coloured with dry matter 29%. Does well in warm, semi-arid areas, 200–2000 m.a.s.l. with rainfall of 500–1000 mm/year.</t>
  </si>
  <si>
    <t>Drought tolerance does not eliminate need for adequate moisture, Best for warm semi-arid areas, Requires validation in different regions, Sweet variety - good for fresh consumption, Early maturity helps escape drought</t>
  </si>
  <si>
    <t>drought tolerant, CMD resistant, early maturing, low cyanide, creamy flesh, semi-arid adaptation</t>
  </si>
  <si>
    <t>Cassava variety Katune (990005) (Cassava)</t>
  </si>
  <si>
    <t>Variety with creamy root flesh, maturing in 8–10 months, dry matter 36%, moderate yielder (37.1 t/ha), resistant to CMD and tolerant to CBSD, CBB, CGM and CMB. Adapted to 200–1500 m.a.s.l., rainfall of 500–1000 mm and temperatures of 24–27 °C.</t>
  </si>
  <si>
    <t>High dry matter (36%) good for processing, Moderate yield potential, Adapted to wide altitude range, Requires well-drained soils, Monitor for disease resistance durability</t>
  </si>
  <si>
    <t>high dry matter, CMD resistant, multi-pest tolerant, creamy flesh, moderate yielder, wide adaptation</t>
  </si>
  <si>
    <t>Cassava variety KME-2 (Cassava)</t>
  </si>
  <si>
    <t>Drought tolerant, medium yielder (40 t/ha), resistant to CMD, early maturing with low cyanogenic potential (CNP), sweet and poundable. Root flesh creamy-coloured with dry matter 29%. Does well in warm, semi-arid areas, 200–2000 m.a.s.l. with rainfall of 500–1000 mm/year.</t>
  </si>
  <si>
    <t>Drought tolerance varies with stress severity, Requires validation in target counties, Poundable quality good for processing, Sweet variety - low cyanide content, Best for semi-arid warm areas</t>
  </si>
  <si>
    <t>drought tolerant, CMD resistant, early maturing, low cyanide, poundable, semi-arid adaptation</t>
  </si>
  <si>
    <t>Cassava variety Mygera (Cassava)</t>
  </si>
  <si>
    <t>Mid-maturing, ready for harvest from 10–12 months, yields 20–43 t/ha, tolerant to CBSD, CBB, CMD, CMB and CGM. Sweet tasting (low cyanide 1.6–15.4 mg/100 g), dry matter 24–52.5%. Optimal conditions: 500–1200 mm rainfall, altitude 800–1750 m.a.s.l.</t>
  </si>
  <si>
    <t>Wide yield range (20–43 t/ha) depends on management, Broad disease tolerance, Altitude range 800–1750 m.a.s.l., Sweet variety suitable for fresh consumption, Dry matter varies widely (24–52.5%)</t>
  </si>
  <si>
    <t>mid-maturing, disease tolerant, low cyanide, sweet tasting, variable dry matter, wide altitude adaptation</t>
  </si>
  <si>
    <t>Cassava variety Shibe (Cassava)</t>
  </si>
  <si>
    <t>High yielder (70 t/ha), medium maturing (8–12 months), resistant to CMD and tolerant to CBSD. Straight stems ideal for intercropping. Does well at altitudes of 15–1200 m.a.s.l., rainfall of 500–1000 mm and temperatures of 24–27 °C.</t>
  </si>
  <si>
    <t>Very high yield potential requires good management, Straight stems good for intercropping, Low altitude adaptation (15–1200 m.a.s.l.), Requires validation in target counties, Seed availability limited</t>
  </si>
  <si>
    <t>high yielding, CMD resistant, CBSD tolerant, straight stems, intercropping ideal, low altitude</t>
  </si>
  <si>
    <t>Cassava variety Tajirika (Cassava)</t>
  </si>
  <si>
    <t>Early maturing variety (8 months after planting, MAP), high yield (63.3 t/ha), resistant to CMD and tolerant to CBSD. Straight stems allow for intercropping. Performs well at altitudes of 15–1200 m.a.s.l., rainfall of 500–1000 mm, well-drained sandy loam soils and temperatures of 24–27 °C.</t>
  </si>
  <si>
    <t>Early maturity (8 months) good for food security, High yield requires good agronomic practices, Straight stems ideal for intercropping, Low altitude adaptation, Requires well-drained sandy loam soils</t>
  </si>
  <si>
    <t>early maturing, high yielding, CMD resistant, CBSD tolerant, straight stems, low altitude</t>
  </si>
  <si>
    <t>Cassava variety Nzalauka (Cassava)</t>
  </si>
  <si>
    <t>Resistant to CMD, tolerant to CBSD, straight stems ideal for intercropping, yields 52.9 t/ha, matures between 6–8 months. Optimal ecology: altitude 15–1200 m.a.s.l., temperature 24–27 °C and rainfall 500–1000 mm/year.</t>
  </si>
  <si>
    <t>Very early maturity (6–8 months), High yield potential, Straight stems for intercropping, Low altitude adaptation, Requires validation in new areas</t>
  </si>
  <si>
    <t>very early maturing, high yielding, CMD resistant, CBSD tolerant, straight stems, low altitude</t>
  </si>
  <si>
    <t>Cassava variety Siri (Cassava)</t>
  </si>
  <si>
    <t>Resistant to CMD, tolerant to CBSD, high branching ideal for intercropping, matures between 8–12 months, yields 57.7 t/ha. Optimal ecology: 15–1200 m.a.s.l., rainfall 400–1000 mm/year, temperature 24–27 °C.</t>
  </si>
  <si>
    <t>High branching suitable for intercropping, Moderate to high yield, Drought tolerant (400–1000 mm rainfall), Low altitude adaptation, Seed availability limited</t>
  </si>
  <si>
    <t>CMD resistant, CBSD tolerant, high branching, intercropping suitable, drought tolerant, low altitude</t>
  </si>
  <si>
    <t>Cassava variety Karibuni (Cassava)</t>
  </si>
  <si>
    <t>Resistant to CMD, matures in 8 months, yields 68.2 t/ha. Optimal environmental conditions: altitude 15–1200 m.a.s.l., rainfall 400–1000 mm/year, temperature 24–27 °C.</t>
  </si>
  <si>
    <t>Very high yield potential, Early maturity (8 months), Drought tolerant, Requires validation in different agro-ecologies, Low altitude adaptation only</t>
  </si>
  <si>
    <t>high yielding, early maturing, CMD resistant, drought tolerant, low altitude, high potential</t>
  </si>
  <si>
    <t>Resistant to CMD, tolerant to CBSD, very short and non-branching, matures between 8–12 months, yields 57.7 t/ha. Optimal ecology: altitude 15–1200 m.a.s.l., rainfall 400–1000 mm/year, temperature 24–27 °C.</t>
  </si>
  <si>
    <t>Very short and non-branching - suitable for high density, Moderate to high yield, Drought tolerant, Good for intercropping, Low altitude adaptation</t>
  </si>
  <si>
    <t>CMD resistant, CBSD tolerant, non-branching, short stature, drought tolerant, low altitude</t>
  </si>
  <si>
    <t>Planting time (Cassava)</t>
  </si>
  <si>
    <t>Timely planting of cassava in relation to the onset of the rainfall season is critical. Cassava should be planted at the onset of the rainfall seasons: Coastal Counties (March-April), Eastern Counties (September-October), and Western Counties (March-April and August-September). Poor soil moisture during the first 3 months severely affects germination and yield.</t>
  </si>
  <si>
    <t>Planting too early or late reduces yields, Poor soil moisture during the first 3 months affects establishment, Climate change makes rainfall prediction difficult, Requires capital for timely land preparation, Weather prediction apps can help planning</t>
  </si>
  <si>
    <t>planting time, rainfall onset, germination, crop establishment, seasonal planting, climate adaptation</t>
  </si>
  <si>
    <t>Fertilizer use (Cassava)</t>
  </si>
  <si>
    <t>Application of appropriate fertilizers at the appropriate time and rates to replenish depleted soil nutrients for maximum yield. Most soils where cassava is grown are exhausted. Soil testing is needed to inform application rates, as excess fertilization has a negative effect on root yield.</t>
  </si>
  <si>
    <t>Requires soil testing for accurate rates, Excess fertilizer reduces root yield, Most cassava soils are exhausted, Fertilizer costs may be high (KES 46,850 per 0.4 ha, i.e. 1 acre), Limited recommended fertilizer formulations available</t>
  </si>
  <si>
    <t>fertilizer application, soil fertility, nutrient replenishment, soil testing, root yield, fertilizer rates</t>
  </si>
  <si>
    <t>Integrated Weed Management (Cassava)</t>
  </si>
  <si>
    <t>Use of more than one approach to manage weeds, including cultural (crop rotation, intercropping), preventive (planting in weed-free prepared land, mulching), chemical (herbicides), and physical (manual/mechanical weeding). Weeds can cause up to 50% yield loss and reduce root quality.</t>
  </si>
  <si>
    <t>Weeds cause up to 50% yield loss, Herbicides require careful handling and training, Manual weeding is labour intensive, Integration of methods more effective than single approach, Weed identification guides management choice</t>
  </si>
  <si>
    <t>IWM, cultural control, chemical control, mechanical control, weed competition, yield loss</t>
  </si>
  <si>
    <t>Intercropping (Cassava)</t>
  </si>
  <si>
    <t>Planting cassava alongside other crops in the same field at the same time. Cassava is planted at wide spacing, which leaves the field open in the early stage. Planting short-season crops increases income, keeps weeds at bay, spreads risk, increases nutrition security, improves resilience to climate change.</t>
  </si>
  <si>
    <t>Requires compatible crop selection, May increase pest pressure, Nutrient competition possible, Requires additional management, Some combinations reduce cassava yield</t>
  </si>
  <si>
    <t>intercropping, crop diversification, risk management, nutrition security, climate resilience, weed suppression</t>
  </si>
  <si>
    <t>Harvesting and post-harvest handling (Cassava)</t>
  </si>
  <si>
    <t>Appropriate, timely harvesting according to the maturity period. Unlike other crops, cassava does not have a physical feature to indicate maturity. Early harvesting reduces yield and quality, while late harvesting increases production cost and reduces root quality. Harvested roots are bulky with very short shelf life.</t>
  </si>
  <si>
    <t>Cassava has no physical maturity indicator, Early harvesting reduces yield and quality, Late harvesting increases costs and reduces quality, Roots are bulky with very short shelf life, Requires immediate processing or value addition</t>
  </si>
  <si>
    <t>timely harvesting, maturity period, post-harvest handling, shelf life, root quality, harvesting techniques</t>
  </si>
  <si>
    <t>Community based clean seed system (Cassava)</t>
  </si>
  <si>
    <t>Farming community seed delivery system involving: stock (mother) plant conservation units, virus cleaning, rapid multiplication through tissue culture units, hardening units, primary/secondary/tertiary multipliers, registration of multipliers, seed inspection, seed marketing and distribution.</t>
  </si>
  <si>
    <t>Requires tissue culture facilities and expertise, Registration of multipliers with KEPHIS required, Seed inspection essential for quality, High initial investment for clean seed production, Sustainable multiplication and delivery system needed</t>
  </si>
  <si>
    <t>clean seed, community seed system, tissue culture, virus cleaning, seed multiplication, seed certification</t>
  </si>
  <si>
    <t>Control of Cassava Mosaic Disease (CMD) (Cassava)</t>
  </si>
  <si>
    <t>Application of various management practices to control CMD including use of clean planting materials, planting of tolerant varieties and control of cross-boundary movement of planting materials. CMD is transmitted through planting materials and the whitefly vector.</t>
  </si>
  <si>
    <t>CMD transmitted through planting materials and whiteflies, Use only certified clean planting materials, Tolerant varieties reduce but do not eliminate disease, Avoid moving planting materials across regions, Requires functional seed system for sustainability</t>
  </si>
  <si>
    <t>CMD, Begomovirus, clean planting materials, tolerant varieties, whitefly vector, disease management</t>
  </si>
  <si>
    <t>Control of Cassava Brown Streak Disease (CBSD) (Cassava)</t>
  </si>
  <si>
    <t>Management of CBSD to minimize reduction in cassava productivity. CBSD is a major cause of low cassava productivity in East and Central Africa. Use of disease-free planting materials and tolerant varieties is key.</t>
  </si>
  <si>
    <t>CBSD causes significant yield losses in East and Central Africa, Use only disease-free planting materials, Tolerant varieties available but need validation, Monitor for emerging disease strains, Regular surveillance essential</t>
  </si>
  <si>
    <t>CBSD, Ipomovirus, disease management, tolerant varieties, clean planting materials, yield loss</t>
  </si>
  <si>
    <t>Control of Cassava Anthracnose (Cassava)</t>
  </si>
  <si>
    <t>Management of cassava anthracnose disease (Colletotrichum gloeosporioides f.sp. manihotis) to minimize reduction in cassava productivity. Use of clean planting materials and disease management practices.</t>
  </si>
  <si>
    <t>Anthracnose transmitted through planting materials, Use clean disease-free planting materials, Destroy infected plant parts, Practice crop rotation, Monitor fields regularly for symptoms</t>
  </si>
  <si>
    <t>anthracnose, Colletotrichum, disease management, clean planting materials, fungal disease, crop rotation</t>
  </si>
  <si>
    <t>Control of cassava bacterial blight disease (Cassava)</t>
  </si>
  <si>
    <t>Management of cassava bacterial blight (Xanthomonas phaseoli pv. manihotis, syn. X. axonopodis pv. manihotis) to minimize reduction in cassava productivity. Use of disease-free planting materials and integrated management practices.</t>
  </si>
  <si>
    <t>Bacterial blight caused by Xanthomonas, Use disease-free planting materials, Avoid working in wet fields to prevent spread, Destroy infected plants, Practice crop rotation with non-host crops</t>
  </si>
  <si>
    <t>bacterial blight, Xanthomonas, disease management, clean planting materials, integrated management, crop rotation</t>
  </si>
  <si>
    <t>Integrated pest management for Whiteflies (Bemisia tabaci) (Cassava)</t>
  </si>
  <si>
    <t>IPM package that prevents/reduces infestations of cassava by whiteflies. Includes pruning and destroying infested parts, application of non-toxic recommended products, biological control options, and value addition during processing.</t>
  </si>
  <si>
    <t>Whiteflies are vectors of viral diseases (CMD, CBSD), Regular scouting essential for early detection, Non-toxic products should be used first, Biological control options need validation, Integrated approach more effective than single method</t>
  </si>
  <si>
    <t>whiteflies, Bemisia tabaci, IPM, viral vectors, biological control, pruning</t>
  </si>
  <si>
    <t>Integrated Pest Management Package for White scales (Aonidomytilus albus) (Cassava)</t>
  </si>
  <si>
    <t>IPM package for white scales including pruning and destroying infested parts, application of non-toxic products, biological control options and value addition. Severe attacks cause terminal leaves to die and drop, shoot tip looks like a "candlestick".</t>
  </si>
  <si>
    <t>Severe attacks cause "candlestick" symptom, Reduces tuber yield significantly, Prune and destroy infested parts, Non-toxic products recommended first, Regular monitoring essential</t>
  </si>
  <si>
    <t>white scales, Aonidomytilus albus, IPM, pruning, biological control, "candlestick" symptom</t>
  </si>
  <si>
    <t>Integrated Pest Management Package for green mites (Cassava)</t>
  </si>
  <si>
    <t>IPM package for green mites in cassava including pruning and destroying infested parts, application of non-toxic recommended products, biological control options and value addition during processing.</t>
  </si>
  <si>
    <t>Green mites cause significant yield losses, Regular scouting essential, Prune and destroy heavily infested parts, Non-toxic products should be used as first option, Integrated approach more effective</t>
  </si>
  <si>
    <t>green mites, Mononychellus tanajoa, IPM, pruning, biological control, pest management</t>
  </si>
  <si>
    <t>Integrated Pest Management Package for mealybugs (Cassava)</t>
  </si>
  <si>
    <t>IPM package for mealybugs including pruning, application of non-chemical products, biological control options and value addition. Mealybugs suck plant sap causing wilting and vectoring of diseases leading to low production.</t>
  </si>
  <si>
    <t>Mealybugs suck plant sap causing wilting, Act as vectors for diseases, Use clean planting materials from certified sources, Non-chemical products recommended first, Regular monitoring and early intervention critical</t>
  </si>
  <si>
    <t>mealybugs, Phenacoccus manihoti, IPM, biological control, wilting, disease vectors</t>
  </si>
  <si>
    <t>Integrated Pest Management Package for moles (Cassava)</t>
  </si>
  <si>
    <t>IPM package for moles (Tachyoryctes splendens) including trapping and other mechanical/physical methods. Severe attacks on roots cause rots and decays leading to tuber yield reduction.</t>
  </si>
  <si>
    <t>Moles cause root damage leading to rots and decay, Can reduce tuber yields by up to 25%, Trapping and mechanical methods recommended, Regular monitoring for soil mounds, Integrated approach combining multiple methods</t>
  </si>
  <si>
    <t>moles, Tachyoryctes splendens, IPM, trapping, root damage, mechanical control</t>
  </si>
  <si>
    <t>Cassava/wheat chapati (Cassava)</t>
  </si>
  <si>
    <t>Chapati made from composite flour of cassava and wheat. Diversifies use of cassava, creates demand for increased cassava production, enhances food security and income generation.</t>
  </si>
  <si>
    <t>Requires quality cassava flour (low cyanide), Blending ratio affects product quality, KEBS certification may be required, Limited consumer awareness, Requires training for proper preparation</t>
  </si>
  <si>
    <t>value addition, composite flour, cassava-wheat blending, chapati, food diversification, income generation</t>
  </si>
  <si>
    <t>Cassava/maize Ugali (Cassava)</t>
  </si>
  <si>
    <t>Ugali made from composite flour of 25% cassava and 75% maize flour. Diversifies use of cassava, reduces overdependence on maize flour, creates demand for increased cassava production.</t>
  </si>
  <si>
    <t>Blending ratio 25:75 cassava:maize recommended, Requires high quality cassava flour, KEBS standards compliance required (Crops Act 2019), Limited consumer awareness, Supports food security and reduces maize importation</t>
  </si>
  <si>
    <t>value addition, composite flour, cassava-maize blending, ugali, food diversification, food security</t>
  </si>
  <si>
    <t>Cassava/millet Ugali (Cassava)</t>
  </si>
  <si>
    <t>Ugali made from composite flour of 30% cassava and 70% millet flour. Diversifies use of cassava, reduces overdependence on maize flour, creates demand for increased cassava production.</t>
  </si>
  <si>
    <t>Blending ratio 30:70 cassava:millet recommended, Millet availability may be limited in some regions, Requires quality cassava flour, KEBS standards compliance required, Diversifies use of drought-tolerant crops</t>
  </si>
  <si>
    <t>value addition, composite flour, cassava-millet blending, ugali, food diversification, drought-tolerant crops</t>
  </si>
  <si>
    <t>Cassava/pigeon pea porridge (Cassava)</t>
  </si>
  <si>
    <t>Porridge made from composite flour of 80% cassava and 20% pigeon pea flour with two spoonfuls of millet flour. Diversifies cassava use, improves nutritive value, enhances food and nutrition security.</t>
  </si>
  <si>
    <t>Blending ratio 80:20 cassava:pigeon pea, Enhances protein content of porridge, Requires quality flour processing, Limited consumer awareness, Benefits child nutrition through protein enrichment</t>
  </si>
  <si>
    <t>value addition, composite flour, cassava-pigeon pea blending, porridge, nutrition security, protein enrichment</t>
  </si>
  <si>
    <t>Gari (Witabix Mtaani) (Cassava)</t>
  </si>
  <si>
    <t>Ready to use food product made from pan-roasted, fermented, grated cassava mixed with soya bean flour. Grating and fermenting grated cassava mixed with soya flour diversifies cassava use and improves nutritive value.</t>
  </si>
  <si>
    <t>Requires fermentation and roasting skills, Soya bean flour addition improves nutrition, Popular in Busia Town, Irregular supply of fresh tubers is a challenge, Requires proper processing to reduce cyanide</t>
  </si>
  <si>
    <t>value addition, gari, fermentation, cassava-soya blending, ready-to-eat, nutrition enhancement</t>
  </si>
  <si>
    <t>Cassava Crackies (Cassava)</t>
  </si>
  <si>
    <t>Deep fried snack made from cassava dough passed through noodle machine. Diversifies cassava use, improves nutritive value, creates demand for increased cassava production.</t>
  </si>
  <si>
    <t>Requires deep frying skills and equipment, Noodle machine required for processing, Limited consumer awareness, Irregular fresh tuber supply, Market development needed for upscaling</t>
  </si>
  <si>
    <t>value addition, crackies, deep-fried snack, cassava processing, job creation, food diversification</t>
  </si>
  <si>
    <t>High quality cassava flour (Cassava)</t>
  </si>
  <si>
    <t>Fine flour produced from wholesome, freshly harvested and rapidly processed cassava roots. Flour is white/cream in colour, odourless, bland/sweet in taste, free from adulterants. Proper processing extends shelf life and reduces cyanogenic glucosides to safe limits.</t>
  </si>
  <si>
    <t>Requires rapid processing after harvest, Proper drying to safe moisture content, Cyanide reduction through proper processing, KEBS quality standards compliance, Women require financing for processing equipment</t>
  </si>
  <si>
    <t>high quality flour, cassava processing, shelf life extension, cyanide reduction, value addition, food safety</t>
  </si>
  <si>
    <t>Identification of existing marketing strategies for cassava produce and products (Cassava)</t>
  </si>
  <si>
    <t>Identification of the most appropriate strategies for use in up-scaling cassava produce and products. Promotes increased uptake by consumers and commercializes cassava production.</t>
  </si>
  <si>
    <t>Weak collaboration among stakeholders, Limited marketing promotion currently, Requires packaging of information (manuals, fact sheets), Funding for marketing demonstrations needed, Willingness by stakeholders critical</t>
  </si>
  <si>
    <t>marketing strategies, upscaling, consumer uptake, commercialization, market promotion, value chain</t>
  </si>
  <si>
    <t>Scoping and profiling existing cassava markets, commercial villages and innovation platforms (Cassava)</t>
  </si>
  <si>
    <t>Identification of potential markets for cassava produce and products to increase production to meet demand. Promotes cassava produce and products for increased consumer uptake.</t>
  </si>
  <si>
    <t>Requires mapping of existing markets, Commercial villages need capacity building, Innovation platforms require strengthening, Funding for market scoping needed, Collaboration among stakeholders essential</t>
  </si>
  <si>
    <t>market scoping, commercial villages, innovation platforms, market identification, demand creation, value chain</t>
  </si>
  <si>
    <t>Prioritization of viable cassava products, consumer tastes and preferences (Cassava)</t>
  </si>
  <si>
    <t>While many cassava products exist, not all may be ready and viable for commercialization. Identifies products with comparative advantage for registration, branding and promotion.</t>
  </si>
  <si>
    <t>Not all products are commercially viable, Consumer preferences vary by region, Requires market research, Products need KEBS certification, Branding and registration require investment</t>
  </si>
  <si>
    <t>product prioritization, consumer preferences, commercialization, market analysis, branding, value addition</t>
  </si>
  <si>
    <t>Business plans, Registration, branding and advertising (Cassava)</t>
  </si>
  <si>
    <t>Consumer-preferred identified products form the basis for developing business plans. Commercial villages or innovation platforms choose products with comparative advantage, register, brand and promote them.</t>
  </si>
  <si>
    <t>Business planning requires skills training, Registration with KEBS required, Branding and advertising require investment, Commercial villages need capacity building, Sustainable market linkages essential</t>
  </si>
  <si>
    <t>business plans, registration, branding, advertising, commercialization, entrepreneurship</t>
  </si>
  <si>
    <t>MAIZE-1</t>
  </si>
  <si>
    <t>Farmers’ Extension Handbook Cereals and Pulses</t>
  </si>
  <si>
    <t>MAIZE-2</t>
  </si>
  <si>
    <t>Maize smut (Common Smut)</t>
  </si>
  <si>
    <t>Kiritai S.Kagai K. Ngigi B. Mulaa M.</t>
  </si>
  <si>
    <t>Plant Health</t>
  </si>
  <si>
    <t>MAIZE-3</t>
  </si>
  <si>
    <t>Maize Lethal Necrosis Disease on Maize</t>
  </si>
  <si>
    <t>Gekone M., Otipa M., Kamau R.</t>
  </si>
  <si>
    <t>MAIZE-4</t>
  </si>
  <si>
    <t>Phosphorus deficiency in Maize</t>
  </si>
  <si>
    <t>Kiritai S., Kagai K., Mulaa M., Kilalo D., Wendot P., Kiige P., Otipa M.</t>
  </si>
  <si>
    <t>MAIZE-5</t>
  </si>
  <si>
    <t>Maize Stem Borer</t>
  </si>
  <si>
    <t>Mulaa M., Oronje M.L., Otipa M., Ringera E.K.</t>
  </si>
  <si>
    <t>MAIZE-6</t>
  </si>
  <si>
    <t>Maize production training and extension manual</t>
  </si>
  <si>
    <t>MAIZE-7</t>
  </si>
  <si>
    <t>Options for Striga management in Kenya</t>
  </si>
  <si>
    <t>Esilaba A.O.</t>
  </si>
  <si>
    <t>MAIZE-8</t>
  </si>
  <si>
    <t>Harmonized Fertilizer Recommendations For Optimal Maize Production In Kenya</t>
  </si>
  <si>
    <t>Mangale N., Muriuki A., Kathuku-Gitonga A.N. and Mutegi J.K.</t>
  </si>
  <si>
    <t>MAIZE-9</t>
  </si>
  <si>
    <t>Maize Production Trainng and Extension Manual</t>
  </si>
  <si>
    <t>Library</t>
  </si>
  <si>
    <t>MAIZE-10</t>
  </si>
  <si>
    <t>Technology, Innovations and Management Practices for Maize Volume II</t>
  </si>
  <si>
    <t xml:space="preserve">https://navcdp.kalro.org/docs/timps_2025/MAIZE%20TIMPS%20Volume-1%20for%20Upload.pdf </t>
  </si>
  <si>
    <t>KALRO/Musila R.N., et al. (2022)</t>
  </si>
  <si>
    <t>MAIZE-11</t>
  </si>
  <si>
    <t xml:space="preserve">https://navcdp.kalro.org/docs/timps_2025/MAIZE%20TIMPS%20Volume%202%20for%20upload.pdf </t>
  </si>
  <si>
    <t>MAIZE-12</t>
  </si>
  <si>
    <t>Maize Trainer of Trainers’ Manual</t>
  </si>
  <si>
    <t>Karanja J. K., Otipa M., Esilaba A. O., Nyongesa D., Okoti M., Mutuma E., Kathuku-Gitonga A.N., Too A., Mutisya D., Njunie M.,. Muli B &amp; Wasilwa L.</t>
  </si>
  <si>
    <t>MAIZE-13</t>
  </si>
  <si>
    <t>Your Feed Shortage Problem: Use Maize Forage</t>
  </si>
  <si>
    <t>MAIZE-14</t>
  </si>
  <si>
    <t>Maize Training Manual</t>
  </si>
  <si>
    <t>Good agricultural practices; climate-smart agriculture; agronomy</t>
  </si>
  <si>
    <t>Smallholder rainfed/commercial</t>
  </si>
  <si>
    <t>Farmers; extension officers; lead farmers; service providers</t>
  </si>
  <si>
    <t>MAIZE-15</t>
  </si>
  <si>
    <t>Maize Extension and Training Manual</t>
  </si>
  <si>
    <t>https://kalroerepository.kalro.org/handle/123456789/13957</t>
  </si>
  <si>
    <t>KALRO; Karanja J.K.; Mwathi J.W.; Ooro P.A.; Esilaba A.O.; Nyongesa D.; Okoti M.; Githunguri C.; Miriti J.; Otipa M.; Nassiuma E.; Too A.; Kamidi M.; Wanjekeche E.</t>
  </si>
  <si>
    <t>2019-04</t>
  </si>
  <si>
    <t>Agronomy; varieties; production; extension</t>
  </si>
  <si>
    <t>Extension manual</t>
  </si>
  <si>
    <t>Rainfed; smallholder</t>
  </si>
  <si>
    <t>Extension officers; farmers; service providers</t>
  </si>
  <si>
    <t>MAIZE-16</t>
  </si>
  <si>
    <t>KALRO-KCEP Maize Training and Extension Manual</t>
  </si>
  <si>
    <t>https://kalroerepository.kalro.org/handle/123456789/13966</t>
  </si>
  <si>
    <t>KALRO-KCEP</t>
  </si>
  <si>
    <t>2016-04</t>
  </si>
  <si>
    <t>Varieties; field operations; seed; production</t>
  </si>
  <si>
    <t>Training and extension manual</t>
  </si>
  <si>
    <t>Rainfed; smallholder/commercial</t>
  </si>
  <si>
    <t>MAIZE-17</t>
  </si>
  <si>
    <t>https://kalroerepository.kalro.org/handle/123456789/13956</t>
  </si>
  <si>
    <t>KALRO; Karanja J.K.; Otipa M.; Esilaba A.O.; Nyongesa D.; Okoti M.; Mutuma E.; Kathuku-Gitonga A.N.; Too A.; Mutisya D.; Njunie M.; Muli B.; Wasilwa L.</t>
  </si>
  <si>
    <t>Training methods; soil fertility; maize production</t>
  </si>
  <si>
    <t>ToT manual</t>
  </si>
  <si>
    <t>Trainers; extension officers; lead farmers</t>
  </si>
  <si>
    <t>MAIZE-18</t>
  </si>
  <si>
    <t>Solve Your Feed Shortage Problem: Use Maize Forage</t>
  </si>
  <si>
    <t>https://www.kalro.org/information-resources/information-brochures/</t>
  </si>
  <si>
    <t>KALRO</t>
  </si>
  <si>
    <t>2021 (site archive date)</t>
  </si>
  <si>
    <t>Maize forage; livestock feed; fodder conservation</t>
  </si>
  <si>
    <t>Brochure</t>
  </si>
  <si>
    <t>Mixed crop-livestock</t>
  </si>
  <si>
    <t>Dairy/livestock farmers; extension officers</t>
  </si>
  <si>
    <t>MAIZE-19</t>
  </si>
  <si>
    <t>How to Control Maize Stalk Borer</t>
  </si>
  <si>
    <t>Pest management; crop protection</t>
  </si>
  <si>
    <t>Extension brochure</t>
  </si>
  <si>
    <t>Smallholder maize</t>
  </si>
  <si>
    <t>MAIZE-20</t>
  </si>
  <si>
    <t>Maize Good Agricultural Practices</t>
  </si>
  <si>
    <t>https://keep.kalro.org/good-agricultural-practices/Maize</t>
  </si>
  <si>
    <t>Site selection; land preparation; varieties; planting; crop health; post-harvest</t>
  </si>
  <si>
    <t>Farmers; extension officers; agribusiness advisers</t>
  </si>
  <si>
    <t>MAIZE-21</t>
  </si>
  <si>
    <t>KALRO GAPS – Maize and Bean Intercrop / Maize GAPs</t>
  </si>
  <si>
    <t>Good agricultural practices; intercrop management</t>
  </si>
  <si>
    <t>MAIZE-22</t>
  </si>
  <si>
    <t>Multilocation Evaluation for Yield and Yield Related Traits in Three-Way Cross Maize Hybrids in Kenya</t>
  </si>
  <si>
    <t>https://www.kalro.org/information-resources/publications/</t>
  </si>
  <si>
    <t>2021-09-10</t>
  </si>
  <si>
    <t>Variety evaluation; yield; maize breeding</t>
  </si>
  <si>
    <t>Research/manual resource</t>
  </si>
  <si>
    <t>PDF/Web</t>
  </si>
  <si>
    <t>Rainfed; breeding trials</t>
  </si>
  <si>
    <t>Researchers; breeders; extension officers</t>
  </si>
  <si>
    <t>Maize production in Kenya</t>
  </si>
  <si>
    <t>Maize is a staple food in Kenya, accounting for an average production of 4.4 million tons for the period 2010 to 2013 (FAO, 2015). It contributes to about 65% of daily per capita cereal consumption and serves as a subsistence and commercial crop grown on an estimated 1.4 million hectares. Maize production accounts for more than 20% of the total agricultural production and 25% of agricultural employment in the country. It is an important source of carbohydrate, protein, iron, vitamin B, and minerals. Maize products include baked, roasted, and boiled fresh maize on the cob, porridge, pastes, beer, starch, oil, and livestock feed from by-products of fresh and dry maize grain.</t>
  </si>
  <si>
    <t>Verify site-specific production data for your region, monitor market prices for best-selling time, ensure proper storage to reduce 30% post-harvest losses, Climate change affects production patterns, diversify maize products for better income</t>
  </si>
  <si>
    <t>staple food, cereal consumption, subsistence crop, commercial crop, carbohydrate source, livestock feed</t>
  </si>
  <si>
    <t>Ecological requirement practices (Maize)</t>
  </si>
  <si>
    <t>Maize is well adapted to diverse climates and hence has wide-ranging maturities from 90 to 210 days, nutritive value, and tolerance/resistance to pests and diseases. In Kenya, maize is widely adapted to soils from the higher-rainfall uplands to the lowland areas.</t>
  </si>
  <si>
    <t>Match variety maturity to your specific agro-ecological zone, Consider local pest and disease pressure when selecting varieties, Soil type varies greatly - test before planting, Climate variability affects adaptation, Consult extension officer for site-specific advice</t>
  </si>
  <si>
    <t>climate adaptation, maturity range, nutritive value, pest resistance, disease tolerance, wide adaptation</t>
  </si>
  <si>
    <t>Altitude (Maize)</t>
  </si>
  <si>
    <t>Maize is grown at all altitudes ranging from zero metres above sea level (masl) at the Coast to more than 2,000 m.a.s.l of the highlands.</t>
  </si>
  <si>
    <t>Select varieties suited to your specific altitude, Higher altitudes require longer-maturing varieties, Coastal areas need heat-tolerant varieties, Temperature decreases with altitude affecting growth, Consult variety recommendations for your altitude zone</t>
  </si>
  <si>
    <t>sea level, altitude range, coastal lowlands, highlands, variety adaptation, temperature gradient</t>
  </si>
  <si>
    <t>Rainfall (Maize)</t>
  </si>
  <si>
    <t>Maize can grow and yield with as little as 250 mm but prefers 500 to 1200 mm as the optimal range. Depending on soil type and stored soil moisture, crop failure would be expected if less than 250 mm of rain were received for the crop. The rainfall should be fairly distributed during the growing period. For higher yields, the crop should receive enough rainfall during the first five weeks after sowing and at flowering time. Otherwise, moisture stress at flowering time interferes with pollination and drastically lowers the yields.</t>
  </si>
  <si>
    <t>Less than 250mm rainfall risks complete crop failure, Moisture stress at flowering causes severe yield reduction, Rainfall distribution more important than total amount, Consider drought-tolerant varieties in low rainfall areas, Supplementary irrigation may be needed in dry spells</t>
  </si>
  <si>
    <t>rainfall requirement, optimal range, moisture stress, pollination, flowering stage, crop failure risk</t>
  </si>
  <si>
    <t>Soil type (Maize)</t>
  </si>
  <si>
    <t>In Kenya, maize is grown on a wide range of soil types. Maize is also grown on lowland soils that are hard-setting, poorly structured, and low in nutrient levels due to leaching. Yields on these soils are very low, and maize production is considered uneconomical. The average soils for growing maize should be well drained, well aerated, deep and warm. The best soils for growing maize are silt loam with sufficient nutrients and a pH range of 5.5-6.8. Waterlogged soils should be avoided because if maize stands in water for more than two days, it withers and dies off. Soils should be routinely analyzed for nutrients.</t>
  </si>
  <si>
    <t>Avoid waterlogged soils - maize dies after 2 days in water, Conduct soil analysis before planting, Maintain soil pH between 5.5-6.8 for optimal growth, Lowland soils may be uneconomical for maize, Add organic matter to improve soil structure</t>
  </si>
  <si>
    <t>silt loam, soil pH, waterlogging, drainage, soil analysis, nutrient management</t>
  </si>
  <si>
    <t>Temperature (Maize)</t>
  </si>
  <si>
    <t>The optimum temperature for maize growth and development is 18 to 32 °C, with temperatures of 35 °C and above considered inhibitory, as it exposes the crop to much respiration, while cold conditions at high altitude will extend the life cycle, resulting in lower yields. However, through practising reduced tillage, maintaining ground cover or applying crop residues such as pulse straw, the impact of drought can be greatly reduced by lowering soil temperature and surface evaporation.</t>
  </si>
  <si>
    <t>Temperatures above 35°C reduce yields, Cold conditions extend maturity period, Use crop residues to moderate soil temperature, Mulching reduces heat stress on plants, Select heat-tolerant varieties for hot areas</t>
  </si>
  <si>
    <t>temperature range, heat stress, cold stress, crop residues, mulching, reduced tillage</t>
  </si>
  <si>
    <t>MAIZE AGRONOMIC PRACTICES - Varietal selection (Maize)</t>
  </si>
  <si>
    <t>The choice of appropriate maize varieties for a given location is very important because every variety has been extensively tested and recommended based on climatic conditions, soil type, yield potential, tolerance/resistance to pests and diseases, or maturity period, among others.</t>
  </si>
  <si>
    <t>Match variety to your specific agro-ecological zone, Consider pest and disease resistance, Check maturity period matches growing season, Consult extension officer for variety recommendations, Test new varieties on small plots first</t>
  </si>
  <si>
    <t>variety selection, agro-ecological zone, yield potential, disease tolerance, pest resistance, maturity period</t>
  </si>
  <si>
    <t>Open-pollinated variety (OPV) (Maize)</t>
  </si>
  <si>
    <t>These are stabilised varieties in which farmers do not need new seed each season. If farmers follow proper selection procedures, they can use their seeds selected from their harvests up to three seasons, after which they can buy fresh seeds from seed stockists. However, yields of OPV are lower than hybrids.</t>
  </si>
  <si>
    <t>OPV yields are lower than hybrids, Seed can be saved for max 3 seasons only, Proper selection procedures are essential, Yield declines with recycling beyond 3 seasons. Buy fresh seed from certified stockists</t>
  </si>
  <si>
    <t>open-pollinated variety, seed saving, three seasons, yield potential, seed selection, stockists</t>
  </si>
  <si>
    <t>Hybrid (Maize)</t>
  </si>
  <si>
    <t>Hybrids yield higher than OPVs. Farmers can choose to save their seeds for the next planting. However, as with all hybrid maize seeds, yield is reduced with recycling farm-saved seeds. It is good practice to plant new seed each season/year to ensure a consistently good harvest.</t>
  </si>
  <si>
    <t>Hybrid seed must be bought fresh each season. Recycled hybrid seed gives poor yields, Higher yield potential requires good management. More expensive seed but higher returns, Do not save seed from hybrid varieties</t>
  </si>
  <si>
    <t>hybrid maize, higher yield, fresh seed, season planting, consistent harvest, seed cost</t>
  </si>
  <si>
    <t>Land preparation (Maize)</t>
  </si>
  <si>
    <t>Good land preparation is very important as it enhances yield, controls crop diseases, and prevents pest invasion. There are three main techniques to carry out tillage practice: 1. Conventional tillage - use of mechanical farm implements for land preparation involving ploughing and harrowing using mouldboard plough, disc plough, subsoil plough, chisel plough, or plough powered by tractor or draft animals like oxen. 2. Minimum tillage - use of cutlass to slash weeds and vegetation regrowth; little manipulation with hoe and rake; stubble used as mulching material. 3. Zero tillage - opening narrow strip 2-3 cm wide or hole for seed; weeds controlled with herbicides; crop planted directly without tilling or ploughing.</t>
  </si>
  <si>
    <t>Improper land preparation increases erosion risk, Conventional tillage is costly (KES 4,500/acre), Zero tillage requires herbicides, Minimum tillage needs crop residues for mulching, Timely preparation critical for planting</t>
  </si>
  <si>
    <t>tillage practice, conventional tillage, minimum tillage, zero tillage, ploughing, harrowing</t>
  </si>
  <si>
    <t>Soil fertility management (Maize)</t>
  </si>
  <si>
    <t>Soil fertility can be managed through several strategies, including organic fertilizers/manures and inorganic or chemical fertilizers. Farmyard manure (FYM) can be applied either alone at a rate of 5 tons per acre. When FYM is used in combination with inorganic fertilizers half the recommended rates should be applied. Fertilizer recommendations are based on different agro-ecological zones and soil types. The main fertilizers used are (DAP, 23:23:0, 20:20:0, 17:17:17, Mavuno (Planting and topdressing) CAN, Urea, etc.</t>
  </si>
  <si>
    <t>Fertilizer rates vary by zone - follow local recommendations, Over-application pollutes environment and wastes money, FYM application (5 tons/acre) requires planning, Combine organic and inorganic for best results, Soil testing before fertilizer application essential</t>
  </si>
  <si>
    <t>organic fertilizer, inorganic fertilizer, farmyard manure, fertilizer rates, agro-ecological zone, soil fertility</t>
  </si>
  <si>
    <t>Management of acid soils (Maize)</t>
  </si>
  <si>
    <t>Liming is recommended for acidic soils. Soil liming recommendations: Application of lime at 6tha-1 will require another application after 3 years for those practicing continuous cropping or after six cropping seasons. Application of lime at 4tha-1 will require another application after 2.5 years or after five cropping seasons. Application of lime at 2tha-1 will require reapplication every two years for those who practice continuous cropping or after four cropping seasons.</t>
  </si>
  <si>
    <t>Test soil pH before applying lime, Lime rates depend on soil acidity level, Reapplication timing depends on application rate, Continuous cropping requires more frequent liming, Apply lime 2-3 months before planting for best results</t>
  </si>
  <si>
    <t>acid soils, liming, soil pH, application rate, reapplication timing, continuous cropping</t>
  </si>
  <si>
    <t>Planting time (Maize)</t>
  </si>
  <si>
    <t>Planting should be done within the first two weeks of the onset of rains. It is recommended that there should be at least 30 cm of wet soil throughout the soil profile before sowing. While the hole is still moist, place two seeds in an evenly spaced row in each hole. Cover the seeds using the soil heaped next to the hole to leave a level surface. Make sure no stones or heavy soil clods cover the seeds. Leave the mulch cover between the holes intact. Try to complete planting in a day to ensure an even germination and later, an even crop canopy, which will shade out any weed growth.</t>
  </si>
  <si>
    <t>Delayed planting reduces yields, Ensure 30cm wet soil before planting, Complete planting in one day for even germination, Avoid covering seeds with stones or heavy clods, Leave mulch cover intact between holes</t>
  </si>
  <si>
    <t>planting time, onset of rains, soil moisture, germination, crop canopy, weed suppression</t>
  </si>
  <si>
    <t>Spacing and plant population per hectare (Maize)</t>
  </si>
  <si>
    <t>In the highland and medium areas where the soils are well-drained sandy-loam soils, planting depth of 2 to 3 cm is optimal, as deep seed placement retards germination and emergence of maize seedlings. In dry and coastal lowland areas where the soil is dry and/or sandy, maize seed should be planted more deeply (5 to 10 cm). This enables the development of a deep root system to obtain the needed water and nutrients. Deep roots penetrate far into the soil and use moisture and nutrients from the deeper depths of the soil.</t>
  </si>
  <si>
    <t>Incorrect spacing reduces yields significantly, Sandy soils require deeper planting (5-10cm), Highland soils need shallow planting (2-3cm), Use region-specific spacing recommendations, Overcrowding increases disease risk</t>
  </si>
  <si>
    <t>planting depth, spacing, plant population, sandy-loam, deep root system, moisture access</t>
  </si>
  <si>
    <t>Weeding (Maize)</t>
  </si>
  <si>
    <t>Weeds reduce maize yields by competing for moisture, nutrients, space and light. Weeds are also an alternative host to vectors/pests and diseases. The most critical stage of weed competition in the life of a maize plant is during the first four to six weeks after emergence. The most common practice in weed management is hand weeding and use of herbicides.</t>
  </si>
  <si>
    <t>Critical weeding period is first 4-6 weeks after emergence, Weeds can cause significant yield loss (up to 80%), Hand weeding is labour intensive (8 people/day/acre), Herbicides require safety training, Delayed weeding reduces crop yields</t>
  </si>
  <si>
    <t>weed competition, critical period, moisture competition, nutrient competition, alternative hosts, yield loss</t>
  </si>
  <si>
    <t>Hand weeding (Maize)</t>
  </si>
  <si>
    <t>Hand weeding that should be done at least three weeks after emergence of the plants followed by a second weeding at knee high.</t>
  </si>
  <si>
    <t>First weeding at 3 weeks after emergence is critical, Second weeding at knee height prevents late weed competition, Labour intensive activity, Timely weeding prevents yield loss, Combine with other weed control methods</t>
  </si>
  <si>
    <t>hand weeding, three weeks, knee high, second weeding, timely weeding, labour</t>
  </si>
  <si>
    <t>Use of cover crops (Maize)</t>
  </si>
  <si>
    <t>Use of a dense legume cover crop to suppress weeds for example lablab (Lablab purpureus), velvet bean (Mucuna pruriens) or sunhemp (Crotalaria juncea) and desmodium.</t>
  </si>
  <si>
    <t>Select appropriate cover crop for your area, Dense legume cover suppresses weeds effectively, Cover crops may compete with maize if not managed, Desmodium also repels pests (push-pull), Requires proper establishment timing</t>
  </si>
  <si>
    <t>cover crops, lablab, velvet bean, sunhemp, desmodium, weed suppression</t>
  </si>
  <si>
    <t>Mechanized weeding (Maize)</t>
  </si>
  <si>
    <t>Weeding on large scale farms may be done mechanically using tractor or ox drawn tillers that turn the soil in the rows loosening it and in the process kill some of the weeds. Some hand-held weeding machines are currently available and have the capacity to weed a substantial amount of land per day.</t>
  </si>
  <si>
    <t>Mechanized weeding suitable for large farms, Hand-held weeders available for small farms, Equipment costs may be high, Requires proper operation and maintenance, May damage crop if not used correctly</t>
  </si>
  <si>
    <t>mechanized weeding, tractor tiller, hand-held weeder, large scale, ox-drawn, efficiency</t>
  </si>
  <si>
    <t>Use of herbicide (Maize)</t>
  </si>
  <si>
    <t>Use of selective herbicides is advised for pure stands of maize. Essential advice must be sought to ensure that the herbicide chosen is used at the appropriate time and when it is most effective. Most selective herbicides for maize and other cereals kill broad-leaf weeds.</t>
  </si>
  <si>
    <t>Use only selective herbicides for pure maize stands, Seek expert advice before herbicide selection, Apply at correct timing for effectiveness, Broad-leaf weeds controlled most effectively, Follow label instructions strictly for safety</t>
  </si>
  <si>
    <t>selective herbicides, pure stand, broad-leaf weeds, application timing, safety, expert advice</t>
  </si>
  <si>
    <t>Striga control (Maize)</t>
  </si>
  <si>
    <t>The control for this parasitic weed is difficult once it sets in. However, it may be controlled through the use of resistant varieties and the push-and-pull method. Farmers should regularly scout their fields and uproot Striga weed early enough before the seeds are produced and diseased plants.</t>
  </si>
  <si>
    <t>Striga control is difficult once established, Use resistant varieties where available, Push-pull method effective for Striga, Regular scouting critical for early detection, Uproot before seed production</t>
  </si>
  <si>
    <t>Striga control, resistant varieties, push-pull method, scouting, early detection, weed management</t>
  </si>
  <si>
    <t>Crop rotation (Maize)</t>
  </si>
  <si>
    <t>Crop rotation is highly recommended to reduce the build-up of maize diseases and insect pests. Rotation can be done with beans, cowpeas, peas or potatoes depending on the area. Rotation of maize with other cereal crops like sorghum and millet should be avoided, especially in case of maize lethal necrosis (MLN disease).</t>
  </si>
  <si>
    <t>Rotate maize with legumes (beans, cowpeas, peas) for soil fertility, Avoid rotating maize with other cereals (sorghum, millet), MLN disease risk increased with cereal rotation, Plan 2-3 year rotation cycle, Improves soil health and reduces pest buildup</t>
  </si>
  <si>
    <t>crop rotation, beans, cowpeas, peas, potatoes, disease prevention</t>
  </si>
  <si>
    <t>Importance of Pest and Disease Identification in Crop Protection (Maize)</t>
  </si>
  <si>
    <t>Pests and diseases in maize is a major problem in Kenya that leads to heavy yield losses and income for farmers and other value chain players (MOA, 2009; CABI, 2013). Farmers have limited access to technical skills and knowledge on how to control most pests and diseases in maize thereby increasing insurgence. There is a need to innovatively find simpler ways to assist farmers and key stakeholders to correctly identify and manage pests and diseases that affect maize production. This can be done by continually developing and providing information, training manuals and extension materials to crucial stakeholders involved in maize production.</t>
  </si>
  <si>
    <t>Early identification prevents heavy yield losses, Limited pest knowledge increases crop damage, Training manuals essential for proper identification, Regular scouting critical for early detection, Use IPM approach for sustainable management</t>
  </si>
  <si>
    <t>pest identification, disease identification, yield losses, technical skills, training manuals, extension materials</t>
  </si>
  <si>
    <t>Management of Pest and Disease Using IPDM (Maize)</t>
  </si>
  <si>
    <t>IPM is an ecological approach to disease and pest management that relies on a combination of various practices such as cultural, biological, and chemical, as well as the development and use of resistant and tolerant crop varieties. It is guided by constant monitoring and identification of crop pests and diseases in order to prevent and control crop pests. Currently, most farmers have not embraced this approach in pest and disease prevention and management. Pest and disease damage is responsible for significant yield losses in maize production. For instance, the maize lethal necrosis disease and the larger grain borer epidemic on maize in Kenya lead to shortages, hence increased prices of produce in the market.</t>
  </si>
  <si>
    <t>IPM combines multiple control methods for best results, Most farmers not yet using IPM approach, MLN disease causes severe yield losses (up to 100%), Larger grain borer destroys stored grain, Constant monitoring essential for prevention</t>
  </si>
  <si>
    <t>IPM, ecological approach, cultural control, biological control, chemical control, resistant varieties</t>
  </si>
  <si>
    <t>Scouting for Maize Pests, Diseases and Weeds in Maize</t>
  </si>
  <si>
    <t>The purpose of scouting is to gain an understanding of insects, diseases, weeds and beneficial insect activity in the maize crop. Effective monitoring includes assessing their numbers and incidences in maize. Scouting is a critical component of implementing an IPM programme. When scouting, get in the farm and take a close look. If you have a large block of maize, walk in a Z, V, W or zigzag pattern through the field. Look at 50 leaves in a field but in small patches you may look at every plant. Make sure you turn the leaves over. The protected, damp areas under plants are often insect and disease's favourite homes. Check in all wet areas or other troubled spots for symptoms as well as the pests and diseases. Scout in your maize crop once a week in order to identify problems before they get out of control.</t>
  </si>
  <si>
    <t>Scout weekly for early problem detection, Check undersides of leaves where pests hide, Walk Z/V/W pattern for systematic coverage, Check wet areas - disease hotspots, Identify problems before they get out of control</t>
  </si>
  <si>
    <t>scouting, IPM, monitoring, early detection, Z pattern, beneficial insects</t>
  </si>
  <si>
    <t>Major Diseases of Maize (Maize)</t>
  </si>
  <si>
    <t>1. Downy mildew: Symptoms appear on leaves and leaf sheaths with white or yellow stripes, leading to stunting and little or no yield. Management: Early planting, crop rotation with non-cereal crops, plant resistant varieties, remove and burn infected leaves. Spray with Metalaxyl-based fungicide (Ridomil gold 20g/L in 20L water, Tata master 50g/20L), Mancozeb or chlorothalonil every 7-10 days. 2. Northern Corn Leaf Blight: Chlorotic "halo" developing into cigar-shaped lesions, appearing first on lower leaves. Management: Resistant varieties, crop rotation, cautious fungicide use. 3. Southern leaf blight: Light brown leaf spots with brown margin (25mm long x 26mm wide), restricted to leaf veins leading to premature leaf death. Management: Disease-free/treated seed, destroy crop residues, crop rotation, tolerant/resistant varieties. 4. Gray leaf spot (GLS): Necrotic brown spots on younger leaves parallel to veins, merging to ashy grey, starting from lower leaves. Action when 5% affected. Management: Tolerant varieties (PAN 99, PAN5243, H614, WH504), remove plant debris, deep ploughing, crop rotation (2 years with potato/beans/pea), fertilizer (120:60:40 NPK kg/ha), destroy infected plants, spray with Azoxystrobin + Difenoconazol. 5. Common rust: Elongated raised bumps (pustules) red to dark brown on leaf surfaces, appearing mid/upper canopy during tasseling. Management: Tolerant varieties, deep ploughing, clean seed, crop rotation with beans/faba bean/chickpea (2-3 years), remove lower leaves. 6. Common smut: Whitish grey tumour-like galls/swelling on tassels, husks, ears, stalks, leaves, roots. Management: Crop rotation with cassava/sweet potatoes, clean seed, tolerant varieties (WH699), destroy infected plants before galls rupture, seed dressing (Vitaflo 280 - 1.5g/kg seed). 7. Maize lethal necrosis disease (MLND): Colourless patches on leaves from base upwards, dwarfing, premature aging, necrosis, dead heart, poor grain fill, no pollen. Management: Avoid moving plants, strict crop rotation (2 seasons with beans/garlic/onions/vegetables), avoid continuous maize, plant early, certified seed, control weeds, destroy diseased plants, spray Imidacloprid or Lambda-cyhalothrin. 8. Maize streak disease: Narrow white to yellowish streaks on leaves, broken lines, "dead heart" symptom. Management: Certified tolerant varieties (Pan 5195, PH4, FS650, Duma 43, PAN67), plant early, weed-free field, rotate with potatoes/cabbages/beans, uproot infected plants, control leafhoppers with Alpha-cypermethrin.</t>
  </si>
  <si>
    <t>Accurate disease identification critical for proper management, Early detection prevents disease spread, Use resistant varieties where available, Chemical control requires correct fungicide selection, Crop rotation helps break disease cycles, Destroy infected plant material by burning or burying, MLN requires strict quarantine measures</t>
  </si>
  <si>
    <t>Downy mildew, Northern Leaf Blight, Gray Leaf Spot, Common Rust, Common Smut, MLND, Maize Streak</t>
  </si>
  <si>
    <t>Post-Harvest Diseases and their Management (Maize)</t>
  </si>
  <si>
    <t>The most important fungi in maize are Aspergillus (aflatoxin producing fungi) and Fusarium (fumonisin producing fungi) species. Once these mycotoxins are produced on the grain, they cannot be destroyed by cooking or heating. The only way to prevent it from growing and spreading is to dry maize grain quickly at harvest to desirable moisture levels of less than 13%. In addition, the dry maize should be kept in clean bags or containers, stored off the ground in dry conditions. Always scout your maize storage regularly to ensure that moisture levels do not increase and allow fungus and mould to grow on it.</t>
  </si>
  <si>
    <t>Mycotoxins cannot be destroyed by cooking or heating, Dry grain to below 13% moisture content immediately after harvest, Store grain off the ground in dry conditions, Regular storage inspection essential, Aflatoxin causes serious health problems</t>
  </si>
  <si>
    <t>Aspergillus, Fusarium, aflatoxin, fumonisin, mycotoxin, moisture content</t>
  </si>
  <si>
    <t>Fusarium Ear Rot (Fusarium verticillioides) (Maize)</t>
  </si>
  <si>
    <t>Symptoms of these fungi appear as white streaks on the surface of grains and occasionally as whitish to pink cottony powder (web-like) over the grains. Fusarium ear rot results in mycotoxins, which are toxic to humans and animals.</t>
  </si>
  <si>
    <t>Take action as soon as 2 to 3 plants in 50 to 100 sampled plants have early Fusarium ear rot symptoms, Plant tolerant varieties, Maintain 70-90 cm inter-row space and 30-50 cm between plants, Use basal fertilizer (20-30 kg/ha D-compound) and top dressing (20-25 urea/ha), Control stalk borers as they carry fungus, Harvest grain when mature to avoid spread, Rotate maize with beans and soybeans after 3 years, Spray with neem to kill stalk borer larvae, Dress seed with thiram (280 ml/100kg), Spray young stalk borer larvae with Bacillus thuringiensis (10-20 ml/16L)</t>
  </si>
  <si>
    <t>Fusarium ear rot, mycotoxins, white streaks, toxic, stalk borers, crop rotation</t>
  </si>
  <si>
    <t>Aspergillus Ear rot (Aspergillus spp) (Maize)</t>
  </si>
  <si>
    <t>It affects the crop during hot, dry weather after flowering and symptoms on cobs appear as silk with yellowish-green powder, the maize plants are stunted with small cobs, while their grain is discoloured. Take action as soon as 1-2 in 10 plants per acre have ear rot.</t>
  </si>
  <si>
    <t>Plant certified non-infected seeds early on the onset of rains to escape drought, Apply nitrogen fertilizer (Basal: 20-40 kg/ha D-compound and top dress: 20 kg/ha Urea) to overcome stress, Harvest grain early when dry to avoid spread, Destroy crop residues by composting, Rotate maize with soya beans, cowpea and beans, Hot dry weather after flowering increases risk</t>
  </si>
  <si>
    <t>Aspergillus ear rot, yellowish-green powder, stunted plants, aflatoxin, drought stress, nitrogen fertilizer</t>
  </si>
  <si>
    <t>Maize stem borers (B. fusca and S.calamistis) (Maize)</t>
  </si>
  <si>
    <t>Moths lay eggs on maize leaves which hatch into caterpillars that feed on young plants and later burrow stems for water and nutrient flow. Symptoms appear as actively feeding caterpillars on the young plant leaves, which later spread to the stem.</t>
  </si>
  <si>
    <t>Intercrop with non-host crops or Desmodium, Plant Napier grass or Bracharia around plot, Destroy maize residues after harvest, Use biological control with predators and parasites, Use PCPB-approved insecticides only, Monitor for early signs of infestation</t>
  </si>
  <si>
    <t>stem borers, caterpillars, Busseola fusca, Sesamia calamistis, biological control, push-pull</t>
  </si>
  <si>
    <t>Maize leafhoppers (Cicadulina spp.) (Maize)</t>
  </si>
  <si>
    <t>Slender hoppers with two small black spots between eyes hop away on disturbance; leaf hoppers feed on maize plants and transmit maize streak virus. Infected plants turn chlorotic and the streaks and damage may be up to 100%.</t>
  </si>
  <si>
    <t>Uproot affected plants early and feed to animals, Plant away from grassland or previously irrigated crops, Plant early to reduce virus transmission risk, Use MSV resistant varieties, Remove cereal crop residues, Maintain bare strips (10-20m) around large maize fields, Spray six weeks after planting using Brigade, cypermethrin, or carbosulfan</t>
  </si>
  <si>
    <t>leafhoppers, Cicadulina, maize streak virus, chlorotic, MSV resistant, vector control</t>
  </si>
  <si>
    <t>Armyworm (Maize)</t>
  </si>
  <si>
    <t>Damage on upper and lower leaf tissue leaves "windows" except midrib. Full-size larvae burrow into the ground, become dull in colour, wrinkled, and pupate.</t>
  </si>
  <si>
    <t>Use insecticides with active ingredient cypermethrin following manufacturer's rates, Use biological control agents (natural enemies and parasitoids), Monitor fields regularly for early detection, Larvae burrow into ground to pupate, Early intervention prevents severe damage</t>
  </si>
  <si>
    <t>armyworm, leaf tissue damage, larvae, biological control, cypermethrin, natural enemies</t>
  </si>
  <si>
    <t>Maize Aphids (Rhopalosiphum maidis) (Maize)</t>
  </si>
  <si>
    <t>Aphids are tiny black or green sucking insects that attack at tassels, bracts and leaves. In dry conditions they suck sap from plants until it dies. They secrete honey dew that gives the plant a black appearance (sooty mould that interferes with photosynthetic activity). Mottling stunted growth and diebacks are main symptoms of infestation.</t>
  </si>
  <si>
    <t>Mixed cropping or trap crops may be used, Use predators and parasites like ladybirds and hover fly, Strip leaves below the ear and feed to animals, Chemical spray necessary for early/heavy infestation at silk stage, Use Bestox (cypermethrin) or Karate/Duduthrin, Follow manufacturer's recommended rates</t>
  </si>
  <si>
    <t>aphids, honey dew, sooty mould, photosynthetic activity, mottling, biological control</t>
  </si>
  <si>
    <t>Bollworms (Heliothis armiger) (Maize)</t>
  </si>
  <si>
    <t>Bollworms feed on leaves, buds, growing points, flowers and fruit. Damage reduces leaf area, which slows plant growth and feeding on flowers and fruits.</t>
  </si>
  <si>
    <t>Intercrop maize with other crops for natural control, Heavy infestations require chemical spray, Use approved insecticides only, Monitor for early signs of infestation, Growing point damage is most severe, Spray early for effective control</t>
  </si>
  <si>
    <t>bollworms, Heliothis armiger, growing points, leaf area reduction, intercrop, insecticides</t>
  </si>
  <si>
    <t>Cutworms Symptoms/Description (Maize)</t>
  </si>
  <si>
    <t>These are caterpillars that are found in the soil and damage young seedlings. They cut off the plant at or below the ground level.</t>
  </si>
  <si>
    <t>Do early land preparation to eliminate weeds (2 weeks before planting), Ploughing exposes worms to predators, Mechanical digging and squashing effective, Flooding under irrigation suffocates worms before planting, Soil drenching at base of each plant using insecticide (e.g. Dursban 4E)</t>
  </si>
  <si>
    <t>cutworms, caterpillars, young seedlings, soil insects, land preparation, soil drenching</t>
  </si>
  <si>
    <t>Major weeds affecting Maize - Couch grass or Bermuda grass (Cynodon dactylon) (Maize)</t>
  </si>
  <si>
    <t>It is a spreading perennial grass with vigorous mat-forming stolons; it reproduces and spreads by rhizomes but is also propagated by seed. Couch grass and other species of Cynodon are common in East Africa.</t>
  </si>
  <si>
    <t>Control before planting maize, Harrow with tooth harrow during dry season to uproot rhizomes, Dry rhizomes completely on top of soil, Introduce shade-producing cover crops, Use crop rotation system for control</t>
  </si>
  <si>
    <t>Couch grass, Bermuda grass, Cynodon dactylon, stolons, rhizomes, perennial weed</t>
  </si>
  <si>
    <t>Purple witchweed (Striga spp.) (Striga hermonthica) - Symptoms/Description (Maize)</t>
  </si>
  <si>
    <t>The weeds grow on the roots of maize, affecting its development, the young weeds tap the roots of maize plant and draw water and nutrients, a single weed plant produces many thousands of tiny seeds that survive in the soil for long periods, Striga weeds infest 40% of the arable land in the savannah region, causing annual crop losses of 7 to 13 billion dollars, Striga infestation is associated with increased cropping intensity and declined soil fertility.</t>
  </si>
  <si>
    <t>Striga control is difficult once established, Use resistant varieties where available, Regular scouting essential for early detection, Uproot before seed production, Push-pull method effective, Improved soil fertility reduces Striga severity</t>
  </si>
  <si>
    <t>purple witchweed, Striga hermonthica, parasitic weed, root parasite, soil fertility decline, push-pull</t>
  </si>
  <si>
    <t>Maize is a popular staple food and contributes to about 65% of daily per capita cereal consumption in the country serving as a subsistence and a commercial crop. Kenyan farmers face challenges of poor grain handling and management, leading to 30% of post-harvest losses. Consequently, they sell their grain at low prices at harvest and buy it again for family consumption when prices increase.</t>
  </si>
  <si>
    <t>Post-harvest losses estimated at 30% - avoid with proper handling, Sell at harvest time at low prices - consider storage for better prices, Poor grain handling increases losses, Proper storage reduces need to buy at high prices, Join farmer groups for better market access</t>
  </si>
  <si>
    <t>staple food, per capita consumption, subsistence crop, commercial crop, post-harvest losses, price fluctuation</t>
  </si>
  <si>
    <t>Quality Standards for Maize in Kenya (Maize)</t>
  </si>
  <si>
    <t>Kenya's maize standards ensure acceptable grain quality for farmers, processors and consumers. These standards have been harmonized within the Eastern Africa region and are to be enforced in cross-border trade. Maize value chain actors, therefore, need to comply with these standards for commercialization. Most large scale maize buyers in Kenya only purchase Grade 1 and 2 maize and, therefore, smallholder farmers wishing to penetrate these markets (which offer better prices even at harvest time), must strive to produce these grades by practicing appropriate post-harvest technologies.</t>
  </si>
  <si>
    <t>Only Grade 1 and Grade 2 maize attract premium prices, Foreign matter must be below 0.5% for Grade 1, Moisture content must be ≤13.5% for all grades, Aflatoxin levels must be &lt;10 ppb for all grades, Fumonisin levels must be &lt;2 ppb, Broken kernels max 2% for Grade 1</t>
  </si>
  <si>
    <t>quality standards, Grade 1, Grade 2, foreign matter, moisture content, aflatoxin</t>
  </si>
  <si>
    <t>Post-Harvest Losses and Management (Maize)</t>
  </si>
  <si>
    <t>The post-harvest period is the period between the physiological maturity of a crop and the time for its final consumption. Post-harvest losses refer to the degradation of quantity and quality of a food product during the post-harvest period. Post-harvest losses are caused by inappropriate handling practices, pest infestations and infections by pathogens. This occurs at all levels of the value chain, but more than 60% of losses occur at the producer farmer level (MoALF, 2016). Therefore, post-harvest processes of maize can be classified into four major classes. These include a) Farm field based: de-sheathing and piling of harvested maize cobs at physiological maturity. b) En-route based: cobs transported from farms to homesteads. c) Homestead based: drying and grading of cobs, shelling and drying grains, winnowing, pesticide application and packing. d) Storage based: grains stored for later use (Rugumanu, 2009).</t>
  </si>
  <si>
    <t>Over 60% of losses occur at farmer level - not processors or traders, Four key loss stages: field, transport, homestead, storage, Inappropriate handling causes most losses, Early intervention at farm level reduces losses significantly, Training on post-harvest handling essential</t>
  </si>
  <si>
    <t>post-harvest, physiological maturity, farm field losses, transport losses, homestead losses, storage losses</t>
  </si>
  <si>
    <t>Harvesting Green maize (Maize)</t>
  </si>
  <si>
    <t>Maize for the green market is ready for harvest when the grain hardens or when the silky flower at the top of the maize cob turns black.</t>
  </si>
  <si>
    <t>Harvest green maize at correct maturity for best quality, Silky flower turning black indicates readiness, Grain hardening is key indicator, Green maize market requires careful timing, Delayed harvest reduces quality for green market</t>
  </si>
  <si>
    <t>green maize, harvest timing, silky flower, grain hardening, market readiness, quality indicator</t>
  </si>
  <si>
    <t>Dry Maize harvesting (Maize)</t>
  </si>
  <si>
    <t>Maize should be harvested at physiological maturity. Maize can be left in the field beyond physiological maturity to allow further drying. This can be done through stooking for about 2 to 4 weeks. Maize is physiologically mature when: 1. Most leaves have dried up; 2. Cob husks are no longer green; 3. Stalks turn yellow or brown; 4. Cobs begin to droop on the stalk; 5. Kernels show a black layer between the seed and point of attachment to the cob; 6. Grains are hard and not milky; 7. Cobs are no longer good for roasting.</t>
  </si>
  <si>
    <t>Harvest at physiological maturity for best quality, Stooking for 2-4 weeks allows field drying, Black layer between seed and cob indicates maturity, Delayed harvest increases pest and disease risk, Prolonged field stay encourages aflatoxin development</t>
  </si>
  <si>
    <t>physiological maturity, dry maize, stooking, black layer, grain hardness, harvest indicators</t>
  </si>
  <si>
    <t>Preparations for the harvest (Maize)</t>
  </si>
  <si>
    <t>Before harvesting, ensure that equipment needed for the harvest and post-harvest activities are available and in good condition. Decide where drying and threshing will take place and ensure sufficient storage space; grain stores and sacks have been thoroughly cleaned before the new harvest. The new harvest should never be mixed with grain from the previous season as this will encourage the movement of pests from the old to the new harvest. The old harvest can be stored in a separate place for consumption.</t>
  </si>
  <si>
    <t>Ensure all equipment is in good condition before harvest, Clean grain stores and sacks thoroughly before new harvest, NEVER mix new harvest with old grain - pests will transfer, Keep old grain separately for consumption, Plan drying and threshing location in advance</t>
  </si>
  <si>
    <t>harvest preparation, equipment readiness, storage cleaning, grain separation, pest prevention, planning</t>
  </si>
  <si>
    <t>Methods of harvesting - Hand harvesting (Maize)</t>
  </si>
  <si>
    <t>Maize stalks are cut using a sickle and machete (panga) and stooked on the farm, or carried to the storage area. Stooking enables the maize to dry in the farm and thus allows farmers to have enough time to prepare the stores. It is also easier to pick cobs from one spot and dehusk the maize on the farm. The cobs can also be removed by hand from the plants with or without husking. Husked ears require a smaller storage area and are more resistant to insects, but may rot more easily if stored at a high moisture content.</t>
  </si>
  <si>
    <t>Hand harvesting is labour intensive, Stooking allows field drying and store preparation, Husked ears are more insect-resistant but need lower moisture, Careful handling reduces grain damage, Train harvesters to minimize losses</t>
  </si>
  <si>
    <t>hand harvesting, sickle, panga, stooking, dehusking, husked ears</t>
  </si>
  <si>
    <t>Mechanical harvesting (Maize)</t>
  </si>
  <si>
    <t>Tractor-drawn pickers and picker-shellers that can handle one to two rows at once, but self-propelled combines are available which can harvest up to six to eight rows.</t>
  </si>
  <si>
    <t>Mechanical harvesters are expensive, Suitable for large-scale farms only, Combines can handle 6-8 rows at once, Requires skilled operators, Maintenance costs can be high, Grain damage can occur if not properly adjusted</t>
  </si>
  <si>
    <t>mechanical harvesting, tractor-drawn picker, picker-sheller, combine harvester, large-scale, efficiency</t>
  </si>
  <si>
    <t>How to transport harvested maize (Maize)</t>
  </si>
  <si>
    <t>After harvest, maize may be transported from the farm to the homestead by any of the following methods: Head loads, bicycles and motorbikes (boda boda), Oxen carts, Pick-up trucks and, tractors and lorries. Farmers are encouraged to use methods which do not cause damage (bruising, cracking or breakage) or loss through spillage.</t>
  </si>
  <si>
    <t>Use transport methods that prevent grain damage, Head loads and oxen carts suitable for small farms, Cover grain during transport to prevent spillage, Bruising and cracking lead to storage losses, Avoid overloading transport vehicles</t>
  </si>
  <si>
    <t>transport methods, head loads, oxen carts, pick-up trucks, grain damage, spillage prevention</t>
  </si>
  <si>
    <t>Drying of maize on cobs (Maize)</t>
  </si>
  <si>
    <t>After harvesting, the maize must be dried before shelling and storage. Proper drying of maize enables grains to be stored for long and reduces conditions favourable for pest and moulds infestation by lowering the moisture content. Drying should be done by spreading the cobs on mats, tarpaulins or in cribs. When drying maize at the homestead, it should not be placed in direct contact with the soil and should be kept away from farm animals, or else the grain may be damaged or eaten.</t>
  </si>
  <si>
    <t>Never dry maize on bare soil - use mats or tarpaulins, Keep drying area away from farm animals, Protect from rain and night dew with covers, Target moisture content of 13%, Turn cobs regularly for even drying, Clean area before drying to prevent contamination</t>
  </si>
  <si>
    <t>cob drying, mats, tarpaulins, cribs, moisture reduction, pest prevention</t>
  </si>
  <si>
    <t>Drying maize cobs in cribs (Maize)</t>
  </si>
  <si>
    <t>Cribs are special shelters recommended for drying grain. They are long and narrow, with wooden slats or chicken wire sides that allow free ventilation, and a roof that protects against rain. To protect from rodents, the stands of the crib should be at least 1 m above ground level, beyond the maximum distance that rodents can jump. The stands are supplied with rodent guards. The cribs are built across the prevailing wind to promote drying.</t>
  </si>
  <si>
    <t>Crib height: 0.6m (humid areas), 1.0m (drier zones), 1.5m (very dry places), Keep crib stands at least 1m above ground to prevent rodents, Clean cribs thoroughly before each harvest, Replace LGB-infested timbers, Build cribs across prevailing wind for better drying</t>
  </si>
  <si>
    <t>maize cribs, ventilation, rodent guards, moisture content, wind direction, larger grain borer</t>
  </si>
  <si>
    <t>Knowing when the grain is dry enough - Biting grain method (Maize)</t>
  </si>
  <si>
    <t>Farmers need to judge when grain drying is complete, that is, when grains reach a moisture content of 13%. Experienced farmers test the moisture content of dry grain by biting or pinching with fingers. If the grain is dried sufficiently for storage, it will be hard and does not break easily into many parts.</t>
  </si>
  <si>
    <t>Biting method only for experienced farmers, Dry grain should be hard and not break easily, Grain at 13% moisture is safe for storage, Inaccurate testing may lead to storage losses, Consider using moisture meter for accuracy</t>
  </si>
  <si>
    <t>biting method, moisture content, grain hardness, traditional testing, 13% moisture, storage readiness</t>
  </si>
  <si>
    <t>The 'salt method' of checking grain moisture content (Maize)</t>
  </si>
  <si>
    <t>The 'salt method' of checking grain moisture content is quick and easy but only indicates that grain is above or below 15% moisture content. Dry salt will absorb moisture from grain. The salt must first be dried by spreading on a plastic sheet in hot sun and leaving it for at least 3-4 hours until it hardens. It should be turned at intervals during this time. It can also be dried in an oven. The dry salt should be placed in a sealed container until it is ready for use.</t>
  </si>
  <si>
    <t>Salt method only indicates above/below 15% moisture - not exact, Salt must be thoroughly dried before use (3-4 hours sun drying), Turn salt regularly during drying, Store dry salt in sealed container until use, Use clean dry glass bottle (750ml capacity) with airtight cap</t>
  </si>
  <si>
    <t>salt method, moisture content, 15% threshold, quick test, grain moisture, traditional testing</t>
  </si>
  <si>
    <t>Use of moisture meter (Maize)</t>
  </si>
  <si>
    <t>Moisture meters are quick, portable, simple to use and fairly accurate. The procedure of testing moisture content using the Dickey-John multi-grain moisture tester: 1. About 150 g of the grain is scooped by hand and poured into the moisture meter, which is then closed. 2. The device is given a few seconds to detect moisture and temperature. 3. The digital electronic machine will display the readings on the screen once the detection is over. Moisture meters may be used routinely, for example, when grain is delivered to a grain store. They are expensive for individual farmers, and would normally be used by farmers' groups and warehouses that handle a lot of grain.</t>
  </si>
  <si>
    <t>Moisture meters are expensive - best for farmer groups/warehouses, Use 150g grain sample for accurate reading, Follow manufacturer instructions carefully, Digital display shows both moisture and temperature, Regular calibration needed for accuracy</t>
  </si>
  <si>
    <t>moisture meter, Dickey-John, grain testing, portable device, digital reading, farmers groups</t>
  </si>
  <si>
    <t>Sorting / Grading (Maize)</t>
  </si>
  <si>
    <t>Maize cobs need to be selected and sorted before storage or shelling. Cobs infected with diseases, moulds, attacked by pests and other visible damages should be removed.</t>
  </si>
  <si>
    <t>Remove diseased, mouldy, and pest-damaged cobs before storage, Sorting prevents quality contamination of healthy grain, Do not mix healthy with infected cobs, Manual sorting requires careful inspection, Grade sorting improves market value</t>
  </si>
  <si>
    <t>sorting, grading, disease removal, mould removal, pest damaged, quality control</t>
  </si>
  <si>
    <t>Mycotoxins and Aflatoxin Control (Maize)</t>
  </si>
  <si>
    <t>The most important mycotoxins in maize are produced by Aspergillus (which produces aflatoxin) and Fusarium species (which produces fumonisin). Once these mycotoxins are produced on the grain, they cannot be destroyed by cooking or heating. The only way to prevent moulds from growing and spreading is to dry maize grain quickly at harvest to moisture levels of less than 13%, keep them in clean bags, dry conditions and off the ground during storage. Farmers should check their maize regularly, to ensure that moisture levels do not increase and allow fungus and mould to grow on it.</t>
  </si>
  <si>
    <t>Mycotoxins CANNOT be destroyed by cooking or heating, Dry grain to below 13% moisture immediately after harvest, Store grain off the ground in clean dry conditions, Regular storage inspection is essential, Aflatoxin causes serious health problems to humans and animals</t>
  </si>
  <si>
    <t>aflatoxin, mycotoxin, Aspergillus, Fusarium, fumonisin, moisture content</t>
  </si>
  <si>
    <t>Shelling (Maize)</t>
  </si>
  <si>
    <t>The grain should be neither too moist (soft) nor too dry (brittle) at the time of shelling. Shelling is best done when grain is around 14-15% moisture content. Maize cobs can be shelled using bare hands (slow and tedious, especially for large amounts) or a hand sheller (7-12 kg/hour). For large-scale production, hand-cranked, pedal-operated and motor-driven shellers powered by electricity or fuel are available, giving outputs of about 50-130 kg/hour.</t>
  </si>
  <si>
    <t>Best shelling moisture content is 14-15%, Shelling too dry causes grain breakage, Shelling too wet causes grain damage, Hand shelling is slow - consider mechanical options for large amounts, Clean equipment before use to prevent contamination</t>
  </si>
  <si>
    <t>shelling, moisture content, hand sheller, mechanical sheller, grain breakage, post-harvest</t>
  </si>
  <si>
    <t>Drying after shelling (Maize)</t>
  </si>
  <si>
    <t>After shelling, the maize kernels are dried in the sun either on plastic tarpaulins, concrete slabs, or in commercial dryers if available. Maize should not be dried directly on the ground to avoid contaminating it with dirt, insects, or other pollutants. Maize laid on the ground could pick fungi spores that can lead to mycotoxin contamination. The maximum depth of the maize on the tarpaulin should be up to your ankle bone. Any higher height means that the grain at the bottom of the pile will not dry quickly. If you turn over the grain several times a day, it will dry more quickly. Concrete slabs heat up quickly and speed up drying; a 5m x 5m slab can dry 1,000kg of maize in a day and a 10m x 10m slab can dry up to 4,000kg of grain.</t>
  </si>
  <si>
    <t>NEVER dry grain directly on bare soil - risk of contamination, Tarpaulins/concrete slabs prevent contamination, Grain layer should be no deeper than ankle bone (about 5-10cm), Turn grain several times daily for even drying, Protect from rain and night dew, Clean drying surfaces before use</t>
  </si>
  <si>
    <t>sun drying, tarpaulins, concrete slabs, grain depth, turning grain, contamination prevention</t>
  </si>
  <si>
    <t>Cleaning the grain after threshing (Maize)</t>
  </si>
  <si>
    <t>Clean the maize to remove foreign matter such as stones, plant material from harvesting such as husks, broken grain and dust produced during threshing. Insect damaged and mouldy grains are removed by hand picking. Cleaning can also be done by winnowing which involves tossing the grain into the wind which carries off light impurities, while the heavier grains fall onto a mat. Heavier impurities can be separated by sieving. The mesh sizes for sieving for maize are 4.5mm.</t>
  </si>
  <si>
    <t>Remove stones, husks, and broken grains before storage, Hand picking essential for insect-damaged grains, Winnowing effective for light impurities, Sieving (4.5mm mesh) removes heavier impurities, Clean grain fetches better market prices</t>
  </si>
  <si>
    <t>cleaning, winnowing, sieving, foreign matter removal, hand picking, grain quality</t>
  </si>
  <si>
    <t>Mixing insecticidal dust with shelled grain (Maize)</t>
  </si>
  <si>
    <t>The recommended insecticidal dust is Actellic dust. Process: (1) Use a shovel and enough insecticidal dust; (2) Heap grain on clean concrete floor or tarpaulin; (3) Sprinkle correct amount of powder over heap; (4) Mix powder thoroughly with clean shovel; (5) Shovel heap to another part of sheet, then back again for a third time; (6) All grains should be coated in thin layer of powder without patches; (7) Load grain back into storage structure or sacks.</t>
  </si>
  <si>
    <t>Read insecticide instructions very carefully - use correct dosage, Only use PCPB-approved insecticidal dust, Use recommended Actellic dust, Apply only to dry grain at 13% moisture, Store insecticide away from children and food, Wear protective gear during application, Mix thoroughly for even coverage</t>
  </si>
  <si>
    <t>Actellic dust, insecticidal dust, grain treatment, pest control, protective gear, correct dosage</t>
  </si>
  <si>
    <t>Storage of shelled maize (Maize)</t>
  </si>
  <si>
    <t>The dried and cleaned grains should be stored in metallic silos or packed in hermetic bags (Agro-Z bags) and stored well on pallets in clean and well-ventilated stores. It is recommended that farmers use a combination of the storage techniques for complementarity to ensure maximum protection of grain during storage.</t>
  </si>
  <si>
    <t>Store only properly dried grain (13% moisture), Use hermetic bags (Agro-Z/PICS) or metal silos, Store on pallets - never directly on floor, Clean storage area thoroughly before use, Do not mix old and new grain, Regular inspection is essential</t>
  </si>
  <si>
    <t>storage, metallic silos, hermetic bags, Agro-Z, PICS bags, pallets</t>
  </si>
  <si>
    <t>Maize storage containers (Maize)</t>
  </si>
  <si>
    <t>i) Open weave sacks (jute, sisal, polypropylene): storage period 0-6 months, complement with rodent-proof structures and insecticide admix. ii) Hermetic plastic bag: storage period 3-12 months, complement with rodent-proof storage. iii) Hermetic plastic drums: storage period 3-12 months, hermetic and pest-proof, add Admix insecticide. iv) Metal silo: storage period 3-12 months, hermetic and pest-proof, add Admix insecticide.</t>
  </si>
  <si>
    <t>Open weave sacks (jute/sisal) only good for 0-6 months - add insecticide, Hermetic bags protect 3-12 months - ensure rodent-proof, Plastic drums and metal silos best for long storage (3-12 months), Always store on pallets off the ground, Clean all containers before use, Use insecticide admix where recommended</t>
  </si>
  <si>
    <t>storage containers, jute sacks, sisal sacks, hermetic bags, plastic drums, metal silos</t>
  </si>
  <si>
    <t>Produce aggregation and warehousing (Maize)</t>
  </si>
  <si>
    <t>Produce aggregation and warehousing aims to provide an organised marketing channel for farmers to: i) Aggregate their produce to attain volumes sufficient to attract bulk buyers; ii) Appropriately store the grain to await price appreciation; iii) Leverage their stored grain to access credit to meet immediate financial needs. Activities include: Village collection centres - rented storage space (100-200 bags) in village shopping centres, or construction/refurbishment of new ones; Equipped with weighing machine, moisture meter, tarpaulins, pallets and manual sieve; Certified for warehouse receipting (by SGS or Bureau Veritas); Warehouse Receipt System (WRS) used in e-voucher to access credit.</t>
  </si>
  <si>
    <t>Requires certification for warehouse receipting (SGS/Bureau Veritas), Aggregation helps attract bulk buyers, Wait for better prices by storing grain, Use grain as collateral to access credit, Village collection centres need proper equipment, WRS enables e-voucher credit access</t>
  </si>
  <si>
    <t>aggregation, warehousing, bulk buyers, price appreciation, warehouse receipt system, e-voucher</t>
  </si>
  <si>
    <t>Basic requirements for good grain storage (Maize)</t>
  </si>
  <si>
    <t>Four pillars of good storage practice: 1. Ensuring crop going into store is in good condition - good quality whole grain is less likely to suffer insect attacks. 2. Keeping the store in good condition - protects against rodents, birds, domestic animals, theft; should be roofed and sited away from trees and flood-prone areas. 3. Practicing good store hygiene - keep surroundings clean, no vegetation/rubbish, livestock away; clean containers before use; inspect for termite trails. 4. Maintaining the condition of the crop and store throughout storage season - inspect regularly; treat with Actellic if pests occur; start inspections as soon as grain is stored then weekly.</t>
  </si>
  <si>
    <t>Good quality grain is less prone to insect attacks, Store must protect against rodents, birds, and theft, Site away from trees (rodent access), Keep surroundings clean - no vegetation/rubbish, Old grain must be stored separately and consumed first, Inspect weekly from day one of storage, Clean second-hand sacks with boiling water before use</t>
  </si>
  <si>
    <t>storage requirements, store condition, hygiene, weekly inspection, rodent control, Actellic treatment</t>
  </si>
  <si>
    <t>Common maize storage pests (Maize)</t>
  </si>
  <si>
    <t>Pests cause crop losses up to 100%. Main pest categories: insects, rodents, moulds, birds and human beings (thieves). Primary storage pests break down the hard seed coat of undamaged grain; some lay eggs inside kernels and larvae eat inside. In Kenya, the most common primary pests are: larger grain borer, lesser grain borer, maize weevil, and rodents (rats and mice). Rodents feed on maize grain; controlled through rat guards when building granaries, or traps and baits.</t>
  </si>
  <si>
    <t>Larger grain borer can cause 100% losses, Rats and mice cause significant damage, Use rat guards on granaries (1m above ground), Traps and baits for rodent control, Regular inspection detects pests early, Treat promptly with Actellic at first sign of infestation</t>
  </si>
  <si>
    <t>storage pests, larger grain borer, lesser grain borer, maize weevil, rodents, rat guards</t>
  </si>
  <si>
    <t>Mould and aflatoxin control (Maize)</t>
  </si>
  <si>
    <t>Aflatoxin in maize is caused by moulds (Aspergillus species). Cooking or heating cannot destroy aflatoxins. The only way is to dry maize grain quickly after harvest to moisture levels of between 12 and 15% and ensure good ventilation.</t>
  </si>
  <si>
    <t>Aflatoxin CANNOT be destroyed by cooking or heating, Dry grain quickly to 12-15% moisture, Ensure good ventilation in storage, Regular inspection for mould growth, Separate mouldy grain from healthy grain</t>
  </si>
  <si>
    <t>aflatoxin control, mould control, Aspergillus, moisture content, ventilation, mycotoxin prevention</t>
  </si>
  <si>
    <t>PROCESSING, VALUE ADDITION AND UTILISATION (Maize)</t>
  </si>
  <si>
    <t>Maize in Kenya has three possible uses: Human food (85%), Livestock feed (3%), and Industrial use (particularly starch and oil manufacture).</t>
  </si>
  <si>
    <t>Identify market demand before processing, Different uses require different quality standards, Processing adds value but requires investment, Diversify uses for better income</t>
  </si>
  <si>
    <t>processing, value addition, human food, livestock feed, industrial use, diversification</t>
  </si>
  <si>
    <t>UTILIZATION OF MAIZE AS HUMAN FOOD (Maize)</t>
  </si>
  <si>
    <t>Clean and well-dried maize is milled into flour, used to prepare porridge and maize meal (Ugali). Green maize can be roasted or boiled. Maize can also be mixed with beans and boiled - locally called githeri. Sometimes maize is pounded in a mortar to dehull the grains.</t>
  </si>
  <si>
    <t>Use clean dried grain for milling, Green maize requires timely harvest (silky flower turns black), Githeri is nutritious maize and bean mix, Dehulling improves digestibility, Process soon after harvest to maintain quality</t>
  </si>
  <si>
    <t>ugali, porridge, roasted maize, boiled maize, githeri, dehulling</t>
  </si>
  <si>
    <t>Household level processing (Maize)</t>
  </si>
  <si>
    <t>Clean and well-dried maize is milled into flour, which is used to prepare porridge and maize meal (Ugali). Green maize can be roasted or boiled. Maize can also be mixed with beans and boiled - locally called githeri. Sometimes the maize is pounded in a mortar to dehull the grains.</t>
  </si>
  <si>
    <t>Proper drying essential before milling, Clean maize produces better flour, Green maize market requires timely harvest, Githeri is a complete meal, Dehulling improves nutritional value</t>
  </si>
  <si>
    <t>milling, flour, ugali, porridge, roasted maize, githeri</t>
  </si>
  <si>
    <t>Industrial processing (Maize)</t>
  </si>
  <si>
    <t>The main products of industrial processing of maize in Kenya are: Sifted maize flour, Edible oil, Breakfast cereals, Corn starch. Maize is dry milled to produce sifted maize flour and grits of different particle sizes processed into breakfast cereals and livestock feeds. During dry milling, the germ is extracted and processed into edible oil. The bran is processed into livestock feeds. Wet milling produces corn starch for food industry applications. Maize can also be fermented to provide alcoholic beverages.</t>
  </si>
  <si>
    <t>Industrial processing requires large quantities and capital investment, Different products need different processing methods, Quality standards are strict for export markets, Value addition offers higher returns, Consider niche markets for specialty products</t>
  </si>
  <si>
    <t>sifted flour, edible oil, breakfast cereals, corn starch, wet milling, dry milling</t>
  </si>
  <si>
    <t>Utilisation of maize stovers as livestock feed (Maize)</t>
  </si>
  <si>
    <t>The stalks, leaves, and other remains from the maize cobs are used to feed domestic animals especially dairy cattle. They are used both as crop residue and as silage. By-products of industrial maize milling are also used to manufacture commercial livestock feeds.</t>
  </si>
  <si>
    <t>Maize stover is valuable livestock feed - do not waste, Silage preserves nutritional value, Harvest stover after grain harvest, Avoid feeding mouldy stover to livestock, Commercial livestock feed from milling by-products</t>
  </si>
  <si>
    <t>maize stovers, livestock feed, dairy cattle, crop residue, silage, feed by-products</t>
  </si>
  <si>
    <t>Utilization of maize as fuel (Maize)</t>
  </si>
  <si>
    <t>The stalks and cobs are used as fuel particularly in rural areas. They are also used as organic manure.</t>
  </si>
  <si>
    <t>Stalks and cobs are valuable fuel source, Alternative to charcoal - more sustainable, Corn cobs burn well, Stalks can be used for cooking, Also use as organic manure for soil fertility</t>
  </si>
  <si>
    <t>maize fuel, stalks, cobs, firewood substitute, organic manure, sustainable energy</t>
  </si>
  <si>
    <t>Coast composite maize (CCM) - Coastal Lowlands Varieties</t>
  </si>
  <si>
    <t>Open-pollinated heat-tolerant variety with yield potential of 16-21 bags (90kg)/acre, resistant to common leaf rust. Medium maturity (110-120 days) with shiny flint kernels and good husk cover. Suitable for rain fed and irrigated conditions.</t>
  </si>
  <si>
    <t>Verify site-specific suitability for coastal lowlands only, Monitor rust resistance breakdown over time, Ensure adequate moisture during flowering, Follow recommended agronomic practices, Use certified seed for optimal performance</t>
  </si>
  <si>
    <t>open pollinated, heat tolerant, common rust resistant, medium maturity, coastal lowlands, high yielding</t>
  </si>
  <si>
    <t>WSQ104 - Coastal Lowlands Varieties</t>
  </si>
  <si>
    <t>QPM (Quality Protein Maize) variety containing nearly twice as much lysine and tryptophan (essential amino acids). Addresses protein deficiency in infants and school going children.</t>
  </si>
  <si>
    <t>Seed availability may be limited, Requires proper storage to maintain quality, Not a substitute for balanced diet, May have lower yields than commercial hybrids, Ensure proper processing to retain nutritional benefits</t>
  </si>
  <si>
    <t>QPM, lysine, tryptophan, protein deficiency, bio fortification, essential amino acids</t>
  </si>
  <si>
    <t>KH500Q - Coastal Lowlands Varieties</t>
  </si>
  <si>
    <t>QPM three-way cross hybrid with yield potential of 36 bags (90kg)/acre. Drought tolerant, resistant to gray leaf spot, northern leaf blight and maize streak virus (MSV). White dent grain, matures 90-120 days.</t>
  </si>
  <si>
    <t>Seed may have limited availability, Requires adequate fertilizer for optimal yields, Monitor for disease resistance durability, Ensure proper storage to prevent aflatoxin, Best suited for mid-altitude and coastal lowlands</t>
  </si>
  <si>
    <t>QPM, drought tolerant, disease resistant, high yielding, white dent, three-way hybrid</t>
  </si>
  <si>
    <t>Pwani Hybrid 4 (PH4) (Maize) - Coastal Lowlands Varieties</t>
  </si>
  <si>
    <t>Maize hybrid of medium maturity (120-150 days) with yield potential of 24 bags/acre. Tolerant to heat stress, partial resistance to MSV. Can be grown under rainfed and irrigation.</t>
  </si>
  <si>
    <t>Requires adequate moisture for optimal yields, Monitor for MSV infection, Heat stress tolerance does not eliminate need for proper agronomy, Best for coastal lowlands, Use certified seed only</t>
  </si>
  <si>
    <t>heat tolerant, MSV resistant, medium maturity, coastal lowlands, irrigated suitable, high yielding</t>
  </si>
  <si>
    <t>Pwani Hybrid 1 (PH1) (Maize) - Coastal Lowlands Varieties</t>
  </si>
  <si>
    <t>Maize hybrid with medium maturity (90-120 days), yield potential of 18 bags/acre. Tolerant to drought, resistant to most leaf and ear diseases. Excellent husk cover and lodging tolerant.</t>
  </si>
  <si>
    <t>Drought tolerance does not replace need for adequate moisture, Monitor for disease resistance durability, Lodging tolerance reduces but does not eliminate lodging risk, Lower yield potential than newer hybrids</t>
  </si>
  <si>
    <t>drought tolerant, lodging tolerant, disease resistant, medium maturity, coastal lowlands, excellent husk cover</t>
  </si>
  <si>
    <t>Shukran-16 (CKH08069) - Coastal Lowlands Varieties</t>
  </si>
  <si>
    <t>Three-way cross hybrid with yield potential of 25-30 bags/acre. Tolerant to drought and foliar diseases. Medium maturity (120 days). Suitable for coastal lowlands CL2, 3 and 4. Released 2017.</t>
  </si>
  <si>
    <t>Requires adequate soil fertility for optimal yields, Monitor for drought stress during critical growth stages, Not suitable for high altitude areas, Seed availability may vary, Use recommended spacing for best results</t>
  </si>
  <si>
    <t>drought tolerant, foliar disease resistance, medium maturity, coastal lowlands, three-way hybrid, released 2017</t>
  </si>
  <si>
    <t>WE2111 (Maize) - Coastal Lowlands Varieties</t>
  </si>
  <si>
    <t>Three-way hybrid with yield potential of 4.7-8.7 t/ha, matures in 4.5-5 months. Tolerant to drought, resistant to northern corn leaf blight, gray leaf spot, MSV. White grains with dent-like texture. Released 2015.</t>
  </si>
  <si>
    <t>Requires good soil fertility management, Monitor for disease resistance durability, Drought tolerance does not eliminate irrigation needs, Seed availability may be limited, Best suited for specific agro-ecological zones</t>
  </si>
  <si>
    <t>drought tolerant, disease resistant, northern leaf blight, gray leaf spot, MSV resistant, released 2015</t>
  </si>
  <si>
    <t>MTPEH0701 (Maize) - Coastal Lowlands Varieties</t>
  </si>
  <si>
    <t>Three-way cross hybrid of medium maturity (120-150 days), yield potential of 26 bags/acre. Resistant to large grain borer and maize weevil. Suitable for coastal lowlands CL2, 3 and 4. Released 2012.</t>
  </si>
  <si>
    <t>Storage pest resistance does not eliminate need for proper storage, Monitor for resistance durability, Not suitable for high altitude areas, Seed may have limited availability, Requires proper agronomic practices</t>
  </si>
  <si>
    <t>large grain borer resistant, maize weevil resistant, medium maturity, coastal lowlands, post-harvest benefit, released 2012</t>
  </si>
  <si>
    <t>MTPEH0702 (Maize) - Coastal Lowlands Varieties</t>
  </si>
  <si>
    <t>Three-way cross hybrid with yield potential of 26 bags/acre. Medium maturity (120-150 days). Resistant to large grain borer and maize weevil. Suitable for coastal lowlands CL2, 3 and 4. Released 2012.</t>
  </si>
  <si>
    <t>Storage pest resistance requires proper post-harvest handling, Monitor for resistance breakdown, Not for high altitude areas, Seed availability limited, Combine with hermetic storage for best results</t>
  </si>
  <si>
    <t>large grain borer resistant, maize weevil resistant, medium maturity, coastal lowlands, storage pest tolerance, released 2012</t>
  </si>
  <si>
    <t>MTPEH0703  (Maize) - Coastal Lowlands Varieties</t>
  </si>
  <si>
    <t>Three-way cross hybrid with yield potential of 26 bags/acre. Medium maturity (4-5 months). Resistant to spotted stem borers. Suitable for coastal lowlands CL2, 3 and 4. Released 2012.</t>
  </si>
  <si>
    <t>Stem borer resistance may not protect from other pests, Monitor for borer population changes, Not suitable for high altitudes, Seed availability may be limited, Requires proper crop rotation</t>
  </si>
  <si>
    <t>stem borer resistant, spotted stem borer, medium maturity, coastal lowlands, pest resistance, released 2012</t>
  </si>
  <si>
    <t>MTPEH200804  (Maize) - Coastal Lowlands Varieties</t>
  </si>
  <si>
    <t>Three-way cross hybrid with yield potential of 26 bags/acre. Medium maturity (120 days). Resistant to MSV and gray leaf spot. White cob. Suitable for coastal lowlands CL2, 3 and 4. Released 2012.</t>
  </si>
  <si>
    <t>Disease resistance may vary with disease pressure, Monitor for MSV infection, Not suitable for high altitude areas, Seed availability limited, Proper agronomy essential for optimal yields</t>
  </si>
  <si>
    <t>MSV resistant, gray leaf spot resistant, white cob, medium maturity, coastal lowlands, disease resistance</t>
  </si>
  <si>
    <t>MTPEH200805 - Coastal Lowlands Varieties</t>
  </si>
  <si>
    <t>Stay green three-way cross hybrid of medium maturity (120 days). Yield potential of 5-6.4 t/ha. Tolerant to drought, resistant to stem borers and gray leaf spot. Released 2012.</t>
  </si>
  <si>
    <t>Stay green trait does not guarantee drought escape, Monitor stem borer resistance durability, Requires adequate soil fertility, Best for low and medium altitude areas, Seed availability may be limited</t>
  </si>
  <si>
    <t>stay green, drought tolerant, stem borer resistant, gray leaf spot resistant, medium maturity, released 2012</t>
  </si>
  <si>
    <r>
      <rPr>
        <sz val="12"/>
        <color theme="1"/>
        <rFont val="Times New Roman"/>
      </rPr>
      <t>KCB (Katumani Composite B) - Medium Altitude - Dry Varieties</t>
    </r>
    <r>
      <rPr>
        <b/>
        <sz val="12"/>
        <color theme="1"/>
        <rFont val="Times New Roman"/>
      </rPr>
      <t xml:space="preserve"> </t>
    </r>
  </si>
  <si>
    <t>Open-pollinated variety with yield potential of 16-21 bags (90kg)/acre. Drought-escaping, early maturity (85-95 days). Resistant to stem borers.</t>
  </si>
  <si>
    <t>Lower yield than hybrids, Seed can be recycled but quality degrades, Requires timely planting to escape drought, Limited to dryland mid-altitude zones, Stem borer resistance may diminish over time</t>
  </si>
  <si>
    <t>open pollinated, drought escaping, early maturity, stem borer resistant, dryland, Katumani</t>
  </si>
  <si>
    <r>
      <rPr>
        <sz val="12"/>
        <color theme="1"/>
        <rFont val="Times New Roman"/>
      </rPr>
      <t>KDH6 SBR - Medium Altitude - Dry Varieties</t>
    </r>
    <r>
      <rPr>
        <b/>
        <sz val="12"/>
        <color theme="1"/>
        <rFont val="Times New Roman"/>
      </rPr>
      <t xml:space="preserve"> </t>
    </r>
  </si>
  <si>
    <t>Three-way cross hybrid of medium maturity (90-120 days). Yield potential of 5 t/ha. Tolerant to drought and low nitrogen, resistant to maize stem borers. Released 2008.</t>
  </si>
  <si>
    <t>Low nitrogen tolerance does not replace fertilizer needs, Monitor stem borer resistance, Best for dry mid-altitude zones, Seed availability may be limited, Requires proper spacing</t>
  </si>
  <si>
    <t>drought tolerant, low nitrogen tolerance, stem borer resistant, medium maturity, dryland, released 2008</t>
  </si>
  <si>
    <r>
      <rPr>
        <sz val="12"/>
        <color theme="1"/>
        <rFont val="Times New Roman"/>
      </rPr>
      <t>KH414-03 SBR - Medium Altitude - Dry Varieties</t>
    </r>
    <r>
      <rPr>
        <b/>
        <sz val="12"/>
        <color theme="1"/>
        <rFont val="Times New Roman"/>
      </rPr>
      <t xml:space="preserve"> </t>
    </r>
  </si>
  <si>
    <t>Three-way cross hybrid of medium maturity (90-120 days). Yield potential of 4 t/ha. Tolerant to stem borer. Released 2008.</t>
  </si>
  <si>
    <t>Lower yield potential than newer hybrids, Stem borer resistance may not be complete, Best for dry mid-altitude zones, Seed availability limited, Monitor for pest resistance</t>
  </si>
  <si>
    <t>stem borer tolerant, medium maturity, dryland, three-way hybrid, released 2008, moderate yield</t>
  </si>
  <si>
    <r>
      <rPr>
        <sz val="12"/>
        <color theme="1"/>
        <rFont val="Times New Roman"/>
      </rPr>
      <t>KDH414-11 (Ukamez 6) - Medium Altitude - Dry Varieties</t>
    </r>
    <r>
      <rPr>
        <b/>
        <sz val="12"/>
        <color theme="1"/>
        <rFont val="Times New Roman"/>
      </rPr>
      <t xml:space="preserve"> </t>
    </r>
  </si>
  <si>
    <t>Early maturing (90-100 days) three-way cross hybrid. Yield potential of 4.6-7.5 t/ha. Drought tolerant, resistant to gray leaf spot, northern leaf blight and MSV. Released 2017.</t>
  </si>
  <si>
    <t>Early maturity may sacrifice yield, Drought tolerance not absolute, Requires good soil fertility, Monitor disease resistance, Best for dry mid-altitude zones</t>
  </si>
  <si>
    <t>early maturity, drought tolerant, disease resistant, Ukamez 6, high yielding, released 2017</t>
  </si>
  <si>
    <r>
      <rPr>
        <sz val="12"/>
        <color theme="1"/>
        <rFont val="Times New Roman"/>
      </rPr>
      <t>KDH414-12 (Ukamez 7) - Medium Altitude - Dry Varieties</t>
    </r>
    <r>
      <rPr>
        <b/>
        <sz val="12"/>
        <color theme="1"/>
        <rFont val="Times New Roman"/>
      </rPr>
      <t xml:space="preserve"> </t>
    </r>
  </si>
  <si>
    <t>Stay green, drought tolerant, early maturing (90-100 days) three-way cross hybrid. Yield potential of 4.3-7.8 t/ha. Resistant to gray leaf spot, northern leaf blight and MSV. Good for livestock feed. Released 2017.</t>
  </si>
  <si>
    <t>Stay green trait good for silage but not yield guarantee, Drought tolerance varies with stress severity, Requires adequate fertility, Monitor disease resistance, Best for dry mid-altitude zones</t>
  </si>
  <si>
    <t>stay green, drought tolerant, disease resistant, livestock feed, Ukamez 7, early maturity</t>
  </si>
  <si>
    <r>
      <rPr>
        <sz val="12"/>
        <color theme="1"/>
        <rFont val="Times New Roman"/>
      </rPr>
      <t>WE2109 - Medium Altitude - Dry Varieties</t>
    </r>
    <r>
      <rPr>
        <b/>
        <sz val="12"/>
        <color theme="1"/>
        <rFont val="Times New Roman"/>
      </rPr>
      <t xml:space="preserve"> </t>
    </r>
  </si>
  <si>
    <t>Three-way hybrid with yield potential of 5.0-9.6 t/ha. Matures in 4.5-5 months. Tolerant to drought, resistant to northern leaf blight, gray leaf spot and MSV. White grains with dent-like texture. Released 2015.</t>
  </si>
  <si>
    <t>Wide yield range depends on management, Monitor disease resistance durability, Best for dry mid-altitude and coastal lowlands, Seed availability may be limited, Requires optimal fertilizer application</t>
  </si>
  <si>
    <t>drought tolerant, disease resistant, white dent, medium maturity, wide adaptation, released 2015</t>
  </si>
  <si>
    <r>
      <rPr>
        <sz val="12"/>
        <color theme="1"/>
        <rFont val="Times New Roman"/>
      </rPr>
      <t>WE2101 - Medium Altitude - Moist Varieties</t>
    </r>
    <r>
      <rPr>
        <b/>
        <sz val="12"/>
        <color theme="1"/>
        <rFont val="Times New Roman"/>
      </rPr>
      <t xml:space="preserve"> </t>
    </r>
  </si>
  <si>
    <t>White cob three-way cross hybrid with yield potential of 6.9 t/ha. Matures in 4.5 months. Resistant to northern leaf blight, MSV and gray leaf spot. Good husk cover. Released 2015.</t>
  </si>
  <si>
    <t>Requires good rainfall or irrigation, Monitor disease resistance durability, Best for moist mid-altitude zones, Seed availability may be limited, Proper fertilizer essential</t>
  </si>
  <si>
    <t>white cob, disease resistant, medium maturity, moist mid-altitude, good husk cover, released 2015</t>
  </si>
  <si>
    <r>
      <rPr>
        <sz val="12"/>
        <color theme="1"/>
        <rFont val="Times New Roman"/>
      </rPr>
      <t>WE2104 - Medium Altitude - Moist Varieties</t>
    </r>
    <r>
      <rPr>
        <b/>
        <sz val="12"/>
        <color theme="1"/>
        <rFont val="Times New Roman"/>
      </rPr>
      <t xml:space="preserve"> </t>
    </r>
  </si>
  <si>
    <t>White cob three-way cross hybrid with yield potential of 7.16 t/ha. Matures in 4.5 months. Resistant to northern leaf blight, MSV and gray leaf spot. Good husk cover. Released 2015.</t>
  </si>
  <si>
    <t>Higher yield requires good management, Monitor disease resistance, Best for moist mid-altitude zones, Requires adequate moisture, Seed availability may vary</t>
  </si>
  <si>
    <t>white cob, high yielding, disease resistant, medium maturity, moist mid-altitude, good husk cover</t>
  </si>
  <si>
    <r>
      <rPr>
        <sz val="12"/>
        <color theme="1"/>
        <rFont val="Times New Roman"/>
      </rPr>
      <t>WE2107 - Medium Altitude - Moist Varieties</t>
    </r>
    <r>
      <rPr>
        <b/>
        <sz val="12"/>
        <color theme="1"/>
        <rFont val="Times New Roman"/>
      </rPr>
      <t xml:space="preserve"> </t>
    </r>
  </si>
  <si>
    <t>White cob three-way cross hybrid with yield potential of 7 t/ha. Matures in 4.5 months. Resistant to northern leaf blight, MSV and gray leaf spot. Good husk cover. Released 2015.</t>
  </si>
  <si>
    <t>Requires good rainfall distribution, Monitor for disease resistance breakdown, Best for moist mid-altitude, Proper agronomy essential, Seed availability limited</t>
  </si>
  <si>
    <r>
      <rPr>
        <sz val="12"/>
        <color theme="1"/>
        <rFont val="Times New Roman"/>
      </rPr>
      <t>WE2108 - Medium Altitude - Moist Varieties</t>
    </r>
    <r>
      <rPr>
        <b/>
        <sz val="12"/>
        <color theme="1"/>
        <rFont val="Times New Roman"/>
      </rPr>
      <t xml:space="preserve"> </t>
    </r>
  </si>
  <si>
    <t>Three-way cross hybrid with yield potential of 6.9 t/ha. Matures in 4.5 months. Resistant to northern leaf blight, MSV and gray leaf spot. Good husk cover. Released 2015.</t>
  </si>
  <si>
    <t>Monitor disease resistance, Requires adequate moisture, Best for moist mid-altitude zones, Proper fertilizer application needed, Seed availability may be limited</t>
  </si>
  <si>
    <t>disease resistant, medium maturity, moist mid-altitude, good husk cover, high yielding, released 2015</t>
  </si>
  <si>
    <r>
      <rPr>
        <sz val="12"/>
        <color theme="1"/>
        <rFont val="Times New Roman"/>
      </rPr>
      <t>WE5206 -Medium Altitude - Moist Varieties</t>
    </r>
    <r>
      <rPr>
        <b/>
        <sz val="12"/>
        <color theme="1"/>
        <rFont val="Times New Roman"/>
      </rPr>
      <t xml:space="preserve"> </t>
    </r>
  </si>
  <si>
    <t>Drought tolerant, medium maturing (105-130 days) three-way cross hybrid. Yield potential of 9 t/ha. Resistant to northern leaf blight, MSV and gray leaf spot. Released 2017.</t>
  </si>
  <si>
    <t>Drought tolerance not absolute, Highest yield requires optimal conditions, Monitor disease resistance, Best for moist mid-altitude, Requires good soil fertility</t>
  </si>
  <si>
    <t>drought tolerant, high yielding, disease resistant, medium maturity, moist mid-altitude, released 2017</t>
  </si>
  <si>
    <r>
      <rPr>
        <sz val="12"/>
        <color theme="1"/>
        <rFont val="Times New Roman"/>
      </rPr>
      <t>WE5230 - Medium Altitude - Moist Varieties</t>
    </r>
    <r>
      <rPr>
        <b/>
        <sz val="12"/>
        <color theme="1"/>
        <rFont val="Times New Roman"/>
      </rPr>
      <t xml:space="preserve"> </t>
    </r>
  </si>
  <si>
    <t>Drought tolerant, medium maturing (105-130 days) three-way cross hybrid. Yield potential of 8 t/ha. Resistant to northern leaf blight, MSV and gray leaf spot. Released 2017.</t>
  </si>
  <si>
    <t>Yield varies with management, Monitor disease resistance, Best for moist mid-altitude, Requires adequate moisture, Seed availability may be limited</t>
  </si>
  <si>
    <r>
      <rPr>
        <sz val="12"/>
        <color theme="1"/>
        <rFont val="Times New Roman"/>
      </rPr>
      <t>EMB225 – KBEST - Medium Altitude - Moist Varieties</t>
    </r>
    <r>
      <rPr>
        <b/>
        <sz val="12"/>
        <color theme="1"/>
        <rFont val="Times New Roman"/>
      </rPr>
      <t xml:space="preserve"> </t>
    </r>
  </si>
  <si>
    <t>Early maturing (90-120 days) three-way cross hybrid. Yield potential of 4.6 t/ha. Resistant to northern leaf blight, MSV and leaf rust. Altitude: 1000-1800m. Released 2015.</t>
  </si>
  <si>
    <t>Lower yield than later maturing hybrids, Early maturity may sacrifice yield, Suitable for specific altitude range, Monitor disease resistance, Best for Embu and surrounding areas</t>
  </si>
  <si>
    <t>early maturity, disease resistant, moderate yield, altitude 1000-1800m, released 2015, KBEST</t>
  </si>
  <si>
    <r>
      <rPr>
        <sz val="12"/>
        <color theme="1"/>
        <rFont val="Times New Roman"/>
      </rPr>
      <t>EMB 226 - EMBU POA - Medium Altitude - Moist Varieties</t>
    </r>
    <r>
      <rPr>
        <b/>
        <sz val="12"/>
        <color theme="1"/>
        <rFont val="Times New Roman"/>
      </rPr>
      <t xml:space="preserve"> </t>
    </r>
  </si>
  <si>
    <t>Stay green, early maturing (90-120 days) three-way cross hybrid. Yield potential of 6.5 t/ha. Resistant to northern leaf blight. Altitude: 1200-1800m. Released 2015.</t>
  </si>
  <si>
    <t>Stay green trait benefits silage, Monitor other diseases not listed, Best for specific altitude range, Requires adequate fertility, Seed availability may be limited</t>
  </si>
  <si>
    <t>stay green, early maturity, northern leaf blight resistant, altitude 1200-1800m, released 2015, EMBU POA</t>
  </si>
  <si>
    <r>
      <rPr>
        <sz val="12"/>
        <color theme="1"/>
        <rFont val="Times New Roman"/>
      </rPr>
      <t>KH500-40E - Medium Altitude - Moist Varieties</t>
    </r>
    <r>
      <rPr>
        <b/>
        <sz val="12"/>
        <color theme="1"/>
        <rFont val="Times New Roman"/>
      </rPr>
      <t xml:space="preserve"> </t>
    </r>
  </si>
  <si>
    <t>Medium maturing (120-130 days) three-way cross hybrid. Yield potential of 7 t/ha. Tolerant to drought and low nitrogen. Released 2008.</t>
  </si>
  <si>
    <t>Low nitrogen tolerance not a substitute for fertilizer, Drought tolerance varies, Monitor for other stresses, Best for mid-altitude, Seed availability may be limited</t>
  </si>
  <si>
    <t>drought tolerant, low nitrogen tolerance, medium maturity, three-way hybrid, released 2008, moderate yield</t>
  </si>
  <si>
    <r>
      <rPr>
        <sz val="12"/>
        <color theme="1"/>
        <rFont val="Times New Roman"/>
      </rPr>
      <t>KH500-39E - Medium Altitude - Moist Varieties</t>
    </r>
    <r>
      <rPr>
        <b/>
        <sz val="12"/>
        <color theme="1"/>
        <rFont val="Times New Roman"/>
      </rPr>
      <t xml:space="preserve"> </t>
    </r>
  </si>
  <si>
    <t>Three-way cross hybrid with yield potential of 8-10 t/ha. Tolerant to drought and foliar diseases. Medium maturity (120 days). Suitable for Mt Kenya region. Released 2017/18.</t>
  </si>
  <si>
    <t>High yield requires optimal management, Monitor foliar disease resistance, Best for Mt Kenya region, Requires good rainfall, Proper fertilizer essential</t>
  </si>
  <si>
    <t>high yielding, drought tolerant, foliar disease tolerance, Mt Kenya region, medium maturity, released 2017</t>
  </si>
  <si>
    <r>
      <rPr>
        <sz val="12"/>
        <color theme="1"/>
        <rFont val="Times New Roman"/>
      </rPr>
      <t>KH500-56A (KM1101) - Medium Altitude - Moist Varieties</t>
    </r>
    <r>
      <rPr>
        <b/>
        <sz val="12"/>
        <color theme="1"/>
        <rFont val="Times New Roman"/>
      </rPr>
      <t xml:space="preserve"> </t>
    </r>
  </si>
  <si>
    <t>White cob flint to intermediate three-way cross hybrid. Yield potential of 6.5 t/ha, matures 5-6 months. Resistant to MSV and gray leaf spot. Released 2017.</t>
  </si>
  <si>
    <t>Longer maturity may be disadvantage in some areas, Monitor MSV resistance, Best for specific zones, Requires adequate moisture, Seed availability may be limited</t>
  </si>
  <si>
    <t>white cob, MSV resistant, gray leaf spot resistant, longer maturity, three-way hybrid, released 2017</t>
  </si>
  <si>
    <r>
      <rPr>
        <sz val="12"/>
        <color theme="1"/>
        <rFont val="Times New Roman"/>
      </rPr>
      <t>KH500-Q - Medium Altitude - Moist Varieties</t>
    </r>
    <r>
      <rPr>
        <b/>
        <sz val="12"/>
        <color theme="1"/>
        <rFont val="Times New Roman"/>
      </rPr>
      <t xml:space="preserve"> </t>
    </r>
  </si>
  <si>
    <t>Three-way cross hybrid with yield potential of 8-10 t/ha. Tolerant to drought and foliar diseases. Medium maturity (120 days). QPM variety (Quality Protein Maize). Released 2017/18.</t>
  </si>
  <si>
    <t>High yield requires good management, QPM nutritional benefit requires proper processing, Monitor disease resistance, Best for moist mid-altitude, Seed availability may be limited</t>
  </si>
  <si>
    <t>QPM, high yielding, drought tolerant, foliar disease tolerance, medium maturity, released 2017</t>
  </si>
  <si>
    <r>
      <rPr>
        <sz val="12"/>
        <color theme="1"/>
        <rFont val="Times New Roman"/>
      </rPr>
      <t>WE2106 - Medium Altitude - Transitional Varieties</t>
    </r>
    <r>
      <rPr>
        <b/>
        <sz val="12"/>
        <color theme="1"/>
        <rFont val="Times New Roman"/>
      </rPr>
      <t xml:space="preserve"> </t>
    </r>
  </si>
  <si>
    <t>White cob dent type, drought tolerant three-way cross hybrid. Yield potential of 4.7-9.1 t/ha, matures 4.5-5 months. Resistant to northern leaf blight, gray leaf spot and MSV. Released 2015.</t>
  </si>
  <si>
    <t>Wide yield range depends on management, Monitor disease resistance, Best for transitional zones, Requires adequate moisture, Seed availability may be limited</t>
  </si>
  <si>
    <t>white dent, drought tolerant, disease resistant, transitional zone, wide yield range, released 2015</t>
  </si>
  <si>
    <r>
      <rPr>
        <sz val="12"/>
        <color theme="1"/>
        <rFont val="Times New Roman"/>
      </rPr>
      <t>WE3104 ­- Medium Altitude - Transitional Varieties</t>
    </r>
    <r>
      <rPr>
        <b/>
        <sz val="12"/>
        <color theme="1"/>
        <rFont val="Times New Roman"/>
      </rPr>
      <t xml:space="preserve"> </t>
    </r>
  </si>
  <si>
    <t>White cob three-way cross hybrid with yield potential of 5.6 t/ha. Matures in 4 months. Resistant to northern leaf blight, MSV and gray leaf spot. Released 2015.</t>
  </si>
  <si>
    <t>Shorter maturity may sacrifice yield, Monitor disease resistance, Best for transitional zones, Requires good soil fertility, Seed availability limited</t>
  </si>
  <si>
    <t>white cob, early maturity, disease resistant, transitional zone, moderate yield, released 2015</t>
  </si>
  <si>
    <r>
      <rPr>
        <sz val="12"/>
        <color theme="1"/>
        <rFont val="Times New Roman"/>
      </rPr>
      <t>WE3106 - Medium Altitude - Transitional Varieties</t>
    </r>
    <r>
      <rPr>
        <b/>
        <sz val="12"/>
        <color theme="1"/>
        <rFont val="Times New Roman"/>
      </rPr>
      <t xml:space="preserve"> </t>
    </r>
  </si>
  <si>
    <t>White cob three-way cross hybrid with yield potential of 3.28 t/ha. Matures in 4 months. Resistant to northern leaf blight, MSV and gray leaf spot. Released 2015.</t>
  </si>
  <si>
    <t>Lower yield potential, Early maturity good for moisture stress areas, Monitor disease resistance, Best for transitional zones, Requires proper management</t>
  </si>
  <si>
    <t>white cob, early maturity, disease resistant, transitional zone, lower yield, released 2015</t>
  </si>
  <si>
    <r>
      <rPr>
        <sz val="12"/>
        <color theme="1"/>
        <rFont val="Times New Roman"/>
      </rPr>
      <t>WE5107 - Medium Altitude - Transitional Varieties</t>
    </r>
    <r>
      <rPr>
        <b/>
        <sz val="12"/>
        <color theme="1"/>
        <rFont val="Times New Roman"/>
      </rPr>
      <t xml:space="preserve"> </t>
    </r>
  </si>
  <si>
    <t>White cob, drought tolerant three-way cross hybrid. Yield potential of 3.7-7.2 t/ha, early maturity (105-130 days). Resistant to northern leaf blight, gray leaf spot and MSV. Released 2017.</t>
  </si>
  <si>
    <t>Wide yield range depends on environment, Monitor disease resistance, Best for transitional zones, Requires adequate fertility, Seed availability may be limited</t>
  </si>
  <si>
    <t>drought tolerant, early maturity, disease resistant, white cob, transitional zone, released 2017</t>
  </si>
  <si>
    <r>
      <rPr>
        <sz val="12"/>
        <color theme="1"/>
        <rFont val="Times New Roman"/>
      </rPr>
      <t>WE5113 - Medium Altitude - Transitional Varieties</t>
    </r>
    <r>
      <rPr>
        <b/>
        <sz val="12"/>
        <color theme="1"/>
        <rFont val="Times New Roman"/>
      </rPr>
      <t xml:space="preserve"> </t>
    </r>
  </si>
  <si>
    <t>White cob, drought tolerant three-way cross hybrid. Yield potential of 3.7-7.3 t/ha, early maturity (105-130 days). Resistant to northern leaf blight, gray leaf spot and MSV. Released 2017.</t>
  </si>
  <si>
    <t>Yield varies with rainfall patterns, Monitor disease resistance, Best for transitional zones, Requires good agronomic practices, Seed availability limited</t>
  </si>
  <si>
    <r>
      <rPr>
        <sz val="12"/>
        <color theme="1"/>
        <rFont val="Times New Roman"/>
      </rPr>
      <t>WE5138 - Medium Altitude - Transitional Varieties</t>
    </r>
    <r>
      <rPr>
        <b/>
        <sz val="12"/>
        <color theme="1"/>
        <rFont val="Times New Roman"/>
      </rPr>
      <t xml:space="preserve"> </t>
    </r>
  </si>
  <si>
    <t>White cob drought tolerant three-way cross hybrid. Yield potential of 4-6.5 t/ha, early maturity (105-130 days). Resistant to northern leaf blight, gray leaf spot and MSV. Released 2017.</t>
  </si>
  <si>
    <t>Moderate yield potential, Monitor disease resistance, Best for transitional zones, Requires adequate moisture, Seed availability may be limited</t>
  </si>
  <si>
    <r>
      <rPr>
        <sz val="12"/>
        <color theme="1"/>
        <rFont val="Times New Roman"/>
      </rPr>
      <t>WE5205 - Medium Altitude - Transitional Varieties</t>
    </r>
    <r>
      <rPr>
        <b/>
        <sz val="12"/>
        <color theme="1"/>
        <rFont val="Times New Roman"/>
      </rPr>
      <t xml:space="preserve"> </t>
    </r>
  </si>
  <si>
    <t>White cob drought tolerant three-way cross hybrid. Yield potential of 7.4-9.6 t/ha, early maturity (105-130 days). Resistant to northern leaf blight, gray leaf spot and MSV. Released 2017.</t>
  </si>
  <si>
    <t>High yield requires optimal conditions, Monitor disease resistance, Best for transitional zones, Requires good fertility, Proper management essential</t>
  </si>
  <si>
    <t>high yielding, drought tolerant, disease resistant, early maturity, transitional zone, released 2017</t>
  </si>
  <si>
    <r>
      <rPr>
        <sz val="12"/>
        <color theme="1"/>
        <rFont val="Times New Roman"/>
      </rPr>
      <t>WE5210 - Medium Altitude - Transitional Varieties</t>
    </r>
    <r>
      <rPr>
        <b/>
        <sz val="12"/>
        <color theme="1"/>
        <rFont val="Times New Roman"/>
      </rPr>
      <t xml:space="preserve"> </t>
    </r>
  </si>
  <si>
    <t>White cob, drought tolerant three-way cross hybrid. Yield potential of 7.6-10.0 t/ha, early maturity (105-130 days). Resistant to northern leaf blight, gray leaf spot and MSV. Released 2017.</t>
  </si>
  <si>
    <t>Highest yield requires excellent management, Monitor disease resistance, Best for transitional zones, Requires adequate rainfall, Seed availability may be limited</t>
  </si>
  <si>
    <r>
      <rPr>
        <sz val="12"/>
        <color theme="1"/>
        <rFont val="Times New Roman"/>
      </rPr>
      <t>WE5213 - Medium Altitude - Transitional Varieties</t>
    </r>
    <r>
      <rPr>
        <b/>
        <sz val="12"/>
        <color theme="1"/>
        <rFont val="Times New Roman"/>
      </rPr>
      <t xml:space="preserve"> </t>
    </r>
  </si>
  <si>
    <t>White cob, drought tolerant three-way cross hybrid. Yield potential of 7.5-9.6 t/ha, early maturity (105-120 days). Resistant to northern leaf blight, gray leaf spot and MSV. Released 2017.</t>
  </si>
  <si>
    <t>Shorter maturity within early range, Monitor disease resistance, Best for transitional zones, Requires good fertility, Seed availability limited</t>
  </si>
  <si>
    <r>
      <rPr>
        <sz val="12"/>
        <color theme="1"/>
        <rFont val="Times New Roman"/>
      </rPr>
      <t>WE5218 - Medium Altitude - Transitional Varieties</t>
    </r>
    <r>
      <rPr>
        <b/>
        <sz val="12"/>
        <color theme="1"/>
        <rFont val="Times New Roman"/>
      </rPr>
      <t xml:space="preserve"> </t>
    </r>
  </si>
  <si>
    <t>White cob, drought tolerant three-way cross hybrid. Yield potential of 7.3-9.1 t/ha, early maturity (105-125 days). Resistant to northern leaf blight, gray leaf spot and MSV. Released 2017.</t>
  </si>
  <si>
    <t>Yield depends on management, Monitor disease resistance, Best for transitional zones, Requires adequate moisture, Proper fertilizer application needed</t>
  </si>
  <si>
    <t>drought tolerant, disease resistant, early maturity, transitional zone, white cob, released 2017</t>
  </si>
  <si>
    <r>
      <rPr>
        <sz val="12"/>
        <color theme="1"/>
        <rFont val="Times New Roman"/>
      </rPr>
      <t>WE5227 - Medium Altitude - Transitional Varieties</t>
    </r>
    <r>
      <rPr>
        <b/>
        <sz val="12"/>
        <color theme="1"/>
        <rFont val="Times New Roman"/>
      </rPr>
      <t xml:space="preserve"> </t>
    </r>
  </si>
  <si>
    <t>White cob, drought tolerant three-way cross hybrid. Yield potential of 7.5-9.5 t/ha, early maturity (105-130 days). Resistant to northern leaf blight, gray leaf spot and MSV. Released 2017.</t>
  </si>
  <si>
    <t>High yield requires optimal conditions, Monitor disease resistance, Best for transitional zones, Requires good soil fertility, Seed availability may be limited</t>
  </si>
  <si>
    <r>
      <rPr>
        <sz val="12"/>
        <color theme="1"/>
        <rFont val="Times New Roman"/>
      </rPr>
      <t>KH500-13E - Medium Altitude - Transitional Varieties</t>
    </r>
    <r>
      <rPr>
        <b/>
        <sz val="12"/>
        <color theme="1"/>
        <rFont val="Times New Roman"/>
      </rPr>
      <t xml:space="preserve"> </t>
    </r>
  </si>
  <si>
    <t>White cob, drought tolerant three-way cross hybrid. Yield potential of 4.5-5.3 t/ha. Medium maturity (120 days), resistant to ear rot, northern leaf blight, gray leaf spot and MSV. Released 2017.</t>
  </si>
  <si>
    <t>Moderate yield potential, Monitor ear rot resistance, Best for transitional zones, Requires adequate moisture, Proper storage essential for ear rot prevention</t>
  </si>
  <si>
    <t>drought tolerant, ear rot resistant, disease resistant, medium maturity, transitional zone, released 2017</t>
  </si>
  <si>
    <r>
      <rPr>
        <sz val="12"/>
        <color theme="1"/>
        <rFont val="Times New Roman"/>
      </rPr>
      <t>KH500-51A (MU07-018) - Medium Altitude - Transitional Varieties</t>
    </r>
    <r>
      <rPr>
        <b/>
        <sz val="12"/>
        <color theme="1"/>
        <rFont val="Times New Roman"/>
      </rPr>
      <t xml:space="preserve"> </t>
    </r>
  </si>
  <si>
    <t>White cob flint-like three-way cross hybrid. Yield potential of 6.0-6.5 t/ha, matures 150-170 days. Resistant to northern leaf blight, gray leaf spot and MSV. Released 2015.</t>
  </si>
  <si>
    <t>Longer maturity requires longer growing season, Monitor disease resistance, Best for transitional zones with longer rains, Requires good fertility, Seed availability limited</t>
  </si>
  <si>
    <t>white flint, longer maturity, disease resistant, transitional zone, moderate yield, released 2015</t>
  </si>
  <si>
    <r>
      <rPr>
        <sz val="12"/>
        <color theme="1"/>
        <rFont val="Times New Roman"/>
      </rPr>
      <t>KH500-52A (MU08-005) - Medium Altitude - Transitional Varieties</t>
    </r>
    <r>
      <rPr>
        <b/>
        <sz val="12"/>
        <color theme="1"/>
        <rFont val="Times New Roman"/>
      </rPr>
      <t xml:space="preserve"> </t>
    </r>
  </si>
  <si>
    <t>White cob flint-like three-way cross hybrid. Yield potential of 4.39 t/ha, matures 4-5 months. Drought tolerant, resistant to northern leaf blight, gray leaf spot and MSV. Released 2015.</t>
  </si>
  <si>
    <t>Lower yield potential, Drought tolerance benefits dry areas, Monitor disease resistance, Best for transitional zones, Requires proper management</t>
  </si>
  <si>
    <t>drought tolerant, disease resistant, flint-like, transitional zone, moderate yield, released 2015</t>
  </si>
  <si>
    <r>
      <rPr>
        <sz val="12"/>
        <color theme="1"/>
        <rFont val="Times New Roman"/>
      </rPr>
      <t>KH500-53A (MU10-010) - Medium Altitude - Transitional Varieties</t>
    </r>
    <r>
      <rPr>
        <b/>
        <sz val="12"/>
        <color theme="1"/>
        <rFont val="Times New Roman"/>
      </rPr>
      <t xml:space="preserve"> </t>
    </r>
  </si>
  <si>
    <t>White cob flint-like three-way cross hybrid. Yield potential of 4.9-5.0 t/ha, matures 150-170 days. Drought tolerant, resistant to northern leaf blight, gray leaf spot and MSV. Released 2015.</t>
  </si>
  <si>
    <t>Longer maturity, Moderate yield, Monitor disease resistance, Best for specific transitional zones, Seed availability may be limited</t>
  </si>
  <si>
    <t>drought tolerant, disease resistant, longer maturity, flint-like, transitional zone, released 2015</t>
  </si>
  <si>
    <r>
      <rPr>
        <sz val="12"/>
        <color theme="1"/>
        <rFont val="Times New Roman"/>
      </rPr>
      <t>KH500-54A (CKH10778) - Medium Altitude - Transitional Varieties</t>
    </r>
    <r>
      <rPr>
        <b/>
        <sz val="12"/>
        <color theme="1"/>
        <rFont val="Times New Roman"/>
      </rPr>
      <t xml:space="preserve"> </t>
    </r>
  </si>
  <si>
    <t>White cob flint to intermediate three-way cross hybrid. Yield potential of 8.5 t/ha, matures 5-6 months. Resistant to MSV and gray leaf spot. Released 2017.</t>
  </si>
  <si>
    <t>High yield requires good management, Longer maturity, Monitor MSV resistance, Best for transitional zones, Requires adequate moisture</t>
  </si>
  <si>
    <t>high yielding, MSV resistant, gray leaf spot resistant, longer maturity, transitional zone, released 2017</t>
  </si>
  <si>
    <r>
      <rPr>
        <sz val="12"/>
        <color theme="1"/>
        <rFont val="Times New Roman"/>
      </rPr>
      <t>KH500-55A (MU10-233) - Medium Altitude - Transitional Varieties</t>
    </r>
    <r>
      <rPr>
        <b/>
        <sz val="12"/>
        <color theme="1"/>
        <rFont val="Times New Roman"/>
      </rPr>
      <t xml:space="preserve"> </t>
    </r>
  </si>
  <si>
    <t>White cob flint to intermediate three-way cross hybrid. Yield potential of 6.5 t/ha, matures 120-160 days. Tolerant to drought, resistant to MSV and gray leaf spot. Released 2016.</t>
  </si>
  <si>
    <t>Moderate yield, Monitor drought tolerance effectiveness, Best for transitional zones, Requires good fertility, Seed availability limited</t>
  </si>
  <si>
    <t>drought tolerant, MSV resistant, gray leaf spot resistant, transitional zone, moderate yield, released 2016</t>
  </si>
  <si>
    <r>
      <rPr>
        <sz val="12"/>
        <color theme="1"/>
        <rFont val="Times New Roman"/>
      </rPr>
      <t>KH600-11D - Highland Varieties</t>
    </r>
    <r>
      <rPr>
        <b/>
        <sz val="12"/>
        <color theme="1"/>
        <rFont val="Times New Roman"/>
      </rPr>
      <t xml:space="preserve"> </t>
    </r>
  </si>
  <si>
    <t>Varietal cross hybrid for altitude 1800-2500m, rainfall 1000-2000mm. White semi-flint grains, matures 140-160 days. Yield of 32-42 bags/acre. Resistant to Gray Leaf Spot. Released 1999.</t>
  </si>
  <si>
    <t>Suitable only for highland zones, Requires adequate rainfall, Monitor GLS resistance, Lower yield than newer hybrids, Seed availability limited</t>
  </si>
  <si>
    <t>highland, Gray Leaf Spot resistant, white semi-flint, medium-late maturity, moderate yield, released 1999</t>
  </si>
  <si>
    <r>
      <rPr>
        <sz val="12"/>
        <color theme="1"/>
        <rFont val="Times New Roman"/>
      </rPr>
      <t>KH600-23A - Highland Varieties</t>
    </r>
    <r>
      <rPr>
        <b/>
        <sz val="12"/>
        <color theme="1"/>
        <rFont val="Times New Roman"/>
      </rPr>
      <t xml:space="preserve"> </t>
    </r>
  </si>
  <si>
    <t>Top cross hybrid for altitude 1800-2500m, rainfall 1000-2000mm. White semi-flint grains, matures 145-175 days. Yield of 43-68 bags/acre. Resistant to rust and Gray Leaf Spot. Released 2008.</t>
  </si>
  <si>
    <t>Suitable only for highlands, Monitor rust and GLS resistance, Requires good rainfall, Best for high potential areas, Seed availability may be limited</t>
  </si>
  <si>
    <t>highland, rust resistant, Gray Leaf Spot resistant, high yielding, top cross hybrid, released 2008</t>
  </si>
  <si>
    <r>
      <rPr>
        <sz val="12"/>
        <color theme="1"/>
        <rFont val="Times New Roman"/>
      </rPr>
      <t>HAC (High Altitude Composite) - - Highland Varieties</t>
    </r>
    <r>
      <rPr>
        <b/>
        <sz val="12"/>
        <color theme="1"/>
        <rFont val="Times New Roman"/>
      </rPr>
      <t xml:space="preserve"> </t>
    </r>
  </si>
  <si>
    <t>Open pollinated variety (composite) for altitude 2200-3000m, rainfall 1000-2000mm. White semi-flint grains, matures 140-160 days. Yield of 20-34 bags/acre. Early maturity, frost tolerant, resistant to Gray Leaf Spot. Released 2006.</t>
  </si>
  <si>
    <t>Suitable for very high altitudes, Lower yield than hybrids, Seed can be recycled but quality degrades, Frost tolerance reduces but not eliminates frost risk, Monitor GLS resistance</t>
  </si>
  <si>
    <t>high altitude, frost tolerant, open pollinated, early maturity, Gray Leaf Spot resistant, released 2006</t>
  </si>
  <si>
    <r>
      <rPr>
        <sz val="12"/>
        <color theme="1"/>
        <rFont val="Times New Roman"/>
      </rPr>
      <t>KH600-14E - Highland Varieties</t>
    </r>
    <r>
      <rPr>
        <b/>
        <sz val="12"/>
        <color theme="1"/>
        <rFont val="Times New Roman"/>
      </rPr>
      <t xml:space="preserve"> </t>
    </r>
  </si>
  <si>
    <t>Top cross hybrid for altitude 1800-2500m, rainfall 1000-2000mm. White semi-flint grains, matures 150-165 days. Yield of 38-48 bags/acre. Drought tolerant, resistant to rust, Gray Leaf Spot and Turcicum leaf blight. Released 2004.</t>
  </si>
  <si>
    <t>Suitable for highlands, Drought tolerance for drier highland areas, Monitor disease resistance, Requires adequate moisture, Seed availability limited</t>
  </si>
  <si>
    <t>highland, drought tolerant, disease resistant, top cross hybrid, moderate-high yield, released 2004</t>
  </si>
  <si>
    <r>
      <rPr>
        <sz val="12"/>
        <color theme="1"/>
        <rFont val="Times New Roman"/>
      </rPr>
      <t>KH600-15A - Highland Varieties</t>
    </r>
    <r>
      <rPr>
        <b/>
        <sz val="12"/>
        <color theme="1"/>
        <rFont val="Times New Roman"/>
      </rPr>
      <t xml:space="preserve"> </t>
    </r>
  </si>
  <si>
    <t>Top cross hybrid for altitude 1800-2500m, rainfall 1000-2000mm. White semi-flint grains, matures 145-180 days. Yield of 33-47 bags/acre. Resistant to rust, blight and Gray Leaf Spot. Released 2001.</t>
  </si>
  <si>
    <t>Suitable for highlands, Wide maturity range, Monitor disease resistance, Requires good rainfall, Seed availability may be limited</t>
  </si>
  <si>
    <t>highland, disease resistant, top cross hybrid, medium-late maturity, moderate yield, released 2001</t>
  </si>
  <si>
    <r>
      <rPr>
        <sz val="12"/>
        <color theme="1"/>
        <rFont val="Times New Roman"/>
      </rPr>
      <t>KH600-16A - Highland Varieties</t>
    </r>
    <r>
      <rPr>
        <b/>
        <sz val="12"/>
        <color theme="1"/>
        <rFont val="Times New Roman"/>
      </rPr>
      <t xml:space="preserve"> </t>
    </r>
  </si>
  <si>
    <t>Top cross hybrid for altitude 1800-2500m, rainfall 1000-2000mm. White semi-flint grains, matures 140-180 days. Yield of 35-48 bags/acre. Resistant to MSV, blight, rust and Gray Leaf Spot. Released 2001.</t>
  </si>
  <si>
    <t>Suitable for highlands, Broad disease resistance, Monitor MSV in highlands, Requires good rainfall, Seed availability limited</t>
  </si>
  <si>
    <t>highland, MSV resistant, multi-disease resistant, moderate-high yield, top cross hybrid, released 2001</t>
  </si>
  <si>
    <r>
      <rPr>
        <sz val="12"/>
        <color theme="1"/>
        <rFont val="Times New Roman"/>
      </rPr>
      <t>KH600-17A - Highland Varieties</t>
    </r>
    <r>
      <rPr>
        <b/>
        <sz val="12"/>
        <color theme="1"/>
        <rFont val="Times New Roman"/>
      </rPr>
      <t xml:space="preserve"> </t>
    </r>
  </si>
  <si>
    <t>Varietal cross hybrid for altitude 1800-2500m, rainfall 1000-2000mm. White semi-flint grains, matures 140-160 days. Yield of 37-51 bags/acre. Resistant to blight and Gray Leaf Spot. Released 2002.</t>
  </si>
  <si>
    <t>Suitable for highlands, Monitor disease resistance, Requires good fertility, Best for high potential areas, Seed availability may be limited</t>
  </si>
  <si>
    <t>highland, disease resistant, varietal cross, moderate-high yield, medium maturity, released 2002</t>
  </si>
  <si>
    <r>
      <rPr>
        <sz val="12"/>
        <color theme="1"/>
        <rFont val="Times New Roman"/>
      </rPr>
      <t>KH600-18A - Highland Varieties</t>
    </r>
    <r>
      <rPr>
        <b/>
        <sz val="12"/>
        <color theme="1"/>
        <rFont val="Times New Roman"/>
      </rPr>
      <t xml:space="preserve"> </t>
    </r>
  </si>
  <si>
    <t>Varietal hybrid for altitude 1800-2500m, rainfall 1000-2000mm. White semi-flint grains, matures 155-170 days. Yield of 36-50 bags/acre. Resistant to blight and Gray Leaf Spot. Released 2004.</t>
  </si>
  <si>
    <t>Suitable for highlands, Monitor disease resistance, Requires good rainfall, Best for highland areas, Seed availability limited</t>
  </si>
  <si>
    <t>highland, disease resistant, varietal hybrid, moderate-high yield, medium-late maturity, released 2004</t>
  </si>
  <si>
    <r>
      <rPr>
        <sz val="12"/>
        <color theme="1"/>
        <rFont val="Times New Roman"/>
      </rPr>
      <t>KH600-19A - Highland Varieties</t>
    </r>
    <r>
      <rPr>
        <b/>
        <sz val="12"/>
        <color theme="1"/>
        <rFont val="Times New Roman"/>
      </rPr>
      <t xml:space="preserve"> </t>
    </r>
  </si>
  <si>
    <t>Double cross hybrid for altitude 1800-2500m, rainfall 1000-2000mm. White semi-flint grains, matures 160-175 days. Yield of 38-53 bags/acre. Resistant to blight and Gray Leaf Spot. Released 2005.</t>
  </si>
  <si>
    <t>Suitable for highlands, Longer maturity, Monitor disease resistance, Requires good rainfall, Seed availability may be limited</t>
  </si>
  <si>
    <t>highland, disease resistant, double cross hybrid, moderate-high yield, late maturity, released 2005</t>
  </si>
  <si>
    <r>
      <rPr>
        <sz val="12"/>
        <color theme="1"/>
        <rFont val="Times New Roman"/>
      </rPr>
      <t>KH600-20A - Highland Varieties</t>
    </r>
    <r>
      <rPr>
        <b/>
        <sz val="12"/>
        <color theme="1"/>
        <rFont val="Times New Roman"/>
      </rPr>
      <t xml:space="preserve"> </t>
    </r>
  </si>
  <si>
    <t>Top cross hybrid for altitude 1800-2500m, rainfall 1000-2000mm. White semi-flint grains, matures 160-180 days. Yield of 38-55 bags/acre. Strong stalks, resistant to rust, blight and Gray Leaf Spot. Released 2005.</t>
  </si>
  <si>
    <t>Suitable for highlands, Strong stalks reduce lodging, Longer maturity, Monitor disease resistance, Requires good rainfall</t>
  </si>
  <si>
    <t>highland, strong stalks, disease resistant, high yielding, late maturity, released 2005</t>
  </si>
  <si>
    <r>
      <rPr>
        <sz val="12"/>
        <color theme="1"/>
        <rFont val="Times New Roman"/>
      </rPr>
      <t>KH600-21A - Highland Varieties</t>
    </r>
    <r>
      <rPr>
        <b/>
        <sz val="12"/>
        <color theme="1"/>
        <rFont val="Times New Roman"/>
      </rPr>
      <t xml:space="preserve"> </t>
    </r>
  </si>
  <si>
    <t>Top cross hybrid for altitude 1800-2500m, rainfall 1000-2000mm. White semi-flint grains, matures 140-180 days. Yield of 38-62 bags/acre. Resistant to rust, blight and Gray Leaf Spot. Released 2006.</t>
  </si>
  <si>
    <t>Suitable for highlands, Wide maturity range, High yield potential, Monitor disease resistance, Requires good management</t>
  </si>
  <si>
    <t>highland, disease resistant, high yielding, top cross hybrid, medium-late maturity, released 2006</t>
  </si>
  <si>
    <r>
      <rPr>
        <sz val="12"/>
        <color theme="1"/>
        <rFont val="Times New Roman"/>
      </rPr>
      <t>KH600-22A - Highland Varieties</t>
    </r>
    <r>
      <rPr>
        <b/>
        <sz val="12"/>
        <color theme="1"/>
        <rFont val="Times New Roman"/>
      </rPr>
      <t xml:space="preserve"> </t>
    </r>
  </si>
  <si>
    <t>Top cross hybrid for altitude 1800-2500m, rainfall 1000-2000mm. White semi-flint grains, matures 140-180 days. Yield of 40-66 bags/acre. Resistant to Gray Leaf Spot with good husk cover. Released 2006.</t>
  </si>
  <si>
    <t>Suitable for highlands, Good husk cover reduces ear rots, Monitor GLS resistance, Requires good management, Seed availability limited</t>
  </si>
  <si>
    <t>highland, good husk cover, Gray Leaf Spot resistant, high yielding, top cross hybrid, released 2006</t>
  </si>
  <si>
    <r>
      <rPr>
        <sz val="12"/>
        <color theme="1"/>
        <rFont val="Times New Roman"/>
      </rPr>
      <t>KH600-24A - Highland Varieties</t>
    </r>
    <r>
      <rPr>
        <b/>
        <sz val="12"/>
        <color theme="1"/>
        <rFont val="Times New Roman"/>
      </rPr>
      <t xml:space="preserve"> </t>
    </r>
  </si>
  <si>
    <t>Top cross hybrid for altitude 1800-2500m, rainfall 1000-2000mm. White semi-flint grains, matures 140-160 days. Yield of 47-69 bags/acre. Resistant to Gray Leaf Spot, rust, blight. Released 2001.</t>
  </si>
  <si>
    <t>Suitable for highlands, Very high yield potential, Monitor disease resistance, Requires excellent management, Seed availability may be limited</t>
  </si>
  <si>
    <t>highland, disease resistant, very high yielding, top cross hybrid, medium maturity, released 2001</t>
  </si>
  <si>
    <r>
      <rPr>
        <sz val="12"/>
        <color theme="1"/>
        <rFont val="Times New Roman"/>
      </rPr>
      <t>KH600-25A - Highland Varieties</t>
    </r>
    <r>
      <rPr>
        <b/>
        <sz val="12"/>
        <color theme="1"/>
        <rFont val="Times New Roman"/>
      </rPr>
      <t xml:space="preserve"> </t>
    </r>
  </si>
  <si>
    <t>Top cross hybrid for altitude 1800-2500m, rainfall 1000-2000mm. White semi-flint grains, matures 140-165 days. Yield of 49-70 bags/acre. Resistant to Gray Leaf Spot, rust, blight. Released 2015.</t>
  </si>
  <si>
    <t>Suitable for highlands, High yield potential, Monitor disease resistance, Requires good rainfall and fertility, Best for high potential highlands</t>
  </si>
  <si>
    <t>highland, disease resistant, very high yielding, top cross hybrid, medium maturity, released 2015</t>
  </si>
  <si>
    <r>
      <rPr>
        <sz val="12"/>
        <color theme="1"/>
        <rFont val="Times New Roman"/>
      </rPr>
      <t>KH600-26A - Highland Varieties</t>
    </r>
    <r>
      <rPr>
        <b/>
        <sz val="12"/>
        <color theme="1"/>
        <rFont val="Times New Roman"/>
      </rPr>
      <t xml:space="preserve"> </t>
    </r>
  </si>
  <si>
    <t>Top cross hybrid for altitude 1800-2500m, rainfall 1000-2000mm. White semi-flint grains, matures 142-170 days. Yield of 51-70 bags/acre. Resistant to Gray Leaf Spot, rust, blight. Released 2015.</t>
  </si>
  <si>
    <t>Suitable for highlands, Very high yield, Monitor disease resistance, Requires optimal management, Seed availability limited</t>
  </si>
  <si>
    <t>highland, disease resistant, high yielding, top cross hybrid, medium-late maturity, released 2015</t>
  </si>
  <si>
    <r>
      <rPr>
        <sz val="12"/>
        <color theme="1"/>
        <rFont val="Times New Roman"/>
      </rPr>
      <t>KH600-27A - Highland Varieties</t>
    </r>
    <r>
      <rPr>
        <b/>
        <sz val="12"/>
        <color theme="1"/>
        <rFont val="Times New Roman"/>
      </rPr>
      <t xml:space="preserve"> </t>
    </r>
  </si>
  <si>
    <t>Top cross hybrid for altitude 1800-2500m, rainfall 1000-2000mm. White semi-flint grains, matures 145-175 days. Yield of 53-71 bags/acre. Resistant to Gray Leaf Spot, rust, blight. Released 2015.</t>
  </si>
  <si>
    <t>Suitable for highlands, Highest yield potential in series, Monitor disease resistance, Requires excellent management, Best for high potential areas</t>
  </si>
  <si>
    <t>highland, disease resistant, highest yielding, top cross hybrid, medium-late maturity, released 2015</t>
  </si>
  <si>
    <r>
      <rPr>
        <sz val="12"/>
        <color theme="1"/>
        <rFont val="Times New Roman"/>
      </rPr>
      <t>H614D - Highland Varieties</t>
    </r>
    <r>
      <rPr>
        <b/>
        <sz val="12"/>
        <color theme="1"/>
        <rFont val="Times New Roman"/>
      </rPr>
      <t xml:space="preserve"> </t>
    </r>
  </si>
  <si>
    <t>Top cross hybrid for altitude 1800-2500m, rainfall 1000-2000mm. White semi-flint grains, matures 145-175 days. Yield of 30-35 bags/acre. Drought tolerant, resistant to blight, rust and Gray Leaf Spot. Released 1986.</t>
  </si>
  <si>
    <t>Older variety, Lower yield than newer hybrids, Drought tolerance for highlands, Monitor disease resistance, Seed availability limited</t>
  </si>
  <si>
    <t>highland, drought tolerant, disease resistant, older variety, moderate yield, released 1986</t>
  </si>
  <si>
    <r>
      <rPr>
        <sz val="12"/>
        <color theme="1"/>
        <rFont val="Times New Roman"/>
      </rPr>
      <t>H626 - Highland Varieties</t>
    </r>
    <r>
      <rPr>
        <b/>
        <sz val="12"/>
        <color theme="1"/>
        <rFont val="Times New Roman"/>
      </rPr>
      <t xml:space="preserve"> </t>
    </r>
  </si>
  <si>
    <t>Double cross hybrid for altitude 1800-2500m, rainfall 1000-2000mm. White semi-flint grains, matures 160-180 days. Yield of 38-42 bags/acre. Strong stalks, resistant to rust and blight. Released 1989.</t>
  </si>
  <si>
    <t>Older variety, Late maturity, Strong stalks reduce lodging, Monitor disease resistance, Seed production by Kenya Seed Company</t>
  </si>
  <si>
    <t>highland, strong stalks, disease resistant, double cross hybrid, late maturity, released 1989</t>
  </si>
  <si>
    <r>
      <rPr>
        <sz val="12"/>
        <color theme="1"/>
        <rFont val="Times New Roman"/>
      </rPr>
      <t>H625 - Highland Varieties</t>
    </r>
    <r>
      <rPr>
        <b/>
        <sz val="12"/>
        <color theme="1"/>
        <rFont val="Times New Roman"/>
      </rPr>
      <t xml:space="preserve"> </t>
    </r>
  </si>
  <si>
    <t>Double cross hybrid for altitude 1800-2500m, rainfall 1000-2000mm. White semi-flint grains, matures 155-180 days. Yield of 37-40 bags/acre. Strong stalks, resistant to rust and blight. Released 1981.</t>
  </si>
  <si>
    <t>Older variety, Late maturity, Lower yield than newer hybrids, Monitor disease resistance, Seed availability limited</t>
  </si>
  <si>
    <t>highland, strong stalks, disease resistant, older variety, late maturity, released 1981</t>
  </si>
  <si>
    <r>
      <rPr>
        <sz val="12"/>
        <color theme="1"/>
        <rFont val="Times New Roman"/>
      </rPr>
      <t>H6213 - Highland Varieties</t>
    </r>
    <r>
      <rPr>
        <b/>
        <sz val="12"/>
        <color theme="1"/>
        <rFont val="Times New Roman"/>
      </rPr>
      <t xml:space="preserve"> </t>
    </r>
  </si>
  <si>
    <t>Double cross hybrid for altitude 1800-2500m, rainfall 1000-2000mm. White semi-flint grains, matures 160-180 days. Yield of 52-56 bags/acre. Resistant to Gray Leaf Spot, rust, blight. Released 2002.</t>
  </si>
  <si>
    <t>Suitable for highlands, High yield, Monitor disease resistance, Late maturity, Requires good rainfall and management</t>
  </si>
  <si>
    <t>highland, disease resistant, high yielding, double cross hybrid, late maturity, released 2002</t>
  </si>
  <si>
    <r>
      <rPr>
        <sz val="12"/>
        <color theme="1"/>
        <rFont val="Times New Roman"/>
      </rPr>
      <t>H6218 - Highland Varieties</t>
    </r>
    <r>
      <rPr>
        <b/>
        <sz val="12"/>
        <color theme="1"/>
        <rFont val="Times New Roman"/>
      </rPr>
      <t xml:space="preserve"> </t>
    </r>
  </si>
  <si>
    <t>Double cross hybrid for altitude 1800-2500m, rainfall 1000-2000mm. White semi-flint grains, matures 145-175 days. Yield of 56-71 bags/acre. Resistant to Gray Leaf Spot, rust, blight. Released 2004.</t>
  </si>
  <si>
    <t>Suitable for highlands, Very high yield, Monitor disease resistance, Requires excellent management, Seed availability limited</t>
  </si>
  <si>
    <t>highland, disease resistant, very high yielding, double cross hybrid, medium-late maturity, released 2004</t>
  </si>
  <si>
    <r>
      <rPr>
        <sz val="12"/>
        <color theme="1"/>
        <rFont val="Times New Roman"/>
      </rPr>
      <t>H6210 - Highland Varieties</t>
    </r>
    <r>
      <rPr>
        <b/>
        <sz val="12"/>
        <color theme="1"/>
        <rFont val="Times New Roman"/>
      </rPr>
      <t xml:space="preserve"> </t>
    </r>
  </si>
  <si>
    <t>Double cross hybrid for altitude 1800-2500m, rainfall 1000-2000mm. White semi-flint grains, matures 160-185 days. Yield of 50-53 bags/acre. Resistant to Gray Leaf Spot, rust, blight. Released 2004.</t>
  </si>
  <si>
    <t>Suitable for highlands, Longest maturity, Monitor disease resistance, Requires good rainfall, Best for high potential areas</t>
  </si>
  <si>
    <t>highland, disease resistant, high yielding, late maturity, double cross hybrid, released 2004</t>
  </si>
  <si>
    <r>
      <rPr>
        <sz val="12"/>
        <color theme="1"/>
        <rFont val="Times New Roman"/>
      </rPr>
      <t>H629 - Highland Varieties</t>
    </r>
    <r>
      <rPr>
        <b/>
        <sz val="12"/>
        <color theme="1"/>
        <rFont val="Times New Roman"/>
      </rPr>
      <t xml:space="preserve"> </t>
    </r>
  </si>
  <si>
    <t>Double cross hybrid for altitude 1800-2500m, rainfall 1000-2000mm. White semi-flint grains, matures 160-175 days. Yield of 48-52 bags/acre. Resistant to Gray Leaf Spot, rust, blight. Released 2000.</t>
  </si>
  <si>
    <t>Suitable for highlands, Moderate-high yield, Monitor disease resistance, Late maturity, Requires good management</t>
  </si>
  <si>
    <t>highland, disease resistant, moderate-high yielding, late maturity, double cross hybrid, released 2000</t>
  </si>
  <si>
    <r>
      <rPr>
        <sz val="12"/>
        <color theme="1"/>
        <rFont val="Times New Roman"/>
      </rPr>
      <t>H628 - Highland Varieties</t>
    </r>
    <r>
      <rPr>
        <b/>
        <sz val="12"/>
        <color theme="1"/>
        <rFont val="Times New Roman"/>
      </rPr>
      <t xml:space="preserve"> </t>
    </r>
  </si>
  <si>
    <t>Double cross hybrid for altitude 1800-2500m, rainfall 1000-2000mm. White semi-flint grains, matures 155-175 days. Yield of 46-50 bags/acre. Resistant to rust, blight and Gray Leaf Spot. Released 1999.</t>
  </si>
  <si>
    <t>Suitable for highlands, Moderate yield, Monitor disease resistance, Late maturity, Seed availability limited</t>
  </si>
  <si>
    <t>highland, disease resistant, moderate yield, late maturity, double cross hybrid, released 1999</t>
  </si>
  <si>
    <r>
      <rPr>
        <sz val="12"/>
        <color theme="1"/>
        <rFont val="Times New Roman"/>
      </rPr>
      <t>H624 - Highland Varieties</t>
    </r>
    <r>
      <rPr>
        <b/>
        <sz val="12"/>
        <color theme="1"/>
        <rFont val="Times New Roman"/>
      </rPr>
      <t xml:space="preserve"> </t>
    </r>
  </si>
  <si>
    <t>Double cross hybrid for altitude 1600-2300m, rainfall 1000-2000mm. White semi-flint grains, matures 135-150 days. Yield of 30-32 bags/acre. Early maturity, resistant to blight, rust and Gray Leaf Spot. Released 2004.</t>
  </si>
  <si>
    <t>Suitable for lower highlands, Early maturity, Lower yield, Monitor disease resistance, Good for areas with shorter growing season</t>
  </si>
  <si>
    <t>highland, early maturity, disease resistant, moderate yield, lower highlands, released 2004</t>
  </si>
  <si>
    <t>Improved farmer-saved-seed-system (Maize)</t>
  </si>
  <si>
    <t>Process of selecting quality seed from the farm before harvesting. Involves observation, selection and tagging of healthy, true-to-type plants in the middle of the farm. Selected plants harvested early, dried well, shelled, dried at 13% moisture content and stored in hermetic containers. Only practice on one variety for maximum three seasons.</t>
  </si>
  <si>
    <t>Only for OPV varieties - not hybrids, Max 3 seasons then buy fresh seed, Requires proper selection techniques, False selection leads to yield decline, Germination testing essential before planting</t>
  </si>
  <si>
    <t>farmer saved seed, seed selection, OPV seed, seed purity, germination testing, hermetic storage</t>
  </si>
  <si>
    <t>Quality Declared Seed system (Maize)</t>
  </si>
  <si>
    <t>Community based semi-commercial informal seed supply system. Selected farmers/farmer groups given basic seed from research stations or formal seed companies to multiply under agricultural staff and KEPHIS guidance. Only 10% of seed crop inspected once at critical stage. Simple standards on crop health and hygiene.</t>
  </si>
  <si>
    <t>Not yet authorized in Kenya, Requires policy amendment, Only 10% inspection may miss issues, Requires trained inspectors, Basic seed source must be traceable</t>
  </si>
  <si>
    <t>QDS, community seed, semi-commercial, KEPHIS inspection, basic seed, seed multiplication</t>
  </si>
  <si>
    <t>Maize formal seed system</t>
  </si>
  <si>
    <t>Process of producing seed starting from release of varieties, production of early generation seed, and certified seed up to farmer access through seed merchants. Main stakeholders include breeders, seed companies and retailers.</t>
  </si>
  <si>
    <t>Certified seed is more expensive, Availability varies by region, Requires timely purchase, Early generation seed availability limited, Weak public-private linkages affect supply</t>
  </si>
  <si>
    <t>formal seed system, certified seed, early generation seed, seed companies, seed merchants, variety release</t>
  </si>
  <si>
    <t>Food Safety Management System: HACCP Plan (Maize)</t>
  </si>
  <si>
    <t>System of food safety monitoring and control based on systematic identification and assessment of hazards through Hazard Analysis and Critical Control Points (HACCP) in maize value chain. Preventive tool protecting maize supply from biological, chemical and physical hazards.</t>
  </si>
  <si>
    <t>Requires expert team implementation, Demands rigorous documentation, Training costs may be high, Regular verification essential, Not well known among primary stakeholders</t>
  </si>
  <si>
    <t>HACCP, food safety, hazard analysis, critical control points, preventive system, maize value chain</t>
  </si>
  <si>
    <t>Good Agricultural Practices (GAPs) for Maize</t>
  </si>
  <si>
    <t>Systematic process of implementing a standardized production system designed to reassure consumers about food safety. Four pillars: economic viability, environmental sustainability, social acceptability, food safety and quality. Focus on pre-farm gate or on-farm standards.</t>
  </si>
  <si>
    <t>Requires continuous training, May increase production costs, Needs certification and audits, Record keeping essential, Perception as oppressive must be overcome</t>
  </si>
  <si>
    <t>GAPs, food safety, quality assurance, sustainability, traceability, certification</t>
  </si>
  <si>
    <t>Aflasafe KE01™</t>
  </si>
  <si>
    <t>Pre-harvest bio-control agent reducing aflatoxin contamination in maize by 80-99% at harvest and storage. Roasted sterile sorghum coated with four atoxigenic A. flavus types native to Kenya. Broadcast by hand 2-3 weeks before flowering at 10 kg/ha (4 kg/acre).</t>
  </si>
  <si>
    <t>Requires timing 2-3 weeks before flowering, Not all maize growing areas have tested, Cost (KES 201/kg) may be barrier, Requires proper storage of product, Not a substitute for good post-harvest practices</t>
  </si>
  <si>
    <t>aflasafe, aflatoxin control, biocontrol, pre-harvest, Aspergillus flavus, mycotoxin reduction</t>
  </si>
  <si>
    <t>Process of creating a fine seedbed for maize. Conventionally one tractor ploughing followed by one harrowing, or two ploughs with animal draft. Proper seedbed preparation controls weeds, pests and diseases and enhances O2 and CO2 circulation.</t>
  </si>
  <si>
    <t>High cost for small-scale farmers (KES 4,500/acre), Labour intensive, Requires appropriate implements, Improper preparation increases erosion, Timely preparation critical</t>
  </si>
  <si>
    <t>seedbed preparation, ploughing, harrowing, weed control, O2 circulation, CO2 circulation</t>
  </si>
  <si>
    <t>Maize variety selection</t>
  </si>
  <si>
    <t>Choosing appropriate/recommended maize variety for a given agro-ecological zone matching climatic conditions, soil type, tolerance/resistance to pests and diseases, and maturity period. Two types: open pollinated variety (OPV) and hybrid.</t>
  </si>
  <si>
    <t>Hybrid seed cannot be recycled, OPV lower yield than hybrids, Must match variety to specific zone, Incorrect selection leads to crop failure, Seed cost varies by variety</t>
  </si>
  <si>
    <t>variety selection, agro-ecological zone, OPV, hybrid, maturity period, disease resistance</t>
  </si>
  <si>
    <t>Planting Spacing (Maize)</t>
  </si>
  <si>
    <t>Distance within and between rows at which seeds are planted. One plant maintained per station. Recommended spacing: Highland 75x25cm (pure stand), 75x50cm (intercrop); Medium 75x30cm (pure stand), 75x60cm (intercrop); Dryland/coastal 90x30cm (pure stand), 90x60cm (intercrop).</t>
  </si>
  <si>
    <t>Incorrect spacing reduces yield, Labour intensive manual planting, Requires careful measurement, Overcrowding increases disease risk, Under-spacing wastes land</t>
  </si>
  <si>
    <t>plant spacing, row planting, plant population, pure stand, intercropping, optimal density</t>
  </si>
  <si>
    <t>Intercropping (Maize)</t>
  </si>
  <si>
    <t>Growing two or more crops in proximity and various combinations. Most common goal is producing greater yield on given piece of land by using resources/ecological processes not utilized by single crop. Allows different crops in terms of rooting, shapes, weed suppression, pest repulsion to co-exist.</t>
  </si>
  <si>
    <t>Requires compatible crop selection, May increase pest pressure, Nutrient competition possible, Requires additional management, Some combinations reduce maize yield</t>
  </si>
  <si>
    <t>intercropping, crop diversification, weed suppression, pest repulsion, resource utilization, multiple cropping</t>
  </si>
  <si>
    <t>Most common practice is hand weeding and use of herbicides. Hand weeding at least three weeks after emergence followed by second weeding three weeks later. Most critical stage for weed competition is first four to six weeks after emergence.</t>
  </si>
  <si>
    <t>Labour intensive (8 people/day/acre), Herbicides require safety training, Weed resistance to herbicides possible, Critical weeding window is narrow, Competing resources reduce yields</t>
  </si>
  <si>
    <t>weeding, hand weeding, herbicides, critical period, weed competition, crop protection</t>
  </si>
  <si>
    <t>Basal fertilizer application (Maize)</t>
  </si>
  <si>
    <t>Method of applying small quantity of fertilizer in hole meant for seed/seedling during planting. Recommended basic fertilizers: NPK and DAP or organic fertilizers. In acidic soils NPK recommended, in non-acidic soils DAP can be applied. Rate: 50kg/acre DAP or 100kg/acre NPK 23:23:0.</t>
  </si>
  <si>
    <t>High fertilizer cost (KES 6,900/acre), Requires soil testing for best results, Over-application pollutes environment, Mix with soil to prevent seed scorching, Inorganic vs organic choice important</t>
  </si>
  <si>
    <t>basal fertilizer, NPK, DAP, organic fertilizer, acidic soil, planting application</t>
  </si>
  <si>
    <t>Top-dressing fertilizer application (Maize)</t>
  </si>
  <si>
    <t>CAN fertilizer application when crop is 2-3 weeks after planting (about 45cm high, 8-10 leaf stage). Apply at 50 kg/acre in low rainfall areas, in two splits in high rainfall areas. Fertilizer applied around crop avoiding direct contact to protect from scorching.</t>
  </si>
  <si>
    <t>Timely application critical (2-3 weeks), Avoid direct contact with plants, Split application better in high rainfall, Cost may be barrier (KES 6,400/acre), Weeding should precede application</t>
  </si>
  <si>
    <t>top-dressing, CAN fertilizer, nitrogen application, 8-10 leaf stage, split application, crop nutrition</t>
  </si>
  <si>
    <t>Timely harvesting (Maize)</t>
  </si>
  <si>
    <t>Harvesting maize at physiological maturity. For dry grain: when most leaves dried, cob husks not green, stalks turn yellow/brown, cobs begin to droop, kernels show black layer between seed and attachment point, grains hard and not milky.</t>
  </si>
  <si>
    <t>Delayed harvesting causes losses, Requires weather monitoring, Manual harvesting labour intensive, Proper drying needed post-harvest, Storage pests attack if not dried</t>
  </si>
  <si>
    <t>physiological maturity, timely harvest, black layer, moisture content, post-harvest, grain quality</t>
  </si>
  <si>
    <t>Growing different crops in succession on same land to preserve productive capacity of soil. Avoid growing same crop for consecutive years. Principle: interchange tap root crops with fibrous root crops, leguminous with non-leguminous, avoid crops of same family following one another.</t>
  </si>
  <si>
    <t>Requires planning and crop selection, May reduce maize area in some seasons, Legumes needed for nitrogen replenishment, Pest cycle disruption takes time, Climate change affects rotation suitability</t>
  </si>
  <si>
    <t>crop rotation, soil fertility, nutrient cycling, leguminous crops, pest management, sustainable farming</t>
  </si>
  <si>
    <t>Integrated Soil Fertility Management (ISFM) (Maize)</t>
  </si>
  <si>
    <t>Set of soil fertility management practices including use of fertilizers, locally available organic inputs and improved seed combined to adapt practices to local conditions. Emphasizes using scarce resources efficiently through techniques like fertilizer banding and micro-dosing.</t>
  </si>
  <si>
    <t>High cost (KES 50,000-60,000/acre), Labour intensive, Requires knowledge of techniques, Not validated in all counties, Mixing organic and inorganic requires skill</t>
  </si>
  <si>
    <t>ISFM, fertilizer banding, micro-dosing, organic inputs, soil health, nutrient efficiency</t>
  </si>
  <si>
    <t>Integrated Manure Management (IMM) (Maize)</t>
  </si>
  <si>
    <t>Optimal, site-specific handling of livestock manure from collection, through treatment and storage up to application to crops. Enhances soil fertility and health, improves soil structure and biodiversity.</t>
  </si>
  <si>
    <t>Labour intensive, Requires proper storage facilities, Manure quality varies by source, Risk of pathogen contamination, Requires analysis for best results</t>
  </si>
  <si>
    <t>manure management, livestock manure, composting, nutrient recycling, soil structure, biodiversity</t>
  </si>
  <si>
    <t>Rapid soil testing services (Maize)</t>
  </si>
  <si>
    <t>Dry method for soil testing using electromagnetic radiation interaction with matter to characterize biochemical composition of soil and/or plant tissue. Does not require routine laboratory analysis using chemicals. Results generated instantly with accompanying recommendations.</t>
  </si>
  <si>
    <t>Requires scanner equipment, Needs validation with conventional methods, Farmers must trust recommendations, Requires trained personnel, Results not yet validated for all crops</t>
  </si>
  <si>
    <t>rapid soil testing, spectral analysis, electromagnetic radiation, instant results, fertilizer recommendation, soil characterization</t>
  </si>
  <si>
    <t>Low Cost Composting (Maize)</t>
  </si>
  <si>
    <t>Biological decomposition of organic waste by bacteria, fungi, worms and other organisms under controlled aerobic conditions resulting in accumulation of partially decayed organic matter (humus). Effective process for recycling organic wastes intended for agriculture.</t>
  </si>
  <si>
    <t>Requires proper technique, Takes time to mature, May attract pests if poor, Quality varies with materials, Labour intensive (KES 10,000/acre), Heavy metals may contaminate</t>
  </si>
  <si>
    <t>composting, organic waste, humus, biological decomposition, nutrient recycling, soil amendment</t>
  </si>
  <si>
    <t>Conservation Agriculture (Maize)</t>
  </si>
  <si>
    <t>Approach to farming where practices follow key principles targeting conservation of soil, soil moisture, and soil nutrients. Principles: minimal soil disturbance, permanent ground cover with mulch of carbon-rich organic matter, and crop rotation or sequences including trees and nitrogen-fixing legumes.</t>
  </si>
  <si>
    <t>Requires mindset change from conventional tillage, Initial costs for ripping and herbicides (KES 5,000/acre), Competition for crop residues with livestock/fuel, Land tenure insecurity limits investment, Continuous capacity building needed for adoption</t>
  </si>
  <si>
    <t>minimal soil disturbance, permanent ground cover, crop rotation, organic mulch, soil conservation, climate-smart</t>
  </si>
  <si>
    <t>Zai Pits (Maize)</t>
  </si>
  <si>
    <t>Small water harvesting planting pits measuring 15-30 cm width, 10-20 cm deep, spaced 60-80 cm. Harvests and stores water for prolonged crop use. Farmers plant seeds after filling pits with organic material such as manure, compost, or dry plant biomass.</t>
  </si>
  <si>
    <t>Labour intensive (KES 40-100 per pit), Requires large amounts of organic material, Limited to drought-prone areas (ASALs), Not suitable for large-scale mechanized farming, Requires training for proper construction</t>
  </si>
  <si>
    <t>water harvesting, planting pits, drought resilience, organic matter, ASALs, runoff capture</t>
  </si>
  <si>
    <t>Contour Bunds (Maize)</t>
  </si>
  <si>
    <t>Stone or earthen walls built across a slope to prevent runoff. Furrows parallel to contours ensure rainfall and runoff are spread evenly. Earthen bund formed by excavating a channel and creating a small ridge on the downhill side.</t>
  </si>
  <si>
    <t>Labour intensive (KES 6,600-8,000/acre), Improper layout increases erosion risk, Requires site-specific design, May reduce cultivable land area, Requires regular maintenance</t>
  </si>
  <si>
    <t>contour bunds, runoff control, soil conservation, water harvesting, erosion prevention, Fanya Chini</t>
  </si>
  <si>
    <t>Bench Terraces (Maize)</t>
  </si>
  <si>
    <t>Series of beds that are more or less level running across a slope at vertical intervals, supported by steep banks or risers. Enables cultivation of crops on medium to steep slopes (12-47%).</t>
  </si>
  <si>
    <t>Very labour intensive construction and maintenance, Requires soil depth &gt;50cm, Not recommended for slopes &lt;12%, High investment cost, Requires skilled design</t>
  </si>
  <si>
    <t>bench terraces, steep slopes, soil conservation, erosion control, water retention, land management</t>
  </si>
  <si>
    <t>Fanya Juu Terraces (Maize)</t>
  </si>
  <si>
    <t>Constructed by excavating soil and throwing it up-slope to make an embankment. The embankment forms a runoff barrier and the trench retains or collects runoff. Embankments stabilized with fodder grasses.</t>
  </si>
  <si>
    <t>Labour intensive, Improper layout increases erosion risk, Suitable for slopes &lt;20%, Requires regular maintenance, Land tenure issues may limit adoption</t>
  </si>
  <si>
    <t>Fanya Juu, runoff barrier, water harvesting, soil conservation, embankment, fodder grasses</t>
  </si>
  <si>
    <t>Grass Strips (Maize)</t>
  </si>
  <si>
    <t>Planting of grass in strips along contours or across slopes to reduce soil erosion. Grass strips slow runoff, trap sediment, and stabilize soil. Various grass species used including Vetiver, Napier, Guinea and Guatemala.</t>
  </si>
  <si>
    <t>May compete with crops for water/nutrients, Requires regular maintenance and trimming, Can become weeds if not managed, Reduces land area for cropping, Initial establishment labour required</t>
  </si>
  <si>
    <t>grass strips, erosion control, Vetiver grass, sediment trapping, contour planting, soil stabilization</t>
  </si>
  <si>
    <t>Stone Lines (Maize)</t>
  </si>
  <si>
    <t>Lines of stones placed along contours across slopes to reduce soil erosion. Stones trap runoff, slow water flow, and allow sediment deposition. Suitable for areas with abundant stones and low rainfall.</t>
  </si>
  <si>
    <t>Labour intensive (KES 25,000/ha), Requires abundant stones, Improper layout increases erosion risk, May harbour pests, Land tenure issues may limit investment</t>
  </si>
  <si>
    <t>stone lines, erosion control, water harvesting, sediment deposition, contour planting, dryland farming</t>
  </si>
  <si>
    <t>Tied Ridges (Maize)</t>
  </si>
  <si>
    <t>Ridges constructed across the slope with ties (small earth bunds) at intervals within the furrows. Traps water in the furrows allowing it to infiltrate into the soil. Suitable for areas with unpredictable rainfall.</t>
  </si>
  <si>
    <t>Labour intensive (KES 15,000/acre), Requires motorized equipment for efficiency, Poor management may cause waterlogging, Limited access to credit for equipment, Land tenure insecurity limits adoption</t>
  </si>
  <si>
    <t>tied ridges, water harvesting, runoff capture, infiltration, dryland farming, erosion control</t>
  </si>
  <si>
    <t>Retention Ditches (Maize)</t>
  </si>
  <si>
    <t>Ditches dug across the slope to trap runoff and allow water infiltration. Water is stored in the ditches for prolonged crop use. Soil from digging is thrown to the lower side to form an embankment.</t>
  </si>
  <si>
    <t>Labour intensive (KES 18,000/acre for 6 ditches), Improper design increases erosion risk, Requires regular maintenance, May harbour pests and disease vectors, Land tenure issues</t>
  </si>
  <si>
    <t>retention ditches, water harvesting, runoff capture, infiltration, soil conservation, dryland farming</t>
  </si>
  <si>
    <t>Mulching (Maize)</t>
  </si>
  <si>
    <t>Practice of covering the soil/ground with natural materials such as straw, grass, dead leaves and compost to make favourable conditions for plant growth. Benefits include moisture retention, weed suppression, soil cooling, and improved soil fertility.</t>
  </si>
  <si>
    <t>Labour intensive during initial application (KES 5,000/acre), Competing uses for crop residues, May harbour pests if contaminated, Requires additional nitrogen as mulch decomposes, May contain weed seeds</t>
  </si>
  <si>
    <t>mulching, moisture retention, weed suppression, organic matter, soil cooling, crop residues</t>
  </si>
  <si>
    <t>Growing of two or more crops in close proximity for biological interaction. Offers potential to increase yields, enhance soil fertility and biodiversity, control pests, and minimize effects of climate change.</t>
  </si>
  <si>
    <t>Requires compatible crop selection, May increase pest pressure, Nutrient competition possible, Requires additional management, Some combinations reduce maize yield, Requires site-specific validation</t>
  </si>
  <si>
    <t>intercropping, crop diversification, biological interaction, pest control, soil fertility, climate adaptation</t>
  </si>
  <si>
    <t>Furrow Irrigation Systems (Maize)</t>
  </si>
  <si>
    <t>Type of surface irrigation where trenches or "furrows" are dug between crop rows. Water is applied down the furrows using gravity, seeping vertically and horizontally to refill soil reservoir. Easy to design and operate.</t>
  </si>
  <si>
    <t>High cost (KES 50,000-100,000 for ¼ acre), Requires reliable water source, High temperatures cause salinity challenges, Poly tubing may collapse, Requires regular maintenance, Training needed for proper operation</t>
  </si>
  <si>
    <t>furrow irrigation, surface irrigation, gravity irrigation, water application, crop water management, ASALs</t>
  </si>
  <si>
    <t>Agroforestry for soil fertility (Maize)</t>
  </si>
  <si>
    <t>Intentional integration of trees and shrubs into crop and animal farming systems to create environmental, economic, and social benefits. Includes alley cropping (crops planted between rows of trees) and forest farming (food crops under forest canopy).</t>
  </si>
  <si>
    <t>Mindset change required among farmers, Limited species appropriate to different zones, Land tenure issues discourage investment, May compete with crops for resources, Requires training and demonstration, Shortage of tree seeds</t>
  </si>
  <si>
    <t>agroforestry, alley cropping, nutrient cycling, soil fertility, carbon sequestration, biodiversity</t>
  </si>
  <si>
    <t>Integrated management of Fall Army Worm (Maize)</t>
  </si>
  <si>
    <t>Integrating pest management strategies including cultural practices (scouting twice weekly, deep ploughing, clean field bunds, planting Napier grass, ridge and furrow planting), biological management (neem formulation, Bacillus thuringiensis, Metarhizium anisopliae, Beauveria bassiana), and chemical control.</t>
  </si>
  <si>
    <t>Yield losses up to 100% if not controlled, Requires weekly scouting and monitoring, Biopesticides availability limited and costly (KES 5,000/acre), Chemical resistance development possible, New pest - biology not fully understood</t>
  </si>
  <si>
    <t>Fall Armyworm, IPM, Spodoptera frugiperda, biological control, cultural practices, chemical control</t>
  </si>
  <si>
    <t>Integrated Management of Bollworm (Maize)</t>
  </si>
  <si>
    <t>Integrated management using cultural methods (clean seed, remove infested leaves, plough crop residues, crop rotation, weed control), biological control, and chemical control.</t>
  </si>
  <si>
    <t>Yield losses 20-40% if not controlled, Requires regular scouting and monitoring, Biological control options limited, Chemical costs (KES 1,000-2,000/acre), Resistance development possible</t>
  </si>
  <si>
    <t>Bollworm, Helicoverpa armigera, IPM, cultural control, biological control, chemical control</t>
  </si>
  <si>
    <t>Integrated Management of Stem Borer (Maize)</t>
  </si>
  <si>
    <t>Integrating pest management strategies including cultural control (tolerant varieties, intercropping with trap crops, push-pull technology, crop rotation), biological control (neem powder, Azadirachtin, Bacillus thuringiensis), and chemical control.</t>
  </si>
  <si>
    <t>Yield losses 30-50% if not controlled, Push-pull technology requires training, Biological control availability limited, Chemical costs (KES 1,000-2,000/acre), Requires validation in different zones</t>
  </si>
  <si>
    <t>Stem borer, Busseola fusca, push-pull, IPM, tolerant varieties, biological control</t>
  </si>
  <si>
    <t>Integrated management of Aphids (Maize)</t>
  </si>
  <si>
    <t>Integrated pest management using cultural (destroy crop residue, yellow traps, scouting, weed-free environment, soapy solution, predators), biological (Azadirachtin, biopesticides), and chemical control (Deltamethrin, Lambda-cyhalothrin).</t>
  </si>
  <si>
    <t>Yield losses 30-50% if not controlled, Aphids transmit viral diseases, Chemical costs (KES 1,000-2,000/acre), Soapy solutions require correct concentration, Biopesticide availability limited</t>
  </si>
  <si>
    <t>Aphids, Rhopalosiphum maidis, IPM, virus vectors, biological control, yellow traps</t>
  </si>
  <si>
    <t>Integrated Pest Management of African Army worm (Maize)</t>
  </si>
  <si>
    <t>Integrated management through cultural practices (regular monitoring, removing weeds), biological control (neem formulation, botanicals, Bacillus thuringiensis, Metarhizium anisopliae, Beauveria bassiana), and chemical management.</t>
  </si>
  <si>
    <t>Yield losses up to 100% if not controlled, Requires regular monitoring, Biopesticides availability limited, Chemical costs (KES 5,000/acre), Early detection critical for control</t>
  </si>
  <si>
    <t>African Armyworm, IPM, cultural control, biological control, chemical control, Spodoptera exempta</t>
  </si>
  <si>
    <t>Integrated management of soil pest (Cut worms, Agrotis spp) (Maize)</t>
  </si>
  <si>
    <t>Integrated pest management using cultural practices (deep ploughing, remove weeds, solarize soil, use agri-net, intercrop with garlic/peppermint/coriander, spread ashes), biological control, and chemical control.</t>
  </si>
  <si>
    <t>Yield losses 20-30% if not controlled, Deep ploughing required 2 weeks before planting, Ashes effective but need large quantities, Chemical costs (KES 1,000-1,200/acre), Requires validation of biological options</t>
  </si>
  <si>
    <t>Cutworms, Agrotis spp, soil pests, IPM, cultural control, biological control</t>
  </si>
  <si>
    <t>Integrated Management of Maize Weevil (Maize)</t>
  </si>
  <si>
    <t>Integrated pest management using cultural practices (sort cobs, cover with plastic, store cobs with husks, use pheromone traps, harvest early, dry properly), repellent neem powder, and chemical control (dust with Actellic, Skana super, Spintor dust).</t>
  </si>
  <si>
    <t>Yield losses 30-80% if not controlled, Requires proper drying to 13% moisture, Chemical costs (KES 1,500-2,500/acre), Pheromone traps need regular monitoring, Combine with hermetic storage for best results</t>
  </si>
  <si>
    <t>Maize weevil, Sitophilus zeamais, IPM, post-harvest, Actellic dust, hermetic storage</t>
  </si>
  <si>
    <t>Integrated Management of Larger Grain Borer (LGB) (Maize)</t>
  </si>
  <si>
    <t>Integrated pest management for larger grain borer in stored maize using cultural practices and chemical control.</t>
  </si>
  <si>
    <t>Can cause up to 100% storage losses, Requires proper drying to 13% moisture, Chemical costs (KES 1,500-2,500/acre), Replace LGB-infested timber in cribs, Combine with hermetic storage for best control</t>
  </si>
  <si>
    <t>Larger Grain Borer, Prostephanus truncatus, post-harvest, IPM, chemical control, hermetic storage</t>
  </si>
  <si>
    <t>Integrated management of thrips (Frankliniella spp.) (Maize)</t>
  </si>
  <si>
    <t>Integrated management using cultural practices (scouting twice weekly, remove crop residues, crop rotation, weed control, intercropping with onion/garlic, yellow sticky traps), biological control (Azadirachtin, Beauveria bassiana), and chemical control.</t>
  </si>
  <si>
    <t>Yield losses 30-60% if not controlled, Requires weekly scouting, Chemical costs (KES 1,000-2,000/acre), Yellow sticky traps need regular replacement, Intercropping requires additional management</t>
  </si>
  <si>
    <t>Thrips, Frankliniella, IPM, yellow sticky traps, biological control, cultural control</t>
  </si>
  <si>
    <t>Integrated Management of Maize Lethal Necrosis disease (MLND) (Maize)</t>
  </si>
  <si>
    <t>Integrated disease management including cultural practices (regular scouting, certified seed, monitor insect vectors, avoid working in wet fields, uproot weeds, crop rotation, intercropping with chives/garlic, early planting), biological control (biopesticides), and chemical control (Imidacloprid, Lambda-cyhalothrin).</t>
  </si>
  <si>
    <t>Yield losses 30-100% if not controlled, Strict quarantine measures required, Certified seed essential - do not recycle seed, Crop rotation with non-cereals for 2 seasons, Chemical costs (KES 2,000-3,000/acre), Destroy infected plants by burning/burying</t>
  </si>
  <si>
    <t>MLND, virus disease, vector control, certified seed, crop rotation, quarantine</t>
  </si>
  <si>
    <t>Integrated management of Maize Common Rust (Maize)</t>
  </si>
  <si>
    <t>Integrated disease management using cultural practices (tolerant varieties, destroy volunteer plants, proper spacing, weed control, balanced fertilizer), biological control, and chemical control (fungicides with low PHI).</t>
  </si>
  <si>
    <t>Yield losses 30-70% if not controlled, Requires early detection, Chemical costs (KES 1,500-2,000/acre), Tolerant varieties preferred over susceptible, Proper spacing reduces disease spread</t>
  </si>
  <si>
    <t>Common Rust, Puccinia sorghi, disease management, tolerant varieties, fungicide, cultural control</t>
  </si>
  <si>
    <t>Integrated management of Maize Common Smut disease (Maize)</t>
  </si>
  <si>
    <t>Integrated disease management using cultural practices (plant at onset of rains, tolerant varieties, clean seed, avoid feeding livestock infected residues, rogue infected plants, burn heads, crop rotation), chemical control (seed dressing with carboxin+Thiram, Copper Oxychloride).</t>
  </si>
  <si>
    <t>Yield losses up to 50% if not controlled, Seed-borne disease - use certified seed, Destroy infected plants before galls rupture, Do not feed infected maize to livestock, Chemical costs (KES 1,500-2,000/acre)</t>
  </si>
  <si>
    <t>Common Smut, Ustilago maydis, seed-borne disease, cultural control, chemical control, tolerant varieties</t>
  </si>
  <si>
    <t>Integrated management of Maize Head Smut disease (Maize)</t>
  </si>
  <si>
    <t>Integrated disease management using cultural practices (tolerant varieties, avoid planting in areas with disease history, deep plough, crop rotation with non-graminea crops, treated certified seeds), chemical control (seed dressing with carboxin+Thiram, Copper Oxychloride).</t>
  </si>
  <si>
    <t>Yield losses up to 80% if not controlled, Seed-borne disease - use certified seed, Deep plough to bury surviving spores, Crop rotation with non-graminea crops, Chemical costs (KES 1,000-2,000/acre)</t>
  </si>
  <si>
    <t>Head Smut, seed-borne disease, cultural control, chemical control, tolerant varieties, crop rotation</t>
  </si>
  <si>
    <t>Integrated Management of Downy mildew (Maize)</t>
  </si>
  <si>
    <t>Integrated disease management using cultural practices (regular scouting, field hygiene, proper spacing, remove diseased plants, weed control, crop rotation with non-brassica crops, disease-free seeds, baking soda solution), biological control (Biodewcon), and chemical control.</t>
  </si>
  <si>
    <t>Yield losses 30-70% if not controlled, Proper spacing reduces microclimate for disease, Chemical costs (KES 1,000-1,500/acre), Baking soda solution for early stages only, Requires validation of biological control</t>
  </si>
  <si>
    <t>Downy mildew, Perenosclerospora, disease management, cultural control, chemical control, biological control</t>
  </si>
  <si>
    <t>Integrated Management of Gray leaf spot (Maize)</t>
  </si>
  <si>
    <t>Integrated disease management using cultural practices (clean certified seed, scouting, tolerant varieties, remove infected plants, weed control, avoid overhead irrigation, crop rotation, recommended fertilizers), and chemical control (fungicides with low PHI).</t>
  </si>
  <si>
    <t>Yield losses up to 70% if not controlled, Tolerant varieties essential (PAN 99, PAN5243, H614), Avoid overhead irrigation to reduce spread, Chemical costs (KES 1,000-1,500/acre), Crop rotation for at least 2 years</t>
  </si>
  <si>
    <t>Gray Leaf Spot, Cercospora, disease management, tolerant varieties, cultural control, chemical control</t>
  </si>
  <si>
    <t>Integrated Management of Maize Streak Virus (Maize)</t>
  </si>
  <si>
    <t>Integrated disease management using cultural practices (scout for vectors, tolerant varieties, early planting, crop rotation, weed-free field, uproot infected plants, control leafhoppers, rotate with potatoes/cabbages/beans), biological control (Nimbecidine, Achook, Neemroc), and chemical control (Alpha-cypermethrin).</t>
  </si>
  <si>
    <t>Yield losses up to 100% if not controlled, Tolerant varieties essential (Pan 5195, PH4, FS650), Control leafhopper vectors, Chemical costs (KES 1,500-2,000/acre), Keep field weed-free</t>
  </si>
  <si>
    <t>Maize Streak Virus, MSV, vector control, tolerant varieties, leafhopper, chemical control</t>
  </si>
  <si>
    <t>Integrated Management of Aspergillus Ear rot (Maize)</t>
  </si>
  <si>
    <t>Integrated disease management using cultural practices (certified non-infected seeds, early planting, nitrogen fertilizer, early harvest, destroy crop residues, crop rotation), biological control (Nimbecidine, Achook, Neemroc), and chemical control.</t>
  </si>
  <si>
    <t>Yield losses 30-70% if not controlled, Produces aflatoxin - serious health risk, Dry grain to below 13% moisture, Early planting to escape drought stress, Chemical costs (KES 1,000-2,000/acre)</t>
  </si>
  <si>
    <t>Aspergillus ear rot, aflatoxin, mycotoxin, food safety, cultural control, crop rotation</t>
  </si>
  <si>
    <t>Integrated Management of Fusarium Ear Rot (Maize)</t>
  </si>
  <si>
    <t>Integrated disease management using cultural practices (scouting, certified non-infected seeds, early planting, nitrogen fertilizer, dry grain to below 13% moisture, early harvest, destroy crop residues, crop rotation), biological control (biopesticides, neem, Bacillus thuringiensis), and chemical control (Thiram fungicide seed dressing).</t>
  </si>
  <si>
    <t>Yield losses 20-70% if not controlled, Produces fumonisin - health risk, Dry grain to below 13% moisture, Control stalk borers as they carry fungus, Chemical costs (KES 1,000-2,000/acre)</t>
  </si>
  <si>
    <t>Fusarium ear rot, fumonisin, mycotoxin, food safety, seed dressing, crop rotation</t>
  </si>
  <si>
    <t>Scouting for Pests in Maize (Maize)</t>
  </si>
  <si>
    <t>Regular field inspections and monitoring to detect presence of different types of pests and diseases and their severities to make decisions on appropriate control measures. Carry out in morning (6am-10am), walk in defined pattern (Z, V, W or zigzag), turn leaves over, look for symptoms, scout weekly.</t>
  </si>
  <si>
    <t>Requires weekly commitment, Early morning (6-10am) best time, Check underside of leaves where pests hide, Small farms check every plant, Record keeping essential for monitoring, Reduces pesticide costs through early detection</t>
  </si>
  <si>
    <t>scouting, monitoring, IPM, early detection, pest surveillance, field inspection</t>
  </si>
  <si>
    <t>Maize Integrated Weed Management</t>
  </si>
  <si>
    <t>Management of weeds using two or more appropriate approaches such as preventive, land preparation, use of mulch (biodegradable or synthetic), cultural, rotation, intercropping and chemical methods depending on weed types and intensity.</t>
  </si>
  <si>
    <t>Requires knowledge of multiple methods, Weeds cause up to 80% yield loss, Continuous herbicide use environmental hazard, Labour costs (KES 5,000/acre), Follow label instructions strictly, Integration more effective than single method</t>
  </si>
  <si>
    <t>IWM, integrated weed management, cultural control, chemical control, mechanical control, biological control</t>
  </si>
  <si>
    <t>Integrated Management of Striga weed (Maize)</t>
  </si>
  <si>
    <t>Integrated management of Striga weed using preventive methods (planting weed-free seed, quarantine, field hygiene), cultural methods (hand pulling, crop rotation, intercropping with legumes, use of resistant varieties), biological methods (allelopathic plants like Desmodium, use of goats), and chemical methods (herbicides).</t>
  </si>
  <si>
    <t>Striga causes up to 100% yield loss, Control is difficult once established, Requires resistant varieties where available, Push-pull method effective but knowledge intensive, Herbicide-resistant maize option available, Up to 30 days weeding saved</t>
  </si>
  <si>
    <t>Striga, witchweed, parasitic weed, push-pull, resistant varieties, integrated control</t>
  </si>
  <si>
    <t>Cover cropping for maize weed management</t>
  </si>
  <si>
    <t>Growing of specific selected crops to produce biomass/canopy to cover soil. Cover acts as physical barrier cutting off light to stop germinating weed seeds. Large amounts of biomass suppress weeds in subsequent season.</t>
  </si>
  <si>
    <t>Requires proper species selection, May compete with maize if not managed, Requires additional land/seed investment, Biomass must be killed before planting, Requires validation for specific areas</t>
  </si>
  <si>
    <t>cover cropping, weed suppression, biomass production, soil conservation, green manure, crop rotation</t>
  </si>
  <si>
    <t>Mulching for weed management in Maize</t>
  </si>
  <si>
    <t>Practice of covering the soil/ground with natural or synthetic materials to control germination of weed seeds. Organic mulches (2-4 inches deep) prevent weed germination. Synthetic mulches solarize soils, suppress weed growth, prevent seed germination and retain moisture.</t>
  </si>
  <si>
    <t>Organic mulches may contain weed seeds, Competing uses for crop residues, Black polythene requires disposal, Small tears allow weed emergence, Cost of synthetic mulch may be high</t>
  </si>
  <si>
    <t>mulching, weed suppression, organic mulch, synthetic mulch, moisture retention, soil solarization</t>
  </si>
  <si>
    <t>Herbicide/Chemical Weed Control in maize</t>
  </si>
  <si>
    <t>Technology used to control germination and growth of weed species through application of chemicals/herbicides to weeds or soil. Includes pre-emergent herbicides (applied to moist soil before crop and weed emerge) and post-emergent herbicides (applied on germinated weeds).</t>
  </si>
  <si>
    <t>Requires protective gear during application, Fix hood on nozzle to protect maize from drift, Follow PCPB registered products only, Use correct dosage, Risk of herbicide resistance, Costs (KES 3,000-3,500/acre)</t>
  </si>
  <si>
    <t>chemical weed control, pre-emergent, post-emergent, glyphosate, 2,4-D, herbicide resistance</t>
  </si>
  <si>
    <t>Herbicide Resistant Maize</t>
  </si>
  <si>
    <t>Technology using specific maize varieties bred with resistance to certain class of herbicides (Imidazolinones). IR-maize seed is coated with herbicide and availed to farmers ready for planting. Used to control parasitic weeds such as Striga hermonthica.</t>
  </si>
  <si>
    <t>Requires stewardship program adherence, Seed storage affects effectiveness, Only for Striga control - not all weeds, Requires validation for different areas, Environmental and safety concerns with herbicides</t>
  </si>
  <si>
    <t>IR-maize, imidazolinone, Striga control, herbicide resistance, seed coating, parasitic weed</t>
  </si>
  <si>
    <t>Solarisation Bed for Weed Control in maize</t>
  </si>
  <si>
    <t>Method where transparent/clear polythene films/plastic is used to heat the soil and kill weed seedlings and dormant seeds in the top six inches of soil. Increases soil temperatures by about 10°C or more than atmospheric.</t>
  </si>
  <si>
    <t>Requires 40 days of solarization, Transparent polythene essential, Not cost-effective for large areas, Polythene disposal environmental concern, Effectiveness varies by weed species, Requires validation</t>
  </si>
  <si>
    <t>solarization, soil heating, weed seed kill, polythene mulch, organic weed control, soil sterilization</t>
  </si>
  <si>
    <t>Stale seed bed for Weed Control (Maize)</t>
  </si>
  <si>
    <t>Weed management technology where weed seeds just below soil surface are stimulated to germinate after rainfall or wetting and then killed prior to planting. Weeds killed using post-emergent herbicides or ploughed into the soil.</t>
  </si>
  <si>
    <t>Requires timing with rainfall, Herbicide costs (KES 3,000/acre), Multiple flushes may be needed, Not effective for all weed species, Requires validation</t>
  </si>
  <si>
    <t>stale seedbed, false seedbed, weed germination, pre-planting weed control, glyphosate, paraquat</t>
  </si>
  <si>
    <t>Mechanical weed control in maize</t>
  </si>
  <si>
    <t>Weed management technique through physical removal using tools such as pangas and jembes. Land preparation done manually using hoes or implements such as sub-soilers. Sowing done in rows to facilitate inter-row weeding.</t>
  </si>
  <si>
    <t>Labour intensive (KES 11,000/acre), May damage crop roots if not careful, Requires timely weeding (2-3 weeks after emergence), Hand-held weeders may be expensive, Weather-dependent for effectiveness</t>
  </si>
  <si>
    <t>mechanical weeding, hand weeding, jembe, sub-soiler, row planting, inter-row weeding</t>
  </si>
  <si>
    <t>Crop Rotation to control weeds in maize</t>
  </si>
  <si>
    <t>Growing of different crops in succession on a piece of land to avoid exhausting the soil and to control weeds, pests, and diseases. Maize is a heavy feeder and should follow legumes. Rotation adds diversity and provides foundation of long term weed management.</t>
  </si>
  <si>
    <t>Requires planning and crop selection, May reduce maize area in some seasons, Rotation schedules not readily available, Requires land ownership/control, Weed seed bank reduction takes time</t>
  </si>
  <si>
    <t>crop rotation, weed seed bank, soil fertility, legumes, sustainable farming, pest management</t>
  </si>
  <si>
    <t>Safe Use of herbicides (Maize)</t>
  </si>
  <si>
    <t>Management practice that includes methodologies for proper herbicide handling, application, and disposal of leftovers and containers in a safe way to minimize pollution and contamination. Includes capacity building of farmers, formation of spray teams, proper transportation, storage, mixing procedures and application.</t>
  </si>
  <si>
    <t>Protective clothing required (KES 5,000), Use PCPB registered products only, Follow label instructions strictly, Avoid spraying against wind, Dispose empty containers safely, Unauthorized herbicides smuggled from neighboring countries</t>
  </si>
  <si>
    <t>safe herbicide use, protective gear, PCPB, spray teams, chemical disposal, label instructions</t>
  </si>
  <si>
    <t>Maturity Indices (Maize)</t>
  </si>
  <si>
    <t>Management practice involving careful maturity indices for maize. Green maize ready when silky flowering at top turns black. Dry maize should be harvested at physiological maturity: most leaves dried, cob husks not green, stalks turn yellow/brown, cobs droop, kernels show black layer, grains hard and not milky.</t>
  </si>
  <si>
    <t>Requires careful observation of multiple indicators, Delayed harvesting increases post-harvest losses, Early harvesting reduces yields, Black layer method most reliable, Wet weather at maturity encourages rotting</t>
  </si>
  <si>
    <t>maturity indices, physiological maturity, black layer, harvest timing, grain quality, post-harvest</t>
  </si>
  <si>
    <t>Stooking of maize during harvesting</t>
  </si>
  <si>
    <t>Process of leaning maize stalks against each other into a tee-pee-like structure. Allows sun and air to dry maize cobs to help make peeling away husks easier. After stooking for a few days or weeks, farmers snap individual cobs from stalks and remove husks.</t>
  </si>
  <si>
    <t>Labour intensive, Requires dry weather for effective drying, Stooks may attract pests, Prolonged stooking increases aflatoxin risk, Protects cobs from ground moisture</t>
  </si>
  <si>
    <t>stooking, field drying, post-harvest, moisture reduction, husk removal, crop protection</t>
  </si>
  <si>
    <t>Drying of maize cobs – the maize Crib</t>
  </si>
  <si>
    <t>Well-ventilated store for temporary holding maize cobs till they are dry enough for threshing. Long and narrow with wooden slats or chicken wire sides for ventilation, roof protects against rain. Legs 1m above ground with rodent guards. Built across prevailing wind.</t>
  </si>
  <si>
    <t>Construction cost significant, Requires regular cleaning before each harvest, Replace LGB-infested timber, Width varies by humidity (0.6m to 1.5m), Rodent guards essential, Requires adequate ventilation</t>
  </si>
  <si>
    <t>maize crib, cob drying, ventilation, rodent protection, post-harvest, aflatoxin prevention</t>
  </si>
  <si>
    <t>Drying of maize cobs – tarpaulins</t>
  </si>
  <si>
    <t>Large plastic sheet or canvas laid out in the sun for drying maize on cobs before threshing. Place on flattened mound of hard-packed earth or level ground with shallow trench for drainage. Cobs placed in single layer and turned at intervals. Protected from rain and night dew.</t>
  </si>
  <si>
    <t>Never dry on bare soil - use tarpaulins (KES 5,000), Turn cobs regularly for even drying, Protect from rain and night dew, Keep away from farm animals, Clean area before drying, Target 13% moisture</t>
  </si>
  <si>
    <t>tarpaulin drying, sun drying, cob drying, post-harvest, moisture reduction, contamination prevention</t>
  </si>
  <si>
    <t>Threshing / shelling of maize</t>
  </si>
  <si>
    <t>Motorised grain threshing machine for separating grain from cobs. Maize cobs fed into inlet, threshed into grains discharged from one outlet - trash removed in separate outlet. Hand shellers have output of 7-12 kg/hour. Motorised shellers have outputs of 50-130 kg/hour.</t>
  </si>
  <si>
    <t>Best at 14-15% moisture content, Hand shelling slow and tedious (7-12 kg/hour), Motorised shellers cost KES 160,000, Requires skilled operators, Damage increases storage pest risk, Select/sort cobs before shelling</t>
  </si>
  <si>
    <t>threshing, shelling, hand sheller, motorised sheller, post-harvest, grain quality</t>
  </si>
  <si>
    <t>Drying of grains after threshing</t>
  </si>
  <si>
    <t>Drying of maize kernels after shelling using sun drying (on tarpaulins or concrete slabs), solar wrap drying, greenhouse solar dryers, electric dryers, or DehyTrays. Grain should be dried to 13% moisture content for safe storage.</t>
  </si>
  <si>
    <t>Never dry on bare soil, Grain layer no deeper than ankle bone, Turn grain several times daily, Protect from rain and night dew, Concrete slab heats up quickly, Electric dryers expensive but efficient (KES 10,000 for DehyTray)</t>
  </si>
  <si>
    <t>grain drying, sun drying, solar drying, greenhouse dryer, moisture content, aflatoxin prevention</t>
  </si>
  <si>
    <t>Hygrometer for maize moisture determination</t>
  </si>
  <si>
    <t>Small portable digital hygrometer for checking relative humidity of maize. Uses relative humidity and temperature of air environment in equilibrium with grain to determine moisture content. Device and grain put in airtight container, reading after 10-15 minutes. If RH is less than 65%, grain is dry.</t>
  </si>
  <si>
    <t>Low cost (approx. KES 360), Requires airtight container, Wait 10-15 minutes for accurate reading, If RH &gt;65%, continue drying, Calibration needed for accuracy, Not as precise as moisture meter</t>
  </si>
  <si>
    <t>hygrometer, relative humidity, moisture content, grain drying, post-harvest, low-cost testing</t>
  </si>
  <si>
    <t>Subjective methods for moisture content determination</t>
  </si>
  <si>
    <t>Methods for estimating moisture content including biting grain or pinching with fingers (experienced farmers test by biting - if hard and doesn't break easily, it's dry enough), and salt method (dry salt and grain in glass bottle - if salt sticks to bottle after 15 minutes, moisture above 15%).</t>
  </si>
  <si>
    <t>Only indicates above/below 15%, Requires experience for accuracy, Salt must be thoroughly dried before use, Salt method only for experienced users, Not as reliable as moisture meter</t>
  </si>
  <si>
    <t>biting method, salt method, moisture content, traditional testing, grain hardness, post-harvest</t>
  </si>
  <si>
    <t>Winnowing (Maize)</t>
  </si>
  <si>
    <t>Process of removing premature grains, chaff, dust, foreign matter such as stones, shrivelled, mouldy, insect damaged grain. Done manually using winnowing tray or using motorised threshing and winnowing machines. Improves grain quality.</t>
  </si>
  <si>
    <t>Manual winnowing labour intensive, Motorised machines cost significant, Clean grain fetches better prices, Requires proper technique for effectiveness, Remove damaged grains by hand picking</t>
  </si>
  <si>
    <t>winnowing, grain cleaning, chaff removal, quality improvement, post-harvest, value addition</t>
  </si>
  <si>
    <t>Hermetic Storage Bags (Maize)</t>
  </si>
  <si>
    <t>Airtight and moisture proof bags that prevent air and water from getting into cereals. Eliminate pests by depleting oxygen. Consist of one or two-layer envelope made of 80 µm thick high density polyethylene liners inserted in outer woven polypropylene sack. Grain can keep over one year.</t>
  </si>
  <si>
    <t>Cost KES 300 per bag, Rodents can damage bags, Grain must be properly dried (13% moisture), Seal properly for effectiveness, Store on pallets off ground, Combine with rodent control measures</t>
  </si>
  <si>
    <t>hermetic bags, PICS bags, Agro-Z, grain storage, oxygen depletion, pest control</t>
  </si>
  <si>
    <t>Metal silos (Maize)</t>
  </si>
  <si>
    <t>Cylindrical structure constructed from galvanized iron sheet (gauge No. 26 or 0.5 mm thickness) and hermetically sealed. Protect stored grains from rodents, birds and moisture. Capacity ranges from 1, 8, 12 and 1,000 bags. Reusable for multiple crops.</t>
  </si>
  <si>
    <t>Cost: KES 3,000 (1 bag) to KES 24,000 (12 bags), Requires trained artisans for fabrication, Grain must be properly dried (13% moisture), Hermetic seal essential, Rodent-proof if properly constructed, Reusable for multiple seasons</t>
  </si>
  <si>
    <t>metal silos, grain storage, hermetic storage, rodent protection, post-harvest, reusable storage</t>
  </si>
  <si>
    <t>Maize stores</t>
  </si>
  <si>
    <t>Storage structure for storage of bagged grains ensuring bags are not attacked by rodents. Bags placed on pallets, not directly on floor. Can stay for at least 8 months while still in good condition. Maintains quality of grain.</t>
  </si>
  <si>
    <t>Requires proper construction, Pallets essential to keep bags off floor, Regular inspection for pests/rodents, Maintain good ventilation, Practice FIFO (First In First Out), Clean store before each harvest</t>
  </si>
  <si>
    <t>maize stores, grain storage, pallets, rodent control, FIFO, post-harvest</t>
  </si>
  <si>
    <t>Corn starch (Maize)</t>
  </si>
  <si>
    <t>Starch processed from corn grain obtained from the endosperm of the kernel. Common food ingredient used to thicken sauces or soups, and to make corn syrup.</t>
  </si>
  <si>
    <t>Requires specialized processing equipment, Quality standards need development, Limited awareness among farmers, Gluten-free alternative for consumers, Requires validation for commercial viability</t>
  </si>
  <si>
    <t>corn starch, value addition, food ingredient, thickening agent, endosperm, processing</t>
  </si>
  <si>
    <t>Tortillas (Maize)</t>
  </si>
  <si>
    <t>Thin, flat pancake made from maize flour, eaten hot or cold with savoury filling. Made through nixtamalization process which reduces aflatoxin levels by 30-70%, improves calcium and niacin availability.</t>
  </si>
  <si>
    <t>Requires nixtamalization process, Quality standards need development, Limited awareness among consumers, Requires investment in processing equipment, Market development needed</t>
  </si>
  <si>
    <t>tortillas, nixtamalization, aflatoxin reduction, value addition, calcium enrichment, niacin availability</t>
  </si>
  <si>
    <t>Ogi (Maize)</t>
  </si>
  <si>
    <t>Fermented cereal pudding made from maize. Commonly served for breakfast and dinner, often with thinner gravy-like consistency.</t>
  </si>
  <si>
    <t>Requires fermentation process, Quality standards need development, Limited awareness among Kenyans, Requires appropriate packaging, Market development needed</t>
  </si>
  <si>
    <t>ogi, fermented cereal, pudding, value addition, breakfast food, traditional food</t>
  </si>
  <si>
    <t>Popcorn (Maize)</t>
  </si>
  <si>
    <t>Maize variety with hard kernels that swell up and burst open when heated. Commonly served as a snack.</t>
  </si>
  <si>
    <t>Requires specific popcorn varieties, Quality standards need development, Limited awareness among farmers, Requires proper storage to maintain popping ability, Market development needed</t>
  </si>
  <si>
    <t>popcorn, snack, specialty maize, value addition, hard kernels, popping</t>
  </si>
  <si>
    <t>Maize beer (Maize)</t>
  </si>
  <si>
    <t>Alcoholic drink made from yeast-fermented malt flavoured with hops from maize.</t>
  </si>
  <si>
    <t>Requires brewing expertise, Quality standards need development (KEBS), Competition from established beverages, Social-cultural factors may limit adoption, Requires investment in equipment</t>
  </si>
  <si>
    <t>maize beer, alcoholic beverage, fermentation, value addition, brewing, malt</t>
  </si>
  <si>
    <t>Maize oil (Maize)</t>
  </si>
  <si>
    <t>Oil obtained from the germ of maize, used in cooking and salad dressings.</t>
  </si>
  <si>
    <t>Requires oil extraction equipment, Quality standards need development, Limited awareness among farmers, Requires significant investment, Competition from established oils</t>
  </si>
  <si>
    <t>maize oil, germ oil, cooking oil, value addition, extraction, food processing</t>
  </si>
  <si>
    <t>Maize candy (Maize)</t>
  </si>
  <si>
    <t>Molded candies resembling corn kernels in shape with yellow bases, orange middle sections, and white tips. Consumed as snack.</t>
  </si>
  <si>
    <t>Requires candy-making expertise, Quality standards need development, Limited awareness, Competition from established candies, Requires investment in equipment</t>
  </si>
  <si>
    <t>maize candy, confectionery, value addition, snack food, candy making, processing</t>
  </si>
  <si>
    <t>Corn sauce (Maize)</t>
  </si>
  <si>
    <t>Fermented corn sauce produced by fermentation using corn starch as primary substrate.</t>
  </si>
  <si>
    <t>Requires fermentation process, Quality standards need development, Limited awareness, Requires appropriate packaging, Market development needed</t>
  </si>
  <si>
    <t>corn sauce, fermented sauce, value addition, condiment, fermentation, food processing</t>
  </si>
  <si>
    <t>Corn Syrup (Maize)</t>
  </si>
  <si>
    <t>Fermented cereal pudding made from maize. Used to soften texture, add flavour, prevent crystallization of sugar and enhance flavour.</t>
  </si>
  <si>
    <t>Requires fermentation/processing equipment, Quality standards need development, Competition from established syrups, Limited awareness, Requires investment in processing</t>
  </si>
  <si>
    <t>corn syrup, sweetener, value addition, fermentation, food processing, sugar alternative</t>
  </si>
  <si>
    <t>Maize crackies (Maize)</t>
  </si>
  <si>
    <t>Deep-fried snack made from maize flours. Soft and tasty, nutritious, tastier and crunchy. Made through nixtamalization process.</t>
  </si>
  <si>
    <t>Requires nixtamalization, Quality standards need development, Requires deep-frying equipment, Shelf-life considerations, Limited awareness</t>
  </si>
  <si>
    <t>maize crackies, nixtamalization, snack food, deep-fried, value addition, crunchy snack</t>
  </si>
  <si>
    <t>Maize Sausages (Maize)</t>
  </si>
  <si>
    <t>Snack made from minced meat and maize flour with milk or water and baking powder. Dough moulded into oval shapes and deep fried until brown.</t>
  </si>
  <si>
    <t>Requires nixtamalization, Quality standards need development, Meat availability/cost issues, Requires deep-frying equipment, Limited awareness</t>
  </si>
  <si>
    <t>maize sausages, nixtamalization, meat product, snack food, value addition, processing</t>
  </si>
  <si>
    <t>Maize kebab (Maize)</t>
  </si>
  <si>
    <t>Oval shaped snack made from mixture of minced meat and maize flour dipped in beaten eggs before deep frying.</t>
  </si>
  <si>
    <t>maize kebab, nixtamalization, meat product, snack food, value addition, deep-fried</t>
  </si>
  <si>
    <t>Maize Mandazi (Maize)</t>
  </si>
  <si>
    <t>Snack made from maize flour and wheat mixed in ratio of 2:1. Milk added to make dough, rolled into 1 cm thickness, cut into shapes and deep fried until golden brown.</t>
  </si>
  <si>
    <t>Requires nixtamalization, Quality standards need development, Requires deep-frying equipment, Wheat flour availability/cost, Limited awareness</t>
  </si>
  <si>
    <t>maize mandazi, nixtamalization, snack food, deep-fried, value addition, baking</t>
  </si>
  <si>
    <t>Maize Cake (Maize)</t>
  </si>
  <si>
    <t>Snack made from maize flour and wheat mixed in ratio of 2:1 with sugar, margarine and baking powder. Paste poured onto greased baking pan and baked at 190°C for 1 hour 20 minutes.</t>
  </si>
  <si>
    <t>Requires nixtamalization, Quality standards need development, Requires oven/baking equipment, Wheat flour availability/cost, Limited awareness</t>
  </si>
  <si>
    <t>maize cake, nixtamalization, baked product, snack food, value addition, baking</t>
  </si>
  <si>
    <t>Maize Cookies (Maize)</t>
  </si>
  <si>
    <t>Small, flat sweet snacks made from maize flour and wheat mixed in ratio of 1:1 with beaten eggs and fat. Baked at 190°C until golden brown.</t>
  </si>
  <si>
    <t>maize cookies, nixtamalization, baked product, snack food, value addition, gluten-friendly</t>
  </si>
  <si>
    <t>Masa (Maize)</t>
  </si>
  <si>
    <t>Dough made through nixtamalization process. Basic ingredients: 2kg maize, 3 litres water, 20gm lime. Maize cleaned, mixed with water and lime, boiled 25-30 minutes, washed, wet milled to make dough.</t>
  </si>
  <si>
    <t>Requires nixtamalization expertise, Lime quality important, Boiling time critical (25-30 minutes), Used to make multiple products, Limited awareness</t>
  </si>
  <si>
    <t>masa, nixtamalization, maize dough, value addition, processing, lime cooking</t>
  </si>
  <si>
    <t>Nixtamalization (Maize)</t>
  </si>
  <si>
    <t>Cooking of maize in lime. Dry maize boiled for 25-30 minutes in water with food grade lime (or bean stover ash/maize cob ash). Maize washed and either wet milled to form dough (Masa) or sundried and ground to flour. Reduces aflatoxin by 30-70%, increases bioavailability of vitamin B3 and calcium.</t>
  </si>
  <si>
    <t>Requires food-grade lime, Boiling time critical (25-30 minutes), Washing removes excess lime, Quality standards need development, Limited awareness among farmers, Requires further research on gross margin</t>
  </si>
  <si>
    <t>nixtamalization, aflatoxin reduction, lime cooking, vitamin B3, calcium enrichment, masa</t>
  </si>
  <si>
    <t>Power tiller (Maize)</t>
  </si>
  <si>
    <t>Two-wheeled agricultural machine fitted with rotary tillers, disk harrow, mouldboard plough, trailer, chisel or water pump. Can complete 0.5ha per hour. Fuel consumption about 15 litres per ha. Multiple uses: seedbed preparation, sowing, planting, chemical spraying, water pumping, threshing and transport.</t>
  </si>
  <si>
    <t>Cost KES 280,000, Requires skilled operator, Not gender friendly for women, High initial cost for small-scale farmers, Regular maintenance needed, Limited awareness among farmers</t>
  </si>
  <si>
    <t>power tiller, mechanization, seedbed preparation, two-wheel tractor, land preparation, farm mechanization</t>
  </si>
  <si>
    <t>Wheeled Tractor 50Hp (Maize)</t>
  </si>
  <si>
    <t>Engineering vehicle designed to deliver high tractive effort at slow speeds for hauling trailers or machinery. Provides power and traction for mechanizing agricultural tasks including tillage, planting, weeding, spraying, harvesting, ground grading. Fitted with various equipment for different farm operations.</t>
  </si>
  <si>
    <t>Cost KES 1,780,000, Requires skilled operator, Not gender friendly for women, High initial cost, Regular maintenance and fuel costs, Suitable for larger farms</t>
  </si>
  <si>
    <t>wheeled tractor, mechanization, farm power, land preparation, tillage, 50Hp</t>
  </si>
  <si>
    <t>Mouldboard plough (Maize)</t>
  </si>
  <si>
    <t>Agricultural implement for tillage that cuts, lifts, inverts and pulverizes the furrow slice. Available for power tiller and tractor operation. Conserves moisture and biomass while pulverizing soil.</t>
  </si>
  <si>
    <t>Cost KES 550,000, Requires tractor or power tiller, Requires skilled operator, Regular maintenance needed, Not suitable for small farms</t>
  </si>
  <si>
    <t>mouldboard plough, tillage, soil inversion, land preparation, ploughing, mechanization</t>
  </si>
  <si>
    <t>Harrow (Maize)</t>
  </si>
  <si>
    <t>Farm implement used to pulverize soil, break up crop residues, uproot weeds and cover seed. Used for surface tillage after ploughing for breaking up clods and providing smooth soil structure.</t>
  </si>
  <si>
    <t>Cost KES 280,000, Requires tractor or power tiller, Requires skilled operator, Regular maintenance needed, Many farmers skip harrowing to save costs</t>
  </si>
  <si>
    <t>harrow, soil pulverization, surface tillage, seedbed preparation, weed control, mechanization</t>
  </si>
  <si>
    <t>Planter (Maize)</t>
  </si>
  <si>
    <t>Device used in agriculture that opens furrows, meters, sows maize seed by positioning them in soil and burying them to specific depth. Sows seed at proper rate and depth, ensuring seeds are covered by soil.</t>
  </si>
  <si>
    <t>Cost KES 85,000, Requires further research, Regular maintenance needed, Requires calibration for seed rate, Not widely available, Limited awareness</t>
  </si>
  <si>
    <t>planter, seed placement, mechanized planting, row planting, seed metering, precision farming</t>
  </si>
  <si>
    <t>Motorized Sprayer (Maize)</t>
  </si>
  <si>
    <t>Device used to spray liquids for projection of water, weed killers, crop performance materials, pest maintenance chemicals. Man-portable units typically backpacks with spray guns. Used to apply herbicides, insecticides, pesticides, fungicides and micronutrients.</t>
  </si>
  <si>
    <t>Cost KES 55,000, Requires protective gear, Chemical safety training essential, Regular maintenance and cleaning, Risk of chemical drift, Not suitable for small plots</t>
  </si>
  <si>
    <t>motorized sprayer, chemical application, pest control, spraying equipment, crop protection, mechanization</t>
  </si>
  <si>
    <t>Power weeder (Maize)</t>
  </si>
  <si>
    <t>Device used for removing weeds, stirring and pulverizing soil and loosening soil after crop has begun to grow. Self-propelled power weeder with fully functional gear box having forward and reverse gear transmission with clutch.</t>
  </si>
  <si>
    <t>Cost KES 280,000, Requires further research, Requires skilled operator, Not gender friendly for women, High initial cost, Limited awareness</t>
  </si>
  <si>
    <t>power weeder, mechanical weeding, weed control, mechanization, soil loosening, crop protection</t>
  </si>
  <si>
    <t>Maize harvester (Maize)</t>
  </si>
  <si>
    <t>Small type corn harvester that can work single row corn with tiller and walking tractor. Collection bucket fills and can be taken off. Height adjustable, tension clutch works safely, turning radius small.</t>
  </si>
  <si>
    <t>Cost KES 360,000, Requires skilled operator, Not gender friendly for women, High initial cost, Requires transportation for harvested crop, Limited awareness</t>
  </si>
  <si>
    <t>maize harvester, mechanized harvesting, combine, corn harvester, harvesting equipment, mechanization</t>
  </si>
  <si>
    <t>Maize shellers (Maize)</t>
  </si>
  <si>
    <t>Machine that simultaneously threshes, polishes and winnows maize. Appropriate for smallholder farmers, made from locally available materials. Designed to thresh and winnow variety of leguminous crops.</t>
  </si>
  <si>
    <t>Cost KES 125,000, Output 500 kg/hour, Requires 2 operators, Some machines crack grain too much, Fuel 1 litre/hour (4-5 bags), May cause fungal infections (aflatoxin)</t>
  </si>
  <si>
    <t>maize sheller, threshing, winnowing, mechanization, post-harvest, grain processing</t>
  </si>
  <si>
    <t>Transformative Model of production of maize (Maize)</t>
  </si>
  <si>
    <t>Model that builds resiliency of farmers to focus on market orientation. Aims at shift from subsistence to semi-commercial to fully commercial. Subsistence: traditional inputs, output consumed at home. Semi-commercial: both traditional and improved inputs, output consumed and some marketed. Fully commercial: inputs from markets, outputs solely for markets.</t>
  </si>
  <si>
    <t>Requires mindset change, Farmers may be reluctant to shift, Requires market access and information, Investment needed for inputs, Requires validation, Group formation challenges</t>
  </si>
  <si>
    <t>transformative model, commercial farming, market orientation, subsistence to commercial, business model, value chain</t>
  </si>
  <si>
    <t>Building a Business Plan for Maize production (Maize)</t>
  </si>
  <si>
    <t>Maize business plan serves as internal management and organizing tool, used to communicate outside the business. Contains elements of marketing strategy, marketing costs, income streams and financial requirements. Enables farmers to control costs, develop marketing strategies and build production plans to meet market demand.</t>
  </si>
  <si>
    <t>Requires record keeping skills, Low adoption due to illiteracy, Time investment needed, Requires training and capacity building, May be challenging for small-scale farmers</t>
  </si>
  <si>
    <t>business plan, farm management, marketing strategy, financial planning, record keeping, commercialization</t>
  </si>
  <si>
    <t>Collective marketing (Maize)</t>
  </si>
  <si>
    <t>Marketing as a group where farmers establish an entity to create market links. Formation of group of farmers with objective of reducing market inaccessibility. Carried through Producer Organizations (POs) as institutional vehicle for promoting agricultural production by helping farmers solve common problems.</t>
  </si>
  <si>
    <t>Requires trust among members, Side-selling common challenge, Variable quality issues, Group dynamics challenges, Women may be discriminated, Requires strong leadership</t>
  </si>
  <si>
    <t>collective marketing, producer organizations, economies of scale, market access, group marketing, value chain</t>
  </si>
  <si>
    <t>Profitability analysis (Maize)</t>
  </si>
  <si>
    <t>Recording of costs and returns and determination of profit which indicates performance of maize agro-enterprise. Reviews management success and sustainability of maize business. Indicates areas of adjustment.</t>
  </si>
  <si>
    <t>Requires record keeping skills, Illiteracy is a barrier, Family labour often not costed, Average costs KES 18,037/acre, Average returns KES 33,582/acre, Requires training</t>
  </si>
  <si>
    <t>profitability analysis, cost-benefit, record keeping, farm business, financial management, gross margin</t>
  </si>
  <si>
    <t>Market research for market information (Maize)</t>
  </si>
  <si>
    <t>Gathering information on product buyers, demand, type required, minimum volume purchased, collective marketing volume, quality, packaging requirements, frequency of delivery, purchase price, means of payment and willingness to buy from local farmers.</t>
  </si>
  <si>
    <t>Requires dedicated effort and resources, Farmers may lack capacity, Poor connectivity limits access, Information asymmetry common, Need for reliable market information systems</t>
  </si>
  <si>
    <t>market research, market information, buyer requirements, quality standards, market intelligence, value chain</t>
  </si>
  <si>
    <t>Contracted maize production system (Maize)</t>
  </si>
  <si>
    <t>Investment by private companies extending lines of credit to producers in form of farming inputs and technical assistance. Contractors commit to buy entire product at agreed price. Producers avail desired produce for sale. Can be oral or written contract.</t>
  </si>
  <si>
    <t>Risk of non-compliance by either party, Written contract recommended, Power imbalances possible, Small-scale farmers may be disadvantaged, Requires legal awareness, Transparency essential</t>
  </si>
  <si>
    <t>contract farming, production contract, market guarantee, input credit, technical assistance, value chain</t>
  </si>
  <si>
    <t>Marketing Innovation model (Maize)</t>
  </si>
  <si>
    <t>Entrepreneurship where farmers undertake technology modification, finance and business acumen in effort to transform innovations into economic goods and profit. Involves product diversification developing various marketing channels.</t>
  </si>
  <si>
    <t>Requires entrepreneurial skills, Access to finance essential, Business acumen needed, Women lack entrepreneurial skills compared to men, Requires validation, Market linkages needed</t>
  </si>
  <si>
    <t>marketing innovation, entrepreneurship, product diversification, value addition, agribusiness, commercialization</t>
  </si>
  <si>
    <t>Digital marketing (Maize)</t>
  </si>
  <si>
    <t>Online marketplace providing buyers and sellers with avenue to meet and exchange goods and services. Includes variety of online platforms, tools, and content delivery systems.</t>
  </si>
  <si>
    <t>Requires internet connectivity, Low digital skills among farmers, Risk of fraud, Limited ICT exposure, Potential for non-compliance to contracts, Infrastructure challenges</t>
  </si>
  <si>
    <t>digital marketing, online marketplace, e-commerce, ICT tools, market access, digital literacy</t>
  </si>
  <si>
    <t>Farming maize production in the National Agricultural policy (Maize)</t>
  </si>
  <si>
    <t>National Agricultural policy strategy framework provides instruments and rules for smallholder farmers to increase maize productivity in the Counties.</t>
  </si>
  <si>
    <t>Limited awareness of policies, Inadequate representation of smallholders, Need for policy validation, Equity distribution issues, Accessibility to production inputs challenge</t>
  </si>
  <si>
    <t>agricultural policy, policy framework, productivity, smallholder farmers, policy instruments, maize production</t>
  </si>
  <si>
    <t>Participation in County Integrated Development Planning (Maize)</t>
  </si>
  <si>
    <t>County Integrated Development Planning builds a plan for each county to be implemented in five years. Participatory process involving development stakeholders. Issues in maize production, marketing and processing considered during this planning period.</t>
  </si>
  <si>
    <t>Inadequate representation of youth and women, Inadequate representation of VMGs, Disorganized scattered farmers, Specific to certain agro-ecological zones, Inadequate stakeholder information</t>
  </si>
  <si>
    <t>county planning, development plan, participatory planning, stakeholder involvement, policy development, maize value chain</t>
  </si>
  <si>
    <t>Policy Instruments related to maize (Maize)</t>
  </si>
  <si>
    <t>Means to achieve policy objectives for maize production including subsidies for inputs and minimum price for maize outputs.</t>
  </si>
  <si>
    <t>Weak policy instruments lead to market failure, Low understanding among farmers, Need validation of instruments, Specific to certain zones only, Inadequate stakeholder information</t>
  </si>
  <si>
    <t>policy instruments, input subsidies, minimum price, policy objectives, government support, market intervention</t>
  </si>
  <si>
    <t>Policy cycle (Maize)</t>
  </si>
  <si>
    <t>Policy process conceptualized as sequential parts or stages: (1) problem emergence, (2) agenda setting, (3) consideration of policy options, (4) decision-making, (5) implementation, and (6) evaluation. Tool which divides complex procedures into convenient and manageable steps.</t>
  </si>
  <si>
    <t>Requires stakeholder involvement at all stages, Problem identification critical, Implementation often weak, Evaluation needs resources, Policy issues often disconnected from farmer realities</t>
  </si>
  <si>
    <t>policy cycle, agenda setting, policy formulation, implementation, policy evaluation, problem identification</t>
  </si>
  <si>
    <t>Impact of Climate Change on Agriculture - Maize</t>
  </si>
  <si>
    <t>Increased frequency of droughts and floods, changes in weather patterns, high rainfall intensity, increased pests and disease outbreaks.</t>
  </si>
  <si>
    <t>Increased risk of total crop failure, higher vulnerability to pests, soil erosion from heavy rains, unpredictable planting seasons, potential for waterlogging.</t>
  </si>
  <si>
    <t>Climate Change, Drought, Floods, Pests, Weather Patterns, Disease Outbreaks</t>
  </si>
  <si>
    <t>What Causes Climate Change and Variability? - Maize</t>
  </si>
  <si>
    <t>Linked directly and indirectly to human activities: land clearing, burning plant biomass, charcoal burning, conventional tillage, poor manure handling, inappropriate use of agro-chemicals. Carbon dioxide is the major greenhouse gas.</t>
  </si>
  <si>
    <t>Deforestation reduces rainfall, soil degradation from tillage, pollution from chemicals, greenhouse gas emissions, depletion of soil organic matter.</t>
  </si>
  <si>
    <t>Human Activities, Land Clearing, Greenhouse Gases, Agro-Chemicals, Deforestation, Carbon Dioxide</t>
  </si>
  <si>
    <t>Climate Smart Agriculture (CSA) - Maize</t>
  </si>
  <si>
    <t>Agricultural practices aimed at sustainably increasing production and resilience while reducing GHG emissions. Three pillars: increasing production/incomes, enhancing resilience (adaptation), reducing GHG emissions.</t>
  </si>
  <si>
    <t>Requires initial investment, may need new skills/knowledge, adaptation to local conditions necessary, practices may conflict with tradition, monitoring of emissions is complex.</t>
  </si>
  <si>
    <t>Sustainability, Resilience, GHG Reduction, Productivity, Adaptation, Income</t>
  </si>
  <si>
    <t>Characteristics of Climate Smart Farms - Maize</t>
  </si>
  <si>
    <t>Soil and water conservation structures; use of manure/compost; agroforestry; integration of perennial and annual crops; diversification of farm enterprises; readiness of a farm plan.</t>
  </si>
  <si>
    <t>High initial labour for structures, requires long-term planning, need for technical knowledge on integration, potential competition between crops, management complexity.</t>
  </si>
  <si>
    <t>Conservation, Agroforestry, Diversification, Manure, Water Harvesting, Farm Plan</t>
  </si>
  <si>
    <t>CSA Practices and their Benefits - Maize</t>
  </si>
  <si>
    <t>Includes Conservation Agriculture, agroforestry, soil and water conservation, integrated soil fertility management.</t>
  </si>
  <si>
    <t>Can be labour intensive, requires specific inputs, may have delayed benefits, not all practices suit every region, risk of improper implementation.</t>
  </si>
  <si>
    <t>Conservation Agriculture, Agroforestry, Water Conservation, Soil Fertility, Integrated Management, Sustainable Practices</t>
  </si>
  <si>
    <t>Conservation Agriculture - Maize</t>
  </si>
  <si>
    <t>Farming system that conserves, improves and uses natural resources more efficiently through sustainable intensification.</t>
  </si>
  <si>
    <t>Requires specialized equipment, weed control can be challenging, learning curve for new techniques, potential for herbicide overuse, transition period with lower yields.</t>
  </si>
  <si>
    <t>Sustainable Intensification, Resource Efficiency, Conservation, Soil Health, Natural Resources, Farming System</t>
  </si>
  <si>
    <t>Principles of Conservation Agriculture - Maize</t>
  </si>
  <si>
    <t>The principles are minimum soil disturbance, permanent soil cover, and crop diversification.</t>
  </si>
  <si>
    <t>Need for cover crop seeds, risk of harboring pests in residues, equipment for minimum tillage, competition for water with cover crops, initial cost of mulch.</t>
  </si>
  <si>
    <t>Minimum Tillage, Soil Cover, Crop Diversification, Residue Management, No-Till, Soil Protection</t>
  </si>
  <si>
    <t>Benefits of Conservation Agriculture - Maize</t>
  </si>
  <si>
    <t>Economic: saves resources, controls pests/diseases, reduces crop failure risk, and increases output/incomes. Environmental: improved soil health, reduced GHG emissions, improved water infiltration. Agronomic: increased soil organic matter.</t>
  </si>
  <si>
    <t>Benefits take time to materialize, requires strict adherence to principles, pest control may need integrated approach, economic benefits depend on market prices.</t>
  </si>
  <si>
    <t>Economic Benefits, Environmental Benefits, Soil Health, GHG Reduction, Water Infiltration, Crop Failure Risk</t>
  </si>
  <si>
    <t>Principles of Soil and Water Conservation - Maize</t>
  </si>
  <si>
    <t>The principles are to make effective use of soil water reserves, use rainwater effectively, avoid runoff, and reduce water losses through drainage.</t>
  </si>
  <si>
    <t>Requires careful planning of structures, can be labour-intensive, waterlogging risk if not designed well, effectiveness depends on rainfall intensity, loss of farmland to structures.</t>
  </si>
  <si>
    <t>Water Reserves, Rainwater Use, Runoff Prevention, Water Loss, Conservation, Drainage Management</t>
  </si>
  <si>
    <t>Benefits of Soil and Water Conservation - Maize</t>
  </si>
  <si>
    <t>Minimizes crop failure risk; reduces water erosion; improves water infiltration/retention; controls erosion; conserves water; increases land value; provides more fodder; increases water use efficiency.</t>
  </si>
  <si>
    <t>Initial high cost of structures, regular maintenance required, may reduce short-term cropland area, benefits depend on soil type, inconsistent results in dry years.</t>
  </si>
  <si>
    <t>Erosion Control, Water Retention, Land Value, Fodder, Water Efficiency, Crop Failure</t>
  </si>
  <si>
    <t>Common Soil and Water Conservation Technologies - Maize</t>
  </si>
  <si>
    <t>Field level technologies include bench terraces, check dams, contour bunds, Fanya juu terraces, Zai pits, Katumani pits, stone lines, trash lines, grass strips, retention ditches, mulching, and cover crops. Landscape level technologies include agroforestry, windbreaks, woodlots, and riparian buffer strips.</t>
  </si>
  <si>
    <t>High initial labour, need for stones/grass, maintenance is key, might harbor pests, may reduce planting area, knowledge required for correct construction.</t>
  </si>
  <si>
    <t>Terraces, Bunds, Zai Pits, Mulching, Cover Crops, Agroforestry</t>
  </si>
  <si>
    <t>Integrated Soil Fertility Management (ISFM) - Maize</t>
  </si>
  <si>
    <t>Set of practices including fertilizer, organic inputs, improved germplasm, adapted to local conditions to maximize agronomic efficiency and improve productivity.</t>
  </si>
  <si>
    <t>Requires soil testing, fertilizer costs can be high, organic inputs may be scarce, need for training, improper integration can be ineffective.</t>
  </si>
  <si>
    <t>Soil Fertility, Fertilizers, Organic Inputs, Germplasm, Agronomic Efficiency, Productivity</t>
  </si>
  <si>
    <t>Gender in Climate Smart Agriculture - Maize</t>
  </si>
  <si>
    <t>Recognize and address needs of men, women and youth. Women/youth typically have less access to assets, knowledge and resources. Understanding gender dynamics leads to more sustainable results.</t>
  </si>
  <si>
    <t>Cultural resistance to gender roles, unequal access to resources, women's time poverty, youth migration, power imbalances in decision-making.</t>
  </si>
  <si>
    <t>Gender Dynamics, Women, Youth, Access to Resources, Decision-Making, Sustainability</t>
  </si>
  <si>
    <t>What is Soil? - Maize</t>
  </si>
  <si>
    <t>To farmer: medium where plants grow. To agronomist: unconsolidated layer of earth's surface consisting of mineral/organic material, air, water and living organisms that supports plant growth.</t>
  </si>
  <si>
    <t>Erosion is a constant threat, poor management destroys it, contamination from chemicals, compaction by heavy machinery, loss of organic matter.</t>
  </si>
  <si>
    <t>Soil Definition, Plant Growth, Agronomist, Organic Material, Living Organisms, Earth Surface</t>
  </si>
  <si>
    <t>Soil Composition - Maize</t>
  </si>
  <si>
    <t>Mineral particles, organic matter, living organisms, air and soil water.</t>
  </si>
  <si>
    <t>Imbalance in components reduces fertility, organic matter can deplete, compaction reduces air/water, pollution harms organisms, erosion removes top layers.</t>
  </si>
  <si>
    <t>Mineral Particles, Organic Matter, Living Organisms, Soil Air, Soil Water, Composition</t>
  </si>
  <si>
    <t>Soil Properties - Maize</t>
  </si>
  <si>
    <t>Divided into physical, chemical and biological.</t>
  </si>
  <si>
    <t>All properties are interdependent, poor management affects all, degradation is reversible but costly, testing is required for assessment.</t>
  </si>
  <si>
    <t>Physical Properties, Chemical Properties, Biological Properties, Soil Health, Fertility, Management</t>
  </si>
  <si>
    <t>Soil Physical Properties - Maize</t>
  </si>
  <si>
    <t>Texture (sand/silt/clay proportions); Structure (arrangement of aggregates); Bulk density (compactness); Porosity (pore volume); Consistence (resistance to rupture); Horizonation/depth; Colour.</t>
  </si>
  <si>
    <t>Poor texture limits water holding, compaction reduces root growth, erosion changes depth, plough pans create hard layers, colour indicates organic matter loss.</t>
  </si>
  <si>
    <t>Texture, Structure, Bulk Density, Porosity, Soil Colour, Compaction</t>
  </si>
  <si>
    <t>Soil Chemical Properties - Maize</t>
  </si>
  <si>
    <t>Soil pH (acidity/alkalinity, optimum 6.5-7); Cation Exchange Capacity (CEC); Anion Exchange Capacity (AEC); Buffering Capacity. Organic matter improves all properties.</t>
  </si>
  <si>
    <t>Acidification limits nutrient uptake, salinization from irrigation, CEC decreases with organic matter loss, buffering capacity can be overwhelmed by over-liming.</t>
  </si>
  <si>
    <t>Soil pH, Cation Exchange, Anion Exchange, Buffering, Soil Fertility, Nutrient Availability</t>
  </si>
  <si>
    <t>Biological Properties - Maize</t>
  </si>
  <si>
    <t>Micro-organisms (bacteria, fungi, protozoa, nematodes); Macro-organisms (spiders, earthworms, termites); Plant roots. Important for nutrient provision and soil loosening.</t>
  </si>
  <si>
    <t>Pesticides harm beneficial organisms, lack of organic matter reduces activity, termites can become pests, compaction suffocates macro-organisms, tillage disrupts fungal networks.</t>
  </si>
  <si>
    <t>Micro-Organisms, Macro-Organisms, Nutrient Cycling, Soil Structure, Biodiversity, Organic Matter</t>
  </si>
  <si>
    <t>Traditional Soil Fertility Indicators - Maize</t>
  </si>
  <si>
    <t>Soil with big clods indicates fertile soil. Poverty grass (Rhynchyletrum repens) occurs in infertile soils. Dominance of Commelina benghalensis, Bidens pilosa, Galinsoga parviflora, and Amaranthus spp. imply high fertility. Dominance of earthworms imply high fertility.</t>
  </si>
  <si>
    <t>Subjective and can be misleading, may not indicate specific nutrient deficiencies, can be influenced by seasonal changes, requires local knowledge to interpret correctly.</t>
  </si>
  <si>
    <t>Traditional Indicators, Fertility Weeds, Earthworms, Soil Clods, Local Knowledge, Soil Assessment</t>
  </si>
  <si>
    <t>Plant Nutrients and their Roles - Maize</t>
  </si>
  <si>
    <t>Plants require 17 elements. Major: N, P, K, Ca, S, Mg. Micro: Zn, Mo, B, Fe, Co, Mn, Cu, Ni.</t>
  </si>
  <si>
    <t>Deficiencies limit growth, toxicity from over-application, interactions (antagonism) between nutrients, need for balanced fertilization, soil testing essential.</t>
  </si>
  <si>
    <t>Macronutrients, Micronutrients, Nutrient Roles, Plant Growth, Deficiency, Balanced Nutrition</t>
  </si>
  <si>
    <t>Nitrogen (N) - Maize</t>
  </si>
  <si>
    <t>Nitrogen is involved in the formation of chlorophyll, vegetative growth, and protein synthesis.</t>
  </si>
  <si>
    <t>Leaching losses in wet soils, volatilization if surface-applied, overuse causes lodging, deficiency causes yellowing, application timing is critical.</t>
  </si>
  <si>
    <t>Nitrogen, Chlorophyll, Vegetative Growth, Protein Synthesis, Deficiency, Lodging</t>
  </si>
  <si>
    <t>Phosphorus (P) - Maize</t>
  </si>
  <si>
    <t>Phosphorus is involved in the development of root system and seed and fruit formation.</t>
  </si>
  <si>
    <t>Unavailable in acidic soils, fixation in some soils, leaching not a major loss, requires soil testing, placement is important for young seedlings.</t>
  </si>
  <si>
    <t>Phosphorus, Root Development, Seed Formation, Deficiency, Soil Fixation, Fertilization</t>
  </si>
  <si>
    <t>Potassium (K) - Maize</t>
  </si>
  <si>
    <t>Potassium provides tolerance to moisture stress, improves quality of fruits/vegetables/grains, promotes early ripening, and enhances disease resistance.</t>
  </si>
  <si>
    <t>Deficiency common in sandy soils, can be locked up in clay, overuse contributes to salinity, leaching in some soils, affects water uptake.</t>
  </si>
  <si>
    <t>Potassium, Moisture Stress, Quality, Ripening, Disease Resistance, Deficiency</t>
  </si>
  <si>
    <t>Calcium (Ca) - Maize</t>
  </si>
  <si>
    <t>Calcium improves cell structure and fast cell division, leading to faster growth.</t>
  </si>
  <si>
    <t>Deficient in acidic soils, interacts with other nutrients, slow to move in plant, pH correction needed for availability, application timing is crucial.</t>
  </si>
  <si>
    <t>Calcium, Cell Structure, Cell Division, Growth, Deficiency, Soil pH</t>
  </si>
  <si>
    <t>Magnesium (Mg) - Maize</t>
  </si>
  <si>
    <t>Magnesium is involved in chlorophyll formation, phosphate metabolism, biological N fixation, oil/fat formation, and iron utilization.</t>
  </si>
  <si>
    <t>Easily leached from soils, deficiency common in sandy/acidic soils, competes with calcium, can be tied up by potassium, affects photosynthesis.</t>
  </si>
  <si>
    <t>Magnesium, Chlorophyll, N Fixation, Oil Formation, Deficiency, Photosynthesis</t>
  </si>
  <si>
    <t>Zinc (Zn) - Maize</t>
  </si>
  <si>
    <t>Zinc is involved in chlorophyll formation and enzyme activation.</t>
  </si>
  <si>
    <t>Deficiencies common in high pH soils, overuse can be toxic, interacts with phosphorus, crucial for seedling growth, very low rates of application needed.</t>
  </si>
  <si>
    <t>Zinc, Chlorophyll, Enzyme Activation, Deficiency, Micronutrient, Plant Health</t>
  </si>
  <si>
    <t>Organic Amendments - Maize</t>
  </si>
  <si>
    <t>Farmyard manure, compost, green manure, chicken manure, urban waste, sewage.</t>
  </si>
  <si>
    <t>Risk of pathogens, weed seeds, contamination (metals) from urban waste, high N loss in fresh manure, bulky to transport, quality varies widely.</t>
  </si>
  <si>
    <t>Farmyard Manure, Compost, Green Manure, Chicken Manure, Urban Waste, Organic Matter</t>
  </si>
  <si>
    <t>2.7 Organic Amendments - Maize</t>
  </si>
  <si>
    <t>Any material from living organisms.</t>
  </si>
  <si>
    <t>Uncomposted material can burn plants, nutrient content highly variable, may tie up nitrogen during decomposition, application rates are not precise.</t>
  </si>
  <si>
    <t>Organic Material, Living Organisms, Decomposition, Nutrient Content, Soil Amendment</t>
  </si>
  <si>
    <t>2.7.1 Characteristics and Benefits of Manure - Maize</t>
  </si>
  <si>
    <t>Manure supplies macro and micronutrients, buffers soil pH, enhances water retention, creates favourable conditions for soil microorganisms, improves soil structure, and must decompose first to release nutrients.</t>
  </si>
  <si>
    <t>Must be well-decomposed, can contain weed seeds, bulkiness makes it expensive to transport, application timing is key, may harbor pathogens.</t>
  </si>
  <si>
    <t>Manure, Nutrients, pH Buffering, Water Retention, Soil Structure, Microorganisms</t>
  </si>
  <si>
    <t>Inorganic Sources - Maize</t>
  </si>
  <si>
    <t>Manufactured products containing at least one essential plant nutrient. Concentrated sources readily available for plant uptake.</t>
  </si>
  <si>
    <t>Can cause fertilizer burn, high salt index, acidifying effect, expensive input, dependent on supply chains, contributes to GHG emissions in production.</t>
  </si>
  <si>
    <t>Inorganic Fertilizer, Manufactured, Essential Nutrients, Concentrated Source, Quick Uptake, Chemical Fertilizer</t>
  </si>
  <si>
    <t>Characteristics of Chemical Fertilizers - Maize</t>
  </si>
  <si>
    <t>They are rich nutrient sources but contain no organic matter. They absorb moisture (cake) and need proper storage. Nitrate-based fertilizers can become explosive. They provide a quick response and are immediately available.</t>
  </si>
  <si>
    <t>Storage is critical to avoid caking, handling safety measures required, over-reliance leads to soil degradation, no improvement of soil texture.</t>
  </si>
  <si>
    <t>Chemical Fertilizers, Nutrient Concentration, Moisture Absorption, Quick Response, Storage, Safety</t>
  </si>
  <si>
    <t>Classification of In-organic/Chemical Fertilizers - Maize</t>
  </si>
  <si>
    <t>Nitrogenous fertilizers include Ammonium Nitrate, Ammonium Sulphate, Urea, CAN, and NPK. Phosphatic fertilizers include SSP, TSP, and NPK. Potassic fertilizers include Muriate of Potash (MOP), Sulphate of Potash (SOP), and NPK.</t>
  </si>
  <si>
    <t>Need right choice for crop, over-application of one can imbalance others, acidification from N fertilizers, high cost of potash, environmental risk.</t>
  </si>
  <si>
    <t>Nitrogenous, Phosphatic, Potassic, Fertilizer Types, NPK, Soil Nutrition</t>
  </si>
  <si>
    <t>Nutrient Mining - Maize</t>
  </si>
  <si>
    <t>Nutrients removed through cropping. Corrected by leaving crop residues, applying organic/inorganic fertilizers, using the Nutrient Expert tool.</t>
  </si>
  <si>
    <t>Continuous mining depletes soil, lowers yields over time, requires constant monitoring, can be reversed but at a cost, needs precise nutrient replacement.</t>
  </si>
  <si>
    <t>Nutrient Depletion, Crop Removal, Residue Management, Fertilizer Application, Soil Replenishment</t>
  </si>
  <si>
    <t>Soil Acidity - Maize</t>
  </si>
  <si>
    <t>Causes: acidic parent material, leaching of base cations, continuous nutrient mining, acidifying fertilizers, acid rain, industrial emissions. Effects: unavailability of P, micronutrient toxicity, poor microbial activity. Corrected by liming, wood ash, manure/organic matter.</t>
  </si>
  <si>
    <t>Lime takes time to react, wood ash can be variable, toxicity of Al/Mn, reduces microbial activity, loss of base cations.</t>
  </si>
  <si>
    <t>Soil Acidity, Liming, Acidifying Fertilizers, Nutrient Availability, Toxicity, Microbial Activity</t>
  </si>
  <si>
    <t>Soil Compaction - Maize</t>
  </si>
  <si>
    <t>Caused by poor tillage, hard pans. Corrected by sub-soiling, ripping, avoiding ploughing when wet, mulching, adding manure.</t>
  </si>
  <si>
    <t>Reduces root growth, increases erosion risk, limits water infiltration, requires heavy machinery, persistent if not managed.</t>
  </si>
  <si>
    <t>Soil Compaction, Tillage, Root Growth, Sub-Soiling, Mulching, Water Infiltration</t>
  </si>
  <si>
    <t>Soil Erosion - Maize</t>
  </si>
  <si>
    <t>Causes washing away of top fertile soils. Corrected by increased vegetation, embankments, contour cultivation, strip cropping, cover crops, conservation tillage.</t>
  </si>
  <si>
    <t>Loss of topsoil nutrients, reduced water holding capacity, expensive to control, sedimentation of waterways, requires community cooperation.</t>
  </si>
  <si>
    <t>Soil Erosion, Topsoil Loss, Contour Cultivation, Cover Crops, Conservation Tillage, Vegetation</t>
  </si>
  <si>
    <t>Salinization and Sodification - Maize</t>
  </si>
  <si>
    <t>Accumulation of salts. Caused by mineralogy, over-application of fertilizers, poor salt movement. Leads to nutrient occlusion and toxicity.</t>
  </si>
  <si>
    <t>Toxic to plants, difficult and expensive to reclaim, requires specific management, irrigation water quality is crucial, affects soil structure.</t>
  </si>
  <si>
    <t>Salinization, Sodification, Salt Accumulation, Toxicity, Irrigation, Soil Reclamation</t>
  </si>
  <si>
    <t>Leaching - Maize</t>
  </si>
  <si>
    <t>Carrying away of nutrients beyond root reach. Common in high rainfall areas and coarse-textured sandy soils. Corrected by manure application and nutrient replenishment.</t>
  </si>
  <si>
    <t>Loss of N and other nutrients, contributes to groundwater pollution, wastes fertilizer investment, requires split applications, high risk in sandy soils.</t>
  </si>
  <si>
    <t>Leaching, Nutrient Loss, Sandy Soils, Groundwater Pollution, Manure, Split Application</t>
  </si>
  <si>
    <t>Soil Fertility Evaluation - Maize</t>
  </si>
  <si>
    <t>Regular maintenance through soil or plant tissue sampling and analysis.</t>
  </si>
  <si>
    <t>Cost of testing, interpretation can be complex, sampling procedure must be precise, not a one-time activity, availability of labs.</t>
  </si>
  <si>
    <t>Fertility Evaluation, Soil Sampling, Plant Tissue, Laboratory Analysis, Regular Monitoring</t>
  </si>
  <si>
    <t>Soil Sampling Considerations - Maize</t>
  </si>
  <si>
    <t>Topography, soil types, soil colour, land degradation intensities, physical discontinuities (rocky outcrops), land-use history, distance from homestead/livestock facilities.</t>
  </si>
  <si>
    <t>Requires representative sampling, field variability is high, historical management affects results, avoid unusual spots, sampling tools needed.</t>
  </si>
  <si>
    <t>Sampling Design, Topography, Soil Types, Land-Use History, Representative Sample, Field Variability</t>
  </si>
  <si>
    <t>Frequency of Soil Sampling - Maize</t>
  </si>
  <si>
    <t>New land: yearly. Cultivated land: every 2-3 years. Sample at least one month before rains. One composite sample per 2.5 acres or 1 Ha.</t>
  </si>
  <si>
    <t>Timing is critical, frequency must be maintained, composite sample must be well mixed, cost can be high for large farms, requires planning.</t>
  </si>
  <si>
    <t>Sampling Frequency, New Land, Cultivated Land, Timely Sampling, Composite Sample, Planning</t>
  </si>
  <si>
    <t>Soil Analysis Reports - Maize</t>
  </si>
  <si>
    <t>Indicate nutrient levels as low, moderate, adequate or high. Recommendations based on report and intended crop.</t>
  </si>
  <si>
    <t>Need expert interpretation, not all labs give same results, recommendations must be followed, may require specific fertilizers, is crop-specific.</t>
  </si>
  <si>
    <t>Soil Report, Nutrient Levels, Fertilizer Recommendations, Interpretation, Crop Specific</t>
  </si>
  <si>
    <t>Causes of Soil Degradation - Maize</t>
  </si>
  <si>
    <t>Physical (rainfall, runoff, floods, wind, tillage); Chemical (alkalinity, acidity, waterlogging, nutrient removal); Biological (reduced microbial activity); Deforestation; Misuse/excessive fertilizers/chemicals; Industrial/mining activities; Improper cultivation; Urbanization; Overgrazing.</t>
  </si>
  <si>
    <t>Multi-faceted problem, prevention is better than cure, need comprehensive management, can be irreversible, affects food production.</t>
  </si>
  <si>
    <t>Degradation Causes, Physical, Chemical, Biological, Deforestation, Urbanization</t>
  </si>
  <si>
    <t>Sheet erosion - Maize</t>
  </si>
  <si>
    <t>Thin layer of topsoil removed over a whole hillside; may not be readily noticed.</t>
  </si>
  <si>
    <t>Often invisible, gradual loss of fertility, reduces soil depth, requires preventative conservation, difficult to detect without soil testing.</t>
  </si>
  <si>
    <t>Sheet Erosion, Topsoil Loss, Slow Degradation, Conservation, Soil Depth</t>
  </si>
  <si>
    <t>Rill erosion - Maize</t>
  </si>
  <si>
    <t>Runoff water forms small channels (up to 0.3m deep) concentrated down a slope.</t>
  </si>
  <si>
    <t>Channels can deepen, loss of seed/plants, can be corrected with tillage, but preventative contours needed, indicates high runoff.</t>
  </si>
  <si>
    <t>Rill Erosion, Runoff Channels, Contour Ploughing, Soil Loss, Water Flow</t>
  </si>
  <si>
    <t>Gully erosion - Maize</t>
  </si>
  <si>
    <t>Channels deeper than 0.3m; develops where runoff concentrates strongly.</t>
  </si>
  <si>
    <t>Expensive to reclaim, destroys farmland, needs engineering solutions, requires vegetation/structures, can cut off fields.</t>
  </si>
  <si>
    <t>Gully Erosion, Deep Channels, Land Loss, Reclamation, Engineering</t>
  </si>
  <si>
    <t>Scaling - Maize</t>
  </si>
  <si>
    <t>Wind/water erosion removes topsoil, exposing saline or sodic soils.</t>
  </si>
  <si>
    <t>Saline soils are toxic, limits crop choice, reclamation is costly, may need gypsum, water management is critical.</t>
  </si>
  <si>
    <t>Scaling, Salt Exposure, Sodicity, Toxicity, Reclamation</t>
  </si>
  <si>
    <t>Stream bank erosion - Maize</t>
  </si>
  <si>
    <t>Vegetation destruction on river banks causes soil breakdown and removal by water.</t>
  </si>
  <si>
    <t>Loss of farmland, siltation of water bodies, undermining of land, requires riparian buffer zones, affects water quality.</t>
  </si>
  <si>
    <t>Stream Bank Erosion, Riparian Buffers, Siltation, Land Loss, Water Quality</t>
  </si>
  <si>
    <t>Principles of Rainwater Harvesting and Management - Maize</t>
  </si>
  <si>
    <t>Harvest and store water for drier seasons. Develop structures to reduce runoff (contour ditches, terracing, pits, bunds). Reduce water loss by adding organic matter.</t>
  </si>
  <si>
    <t>Water storage can breed mosquitoes, structures need maintenance, can be costly, may reduce cultivated area, water quality concerns.</t>
  </si>
  <si>
    <t>Rainwater Harvesting, Storage, Runoff Reduction, Contour Structures, Organic Matter, Dry Season</t>
  </si>
  <si>
    <t>Types of Rainwater Harvesting - Maize</t>
  </si>
  <si>
    <t>In-situ (infiltration) and Ex-situ (storage).</t>
  </si>
  <si>
    <t>In-situ needs good infiltration, ex-situ needs storage space, both require planning, cost varies, loss through evaporation.</t>
  </si>
  <si>
    <t>In-Situ, Ex-Situ, Infiltration, Storage, Rainwater Management</t>
  </si>
  <si>
    <t>Soil and Water Conservation Technologies - Maize</t>
  </si>
  <si>
    <t>Technologies include contour bunds and hedgerows, bench terraces, Fanya juu terraces, stone lines (25-35 cm contour lines), trash lines (crop residues along contour), retention ditches, grass strips (1m wide on contours), check dams, Zai pits (10-15 cm deep, 15-50 cm wide), and tied ridges (30 cm high).</t>
  </si>
  <si>
    <t>Labour-intensive, need materials (stone, grass), regular maintenance, may attract pests, reduce cropland area.</t>
  </si>
  <si>
    <t>Contour Bunds, Bench Terraces, Stone Lines, Zai Pits, Grass Strips, Check Dams</t>
  </si>
  <si>
    <t>Rainwater Harvesting for Storage (Ex-situ) - Maize</t>
  </si>
  <si>
    <t>Methods include rooftop water harvesting with above ground tank, water pans (1-3 m deep depressions), small earthen dams (2-5 m high), sand dams (wall across stream), and wells and boreholes.</t>
  </si>
  <si>
    <t>High investment, evaporation losses, water quality issues for irrigation, maintenance required, silting up.</t>
  </si>
  <si>
    <t>Rooftop Harvesting, Water Pans, Earthen Dams, Sand Dams, Wells, Boreholes</t>
  </si>
  <si>
    <t>Soil Moisture Conservation Techniques - Maize</t>
  </si>
  <si>
    <t>Minimize water loss through evaporation and transpiration.</t>
  </si>
  <si>
    <t>Can be laborious, mulching attracts pests, weed competition, transpiration can stress crops, need integrated approach.</t>
  </si>
  <si>
    <t>Moisture Conservation, Evaporation Reduction, Transpiration, Mulch, Cover Crops</t>
  </si>
  <si>
    <t>Methods for Soil Moisture Conservation - Maize</t>
  </si>
  <si>
    <t>Methods include spreading manure/compost, mulching, conservation tillage (reduced tillage), crop rotation, green manure, mixed cropping/intercropping/inter-planting, contour ploughing, and strip cropping.</t>
  </si>
  <si>
    <t>Multiple methods needed, each has costs, mulching can harbor pests, composting adds labour, knowledge of crop compatibility needed.</t>
  </si>
  <si>
    <t>Mulching, Conservation Tillage, Crop Rotation, Intercropping, Green Manure, Contour Ploughing</t>
  </si>
  <si>
    <t>Types of Problematic Soils - Maize</t>
  </si>
  <si>
    <t>Physical problem soils, Chemical problem soils, Biological problem soils.</t>
  </si>
  <si>
    <t>Specific management needed, identification is key, can be costly to fix, affects long-term productivity, may require amendments.</t>
  </si>
  <si>
    <t>Problem Soils, Physical, Chemical, Biological, Management, Amendments</t>
  </si>
  <si>
    <t>Soils with Physical Problems - Maize</t>
  </si>
  <si>
    <t>Impermeable soils, soil surface crusting/sealing, subsoil hardpan, shallow soils, highly permeable soils, heavy clay soils, fluffy paddy soils.</t>
  </si>
  <si>
    <t>Root restriction, waterlogging, poor drainage, plough pans, droughtiness, require mechanical intervention.</t>
  </si>
  <si>
    <t>Impermeable Soils, Crusting, Hardpan, Shallow Soils, Heavy Clay, Permeability</t>
  </si>
  <si>
    <t>Soils with Chemical Problems - Maize</t>
  </si>
  <si>
    <t>Acid soils (pH &lt;5.5 strongly acidic), Saline soils (ECe ≥4 dS/m), Sodic soils (ESP &gt;15%, pH ≥8.2), Alkaline soils (high pH, poor structure).</t>
  </si>
  <si>
    <t>Toxicity risks, nutrient unavailability, require specific amendments (lime, gypsum), long correction time, high costs.</t>
  </si>
  <si>
    <t>Acid Soils, Saline Soils, Sodic Soils, Alkaline Soils, Toxicity, Nutrient Deficiency</t>
  </si>
  <si>
    <t>Acid Soil Management - Maize</t>
  </si>
  <si>
    <t>Liming with calcium carbonate/dolomitic lime; application of organic amendments (manure).</t>
  </si>
  <si>
    <t>Lime reaction is slow, heavy to transport, may raise pH too high, need soil test, availability of lime.</t>
  </si>
  <si>
    <t>Lime, Dolomite, Organic Amendments, pH Correction, Soil Testing</t>
  </si>
  <si>
    <t>Saline Soil Management - Maize</t>
  </si>
  <si>
    <t>Leaching with water and drainage; irrigation with good quality water; alternate furrow irrigation; drip/sprinkler/pitcher irrigation; extra N dose (20-25%); organic manure addition; green manuring.</t>
  </si>
  <si>
    <t>Requires large water volumes, drainage infrastructure, water availability is a challenge, salinity can return, high costs.</t>
  </si>
  <si>
    <t>Leaching, Drainage, Irrigation Quality, Organic Manure, Green Manure, Nitrogen</t>
  </si>
  <si>
    <t>Sodic Soil Management - Maize</t>
  </si>
  <si>
    <t>Management involves establishing sodic tolerant crops, applying organic manures, applying chemical amendments (gypsum, calcium chloride, sulphuric acid, iron sulphate, aluminium sulphate), and agronomic management (planting at edge of hills, leaching, crop rotation).</t>
  </si>
  <si>
    <t>Chemical amendments are expensive, gypsum may be required in large quantities, reclamation is slow, crop choice limited, risk of pH fluctuations.</t>
  </si>
  <si>
    <t>Sodicity, Gypsum, Organic Manures, Tolerant Crops, Agronomic Management, Leaching</t>
  </si>
  <si>
    <t>Alkaline Soil Management - Maize</t>
  </si>
  <si>
    <t>Incorporate grass cultures, organic compost, acidifying materials; enhance dissolved Ca by releasing CO₂; deep ploughing to incorporate calcareous subsoil.</t>
  </si>
  <si>
    <t>Slow process, may need repeated applications, deep ploughing disturbs soil, acidification may be needed, cost of inputs.</t>
  </si>
  <si>
    <t>Alkalinity, Grass Cultures, Organic Compost, Acidifying Materials, Deep Ploughing, Calcium</t>
  </si>
  <si>
    <t>Soils with Biological Problems - Maize</t>
  </si>
  <si>
    <t>Low organic matter content, harmful soil living organisms (bacterial wilt, Fusarium wilt, nematodes).</t>
  </si>
  <si>
    <t>Pathogens cause specific diseases, low O.M. reduces soil life, nematodes are difficult to manage, crop rotation needed, cost of biocontrols.</t>
  </si>
  <si>
    <t>Biological Problems, Low Organic Matter, Bacterial Wilt, Fusarium Wilt, Nematodes, Pathogens</t>
  </si>
  <si>
    <t>What is Resilience? - Maize</t>
  </si>
  <si>
    <t>Ability of farm production systems to deal with climatic shocks (rainfall variability, drought, floods, pest infestation) and recover quickly.</t>
  </si>
  <si>
    <t>Resilience can be low without diversification, requires proactive measures, not immediate, recovery time varies, economic capacity matters.</t>
  </si>
  <si>
    <t>Resilience, Climatic Shocks, Recovery, Adaptation, Drought, Diversification</t>
  </si>
  <si>
    <t>Major Technologies and Management Practices - Maize</t>
  </si>
  <si>
    <t>Soil health management, rainwater harvesting, water efficient irrigation, seed management, crop management, agroforestry, pest/disease management, livestock/pasture management, climate information services, and agricultural insurance.</t>
  </si>
  <si>
    <t>High cost of some technologies, need technical knowledge, may not be accessible to all, adoption requires mindset shift, integration is key.</t>
  </si>
  <si>
    <t>Soil Health, Water Harvesting, Irrigation, Seed Management, Agroforestry, Pest Management</t>
  </si>
  <si>
    <t>Increased temperature - Maize</t>
  </si>
  <si>
    <t>Reduced soil organic matter; reduced capacity to retain/supply nutrients; reduced soil water holding capacity</t>
  </si>
  <si>
    <t>Accelerates organic matter decomposition, increases drought stress, may reduce yield, increases evaporation, affects root growth.</t>
  </si>
  <si>
    <t>Temperature Increase, Organic Matter Loss, Water Holding, Nutrient Supply, Drought Stress</t>
  </si>
  <si>
    <t>Increased rainfall intensity - Maize</t>
  </si>
  <si>
    <t>Increased groundwater pollution and soil acidity; loss of soil nutrients; increased pests/diseases/weeds</t>
  </si>
  <si>
    <t>Nutrient leaching, flooding risk, erosion, plant damage, weed proliferation, workable days reduced.</t>
  </si>
  <si>
    <t>Rainfall Intensity, Leaching, Acidity, Pests, Diseases, Groundwater Pollution</t>
  </si>
  <si>
    <t>Reduced rainfall intensity - Maize</t>
  </si>
  <si>
    <t>Poor soil water infiltration and retention; limited root penetration; poor water/nutrient uptake</t>
  </si>
  <si>
    <t>Plant stress, poor germination, reduced growth, food insecurity, livestock feed shortage.</t>
  </si>
  <si>
    <t>Drought, Poor Infiltration, Root Penetration, Crop Failure, Water Stress</t>
  </si>
  <si>
    <t>Reduced tillage (CA) - Maize</t>
  </si>
  <si>
    <t>Low soil organic matter; limited soil water; poor aggregation; low water retention; high erosion</t>
  </si>
  <si>
    <t>Weed management shifts, initial yield dip, need for residue retention, may require herbicides, soil compaction if traffic.</t>
  </si>
  <si>
    <t>Reduced Tillage, Organic Matter, Aggregation, Water Retention, Erosion Control</t>
  </si>
  <si>
    <t>Crop rotations and intercrops - Maize</t>
  </si>
  <si>
    <t>High pests/diseases; low soil organic matter; low soil nutrients</t>
  </si>
  <si>
    <t>Needs good planning, market for all crops, can be complex, may need new skills, timing of planting/harvesting shifts.</t>
  </si>
  <si>
    <t>Crop Rotation, Intercropping, Pest Control, Nutrients, Diversity, Soil Health</t>
  </si>
  <si>
    <t>Growing cover crops - Maize</t>
  </si>
  <si>
    <t>Low soil organic matter; poor aggregation; low water retention; low fertility; high erosion</t>
  </si>
  <si>
    <t>Can compete with main crop, requires seed investment, establishment can be tricky, may harbour pests, management of termination.</t>
  </si>
  <si>
    <t>Cover Crops, Organic Matter, Aggregation, Water Retention, Fertility, Erosion</t>
  </si>
  <si>
    <t>Agro-forestry - Maize</t>
  </si>
  <si>
    <t>Long-term establishment, trees compete for resources, initial cost, pruning needed, rights/tenure issues.</t>
  </si>
  <si>
    <t>Agroforestry, Soil Fertility, Erosion Control, Carbon Sequestration, Tree-Crop Integration</t>
  </si>
  <si>
    <t>Inoculation of leguminous crops - Maize</t>
  </si>
  <si>
    <t>Low soil nitrogen; expensive inorganic N fertilizers</t>
  </si>
  <si>
    <t>Needs right strain for the legume, must be fresh, proper application, can be killed by some fertilizers, soil moisture is critical.</t>
  </si>
  <si>
    <t>Inoculation, Legumes, Nitrogen Fixation, Cost Reduction, Soil Fertility</t>
  </si>
  <si>
    <t>Low soil nutrients; low organic matter; poor aggregation; low water retention</t>
  </si>
  <si>
    <t>Requires understanding of interactions, composite manure, application rates, balanced approach, cost of inputs.</t>
  </si>
  <si>
    <t>ISFM, Nutrient Management, Organic Matter, Soil Structure, Crop Yield</t>
  </si>
  <si>
    <t>Organic fertilizer addition - Maize</t>
  </si>
  <si>
    <t>Low soil organic matter; poor aggregation; low water retention; low nutrients</t>
  </si>
  <si>
    <t>Quality variability, nutrient content, bulkiness, transportation, pathogen risk, weed seed contamination.</t>
  </si>
  <si>
    <t>Organic Fertilizer, Soil Health, Nutrient Supply, Water Retention, Soil Structure</t>
  </si>
  <si>
    <t>Acidic soil liming - Maize</t>
  </si>
  <si>
    <t>Low soil pH; toxic micro-nutrients; low P availability</t>
  </si>
  <si>
    <t>Slow action, high cost, need for sampling, reaction with fertilizers, over-liming risk, heavy application.</t>
  </si>
  <si>
    <t>Liming, Acidic Soils, pH, P Availability, Toxicity, Calcium</t>
  </si>
  <si>
    <t>Inorganic fertilizer addition - Maize</t>
  </si>
  <si>
    <t>Low soil nutrients</t>
  </si>
  <si>
    <t>Cost, environmental pollution, acidification, high salt index, need for balanced use, availability.</t>
  </si>
  <si>
    <t>Inorganic Fertilizer, Nutrient Supply, Yield, Soil Acidity, Cost</t>
  </si>
  <si>
    <t>Water Efficient Irrigation Systems - Maize</t>
  </si>
  <si>
    <t>Drip irrigation technology: saves water by managing evaporation losses, delivering water at crop root zone. Consists of elevated water source, pumping unit, filters, drippers, drip lines (surface or sub-surface).</t>
  </si>
  <si>
    <t>High initial cost, need for maintenance, clogging of drippers, water quality is crucial, requires training to operate.</t>
  </si>
  <si>
    <t>Drip Irrigation, Water Efficiency, Evaporation Loss, Root Zone, Filtration</t>
  </si>
  <si>
    <t>Contributions of Drip Irrigation - Maize</t>
  </si>
  <si>
    <t>Produces more crops with less water; uses less energy; minimal nutrient leaching; increases food security/incomes; reduces workload for women.</t>
  </si>
  <si>
    <t>Filtration is critical, drippers clog easily, pH issues with water, nutrient solution management, capital intensive.</t>
  </si>
  <si>
    <t>Water Savings, Nutrient Leaching, Energy Efficiency, Food Security, Income, Labour Reduction</t>
  </si>
  <si>
    <t>Seed Management Practices - Maize</t>
  </si>
  <si>
    <t>Use early maturing varieties; heat-tolerant varieties; salt-tolerant varieties.</t>
  </si>
  <si>
    <t>Some traits may reduce yield, selection is critical, need reliable seed source, may not suit local taste, cost of high-quality seed.</t>
  </si>
  <si>
    <t>Seed Selection, Early Maturing, Heat Tolerance, Salt Tolerance, Adaptation</t>
  </si>
  <si>
    <t>Contributions of Seed Management - Maize</t>
  </si>
  <si>
    <t>Drought tolerant/faster maturing varieties increase resilience to dry spells; assure harvest; contribute to food production and household incomes.</t>
  </si>
  <si>
    <t>Replacement cost each season, traits may be lost in saved seed, may need specific fertilizer to realize potential, market availability.</t>
  </si>
  <si>
    <t>Drought Tolerance, Dry Spells, Resilience, Food Security, Income</t>
  </si>
  <si>
    <t>Salt-tolerant crop varieties - Maize</t>
  </si>
  <si>
    <t>Crops that survive saline soil and water conditions.</t>
  </si>
  <si>
    <t>May produce less in non-saline soils, limited choices, may not suit local uses, higher seed cost, variety stability.</t>
  </si>
  <si>
    <t>Salt Tolerance, Saline Soils, Crop Survival, Genetic Traits</t>
  </si>
  <si>
    <t>Matching crop/varieties with ecology - Maize</t>
  </si>
  <si>
    <t>Plant crops that suit specific environment/farms.</t>
  </si>
  <si>
    <t>Environmental degradation if misapplied, poor yields, loss of investment, need knowledge of ecology, inappropriate varieties.</t>
  </si>
  <si>
    <t>Crop Selection, Varietal Matching, Ecological Suitability, Yield, Adaptation</t>
  </si>
  <si>
    <t>Seeding/seed rate - Maize</t>
  </si>
  <si>
    <t>Number of seeds per unit area considers plant requirements, purpose, soil fertility, and climate. Practice timely planting.</t>
  </si>
  <si>
    <t>Overcrowding leads to competition, undercrowding reduces yield, timing is crucial, seed quality affects rate, moisture conditions.</t>
  </si>
  <si>
    <t>Seed Rate, Planting Density, Soil Fertility, Timely Planting, Competition</t>
  </si>
  <si>
    <t>Crop diversification - Maize</t>
  </si>
  <si>
    <t>Suppresses pests/diseases; assures harvest from at least one crop.</t>
  </si>
  <si>
    <t>Requires multiple markets, management is complex, can have logistical issues, knowledge of multiple crops, equipment.</t>
  </si>
  <si>
    <t>Diversification, Pest Suppression, Risk Management, Market, Crop Failure</t>
  </si>
  <si>
    <t>Crop fertilization - Maize</t>
  </si>
  <si>
    <t>Increases soil fertility; know soil status through soil testing.</t>
  </si>
  <si>
    <t>Cost of fertilizers, acidification, environmental pollution, need testing, application timing and method.</t>
  </si>
  <si>
    <t>Fertilization, Soil Fertility, Soil Testing, Nutrient Management, Crop Yield</t>
  </si>
  <si>
    <t>Soil Liming - Maize</t>
  </si>
  <si>
    <t>Improves acidic soils leading to increased crop growth and yield.</t>
  </si>
  <si>
    <t>Takes time to react, may need 3-6 months, requires skilled application, can be costly, may affect micronutrients.</t>
  </si>
  <si>
    <t>Soil Liming, Acidity, pH Correction, Crop Yield, Calcium</t>
  </si>
  <si>
    <t>Timely harvesting - Maize</t>
  </si>
  <si>
    <t>Reduces losses and impact on quality.</t>
  </si>
  <si>
    <t>Delays cause losses, weather risks at harvest, need labour, if too early quality suffers, storage pest risks.</t>
  </si>
  <si>
    <t>Timely Harvest, Quality, Loss Reduction, Labour, Weather</t>
  </si>
  <si>
    <t>Post-harvest handling - Maize</t>
  </si>
  <si>
    <t>Appropriate handling, processing and storage minimize losses, increase food security and incomes.</t>
  </si>
  <si>
    <t>Improper storage causes mycotoxin risks, pests, spoilage, quality loss, post-harvest is labour-intensive, investment in hermetic bags.</t>
  </si>
  <si>
    <t>Post-Harvest, Handling, Storage, Processing, Quality Loss, Food Security</t>
  </si>
  <si>
    <t>Contributions of Crop Diversification - Maize</t>
  </si>
  <si>
    <t>Reduces susceptibility to pests/diseases; stabilizes farm production; ensures income from different crops; reduces cash expenditure; builds social capital; improves income/job creation; improves soil quality; reduces risk of crop failure.</t>
  </si>
  <si>
    <t>Requires access to diverse seeds, market linkages, can increase costs, demands wider skill set, management complexity.</t>
  </si>
  <si>
    <t>Crop Diversification, Pest Resistance, Income Stability, Soil Health, Risk Reduction</t>
  </si>
  <si>
    <t>Growing woody perennials (trees, shrubs) alongside other crops and livestock on same land.</t>
  </si>
  <si>
    <t>Needs long-term vision, tree-crop competition, shading, negative root effects, rights/tenure issues, requires pruning.</t>
  </si>
  <si>
    <t>Agroforestry, Perennials, Trees, Soil Fertility, Erosion, Carbon Sink</t>
  </si>
  <si>
    <t>Contributions of Agroforestry - Maize</t>
  </si>
  <si>
    <t>Trees fix nitrogen, enhancing soil fertility. Tree biomass increases soil organic matter and water infiltration/retention. Trees stabilize soil structure and reduce erosion. Sale of agroforestry products (fodder, wood fuel, honey, medicines, mulch, fruits) provides income. There is reduced need for inorganic fertilizers. Diversification reduces environmental/economic risks. Canopy acts as GHG sink (carbon sequestration).</t>
  </si>
  <si>
    <t>Benefits take time, tree crop interactions need management, potential allelopathy, tenureship issues, knowledge of tree species, market access.</t>
  </si>
  <si>
    <t>Nitrogen Fixation, Soil Organic Matter, Income Diversification, Carbon Sequestration, Erosion Control</t>
  </si>
  <si>
    <t>Climate change effects on pests/diseases - Maize</t>
  </si>
  <si>
    <t>Highly variable conditions lead to increased pests/diseases; reduced yields; low quality; loss of life/malnutrition; loss of income; loss of diversity; environmental pollution.</t>
  </si>
  <si>
    <t>Unpredictable outbreaks, increased pesticide use, new pest species, resistance development, economic hardship.</t>
  </si>
  <si>
    <t>Climate Change, Pests, Diseases, Yield Loss, Environmental Pollution</t>
  </si>
  <si>
    <t>Biological pest management - Maize</t>
  </si>
  <si>
    <t>Use of beneficial insects (ladybirds, digger wasps), bacteria (pathogens), Push and Pull Technology.</t>
  </si>
  <si>
    <t>Need knowledge of beneficials, slower action than chemicals, may be specific to pests, requires ecosystem management, can be complex.</t>
  </si>
  <si>
    <t>Biological Control, Beneficial Insects, Pathogens, Push-Pull, Integrated Management</t>
  </si>
  <si>
    <t>Mechanical pest management - Maize</t>
  </si>
  <si>
    <t>Handpicking, tilling, trapping.</t>
  </si>
  <si>
    <t>Labour-intensive, not effective for all pests, trapping needs regular checking, tilling can harm soil.</t>
  </si>
  <si>
    <t>Mechanical Control, Handpicking, Tilling, Trapping, Labour Intensive</t>
  </si>
  <si>
    <t>Pesticides pest management - Maize</t>
  </si>
  <si>
    <t>Chemical, biological or physical agents to prevent, destroy or repel pests.</t>
  </si>
  <si>
    <t>Health risks, environmental pollution, resistance development, high cost, need for protective gear.</t>
  </si>
  <si>
    <t>Pesticides, Chemical Control, Environmental Risk, Resistance, Health Hazard</t>
  </si>
  <si>
    <t>Cultural methods - Maize</t>
  </si>
  <si>
    <t>Irrigation/fertilization schedules, early planting, sanitation, intercropping, improved varieties.</t>
  </si>
  <si>
    <t>Requires detailed planning, best practices not always followed, early planting weather risk, intercropping complexity.</t>
  </si>
  <si>
    <t>Cultural Control, Irrigation Schedules, Early Planting, Sanitation, Intercropping</t>
  </si>
  <si>
    <t>Integrated Pest Management (IPM) - Maize</t>
  </si>
  <si>
    <t>Techniques combining biological control, resistant varieties, hygiene, alternative agricultural practices.</t>
  </si>
  <si>
    <t>High level of knowledge needed, monitoring is key, requires record keeping, slower response, integration is complex.</t>
  </si>
  <si>
    <t>IPM, Biological Control, Resistant Varieties, Hygiene, Alternatives</t>
  </si>
  <si>
    <t>Contributions of Pest/Disease Management - Maize</t>
  </si>
  <si>
    <t>Reduced soil/water pollution; cheaper/easier access; less expenditure; preserves indigenous knowledge.</t>
  </si>
  <si>
    <t>May not be effective against severe outbreaks, implementation complexity, need for early detection, slower action.</t>
  </si>
  <si>
    <t>Pollution Reduction, Cost, Indigenous Knowledge, Sustainable Practices</t>
  </si>
  <si>
    <t>Grazing management control - Maize</t>
  </si>
  <si>
    <t>Fencing, rotational grazing, cut-and-carry, vegetation improvement.</t>
  </si>
  <si>
    <t>Fencing costs, rotational planning, labour for cut-and-carry, water for livestock, pasture improvement takes time.</t>
  </si>
  <si>
    <t>Grazing Management, Fencing, Rotational Grazing, Cut-and-Carry, Vegetation</t>
  </si>
  <si>
    <t>Fodder substitution and fodder banks - Maize</t>
  </si>
  <si>
    <t>Creation of fodder banks; harvesting/keeping fodder; managing invasive species; investing in alternative fodder (Cactus); irrigation-fed fodder.</t>
  </si>
  <si>
    <t>Storage spoilage, investment in fodder species, drought risk, invasive species management, costs of alternative feed.</t>
  </si>
  <si>
    <t>Fodder Banks, Substitution, Cactus, Invasive Species, Irrigation</t>
  </si>
  <si>
    <t>Livestock substitution - Maize</t>
  </si>
  <si>
    <t>Replacing large stock with small stock or switching to camels (more drought-resilient).</t>
  </si>
  <si>
    <t>Market access for animals, cultural preferences, requires adapted breeds, may need different housing, veterinary care changes.</t>
  </si>
  <si>
    <t>Livestock, Small Stock, Camels, Drought Resilience, Breeds</t>
  </si>
  <si>
    <t>Management of crop and industrial residues - Maize</t>
  </si>
  <si>
    <t>Production of livestock feeds (e.g., Multi Nutrient Blocks) to reduce pressure on natural feed sources.</t>
  </si>
  <si>
    <t>Nutrient blocks production cost, quality of residues varies, collection, storage, use, market for blocks.</t>
  </si>
  <si>
    <t>Residue Management, Livestock Feed, Nutrient Blocks, Sustainability</t>
  </si>
  <si>
    <t>Contributions of Livestock/Pasture Management - Maize</t>
  </si>
  <si>
    <t>Increases soil carbon; improves soil fertility; increases fodder availability; fosters social resilience and cohesion.</t>
  </si>
  <si>
    <t>Needs careful grazing intensity, infrastructure investment, community coordination, manure management.</t>
  </si>
  <si>
    <t>Soil Carbon, Soil Fertility, Fodder, Social Cohesion, Manure</t>
  </si>
  <si>
    <t>Importance of Climate Information Services - Maize</t>
  </si>
  <si>
    <t>Climate information services provide increased understanding of climate risks, help choose farm enterprises, support short-term national development planning (subsidies, irrigation infrastructure), support long-term planning (dams, water reservoirs), enable pest/disease surveillance and early warning, and facilitate development of adaptation/mitigation technologies.</t>
  </si>
  <si>
    <t>Reliability of forecasts, access to information, cost of services, translation into farm-level action, technology needed.</t>
  </si>
  <si>
    <t>Climate Information, Risk Understanding, Planning, Early Warning, Adaptation</t>
  </si>
  <si>
    <t>Contributions to Farm Level Resilience - Maize</t>
  </si>
  <si>
    <t>They enable informed decisions on timing of agricultural activities, help manage negative impacts of weather-induced risks, allow adjustment of plans as climate stressors unfold, and support mitigation (e.g., fertilizer use) to reduce GHG emissions.</t>
  </si>
  <si>
    <t>Information may not be trusted, can lead to complex decisions, stress of uncertainty, integration with other inputs.</t>
  </si>
  <si>
    <t>Farm Resilience, Informed Decisions, Risk Management, Timing, GHG Mitigation</t>
  </si>
  <si>
    <t>Agricultural Insurance - Maize</t>
  </si>
  <si>
    <t>Allows farmer to transfer risk of agricultural loss in exchange for a premium. Applicable to crops, livestock, forestry, aquaculture.</t>
  </si>
  <si>
    <t>Cost of premium, complex policies, delayed payouts, documentation requirements, smallholder unaffordability.</t>
  </si>
  <si>
    <t>Agricultural Insurance, Risk Transfer, Premium, Loss Compensation, Security</t>
  </si>
  <si>
    <t>Contributions of Agricultural Insurance - Maize</t>
  </si>
  <si>
    <t>It increases willingness to adopt climate-smart technologies, improves access to credit, supports agricultural/rural development, reduces need for ad hoc disaster programmes, and enables farmers to invest in improved practices.</t>
  </si>
  <si>
    <t>Trust in insurance, payment triggers, basis risk, cost, policy complexity, accessibility for smallholders.</t>
  </si>
  <si>
    <t>Risk Management, Credit Access, Technology Adoption, Investment, Rural Development</t>
  </si>
  <si>
    <t>Agro-Ecological Requirements - Maize</t>
  </si>
  <si>
    <t>Soil: Loamy, well-drained, deep, warm, silt loamy; pH: 5.0-7.0; Temperature: 30-34°C; Rainfall: 250-900 mm. Does not tolerate waterlogging.</t>
  </si>
  <si>
    <t>Mismatch of variety to zone, waterlogging risk, frost sensitivity, poor soil low yields, rainfall variability.</t>
  </si>
  <si>
    <t>Soil Type, pH, Temperature, Rainfall, Waterlogging, Crop Suitability</t>
  </si>
  <si>
    <t>Agronomic Practices - Maize</t>
  </si>
  <si>
    <t>Variety selection; land preparation; soil fertility management; planting; weed management; crop rotation.</t>
  </si>
  <si>
    <t>Mistakes cause major losses, timing is critical, input costs, weather dependent, each step needs knowledge.</t>
  </si>
  <si>
    <t>Variety, Land Preparation, Fertility, Planting, Weeds, Rotation</t>
  </si>
  <si>
    <t>Table 4.1: Maize Requirements - Maize</t>
  </si>
  <si>
    <t>Soil: Loamy; pH: 5.0-7.0; Temperature: 30-34°C; Rainfall: 250-900 mm.</t>
  </si>
  <si>
    <t>Same as above, need site-specific adaptation.</t>
  </si>
  <si>
    <t>Maize Requirements, pH, Temperature, Rainfall, Soil</t>
  </si>
  <si>
    <t>Recommended Maize Varieties in Kenya - Maize</t>
  </si>
  <si>
    <t>KCB (KALRO, Drylands, 90-110 days, 11 bags/acre); KDV1 (Dryland Seed, Drylands, 100-120 days, 12 bags/acre); KDV4 (Dryland Seed, Drylands, 100-120 days, 14 bags/acre); Sungura (Agri-Seedco, Drylands, 100-120 days, 15 bags/acre); SAWA (Dryland Seed, Drylands, 100-120 days, 14 bags/acre); DH02 (Kenya Seed, Drylands, 90-120 days, 11 bags/acre); DUMA43 (Agri-Seedco, Coffee region, 90-110 days, 22 bags/acre).</t>
  </si>
  <si>
    <t>Recommended only if sourced from authentic dealers, different maturity times, need matching to the area, seed price variation.</t>
  </si>
  <si>
    <t>Varieties, Drylands, Maturity, Yield Potential, Adaptability</t>
  </si>
  <si>
    <t>Land Preparation Practices - Maize</t>
  </si>
  <si>
    <t>Conventional: Plough twice + harrow once, or plough once + 2 harrows. Conservation Agriculture: Use Glyphosate-based herbicide (2 L/acre during fallow, 1.2 L/acre 24 hours before planting).</t>
  </si>
  <si>
    <t>Conventional tillage can degrade soil, CA needs herbicide handling, can increase costs, soil moisture loss.</t>
  </si>
  <si>
    <t>Land Preparation, Tillage, Herbicide, Conservation Agriculture, Seedbed</t>
  </si>
  <si>
    <t>Fertilizer Recommendation Rates for Maize - Maize</t>
  </si>
  <si>
    <t>Choice 1: NPK (23-23-0) 2 bags/acre at planting + CAN 1.5 bags/acre top dress. Choice 2: MEA Mazao (10-26-10) 2 bags/acre + CAN 1.5 bags/acre. Choice 3: Mavuno Basal (10-26-10) 2 bags/acre + Mavuno 1.5 bags/acre. Intercrop: Extra 25 kg/acre.</t>
  </si>
  <si>
    <t>Cost of fertilizers, availability, timing application is key, over/under-application, nutrient ratios.</t>
  </si>
  <si>
    <t>Fertilizer Rates, NPK, CAN, Basal, Top Dress, Intercrop</t>
  </si>
  <si>
    <t>Recommended Spacing and Planting Density - Maize</t>
  </si>
  <si>
    <t>Highland: 75x25 cm (1 plant/hill) = 21,333 plants/acre; 75x50 cm (2 plants/hill intercrop) = 21,333. Medium: 75x30 cm = 17,778; 75x60 cm (intercrop) = 11,778. Dryland: 90x30 cm = 15,140; 90x60 cm (intercrop) = 15,140.</t>
  </si>
  <si>
    <t>Density depends on fertility, too low or high loses yield, must match variety, spacing alters competition, row direction matters.</t>
  </si>
  <si>
    <t>Spacing, Planting Density, Highland, Medium, Dryland, Intercrop</t>
  </si>
  <si>
    <t>Weed Management - Maize</t>
  </si>
  <si>
    <t>Hand weeding (first at 4 weeks, second at knee high); herbicides (pre-emergence); cover crops (lablab, velvet bean, sunhemp); Striga management: clean seeds, resistant varieties, push-pull (desmodium + Napier), Kichawi Kill (1-2 g/hole), rogueing.</t>
  </si>
  <si>
    <t>Herbicide drift risk, timing of weeding is crucial, Striga seeds persist in soil, cover crop competition, push-pull management.</t>
  </si>
  <si>
    <t>Weed Management, Hand Weeding, Herbicides, Striga, Cover Crops, Push-Pull</t>
  </si>
  <si>
    <t>Crop Rotation - Maize</t>
  </si>
  <si>
    <t>Rotate with pulses (beans, cowpeas, peas). Avoid rotating with sorghum/millet. Vegetables can be used but careful selection needed.</t>
  </si>
  <si>
    <t>Improper rotation increases pests, legumes need inoculation, vegetables may need more water, market for pulses.</t>
  </si>
  <si>
    <t>Crop Rotation, Pulses, Pest Management, Soil Fertility, Legumes</t>
  </si>
  <si>
    <t>Gray leaf spot (Cercospora mayidis) - Maize</t>
  </si>
  <si>
    <t>Necrotic brown spots parallel to leaf veins; merge to ashy grey; start from lower leaves</t>
  </si>
  <si>
    <t>Fungicides are costly, require regular scouting, crop debris management is critical, resistance possible, early detection is key.</t>
  </si>
  <si>
    <t>Gray Leaf Spot, Fungicide, Resistant Varieties, Crop Residue, Deep Ploughing</t>
  </si>
  <si>
    <t>Common leaf rust - Maize</t>
  </si>
  <si>
    <t>Elongated raised red to dark brown pustules on leaf surfaces; appear during tasseling; turn black, releasing spores</t>
  </si>
  <si>
    <t>Can spread rapidly, favourable weather triggers outbreaks, removes lower leaves, can be managed with varieties.</t>
  </si>
  <si>
    <t>Leaf Rust, Resistant Varieties, Crop Rotation, Deep Ploughing, Spores</t>
  </si>
  <si>
    <t>Common smut (Ustilago mayidis) - Maize</t>
  </si>
  <si>
    <t>Whitish grey tumour-like galls on tassels, husks, ears, stalks, leaves, roots; black spore mass</t>
  </si>
  <si>
    <t>Smut galls are direct loss, spores survive in soil, sanitation is crucial, prevention via seed dress.</t>
  </si>
  <si>
    <t>Common Smut, Galls, Spores, Seed Dressing, Crop Rotation</t>
  </si>
  <si>
    <t>Maize lethal necrosis disease - Maize</t>
  </si>
  <si>
    <t>Colourless patches on leaves starting from base; dwarfing; dead heart; poorly filled kernels</t>
  </si>
  <si>
    <t>Highly devastating, vector control is expensive, no cure, high yield loss, strict quarantine needed.</t>
  </si>
  <si>
    <t>Maize Lethal Necrosis, Virus, Vector Control, Quarantine, Crop Rotation</t>
  </si>
  <si>
    <t>Streak virus disease - Maize</t>
  </si>
  <si>
    <t>Narrow white/yellowish streaks on leaf whorls; broken lines parallel; dead heart</t>
  </si>
  <si>
    <t>Vector (leafhoppers), resistant varieties are key, source of infection must be removed.</t>
  </si>
  <si>
    <t>Streak Virus, Resistant Varieties, Vectors, Crop Rotation</t>
  </si>
  <si>
    <t>Fusarium ear rots - Maize</t>
  </si>
  <si>
    <t>White streaks on grains; whitish to pink cottony powder on grains; mycotoxins</t>
  </si>
  <si>
    <t>Mycotoxins dangerous to humans/livestock, storage risk, harvesting must be timely, insect control.</t>
  </si>
  <si>
    <t>Fusarium, Mycotoxins, Ear Rot, Insect Control, Harvesting</t>
  </si>
  <si>
    <t>Aspergillus ear rot - Maize</t>
  </si>
  <si>
    <t>Yellowish-green powder on cobs' silk; stunted plants, small cobs, discoloured grain</t>
  </si>
  <si>
    <t>Produces aflatoxins, proper storage is crucial, cobs may be inviable.</t>
  </si>
  <si>
    <t>Aspergillus, Aflatoxins, Ear Rot, Harvesting, Residue</t>
  </si>
  <si>
    <t>Stem borers - Maize</t>
  </si>
  <si>
    <t>Caterpillars feed on young plants, later burrow stems</t>
  </si>
  <si>
    <t>Yield loss direct, push-pull system works but needs management, pesticides may not be sustainable.</t>
  </si>
  <si>
    <t>Stem Borers, Push-Pull, Intercropping, Resistant Varieties</t>
  </si>
  <si>
    <t>Fall armyworm - Maize</t>
  </si>
  <si>
    <t>Inverted Y pattern on forehead; gray to black larvae with pale stripe down back</t>
  </si>
  <si>
    <t>Rapid infestation, pesticide resistance, scouting essential, biological controls can be used.</t>
  </si>
  <si>
    <t>Fall Armyworm, Pesticides, Biocontrol, Scouting, Resistance</t>
  </si>
  <si>
    <t>Termites - Maize</t>
  </si>
  <si>
    <t>Attack seeds and whole plants; damage stems at ground level</t>
  </si>
  <si>
    <t>Difficult to control, requires baiting, seed dressing, flooding.</t>
  </si>
  <si>
    <t>Termites, Seed Dressing, Baiting, Flooding</t>
  </si>
  <si>
    <t>Harvesting green maize - Maize</t>
  </si>
  <si>
    <t>When grain starts hardening or silky flowering at top turns black.</t>
  </si>
  <si>
    <t>Timing is critical, market window is short, requires moisture management.</t>
  </si>
  <si>
    <t>Green Maize, Harvesting, Timing, Silking</t>
  </si>
  <si>
    <t>Harvesting dried maize - Maize</t>
  </si>
  <si>
    <t>At physiological maturity; can be left in field for 2-4 weeks (stocking) for further drying.</t>
  </si>
  <si>
    <t>Rodent/bird damage, risk of weevil infestation, weather risk, storage moisture.</t>
  </si>
  <si>
    <t>Dried Maize, Physiological Maturity, Stocking, Drying</t>
  </si>
  <si>
    <t>Processing - Shelling - Maize</t>
  </si>
  <si>
    <t>Immediately after drying cobs; use hand-held sheller; clean grains by removing dirt, foreign matter, and damaged grains.</t>
  </si>
  <si>
    <t>Grain damage reduces storage life, fungal infection risk, cleaning is important.</t>
  </si>
  <si>
    <t>Shelling, Grain Cleaning, Processing, Quality</t>
  </si>
  <si>
    <t>Drying - Maize</t>
  </si>
  <si>
    <t>Dry to &lt;13% moisture on cemented floor, mats, tarpaulins, raised structures (cribs/drying sheds). Protect from rain, dew, animals, and birds. Salt test: Use clean dry bottle, add grains (⅓ full) + 2-3 tbsp salt, shake vigorously, and leave 15 min. If salt sticks to bottle sides, moisture &gt;15% (not safe). If salt does not stick, moisture &lt;15% (safe).</t>
  </si>
  <si>
    <t>Incomplete drying leads to mycotoxin, weather risk, contamination on ground, theft.</t>
  </si>
  <si>
    <t>Drying, Moisture Content, Salt Test, Storage, Mycotoxin</t>
  </si>
  <si>
    <t>Storage - Maize</t>
  </si>
  <si>
    <t>Metallic silos, Hermetic bags (Agro-Z bags); store on pallets in clean, ventilated stores. Sell immediately if storage capacity inadequate.</t>
  </si>
  <si>
    <t>Grain pests, mould, moisture, price fluctuation, cost of bags.</t>
  </si>
  <si>
    <t>Storage, Hermetic Bags, Pallets, Post-Harvest, Pest Control</t>
  </si>
  <si>
    <t>Marketing - Maize</t>
  </si>
  <si>
    <t>Produce aggregation; warehouse receipting; village collection centres.</t>
  </si>
  <si>
    <t>Price volatility, market access, quality, transparency, transport costs.</t>
  </si>
  <si>
    <t>Marketing, Aggregation, Warehousing, Price, Quality</t>
  </si>
  <si>
    <t>Value Addition and Utilization - Maize</t>
  </si>
  <si>
    <t>Food (Githeri, porridge, Ugali); livestock feed; industrial (starch, grits, flour); germ for edible oil; fermentation for alcohol.</t>
  </si>
  <si>
    <t>Market for products, processing skills, hygiene, by-products use.</t>
  </si>
  <si>
    <t>Value Addition, Food, Livestock Feed, Industrial Uses, Germ</t>
  </si>
  <si>
    <t>Agro-Ecological Requirements - Sorghum - Maize</t>
  </si>
  <si>
    <t>Soil: Clay-loamy; pH: 5.0-8.5; Temperature: 15-35°C; Rainfall: 250-900 mm; Altitude: 500-2500 m.</t>
  </si>
  <si>
    <t>Varieties are specific to altitude, poor soil can reduce yield, planting time must align.</t>
  </si>
  <si>
    <t>Sorghum, Soil Type, pH, Temperature, Rainfall, Altitude</t>
  </si>
  <si>
    <t>Agronomic Practices - Sorghum - Maize</t>
  </si>
  <si>
    <t>Variety selection; seed selection and treatment; germination test; land preparation; soil fertility management; planting; weeding; thinning and rogueing; crop rotation.</t>
  </si>
  <si>
    <t>Seed treatment is essential, failing to do so invites pests.</t>
  </si>
  <si>
    <t>Agronomic Practices, Variety, Seed Treatment, Germination, Fertility</t>
  </si>
  <si>
    <t>Sorghum Varieties - Maize</t>
  </si>
  <si>
    <t>Gadam (85-95 days, 8-20 bags/acre, high malting quality); Sila (120-150 days, 10-20 bags/acre); KARI Mtama 1 (95-100 days, 11-17 bags/acre, high malting quality); Macia (10-20 bags/acre, large head); Serena (110-120 days, 10-20 bags/acre, bird tolerant); Seredo (110-120 days, 12 bags/acre); KM 32-1 (90-110 days, 20 bags/acre, malting quality); IS 76 (90-110 days, 10-12 bags/acre); E 1291 (150-210 days, 10-15 bags/acre); E 6518 (150-210 days, 12-17 bags + 7.2 t/ha forage, dual purpose); BJ 28 (150-210 days, 12-15 bags); Ikinyaruka DP (210-240 days, 26 bags + 8 tons forage/ha, dual purpose).</t>
  </si>
  <si>
    <t>Varieties have specific uses, bird tolerance varies, maturity periods differ.</t>
  </si>
  <si>
    <t>Sorghum Varieties, Maturity, Yield, Malting Quality, Bird Tolerance, Dual-Purpose</t>
  </si>
  <si>
    <t>Soil Fertility Management - Sorghum - Maize</t>
  </si>
  <si>
    <t>NPK (20:20:0, 23:23:0 or 17:17:17) 50 kg/acre at planting; top dress CAN 50 kg/acre after first weeding; manure 2 tons/acre broadcast or in bands.</t>
  </si>
  <si>
    <t>Fertilizer type depends on soil test, CAN top dressing timing.</t>
  </si>
  <si>
    <t>Sorghum Fertility, NPK, CAN, Manure, Top Dressing</t>
  </si>
  <si>
    <t>Sorghum Spacing and Seed Rates - Maize</t>
  </si>
  <si>
    <t>Sole crop - Oxen: 90x15 cm; Manual: 75x20 cm; Seed rate: 4-5 kg/acre. Intercrop (single alternate rows) - 90x20 cm with legume between rows; Seed rate: 4 kg/acre. Intercrop (double rows of legumes) - 120x20 cm (two rows legume between sorghum); Seed rate: 2-3 kg/acre.</t>
  </si>
  <si>
    <t>Spacing affects yield, irrigation methods, row geometry.</t>
  </si>
  <si>
    <t>Sorghum Spacing, Seed Rate, Sole Crop, Intercrop</t>
  </si>
  <si>
    <t>Weeding - Sorghum - Maize</t>
  </si>
  <si>
    <t>First weeding 2-3 weeks after emergence; second depending on rainfall and weed density.</t>
  </si>
  <si>
    <t>Weeding is time-sensitive, late weeding affects yield.</t>
  </si>
  <si>
    <t>Weeding, Timing, Competition</t>
  </si>
  <si>
    <t>Thinning - Sorghum - Maize</t>
  </si>
  <si>
    <t>3 weeks after emergence, after first weeding; leave one plant per hole; leave 2 plants adjacent to gap.</t>
  </si>
  <si>
    <t>Thinning too early increases risk, gap filling, density.</t>
  </si>
  <si>
    <t>Thinning, Plant Density</t>
  </si>
  <si>
    <t>Rogueing - Sorghum - Maize</t>
  </si>
  <si>
    <t>Remove plants with abnormal characteristics.</t>
  </si>
  <si>
    <t>Unwanted genetic traits, diseases.</t>
  </si>
  <si>
    <t>Rogueing, Off-types, Disease Control</t>
  </si>
  <si>
    <t>Crop Rotation - Sorghum - Maize</t>
  </si>
  <si>
    <t>Avoid rotating sorghum with other cereals (maize, millet).</t>
  </si>
  <si>
    <t>Cereal rotations invite disease build-up.</t>
  </si>
  <si>
    <t>Rotation, Cereals, Disease</t>
  </si>
  <si>
    <t>Anthracnose - Sorghum - Maize</t>
  </si>
  <si>
    <t>Damages foliage and stems; dry lesions; brown sunken areas on peduncle; brick-red discoloration when cut lengthwise</t>
  </si>
  <si>
    <t>Spreads in wet weather, residue management is crucial.</t>
  </si>
  <si>
    <t>Anthracnose, Resistant Varieties, Crop Rotation, Residue</t>
  </si>
  <si>
    <t>Leaf blight - Sorghum - Maize</t>
  </si>
  <si>
    <t>Small reddish-purple or yellowish-brown spots on leaves; plants look burnt</t>
  </si>
  <si>
    <t>Needs certified seed, rotation is key.</t>
  </si>
  <si>
    <t>Leaf Blight, Resistant Varieties, Seed Health</t>
  </si>
  <si>
    <t>Leaf rust - Sorghum - Maize</t>
  </si>
  <si>
    <t>Small raised pustules/blisters on leaf surfaces; reddish-brown spores; appears near flowering</t>
  </si>
  <si>
    <t>Common in wet seasons, resistant varieties.</t>
  </si>
  <si>
    <t>Leaf Rust, Resistant Varieties, Rotation</t>
  </si>
  <si>
    <t>Long smut - Sorghum - Maize</t>
  </si>
  <si>
    <t>Long pointed smut gall appears in heads instead of normal grains; stunted plants, abundant side branches</t>
  </si>
  <si>
    <t>Seed-borne, need certified disease-free seed.</t>
  </si>
  <si>
    <t>Long Smut, Seed-Borne, Certified Seed, Field Sanitation</t>
  </si>
  <si>
    <t>Covered smut - Sorghum - Maize</t>
  </si>
  <si>
    <t>Black masses of powdery spores instead of grains; entire head black</t>
  </si>
  <si>
    <t>Seed-borne, deep ploughing.</t>
  </si>
  <si>
    <t>Covered Smut, Seed-Borne, Deep Ploughing</t>
  </si>
  <si>
    <t>Ergot - Sorghum - Maize</t>
  </si>
  <si>
    <t>Dark brown to black sclerotia in place of seeds; spores carried by insects or splashed by rain</t>
  </si>
  <si>
    <t>Toxic to humans/livestock, field hygiene is important.</t>
  </si>
  <si>
    <t>Ergot, Sclerotia, Sanitation, Insect Control</t>
  </si>
  <si>
    <t>Shootfly - Sorghum - Maize</t>
  </si>
  <si>
    <t>Yellowish/white maggots bore into shoot; drying of central growing shoot (dead heart)</t>
  </si>
  <si>
    <t>Early planting, seed dressing, systemic sprays.</t>
  </si>
  <si>
    <t>Shootfly, Dead Heart, Seed Dressing, Systemic Insecticide</t>
  </si>
  <si>
    <t>Stalk borers - Sorghum - Maize</t>
  </si>
  <si>
    <t>Caterpillars feed inside stalks; stunted growth; windowing of leaves; withered shoots; poorly developed heads</t>
  </si>
  <si>
    <t>Push-pull is effective, granules application.</t>
  </si>
  <si>
    <t>Stalk Borers, Push-Pull, Insecticides</t>
  </si>
  <si>
    <t>Birds - Sorghum - Maize</t>
  </si>
  <si>
    <t>Capable of heavy losses; notorious Quelea species</t>
  </si>
  <si>
    <t>Bird scaring is labour-intensive, expensive.</t>
  </si>
  <si>
    <t>Birds, Quelea, Scaring, Harvesting</t>
  </si>
  <si>
    <t>Sorghum Ratooning - Maize</t>
  </si>
  <si>
    <t>Cut back plants immediately after harvesting to about 3 inches above ground for vegetative regrowth; reduces labour costs.</t>
  </si>
  <si>
    <t>May affect next season yield, pests/diseases carry over.</t>
  </si>
  <si>
    <t>Ratooning, Regrowth, Labour Reduction</t>
  </si>
  <si>
    <t>Drying and Storage - Sorghum - Maize</t>
  </si>
  <si>
    <t>Sun dry to 12-13% moisture; store as unthreshed panicles or threshed grain; thresh on mats/tarpaulins; winnow and sort; dust with Actellic (50g/90kg); store in clean store, hermetic bags or metal silos; second dusting after 3 months for long storage.</t>
  </si>
  <si>
    <t>Mould risk, moisture must be low, Actellic toxicity.</t>
  </si>
  <si>
    <t>Drying, Threshing, Winnowing, Hermetic Bags, Actellic</t>
  </si>
  <si>
    <t>Value Addition and Utilization - Sorghum - Maize</t>
  </si>
  <si>
    <t>Whole or dehulled grain; sorghum pilau, cookies, cakes, uji, ugali.</t>
  </si>
  <si>
    <t>Market for products, post-harvest processing.</t>
  </si>
  <si>
    <t>Sorghum, Value Addition, Food Products</t>
  </si>
  <si>
    <t>Agro-Ecological Requirements - Pearl Millet - Maize</t>
  </si>
  <si>
    <t>Soil: Clay-loamy; pH: 5.0-8.5; Temperature: 15-30°C; Rainfall: 200-500 mm; Altitude: 500-2400 m.</t>
  </si>
  <si>
    <t>Wide pH tolerance, but clay-loam is needed, altitude is specific.</t>
  </si>
  <si>
    <t>Pearl Millet, Soil, pH, Temperature, Rainfall, Altitude</t>
  </si>
  <si>
    <t>Agronomic Practices - Pearl Millet - Maize</t>
  </si>
  <si>
    <t>Variety selection; seed selection (disease-free plants, large panicles, harvest separately, dry to 12%, discard tip, thresh, dress with Apron star, Poncho FS 600, Cruiser FS 350); germination test (≥85% adequate); land preparation (fine seedbed); soil fertility (NPK 50 kg/acre, CAN top dress 50 kg/acre if needed; manure 5 tons/acre); planting (spacing 90x20 cm; depth 5 cm dry, 2-4 cm wet); seed rates (Pearl: 2 kg/acre, Finger: 1.2 kg/acre, Proso: 1.6 kg/acre, Fox: 1.6 kg/acre); weeding (first at 2-3 weeks, second if needed); thinning (3 weeks after emergence, leave 1 plant/hole).</t>
  </si>
  <si>
    <t>Seed selection is laborious, dressing is essential, varied rates.</t>
  </si>
  <si>
    <t>Pearl Millet Agronomy, Seed Selection, Dressings, Spacing</t>
  </si>
  <si>
    <t>Millet Varieties - Maize</t>
  </si>
  <si>
    <t>KAT/PM-1 (2.5-3 months, Grey, 8-10 bags/acre); KAT/PM3 (2.5-3 months, Grey, 10-12 bags/acre); P2244 (Brown); Gulu E4 (Brown); KAT/FM-1 (Brown); LANET FM-1 (Brown); KAT/PRO-1 (2.5 months, Cream); KAT/FOX-1 (4 months, Cream yellow).</t>
  </si>
  <si>
    <t>Varied maturity, different types (Pearl, Finger, Fox).</t>
  </si>
  <si>
    <t>Millet Varieties, Pearl Millet, Finger Millet, Maturity</t>
  </si>
  <si>
    <t>Intercropping - Millet - Maize</t>
  </si>
  <si>
    <t>Millet can be intercropped with pulses (pigeon peas, green grams) - single alternate rows or two rows millet + two rows pulses.</t>
  </si>
  <si>
    <t>Pigeon pea shade might affect millet, legume competition.</t>
  </si>
  <si>
    <t>Intercropping, Pulses, Row Configuration</t>
  </si>
  <si>
    <t>Head smut - Millet - Maize</t>
  </si>
  <si>
    <t>Enlarged green sacs instead of grain; scattered randomly in head; ovaries converted to black galls</t>
  </si>
  <si>
    <t>Resistance is best, rotation with non-cereals.</t>
  </si>
  <si>
    <t>Head Smut, Resistant Varieties, Rotation</t>
  </si>
  <si>
    <t>Ergot - Millet - Maize</t>
  </si>
  <si>
    <t>Cream to pink mucilaginous droplets of "honeydew"; dry and harden to dark brown/black mass</t>
  </si>
  <si>
    <t>Toxicity risk, field sanitation.</t>
  </si>
  <si>
    <t>Ergot, Honeydew, Sanitation</t>
  </si>
  <si>
    <t>Downy mildew - Millet - Maize</t>
  </si>
  <si>
    <t>Chlorotic lesions from base to higher leaves; bunchy/bushy appearance; stunted plants; floral parts transformed to leafy structures</t>
  </si>
  <si>
    <t>Good drainage, rogueing.</t>
  </si>
  <si>
    <t>Downy Mildew, Leafy Structures, Rogueing</t>
  </si>
  <si>
    <t>Birds - Millet - Maize</t>
  </si>
  <si>
    <t>Feed on grains, can completely devastate crop</t>
  </si>
  <si>
    <t>Scaring, early harvesting, destroying breeding sites.</t>
  </si>
  <si>
    <t>Birds, Scaring, Harvesting</t>
  </si>
  <si>
    <t>Harvesting - Millet - Maize</t>
  </si>
  <si>
    <t>Cut heads manually at physiological maturity; sun-dry; thresh; dry to 12-13% moisture; dust with Actellic for storage pests; seed dress with Bellamid 600 FS or Gaucho FS 350 for soil pests.</t>
  </si>
  <si>
    <t>Manual harvesting, threshing dust.</t>
  </si>
  <si>
    <t>Harvesting, Threshing, Actellic, Seed Dressing</t>
  </si>
  <si>
    <t>Storage - Millet - Maize</t>
  </si>
  <si>
    <t>Metal or plastic containers; sisal bags in cool, dry, ventilated place; second dusting after 3 months for long storage.</t>
  </si>
  <si>
    <t>Insect pests, moisture risk.</t>
  </si>
  <si>
    <t>Storage, Containers, Sisal Bags, Actellic</t>
  </si>
  <si>
    <t>Value Addition and Utilization - Millet - Maize</t>
  </si>
  <si>
    <t>Thin porridge, Ugali, local brew; prevention of cancer, diabetes management; good for Celiac disease; improves digestion; builds bones; promotes red blood cell development; boosts energy.</t>
  </si>
  <si>
    <t>Market for these health products, processing skills.</t>
  </si>
  <si>
    <t>Value Addition, Porridge, Health Benefits, Gluten-Free</t>
  </si>
  <si>
    <t>Agro-Ecological Requirements - Beans - Maize</t>
  </si>
  <si>
    <t>Soil: Silt loamy; pH: 5.8-7.0; Temperature: 18-30°C; Rainfall: 500-1500 mm; Altitude: 900-2100 m.</t>
  </si>
  <si>
    <t>Beans are sensitive to waterlogging, high rainfall and altitude.</t>
  </si>
  <si>
    <t>Beans, Soil, pH, Temperature, Rainfall, Altitude</t>
  </si>
  <si>
    <t>Agronomic Practices - Beans - Maize</t>
  </si>
  <si>
    <t>Variety selection (certified seed, disease-free, pure, clean, not damaged); seed dressing (Aldrin 2.5% at 5g/kg or thiram/Fenasan D at 3g/kg); germination test (≥90% = good, 80% = plant 2 seeds/hole, &lt;40% = discard).</t>
  </si>
  <si>
    <t>Aldrin is restricted/highly toxic, seed treatment is crucial, seed certification is important.</t>
  </si>
  <si>
    <t>Beans Agronomy, Seed Selection, Seed Dressing, Germination</t>
  </si>
  <si>
    <t>Recommended Bean Varieties - Maize</t>
  </si>
  <si>
    <t>Mwitemania (2-3 months, 6-8 bags, drought tolerant); Rosecoco (2-3 months, 8-10 bags, high yield, wide adaptation); Red Haricot/Wairimu (2-3 months, 6-8 bags, susceptible to root rot); KK8 (2-3 months, 8-10 bags, tolerant to root rot); Chelalang (2.5-3 months, 10-12 bags, disease/pest tolerant); Tasha (2.5-3 months, 8-10 bags, disease/pest tolerant); KATRAM (2.5-3 months, 7-8 bags, drought tolerant); Nyota (2.5-3 months, 6-7 bags, drought tolerant, high Fe &gt;95ppm, high Zn &gt;39ppm); Angaza (2.5-3 months, 6-7 bags, high Fe &gt;97ppm, high Zn &gt;57ppm, fast cook); Faida (2.5-3 months, 6-7 bags, high Zn &gt;56ppm, high K 2746ppm).</t>
  </si>
  <si>
    <t>Root rot resistance is key, variety has specific uses (Iron/Zinc content).</t>
  </si>
  <si>
    <t>Bean Varieties, Drought Tolerance, Disease Resistance, Iron, Zinc</t>
  </si>
  <si>
    <t>Land Preparation - Beans - Maize</t>
  </si>
  <si>
    <t>Avoid steep slopes, swamps, shallow sandy soils; early preparation; fine, level seedbed.</t>
  </si>
  <si>
    <t>Steep slopes risk erosion, soil type selection is important.</t>
  </si>
  <si>
    <t>Land Preparation, Slopes, Drainage, Seedbed</t>
  </si>
  <si>
    <t>Soil Fertility Management - Beans - Maize</t>
  </si>
  <si>
    <t>Manure 15-20 tons/ha; DAP or 23:23:0 or Mavuno 80 kg/acre; Rhizobium inoculation (dissolve 60g molasses in ½L water + culture packet; mix with 10kg seed; dry in shade; plant immediately).</t>
  </si>
  <si>
    <t>Inoculation cost, care in mixing, manure bulk.</t>
  </si>
  <si>
    <t>Soil Fertility, Manure, DAP, Rhizobium Inoculation</t>
  </si>
  <si>
    <t>Planting - Beans - Maize</t>
  </si>
  <si>
    <t>At onset of rains; monocrop: 50x10 cm (one seed/hole, depth 2.5-5 cm); intercrop with maize: two bean rows between maize rows (one seed/hole) or one bean row (two seeds/hole); seed rate: 16-25 kg/acre.</t>
  </si>
  <si>
    <t>Intercropping arrangement, seed rate varies.</t>
  </si>
  <si>
    <t>Planting, Spacing, Intercropping, Seed Rate</t>
  </si>
  <si>
    <t>Weeding - Beans - Maize</t>
  </si>
  <si>
    <t>First at 2-3 weeks; second 3 weeks later (before flowering); avoid weeding during flowering or when wet. Herbicides: pre-emergence (apply at/just before planting) + one manual weeding at 4-5 weeks.</t>
  </si>
  <si>
    <t>Weeding during flowering damages plants, herbicides need careful application.</t>
  </si>
  <si>
    <t>Weeding, Herbicides, Timing, Manual Weed</t>
  </si>
  <si>
    <t>Crop Rotation - Beans - Maize</t>
  </si>
  <si>
    <t>Rotate with cassava, maize, sorghum or non-leguminaceae family crops.</t>
  </si>
  <si>
    <t>Legume rotation reduces disease build-up, ensures soil health.</t>
  </si>
  <si>
    <t>Rotation, Legumes, Disease Control</t>
  </si>
  <si>
    <t>Powdery mildew - Beans - Maize</t>
  </si>
  <si>
    <t>Small white powdery spots on leaves, stem, pods; turn dirty white; leaves turn yellow/fall</t>
  </si>
  <si>
    <t>Fungicides are needed, overhead irrigation risk.</t>
  </si>
  <si>
    <t>Powdery Mildew, Sulphur, Rotation</t>
  </si>
  <si>
    <t>Rust - Beans - Maize</t>
  </si>
  <si>
    <t>Dark brown raised spots on leaves; severe cases on stems/pods; leaves fall</t>
  </si>
  <si>
    <t>Spreads in wet weather, copper fungicides.</t>
  </si>
  <si>
    <t>Rust, Copper, Rotation</t>
  </si>
  <si>
    <t>Anthracnose - Beans - Maize</t>
  </si>
  <si>
    <t>Sunken dark brown spots on pods/leaves; orange/pink spores; reddish-brown spots on leaf veins/stem/pods</t>
  </si>
  <si>
    <t>Seed-borne, contact fungicides, rotations.</t>
  </si>
  <si>
    <t>Anthracnose, Seed-Borne, Rotation</t>
  </si>
  <si>
    <t>Angular leaf spot - Beans - Maize</t>
  </si>
  <si>
    <t>Grey spots on leaves turn brown; enclosed within veins; dark brown spots on stems/pods; leaves fall</t>
  </si>
  <si>
    <t>Copper fungicides, rotation, certified seed.</t>
  </si>
  <si>
    <t>Angular Leaf Spot, Copper, Rotation</t>
  </si>
  <si>
    <t>Halo blight - Beans - Maize</t>
  </si>
  <si>
    <t>Small brown spots on leaves surrounded by yellow ring; entire leaf turns yellow; oval greasy water-soaked spots on pods become sunken reddish/brown</t>
  </si>
  <si>
    <t>Bacteria, copper sprays, avoid working wet fields.</t>
  </si>
  <si>
    <t>Halo Blight, Bacteria, Copper</t>
  </si>
  <si>
    <t>Bacterial blight - Beans - Maize</t>
  </si>
  <si>
    <t>Water-soaked spots on leaves/pods; angular orientation on leaf margins</t>
  </si>
  <si>
    <t>Seed-borne, spread by rain splash, copper sprays, drip irrigation.</t>
  </si>
  <si>
    <t>Bacterial Blight, Copper, Irrigation</t>
  </si>
  <si>
    <t>Mosaic viruses - Beans - Maize</t>
  </si>
  <si>
    <t>Distorted leaves; stunted growth; dark green along main veins, light green/yellow in between; leaves curl/roll downwards; fail to form pods</t>
  </si>
  <si>
    <t>Vector transmission (aphids), rogueing is crucial.</t>
  </si>
  <si>
    <t>Mosaic Virus, Aphids, Rogueing, Certified Seed</t>
  </si>
  <si>
    <t>Bean fly/Bean stem maggot - Beans - Maize</t>
  </si>
  <si>
    <t>Thickening of stem at soil level; brown feeding area/larvae inside stem; holes on leaves/stem; stunted/wilting</t>
  </si>
  <si>
    <t>Seed dress with insecticides, mulching, crop rotation.</t>
  </si>
  <si>
    <t>Bean Fly, Stem Maggot, Seed Dressing, Rotation</t>
  </si>
  <si>
    <t>African Bollworm - Beans - Maize</t>
  </si>
  <si>
    <t>Large roundish holes in green pods; feeds on flowers, leaves, terminal buds; waste on surface</t>
  </si>
  <si>
    <t>Neem, synthetic pyrethroids, deep ploughing.</t>
  </si>
  <si>
    <t>African Bollworm, Pyrethroids, Neem</t>
  </si>
  <si>
    <t>Aphids - Beans - Maize</t>
  </si>
  <si>
    <t>Black/grey soft-bodied insects on stem, young shoots, pods, underside of leaves; suck sap; stunting; sooty mold</t>
  </si>
  <si>
    <t>Populations explode quickly, sooty mould, spray soap.</t>
  </si>
  <si>
    <t>Aphids, Sooty Mold, Neem, Soapy Water</t>
  </si>
  <si>
    <t>Thrips - Beans - Maize</t>
  </si>
  <si>
    <t>Small slender yellow/brown/black insects in flowers/underside of leaves; water-soaked spots; curling pods; silvery leaves; flower abortion</t>
  </si>
  <si>
    <t>Repellent crops (garlic, onions), sticky traps, chemical sprays.</t>
  </si>
  <si>
    <t>Thrips, Sticky Traps, Onions, Garlic</t>
  </si>
  <si>
    <t>Root knot nematodes - Beans - Maize</t>
  </si>
  <si>
    <t>Stunting; yellowing; wilting; galling on roots; patchy field</t>
  </si>
  <si>
    <t>Rotation with grass crops, biopesticides, hygiene.</t>
  </si>
  <si>
    <t>Nematodes, Galling, Rotation, Biopesticides</t>
  </si>
  <si>
    <t>Bean bruchids - Beans - Maize</t>
  </si>
  <si>
    <t>Small reddish-brown beetles; bore tunnels beneath seed coat; circular holes on grain surface</t>
  </si>
  <si>
    <t>Storage pest, harvest timely, Actellic dusting.</t>
  </si>
  <si>
    <t>Bruchids, Actellic, Storage</t>
  </si>
  <si>
    <t>Harvesting - Beans - Maize</t>
  </si>
  <si>
    <t>When pods turned yellow, before shattering; moisture at 16%; sun dry if &gt;16%.</t>
  </si>
  <si>
    <t>Shattering risk, timely harvest, moisture content.</t>
  </si>
  <si>
    <t>Harvesting, Pods, Shattering, Drying</t>
  </si>
  <si>
    <t>Threshing - Beans - Maize</t>
  </si>
  <si>
    <t>On threshing rack to avoid damage; broken/cracked seed attacked by insects/fungi.</t>
  </si>
  <si>
    <t>Physical damage exposes grain to pathogens.</t>
  </si>
  <si>
    <t>Threshing, Damage, Pathogens</t>
  </si>
  <si>
    <t>Drying - Beans - Maize</t>
  </si>
  <si>
    <t>To 10% moisture on mats/wire mesh trays; spread thinly; turn regularly.</t>
  </si>
  <si>
    <t>Mould risk, even drying is key.</t>
  </si>
  <si>
    <t>Drying, Mould, Moisture</t>
  </si>
  <si>
    <t>Winnowing/Sorting - Beans - Maize</t>
  </si>
  <si>
    <t>Remove chaff, stones, broken/shrivelled/mouldy/insect-damaged seeds.</t>
  </si>
  <si>
    <t>Grading is important for market price.</t>
  </si>
  <si>
    <t>Winnowing, Sorting, Grading</t>
  </si>
  <si>
    <t>Storage - Beans - Maize</t>
  </si>
  <si>
    <t>Well-ventilated store; dust with Malathion 25% (400g/5L water per 100m²); bruchids: dust with Actellic (50g/90kg bag) or 2% Malathion dust (50g/bag) or sunflower/maize oil (200ml/bag); air-tight bins/drums or gunny bags. Planting seed: treat with Fernason D (3g/kg) or Aldrin 2.5% (5g/kg).</t>
  </si>
  <si>
    <t>Malathion toxicity, oil treatment may affect germination if not careful.</t>
  </si>
  <si>
    <t>Storage, Malathion, Actellic, Air-Tight</t>
  </si>
  <si>
    <t>Value Addition and Utilization - Beans - Maize</t>
  </si>
  <si>
    <t>Githeri (beans+maize); Mukimo (beans+maize+mashing with potato/greens); Mushenye (beans+mashing with sweet potato); beans with Ugali/rice; canned pre-cooked beans.</t>
  </si>
  <si>
    <t>Hygienic processing, market for canned products.</t>
  </si>
  <si>
    <t>Value Addition, Githeri, Mukimo, Canned Beans</t>
  </si>
  <si>
    <t>Agro-Ecological Requirements - Green Gram - Maize</t>
  </si>
  <si>
    <t>Soil: Sandy loamy; pH: 6.3-7.2; Temperature: 25-30°C; Rainfall: 350-700 mm; Altitude: 50-1600 m.</t>
  </si>
  <si>
    <t>Good drainage is key, a narrow pH range, warm temperatures.</t>
  </si>
  <si>
    <t>Green Gram, Sandy Loam, pH, Temperature, Rainfall</t>
  </si>
  <si>
    <t>Green Gram Varieties - Maize</t>
  </si>
  <si>
    <t>N22/KVR22 (Golden yellow seeds, semi-determinate, flowers 55-60 days, matures 80-90 days, 4-7 bags, tolerant to aphids, yellow mosaic, powdery mildew); N26/Nylon (Shiny green, determinate, flowers 40-45 days, matures 60-65 days, 6-8 bags); KS20 (Uncle, Cotton) (Dull green, larger grains, flowers 60-65 days, matures 80-90 days, 7-10 bags).</t>
  </si>
  <si>
    <t>Varieties differ in maturity and yield potential, pest tolerance.</t>
  </si>
  <si>
    <t>Green Gram Varieties, Maturity, Pest Tolerance</t>
  </si>
  <si>
    <t>Germination Test - Green Gram - Maize</t>
  </si>
  <si>
    <t>Soak seeds overnight, wrap in moist cloth/newspaper, water 3x/day; ≥60% = plant 3-4 seeds/hole, ≥90% = plant 2 seeds/hole.</t>
  </si>
  <si>
    <t>Over-watering rots seeds, accurate counting needed.</t>
  </si>
  <si>
    <t>Germination, Testing, Seed Viability</t>
  </si>
  <si>
    <t>Land Preparation - Green Gram - Maize</t>
  </si>
  <si>
    <t>Avoid steep slopes, swamps, heavy clays, couch grass; fine seedbed.</t>
  </si>
  <si>
    <t>Couch grass competition, soil texture is important.</t>
  </si>
  <si>
    <t>Land Preparation, Drainage, Weeds</t>
  </si>
  <si>
    <t>Soil Fertility - Green Gram - Maize</t>
  </si>
  <si>
    <t>NPK (23:23:0) 50 kg/acre broadcast; manure 10-20 tons/acre; lime one year prior.</t>
  </si>
  <si>
    <t>Lime application is a long process, high manure quantities.</t>
  </si>
  <si>
    <t>Soil Fertility, NPK, Manure, Lime</t>
  </si>
  <si>
    <t>Planting - Green Gram - Maize</t>
  </si>
  <si>
    <t>Depth 3-5 cm (7.5 cm if dry, no crust); monocrop: 45x15 cm; intercrop: legume rows between main crop; seed rate: 4-5 kg/acre.</t>
  </si>
  <si>
    <t>Depth is critical, seed rate is low, intercropping arrangement.</t>
  </si>
  <si>
    <t>Planting, Depth, Spacing, Intercropping</t>
  </si>
  <si>
    <t>Weeding - Green Gram - Maize</t>
  </si>
  <si>
    <t>First at 2 weeks; second before flowering.</t>
  </si>
  <si>
    <t>Weeding before flowering is critical for yield.</t>
  </si>
  <si>
    <t>Weeding, Timing, Flowering</t>
  </si>
  <si>
    <t>Crop Rotation - Green Gram - Maize</t>
  </si>
  <si>
    <t>Rotate with non-legumes (maize, millet, sorghum, sweet potatoes, cassava); don't grow consecutive seasons.</t>
  </si>
  <si>
    <t>Legume rotation is essential to break diseases.</t>
  </si>
  <si>
    <t>Rotation, Non-Legumes, Disease Break</t>
  </si>
  <si>
    <t>Bean fly - Green Gram - Maize</t>
  </si>
  <si>
    <t>Leaves droop, yellow, dry; stem swells/cracks</t>
  </si>
  <si>
    <t>Seed dress is key, high risk in wet conditions.</t>
  </si>
  <si>
    <t>Bean Fly, Seed Dressing, Wilting</t>
  </si>
  <si>
    <t>Thrips - Green Gram - Maize</t>
  </si>
  <si>
    <t>Feed on flower stigma; flower abortion; shriveled grains</t>
  </si>
  <si>
    <t>Intercrop with repellents, chemical sprays.</t>
  </si>
  <si>
    <t>Thrips, Flower Abortion, Onions, Garlic</t>
  </si>
  <si>
    <t>Bean Aphids - Green Gram - Maize</t>
  </si>
  <si>
    <t>Feed on foliage/pods; distortion of leaves; stunting</t>
  </si>
  <si>
    <t>Natural enemies are important, soap solution.</t>
  </si>
  <si>
    <t>Bean Aphids, Sooty Mold, Neem</t>
  </si>
  <si>
    <t>Whitefly - Green Gram - Maize</t>
  </si>
  <si>
    <t>Transmits yellow mosaic virus</t>
  </si>
  <si>
    <t>Neem products are effective, yellow sticky traps.</t>
  </si>
  <si>
    <t>Whitefly, Yellow Mosaic, Neem</t>
  </si>
  <si>
    <t>Red spider mites - Green Gram - Maize</t>
  </si>
  <si>
    <t>Speckling of leaves; webs on underside; drying of plants</t>
  </si>
  <si>
    <t>Dish soap, abamectin products, early planting.</t>
  </si>
  <si>
    <t>Red Spider Mites, Abamectin, Soap</t>
  </si>
  <si>
    <t>Bruchids - Green Gram - Maize</t>
  </si>
  <si>
    <t>Holes in seeds; whitish larva/pupa inside</t>
  </si>
  <si>
    <t>Storage pest, Actellic dust, oil treatment.</t>
  </si>
  <si>
    <t>Bruchids, Actellic, Oil</t>
  </si>
  <si>
    <t>Powdery Mildew - Green Gram - Maize</t>
  </si>
  <si>
    <t>White powdery spots on leaves, stem, pods; turn dirty white</t>
  </si>
  <si>
    <t>Rotation with non-legumes, avoid overhead irrigation.</t>
  </si>
  <si>
    <t>Powdery Mildew, Rotation, Overhead Irrigation</t>
  </si>
  <si>
    <t>Harvesting - Green Gram - Maize</t>
  </si>
  <si>
    <t>When most pods turn black; pick individually or uproot whole plants; dry 2-5 days before threshing.</t>
  </si>
  <si>
    <t>Shattering risk, multiple pickings for high yield, drying.</t>
  </si>
  <si>
    <t>Harvesting, Pods, Drying, Shattering</t>
  </si>
  <si>
    <t>Threshing - Green Gram - Maize</t>
  </si>
  <si>
    <t>Test moisture by crushing grains with teeth; use stick on tarpaulin/bag or mechanical thresher.</t>
  </si>
  <si>
    <t>Over-threshing damages seed, sanitation.</t>
  </si>
  <si>
    <t>Threshing, Moisture, Tarpaulin</t>
  </si>
  <si>
    <t>Winnowing/Sorting - Green Gram - Maize</t>
  </si>
  <si>
    <t>Remove foreign materials; scoop grain subject to wind action.</t>
  </si>
  <si>
    <t>Quality grading is key to market price.</t>
  </si>
  <si>
    <t>Winnowing, Sorting, Foreign Matter</t>
  </si>
  <si>
    <t>Drying - Green Gram - Maize</t>
  </si>
  <si>
    <t>Dry to 12% moisture before storage.</t>
  </si>
  <si>
    <t>Moisture content impacts storage life.</t>
  </si>
  <si>
    <t>Drying, 12% Moisture</t>
  </si>
  <si>
    <t>Storage - Green Gram - Maize</t>
  </si>
  <si>
    <t>Clean bins/silos; fumigate; Actellic 50g/90kg bag; air-tight silos/hermetic bags.</t>
  </si>
  <si>
    <t>Actellic toxicity, airtight storage is safer.</t>
  </si>
  <si>
    <t>Storage, Actellic, Hermetic Bags</t>
  </si>
  <si>
    <t>Value Addition and Utilization - Green Gram - Maize</t>
  </si>
  <si>
    <t>Stew with rice, chapatti, Ugali, cassava or sweet potatoes; sprouts with lemon/salt; flour for soups, porridge, snacks, bread, noodles.</t>
  </si>
  <si>
    <t>Sprouting requires careful hygiene.</t>
  </si>
  <si>
    <t>Value Addition, Sprouting, Flour</t>
  </si>
  <si>
    <t>Agro-Ecological Requirements - Pigeon Pea - Maize</t>
  </si>
  <si>
    <t>Soil: Medium heavy loams; pH: 5.0-7.0 (tolerates 4.5-8.4); Temperature: 18-30°C; Rainfall: 400-750 mm; Altitude: 0-1800 m.</t>
  </si>
  <si>
    <t>Wide tolerance but heavy loams are best.</t>
  </si>
  <si>
    <t>Pigeon Pea, Soil, pH, Temperature, Rainfall</t>
  </si>
  <si>
    <t>Pigeon Pea Varieties - Maize</t>
  </si>
  <si>
    <t>Mbaazi 1 (ICPL 87091): 105-120 days, 400-800 kg/acre, determinate, 80-120 cm, susceptible to pod suckers/borers. KAT 60/8: 135-150 days, 400-1200 kg/acre, indeterminate, 85-130 cm, white grains with brown spots, susceptible to pod suckers/borers, tolerant to wilt/leaf spot. Mbaazi 2 (ICEAP 00040): 150-180 days, 520 kg/acre, indeterminate, 120-240 cm, two-season variety, greyish grains.</t>
  </si>
  <si>
    <t>Determinate vs Indeterminate, yield potential, maturity times.</t>
  </si>
  <si>
    <t>Pigeon Pea Varieties, Maturity, Indeterminate, Tolerance</t>
  </si>
  <si>
    <t>Seed Treatment - Pigeon Pea - Maize</t>
  </si>
  <si>
    <t>Protect from seed/soil borne diseases and pests; dress with dry formulation or wet slurry/liquid.</t>
  </si>
  <si>
    <t>Requires proper dressing technique, safety gear.</t>
  </si>
  <si>
    <t>Seed Treatment, Disease Control, Slurry</t>
  </si>
  <si>
    <t>Germination Test - Pigeon Pea - Maize</t>
  </si>
  <si>
    <t>100 seeds on moist newspaper; count emerged seedlings 7-11 days; calculate % germination.</t>
  </si>
  <si>
    <t>Seed viability, accurate counting.</t>
  </si>
  <si>
    <t>Germination, Viability, Testing</t>
  </si>
  <si>
    <t>Land Preparation - Pigeon Pea - Maize</t>
  </si>
  <si>
    <t>Medium tilt; avoid huge soil clods.</t>
  </si>
  <si>
    <t>Clods hinder germination, seedbed preparation.</t>
  </si>
  <si>
    <t>Land Preparation, Tilt, Seedbed</t>
  </si>
  <si>
    <t>Soil Fertility - Pigeon Pea - Maize</t>
  </si>
  <si>
    <t>Basal NPK (20:20:0 or 23:23:0) 50 kg/acre; N: 9-11 kg/acre; Rhizobium inoculation; can be used as green manure.</t>
  </si>
  <si>
    <t>N requirement for initial growth, inoculation.</t>
  </si>
  <si>
    <t>Soil Fertility, NPK, Inoculation, Green Manure</t>
  </si>
  <si>
    <t>Planting - Pigeon Pea - Maize</t>
  </si>
  <si>
    <t>Broadcast or drill 2.5-10 cm deep; seed rate: 10 kg/ha (4 kg/acre). Spacing - Mbaazi 1: 50x10 cm; KAT 60/8: 75x50 cm; Mbaazi 2: 100x50 cm (lower altitudes), reduce 20-30 cm at higher; Local: 120x60 cm. Intercropping: one row pigeon pea after one row cereal or one row pigeon pea + two rows maize; Mbaazi 1 as pure stand.</t>
  </si>
  <si>
    <t>Spacing differs by variety, intercropping arrangements.</t>
  </si>
  <si>
    <t>Weeding - Pigeon Pea - Maize</t>
  </si>
  <si>
    <t>First 2-3 weeks after germination; subsequent as needed.</t>
  </si>
  <si>
    <t>Timely weeding to reduce competition, later weedings may not be needed.</t>
  </si>
  <si>
    <t>Flower thrips - Pigeon Pea - Maize</t>
  </si>
  <si>
    <t>Shiny yellow/black insects; flower abortion/failure</t>
  </si>
  <si>
    <t>Causes direct yield loss, needs monitoring.</t>
  </si>
  <si>
    <t>Flower Thrips, Flower Abortion</t>
  </si>
  <si>
    <t>Aphids - Pigeon Pea - Maize</t>
  </si>
  <si>
    <t>Feed on foliage/pods; leaf distortion; stunting</t>
  </si>
  <si>
    <t>Damage to growing points, honeydew.</t>
  </si>
  <si>
    <t>Aphids, Distortion, Sooty Mold</t>
  </si>
  <si>
    <t>Pod borers - Pigeon Pea - Maize</t>
  </si>
  <si>
    <t>Yellowish/white/greenish/reddish-white caterpillars feed on flower buds/seeds</t>
  </si>
  <si>
    <t>Protected during feeding, hard to control.</t>
  </si>
  <si>
    <t>Pod Borers, Seed Damage</t>
  </si>
  <si>
    <t>Bruchids - Pigeon Pea - Maize</t>
  </si>
  <si>
    <t>Thin tunnels beneath seed coat; circular holes on surface</t>
  </si>
  <si>
    <t>Storage pest, hermetic bags, Actellic.</t>
  </si>
  <si>
    <t>Bruchids, Storage, Hermetic Bags</t>
  </si>
  <si>
    <t>Fusarium wilt - Pigeon Pea - Maize</t>
  </si>
  <si>
    <t>Use tolerant varieties (KAT 60/8); crop rotation; avoid wet soils.</t>
  </si>
  <si>
    <t>Soil-borne, resistant varieties are key.</t>
  </si>
  <si>
    <t>Fusarium Wilt, Tolerant Varieties, Rotation</t>
  </si>
  <si>
    <t>Harvesting - Pigeon Pea - Maize</t>
  </si>
  <si>
    <t>When most pods dry and turn brown; hand picking individual pods or cutting branches.</t>
  </si>
  <si>
    <t>Spreading harvest, shattering risk.</t>
  </si>
  <si>
    <t>Harvesting, Pods, Maturity</t>
  </si>
  <si>
    <t>Threshing - Pigeon Pea - Maize</t>
  </si>
  <si>
    <t>Mechanical or manual (sticks on tarpaulin/bag).</t>
  </si>
  <si>
    <t>Mechanical threshing can damage seeds.</t>
  </si>
  <si>
    <t>Threshing, Tarpaulin, Mechanical</t>
  </si>
  <si>
    <t>Winnowing/Sorting - Pigeon Pea - Maize</t>
  </si>
  <si>
    <t>Use winnowing trays ('uteo') or wind action; remove foreign materials.</t>
  </si>
  <si>
    <t>Quality grading for market.</t>
  </si>
  <si>
    <t>Grain Dressing and Storage - Pigeon Pea - Maize</t>
  </si>
  <si>
    <t>Dry to 13% moisture or less; dress with neem leaves, wood ash (4-6 kg/90kg bag) or Actellic (50g/90kg bag); air-tight drums/hermetic bags for consumption; gunny bags for planting seed (not air-tight).</t>
  </si>
  <si>
    <t>Actellic toxicity, treatment methods vary for seed.</t>
  </si>
  <si>
    <t>Dressing, Storage, Hermetic Bags, Actellic</t>
  </si>
  <si>
    <t>Value Addition and Utilization - Pigeon Pea - Maize</t>
  </si>
  <si>
    <t>Human food (whole grain, split/dehulled, dhal, green vegetable); livestock feed (leaves, husks); sprouted; hedges on dry soils/paddy bunds; baskets/firewood; shade/cover crop/windbreak.</t>
  </si>
  <si>
    <t>Multipurpose uses, processing skills.</t>
  </si>
  <si>
    <t>Value Addition, Dhal, Livestock Feed, Windbreak</t>
  </si>
  <si>
    <t>Agro-ecological Requirements - Cowpea - Maize</t>
  </si>
  <si>
    <t>Soil: Sandy to well-drained clays; pH: 5.0-6.5; Temperature: 20-35°C; Rainfall: 200-500 mm; Altitude: 0-1500 m.</t>
  </si>
  <si>
    <t>Prefers sandy soils, tolerant to low rainfall.</t>
  </si>
  <si>
    <t>Cowpea, Soil, pH, Temperature, Rainfall</t>
  </si>
  <si>
    <t>Cowpea Varieties - Maize</t>
  </si>
  <si>
    <t>Machakos 66 (M66): 80-95 days, 4-7 bags, tolerant to aphids/thrips, yellow mosaic, scab; Katumani 80 (K80): 75-85 days, 4-8 bags, resistant to aphids, moderately tolerant to thrips/pod borers; KVU 27-1: 70-90 days, 4-8 bags, dual purpose, moderately tolerant to aphids/thrips/pod borers, resistant to foliar fungi/mosaic; KVU-419: 65-72 days, 1-1.5 bags, mainly grain, tolerant to cold, fast drought recovery; Kunde-Faulu: 70-80 days, 7-10 bags, large grain, early maturing, tolerant to Alectra vogelii; Kunde-Tamu: 70-80 days, 7-9 bags, tender/sweet leaves, dual purpose; KAT-Kunde: 80-90 days, 6-9 bags, early maturing, tolerant to Alectra, dual purpose; Kunde-Soko: 80-90 days, 6-8 bags, large grain, early maturing, tolerant to Alectra; Kunde-Tumaini: 70-80 days, 6-9 bags, white grain, early maturing, tolerant to Alectra.</t>
  </si>
  <si>
    <t>Varieties have specific traits, maturity differences, dual-purpose types.</t>
  </si>
  <si>
    <t>Cowpea Varieties, Maturity, Disease Tolerance, Dual Purpose</t>
  </si>
  <si>
    <t>Germination Test - Cowpea - Maize</t>
  </si>
  <si>
    <t>Soak seeds overnight, wrap in moist cloth/newspaper, water 3x/day; ≥90% = good; &lt;60% = discard.</t>
  </si>
  <si>
    <t>Maintaining moisture, avoiding seed rot.</t>
  </si>
  <si>
    <t>Germination, Testing, Viability</t>
  </si>
  <si>
    <t>Land Preparation - Cowpea - Maize</t>
  </si>
  <si>
    <t>Fine tilth; deep, level, firm seedbed.</t>
  </si>
  <si>
    <t>Good drainage, fine tilth for small seeds.</t>
  </si>
  <si>
    <t>Land Preparation, Tilth, Seedbed</t>
  </si>
  <si>
    <t>(Duplicated row - see above)</t>
  </si>
  <si>
    <t>(Same as above)</t>
  </si>
  <si>
    <t>Soil Fertility - Cowpea - Maize</t>
  </si>
  <si>
    <t>Organic: 2.5 tons/acre manure. Inorganic: SSP 16 kg P/acre; thoroughly mix with soil.</t>
  </si>
  <si>
    <t>SSP is phosphorus-specific, mixing is essential.</t>
  </si>
  <si>
    <t>Soil Fertility, Manure, SSP, Phosphorus</t>
  </si>
  <si>
    <t>Planting - Cowpea - Maize</t>
  </si>
  <si>
    <t>Sole crop: erect/semi-erect - 60x20 cm (2 seeds/hole) = 66,400 plants/acre; spreading - 50x75 cm (2 seeds/hole, thin to 2) = 21,600 plants/acre. Intercrop with cereals: two equidistant rows between cereal rows at 20 cm; or one row with 2 seeds/hole. Seed depth: 2.0-2.5 cm. Seed rate: 12-25 kg/acre (depends on variety, seed size, cropping system, viability).</t>
  </si>
  <si>
    <t>Spacing differs for growth habit, seed rate range is wide.</t>
  </si>
  <si>
    <t>Planting, Spacing, Seed Rate, Intercropping</t>
  </si>
  <si>
    <t>Weeding - Cowpea - Maize</t>
  </si>
  <si>
    <t>First at 2 weeks; second 3 weeks later (before flowering); avoid weeding at flowering or when wet. Herbicides: pre-emergence (apply at/just before planting) + one manual weeding at 4-5 weeks.</t>
  </si>
  <si>
    <t>Weeding during flowering affects yield, pre-emergence herbicides.</t>
  </si>
  <si>
    <t>Weeding, Timing, Herbicides</t>
  </si>
  <si>
    <t>Crop Rotation - Cowpea - Maize</t>
  </si>
  <si>
    <t>Rotate with cassava, maize, sorghum, millet or non-leguminous crops.</t>
  </si>
  <si>
    <t>Essential to break diseases and soil fertility.</t>
  </si>
  <si>
    <t>Aphids - Cowpea - Maize</t>
  </si>
  <si>
    <t>Leaves curl, become chlorotic; black sooty mould covers leaf surface; transmit mosaic virus</t>
  </si>
  <si>
    <t>Viral transmission, sooty mould, yield loss.</t>
  </si>
  <si>
    <t>Aphids, Sooty Mold, Virus Transmission</t>
  </si>
  <si>
    <t>Pod borers - Cowpea - Maize</t>
  </si>
  <si>
    <t>Defoliation; larvae thrust head inside pods with body hanging out</t>
  </si>
  <si>
    <t>Direct damage to seeds, hanging out indicates heavy infestation.</t>
  </si>
  <si>
    <t>Pod Borers, Defoliation, Seed Damage</t>
  </si>
  <si>
    <t>Flower thrips - Cowpea - Maize</t>
  </si>
  <si>
    <t>Flowers brown, dried, distorted; drop prematurely; decreased pod production; deformed pods</t>
  </si>
  <si>
    <t>Direct cause of flower abortion, need monitoring.</t>
  </si>
  <si>
    <t>Flower Thrips, Flower Abortion, Deformed Pods</t>
  </si>
  <si>
    <t>Pod sucking bugs - Cowpea - Maize</t>
  </si>
  <si>
    <t>Suck sap from pods/seeds; necrosis; pod malformation; premature drying; shriveled seeds; empty pods</t>
  </si>
  <si>
    <t>Causes significant seed quality loss.</t>
  </si>
  <si>
    <t>Pod Sucking Bugs, Sap Sucking, Shriveling</t>
  </si>
  <si>
    <t>Cowpea Bruchids - Cowpea - Maize</t>
  </si>
  <si>
    <t>Larvae feed on seeds; adults emerge leaving small round holes</t>
  </si>
  <si>
    <t>Storage pest, Actellic, hermetic storage.</t>
  </si>
  <si>
    <t>Bruchids, Storage, Holes</t>
  </si>
  <si>
    <t>Leaves harvesting - Cowpea - Maize</t>
  </si>
  <si>
    <t>Young/tender leaves 3 weeks after planting at weekly intervals up to flowering; uproot entire plant at 3-5 true leaf stage for vegetables.</t>
  </si>
  <si>
    <t>Overharvesting reduces grain yield, timing is key.</t>
  </si>
  <si>
    <t>Leaf Harvesting, Vegetables, Timing</t>
  </si>
  <si>
    <t>Dry seed harvesting - Cowpea - Maize</t>
  </si>
  <si>
    <t>When pods fully mature and dry; early-maturing erect: one picking; indeterminate/prostrate: two or three pickings; harvest promptly to avoid shattering/weevil infestation.</t>
  </si>
  <si>
    <t>Shattering risk, multiple pickings for some varieties.</t>
  </si>
  <si>
    <t>Dry Seed Harvesting, Maturity, Shattering</t>
  </si>
  <si>
    <t>Threshing and winnowing - Cowpea - Maize</t>
  </si>
  <si>
    <t>Manual (thrashing on clean cement/tarpaulin, beating bagged pods with sticks) or mechanical; test moisture by biting/pinching grain (should crack, not bend); winnow against airflow.</t>
  </si>
  <si>
    <t>Damage risk, moisture check by pinching.</t>
  </si>
  <si>
    <t>Threshing, Winnowing, Moisture Test</t>
  </si>
  <si>
    <t>Moisture content before storage - Cowpea - Maize</t>
  </si>
  <si>
    <t>Dry to 10% on mats/plastic sheets/wire mesh trays; spread thinly; turn regularly; protect from rain, insects, animals, dirt.</t>
  </si>
  <si>
    <t>Low moisture is critical to prevent mould.</t>
  </si>
  <si>
    <t>Drying, Moisture, Mould</t>
  </si>
  <si>
    <t>Moisture check - Cowpea - Maize</t>
  </si>
  <si>
    <t>Salt test: clean dry bottle/jar with lid + handful of cowpea + 1 tsp salt; shake; if damp salt stuck to sides after 10 min = moisture &gt;13% (not dry).</t>
  </si>
  <si>
    <t>Quick test, but not as accurate as a moisture meter.</t>
  </si>
  <si>
    <t>Salt Test, Moisture, Accuracy</t>
  </si>
  <si>
    <t>Sorting and grading - Cowpea - Maize</t>
  </si>
  <si>
    <t>Remove broken, discoloured, rotten, pest-damaged, immature, shrivelled seeds and foreign matter.</t>
  </si>
  <si>
    <t>Quality affects price, remove disease.</t>
  </si>
  <si>
    <t>Sorting, Grading, Quality</t>
  </si>
  <si>
    <t>Storage - Cowpea - Maize</t>
  </si>
  <si>
    <t>Clean store; dry to &lt;13% (8-10% for long term); hermetic bags (PICS) protected from rats/mice; or dust with Actellic in metal/plastic silos.</t>
  </si>
  <si>
    <t>Actellic toxicity, PICS bags are safer for food.</t>
  </si>
  <si>
    <t>Storage, Hermetic Bags, Actellic</t>
  </si>
  <si>
    <t>Value Addition and Utilization - Cowpea - Maize</t>
  </si>
  <si>
    <t>Grain (shelled green/dried), pods/leaves (green vegetables), green manure; livestock feed from stems/leaves; cooked with vegetables/maize/spices/oil (thick soup) with rice/ugali/chapati; source of vitamins A, B, C; calcium, phosphorus, carbohydrates, protein, fibre; canned/frozen green grains.</t>
  </si>
  <si>
    <t>Multiple uses, canning/freezing, nutritional benefits.</t>
  </si>
  <si>
    <t>Value Addition, Vegetables, Nutrition, Livestock Feed</t>
  </si>
  <si>
    <t>Advantages/Importance of Farming as a Business - Maize</t>
  </si>
  <si>
    <t>Farmers get best out of farms/resources. Apply business methods: record keeping, benefit-cost analysis, marketing skills, group management, gender considerations, and communication skills. Involves weighing, sorting, grading, packaging at aggregation centres. Know what to produce, how, for whom, when, how much.</t>
  </si>
  <si>
    <t>High literacy/skills needed, record-keeping is tedious, market price volatility.</t>
  </si>
  <si>
    <t>Farming as Business, Record Keeping, Benefit-Cost, Marketing, Aggregation</t>
  </si>
  <si>
    <t>Farm Records and Record Keeping - Maize</t>
  </si>
  <si>
    <t>Written proof of what happened. Gathering operational data for future analysis (sales, costs, profits). Records include crops cultivated, livestock kept, varieties planted, management activities, quantity harvested.</t>
  </si>
  <si>
    <t>Time-consuming, need literacy, can be forgotten, must be reliable.</t>
  </si>
  <si>
    <t>Farm Records, Data Gathering, Analysis, Operational Data</t>
  </si>
  <si>
    <t>Importance of Record Keeping - Maize</t>
  </si>
  <si>
    <t>Essential for farm planning; credit sourcing; monitoring farm performance; decision making; insights on money spent/received; determine profit/loss.</t>
  </si>
  <si>
    <t>Poor records lead to missed opportunities, credit denial, bad decisions.</t>
  </si>
  <si>
    <t>Importance, Planning, Credit, Performance, Profit</t>
  </si>
  <si>
    <t>Common Types of Farm Records - Maize</t>
  </si>
  <si>
    <t>The common types include production records (performance of enterprises), labour records (hired/employed labour), cash flow records (cash in/out), home consumption records (household intake), fixed assets records (items on farm), and profit and loss records (economic performance).</t>
  </si>
  <si>
    <t>Managing multiple records can be complex, requires consistency.</t>
  </si>
  <si>
    <t>Record Types, Production, Labour, Cash Flow, Assets, Profit</t>
  </si>
  <si>
    <t>Markets and Marketing for Cereals and Legumes - Maize</t>
  </si>
  <si>
    <t>Market: place where buyers and sellers meet to exchange goods/services. Marketing: process bridging producers and consumers; involves finding consumer wants and supplying at a profit. Organized farming reduces storage/transportation costs; central management at aggregation centres; quality checks/grading; bargaining advantage.</t>
  </si>
  <si>
    <t>Access to markets, price volatility, quality standards, storage costs.</t>
  </si>
  <si>
    <t>Market, Marketing, Aggregation, Bargaining, Quality Checks</t>
  </si>
  <si>
    <t>CROP-031</t>
  </si>
  <si>
    <t>Inventory of Climate Smart Agriculture Technologies, Innovations and Management Practices for Finger Millet Value Chain</t>
  </si>
  <si>
    <t>https://navcdp.kalro.org/docs/kcsap/Final_Finger_Millet_TIMPs.pdf</t>
  </si>
  <si>
    <t>KALRO-AMRI-Katumani / Oduori C., et al.</t>
  </si>
  <si>
    <t>Millet</t>
  </si>
  <si>
    <t>Finger Millet Variety Maridadi</t>
  </si>
  <si>
    <t>An early maturing (90–120 days), synchronous in maturity and high yielding variety (1,100–4,900 kg ha⁻¹, depending on environment) that is resistant to blast, Striga and lodging, and tolerant to drought. Its characteristic features include brown grain colour, purple nodal pigmentation, incurved fist-like panicles; it is the most popular improved variety in western Kenya. Optimal environmental conditions: rainfall (600–900 mm annually), altitude (0–1,500 m a.s.l.) and soils (well-draining loams).</t>
  </si>
  <si>
    <t>Yields vary significantly with environment, Requires specific rainfall conditions, Not adapted to all agro-ecological zones, Seed availability may be limited outside western Kenya, May not perform well in high altitude areas</t>
  </si>
  <si>
    <t>finger millet, early maturing, drought tolerant, blast resistant, high yielding</t>
  </si>
  <si>
    <t>Finger Millet Variety KAK-Wimbi 1</t>
  </si>
  <si>
    <t>A late maturing (88–138 days) and high yielding variety (1,140–6,670 kg ha⁻¹, depending on environment). It is resistant to blast, Striga and lodging, and tolerant to drought. Characteristic features include brown grain colour, purple nodal pigmentation, robust plant type, stout stem, and large open purple panicles. Optimal environmental conditions: rainfall (600–900 mm annually), altitude (0–2,500 m a.s.l.) and soils (well-draining sandy loams).</t>
  </si>
  <si>
    <t>Late maturity may be unsuitable for short rain seasons, Organoleptic taste needs improvement, Yield depends on environment, Requires adequate rainfall throughout growing season, Seed multiplication still limited</t>
  </si>
  <si>
    <t>finger millet, late maturing, blast resistant, drought tolerant, wide adaptability</t>
  </si>
  <si>
    <t>Finger Millet Variety KAK-Wimbi 3</t>
  </si>
  <si>
    <t>A late maturing (87–130 days) and high yielding variety (1,290–6,350 kg ha⁻¹, depending on environment) that is resistant to blast, Striga and lodging, and tolerant to drought. Characteristic features include brown grain colour, purple nodal pigmentation, robust plant type, thick stout stem, and large open panicles. Optimal environmental conditions: rainfall (600–900 mm annually), altitude (0–2,500 m a.s.l.) and soils (well-draining sandy loams).</t>
  </si>
  <si>
    <t>Taste preferences may vary among consumers, Environment significantly affects yield, Requires well-draining sandy loam soils, Not suitable for waterlogged conditions, Seed availability may be limited</t>
  </si>
  <si>
    <t>finger millet, blast resistant, Striga resistant, drought tolerant, robust plant</t>
  </si>
  <si>
    <t>Finger Millet Variety KAK-Wimbi 2</t>
  </si>
  <si>
    <t>A late maturing (88–131 days) and high yielding variety (1,320–6,060 kg ha⁻¹, depending on environment) that is resistant to blast, Striga and lodging, and tolerant to drought. Its characteristic features include dark brown grain colour, deep purple plant pigmentation, erect plant type, and medium-sized straight panicles. Optimal environmental conditions: rainfall (600–900 mm annually), altitude (0–2,500 m a.s.l.) and soils (well-draining loams).</t>
  </si>
  <si>
    <t>Needs improvement in vigour, Low moisture environments may reduce yield, Requires further research in some areas, Not yet extensively tested across all regions, Seed availability limited</t>
  </si>
  <si>
    <t>finger millet, purple pigmentation, blast resistant, drought tolerant, high yielding</t>
  </si>
  <si>
    <t>Finger Millet Variety KAK-Wimbi 4</t>
  </si>
  <si>
    <t>A late maturing (87–130 days) and high yielding variety (1,400–5,500 kg ha⁻¹, depending on environment) that is tolerant to blast and drought, and resistant to Striga and lodging. Its characteristic features include brown grain colour, dark green robust erect plant type, and large open incurved panicles. Optimal environmental conditions: rainfall (600–900 mm annually), altitude (0–2,500 m a.s.l.) and soils (well-draining loams).</t>
  </si>
  <si>
    <t>Blast resistance needs improvement, Yield varies with environment, Limited dissemination outside test areas, Requires specific soil conditions, Seed multiplication limited</t>
  </si>
  <si>
    <t>finger millet, robust plant, Striga resistant, drought tolerant, open panicles</t>
  </si>
  <si>
    <t>Finger Millet Variety P-224</t>
  </si>
  <si>
    <t>A high yielding finger millet variety (1,200–4,900 kg ha⁻¹, depending on environment) that is moderately early in maturity (95–125 days). Characteristic features include brown grain colour with no anthocyanins (purple colouration) on leaves, nodes and panicles. It also has large open panicles with prominent grains; it is prone to post-maturity lodging, moderately susceptible to blast disease and susceptible to Striga. Optimal environmental conditions: rainfall (600–900 mm annually), altitude (0–2,500 m a.s.l.) and soils (well-draining loams). It has wide environmental adaptability.</t>
  </si>
  <si>
    <t>Prone to post-maturity lodging, Susceptible to blast disease, Susceptible to Striga, Poor threshability produces dust, Needs improvement for low moisture areas</t>
  </si>
  <si>
    <t>finger millet, high yielding, moderately early, large panicles, wide adaptability</t>
  </si>
  <si>
    <t>Finger Millet Variety KACIMMI 65</t>
  </si>
  <si>
    <t>An early maturing (87–118 days) and high yielding variety (1,335–4,010 kg ha⁻¹, depending on environment) that is resistant to blast, Striga and lodging, and tolerant to drought. Its characteristic features include brown grain colour and no pigmentation. Optimal environmental conditions: rainfall (600–900 mm annually), altitude (0–2,000 m a.s.l.) and soils (well-draining loams). Features: brown grain colour; no pigmentation; medium height; high tillering; medium-sized open panicles.</t>
  </si>
  <si>
    <t>Requires further testing through NPT and DUS, Not yet released for commercial production, Needs extensive on-farm validation, Seed not yet commercially available, Performance in different AEZs needs confirmation</t>
  </si>
  <si>
    <t>finger millet, early maturing, blast resistant, high tillering, drought tolerant</t>
  </si>
  <si>
    <t>Finger Millet Variety GBK 043254</t>
  </si>
  <si>
    <t xml:space="preserve">A high yielding, early maturing finger millet variety that is Striga resistant and tolerant to blast and drought. Characteristic features include whitish-brown grain colour; light purple pigmentation; medium height; and medium-sized open panicles with finger spikelet discontinuity. Optimal environmental conditions: rainfall (600–900 mm annually), altitude (0–2,000 m a.s.l.) and soils (well-draining loams). </t>
  </si>
  <si>
    <t>Needs testing through NPT and DUS, Not yet released for commercial use, Requires extensive on-farm validation, Seed availability not yet established, Performance needs confirmation in different environments</t>
  </si>
  <si>
    <t>finger millet, Striga resistant, early maturing, drought tolerant, gappy spikes</t>
  </si>
  <si>
    <t>Finger Millet Variety KACIMMI 49</t>
  </si>
  <si>
    <t>A high yielding, medium maturing finger millet variety that is also tolerant to Striga, blast and drought. Characteristic features include brown grain colour; no pigmentation; medium height; and medium-sized twisted finger panicles. Optimal environmental conditions: rainfall (600–900 mm annually), altitude (0–2,000 m a.s.l.) and soils (well-draining loams).</t>
  </si>
  <si>
    <t>Needs testing through NPT and DUS, Not yet released for commercial production, Requires on-farm validation, Seed not commercially available, Performance needs verification</t>
  </si>
  <si>
    <t>finger millet, medium maturing, Striga tolerant, drought tolerant, twisted panicles</t>
  </si>
  <si>
    <t>Finger Millet Variety Nakuru 1</t>
  </si>
  <si>
    <t>A high yielding (1,200–3,500 kg ha⁻¹, depending on environment), late maturing (120–210 days) finger millet variety. It is tolerant to cold and drought. Its characteristic features include dark brown grain colour, purple pigmentation and medium-sized open panicles. Optimal environmental conditions: rainfall (600–900 mm annually), altitude (1,750–2,500 m a.s.l.) and soils (well-draining loams). It is adapted to cold, dry highlands.</t>
  </si>
  <si>
    <t>Needs diversification in adaptability, Very late maturity (120–210 days), Limited testing in wider AEZs, Yields may be moderate compared to newer varieties, Requires cold dry highland conditions</t>
  </si>
  <si>
    <t>finger millet, cold tolerant, drought tolerant, late maturing, highland adapted</t>
  </si>
  <si>
    <t>Finger Millet Variety KAT FM 1</t>
  </si>
  <si>
    <t>An early maturing (80–115 days), drought tolerant finger millet variety with moderate yield (1,000–2,500 kg ha⁻¹). Features: brown grain colour; no pigmentation; medium height; high tillering; robust growth; open panicles; prominent grain. Optimal environmental conditions: rainfall (400–700 mm annually), altitude (0–1,200 m a.s.l.) and soils (well-draining loams).</t>
  </si>
  <si>
    <t>Needs improvement in blast resistance, Susceptible to blast in wetter areas, Needs lodging resistance improvement, Moderate yields compared to others, Best suited for low rainfall areas only</t>
  </si>
  <si>
    <t>finger millet, early maturing, drought tolerant, high tillering, low altitude</t>
  </si>
  <si>
    <t>Finger Millet Variety MSU FM 60D</t>
  </si>
  <si>
    <t>An early maturing (80–90 days) finger millet variety with moderate yield (average 3,120 kg ha⁻¹). Characteristic features include brown grain colour with no anthocyanins (purple colouration) on leaves, nodes and panicles. It also has large open panicles with prominent grains; it is prone to post-maturity lodging and moderately susceptible to blast disease. Optimal environmental conditions: rainfall (600–900 mm annually), altitude (0–1,500 m a.s.l.) and soils (well-draining loams).</t>
  </si>
  <si>
    <t>Prone to post-maturity lodging, Moderately susceptible to blast, Has poor threshability, Needs yield improvement, Best for moisture stress areas</t>
  </si>
  <si>
    <t>finger millet, very early maturing, drought tolerant, moderate yield, open panicles</t>
  </si>
  <si>
    <t>Finger Millet Variety EUFM-401</t>
  </si>
  <si>
    <t>A high yielding, early maturing (85–95 days) finger millet variety that is tolerant to blast, lodging and drought. It has brown grain colour, purple nodal pigmentation, medium height, high tillering, large open panicles and good threshability. Optimal environmental conditions: rainfall (500–700 mm annually), altitude (1,200–2,200 m a.s.l.) and soils (well-draining loams).</t>
  </si>
  <si>
    <t>Not yet extensively disseminated, Seed availability limited, Actual economic analysis yet to be conducted, Performance in different areas needs validation, Yield estimates need confirmation</t>
  </si>
  <si>
    <t>finger millet, early maturing, blast tolerant, good threshability, high tillering</t>
  </si>
  <si>
    <t>Finger Millet Variety EUFM-503</t>
  </si>
  <si>
    <t>A medium maturing (90–98 days) finger millet variety with moderate yield (1,500–2,500 kg ha⁻¹). Characteristic features include long multi-fingered panicles, high tillering capacity and resistance to blast. Optimal environmental conditions: rainfall (500–700 mm annually), altitude (1,200–2,200 m a.s.l.) and soils (well-draining loams).</t>
  </si>
  <si>
    <t>Not yet extensively disseminated, Seed availability limited, Moderate yield compared to high-yielding varieties, Needs validation in different areas, Best suited for medium moisture areas</t>
  </si>
  <si>
    <t>finger millet, blast resistant, high tillering, medium maturing, multi-fingered panicles</t>
  </si>
  <si>
    <t>Good Agricultural Practices (GAP) for Finger Millet</t>
  </si>
  <si>
    <t>The four 'pillars' of GAP (economic viability, environmental sustainability, social acceptability, and food safety and quality) are included in most private and public sector standards. GAP is a systematic process of implementing a standardized production system, designed globally to reassure consumers about how food is produced, through pre-farm-gate or on-farm standards. It is not about the production of a specific crop but about the process through which production takes place.</t>
  </si>
  <si>
    <t>Requires certification which may be costly, Compliance takes time and continuous improvement, May need sophisticated record keeping, Not all farmers can easily access certification, Requires training of all value chain players</t>
  </si>
  <si>
    <t>finger millet, food safety, quality assurance, standardization, risk prevention</t>
  </si>
  <si>
    <t>Food Safety Management System: Hazard Analysis and Critical Control Points (HACCP) Plan for the Finger Millet Value Chain in Kenya</t>
  </si>
  <si>
    <t>A food safety management system (FSMS) based on Hazard Analysis and Critical Control Points (HACCP) in the finger millet value chain is a system of food safety monitoring and control based on the systematic identification and assessment of various hazards. It is a preventive, rather than a reactive, tool that places the protection of the finger millet supply from biological, chemical and physical hazards into the hands of food safety management systems. This HACCP system is designed to minimize the risk of food safety hazards by identifying the hazards, establishing controls and monitoring these controls.</t>
  </si>
  <si>
    <t>Requires expert team (microbiologist, food scientist, public health officer), Involves extensive record keeping, May require laboratory testing, Implementation costs can be significant, Requires continuous monitoring and verification</t>
  </si>
  <si>
    <t>finger millet, HACCP, food safety, hazard prevention, quality control</t>
  </si>
  <si>
    <t>Planting Finger Millet in rows</t>
  </si>
  <si>
    <t>Finger millet is planted in rows at a spacing of 30 cm × 15 cm (inter-row × intra-row, respectively). Planting is done by making furrows at the specified spacing, drilling in fertilizer, then drilling in seed and covering the furrows. The intra-row spacing is attained by thinning the crop in a row to the specified spacing. This is in contrast to the old farmers' practice of broadcasting, which leads to cumbersome weeding.</t>
  </si>
  <si>
    <t>Requires accurate row spacing, Needs thinning for correct plant population, Requires more precision than broadcasting, May need specialized equipment, Labour required for thinning operations</t>
  </si>
  <si>
    <t>finger millet, row planting, weed control, precision farming, thinning</t>
  </si>
  <si>
    <t>Fertilizer in Finger Millet cultivation</t>
  </si>
  <si>
    <t>Fertilizer application for yield optimization in finger millet cultivation is at the rate of 100 kg ha⁻¹ of 20:20:0 NPK at planting and 100 kg ha⁻¹ of calcium ammonium nitrate (CAN) at top-dressing.</t>
  </si>
  <si>
    <t>Fertilizer application rates need refinement for different soils, Dry planting may require different fertilizer strategy, High cost of fertilizers, Not all farmers can afford, May need soil testing before application</t>
  </si>
  <si>
    <t>finger millet, fertilizer, NPK, top-dressing, yield optimization</t>
  </si>
  <si>
    <t>Timely/Early Planting of Finger Millet</t>
  </si>
  <si>
    <t>The practice of planting finger millet at the appropriate time in relation to the onset of the rains, e.g. in western Kenya by 15th March during the long rains.</t>
  </si>
  <si>
    <t>Unpredictability of rainfall onset, Climate change affects optimal planting dates, Dry planting without fertilizer may reduce yield, Needs access to meteorological forecasts, Adaptation needed for changing rainfall patterns</t>
  </si>
  <si>
    <t>finger millet, timely planting, rainfall onset, climate adaptation, early planting</t>
  </si>
  <si>
    <t>Integrated Manure Management (IMM)</t>
  </si>
  <si>
    <t>Integrated Manure Management (IMM) is the optimal, site-specific handling of livestock manure from collection, through treatment and storage up to application to crops.</t>
  </si>
  <si>
    <t>Labour intensive for collection and application, May propagate weed seeds, Can harbour pathogens if not properly treated, May increase GHG emissions if poorly handled, Requires proper storage facilities</t>
  </si>
  <si>
    <t>finger millet, manure management, soil fertility, organic matter, nutrient recycling</t>
  </si>
  <si>
    <t>Integrated Soil Fertility Management (ISFM)</t>
  </si>
  <si>
    <t>A set of soil fertility management practices that include the use of fertilizers, locally available organic inputs and improved seed, combined to adapt practices to local conditions. It emphasizes the efficient use of scarce resources such as fertilizer and organic inputs through techniques such as fertilizer banding (field application of fertilizer directly in the root zone to increase the potential for uptake) and microdosing (applying small quantities of fertilizer with the seed at planting time and a few weeks after emergence).</t>
  </si>
  <si>
    <t>Technically demanding, May not be responsive in all soils, Requires knowledge of fertilizer banding, Need soil testing for accurate recommendations, May require significant investment</t>
  </si>
  <si>
    <t>finger millet, ISFM, fertilizer banding, microdosing, soil health</t>
  </si>
  <si>
    <t>Rapid soil testing services</t>
  </si>
  <si>
    <t>This is a dry method of soil testing using light (spectroscopy): the interaction of electromagnetic radiation with matter to characterize the biochemical composition of soil and/or plant tissue. It requires the partners involved (ICRAF, iSDA and SoilCares) to work closely with KALRO and county agricultural officers to sensitize farmers to embrace the testing method.</t>
  </si>
  <si>
    <t>Requires specialized equipment and training, Need continuous updating of recommendations, May require sample verification in certified labs, Not all farmers may trust new method, Equipment costs may be high for service providers</t>
  </si>
  <si>
    <t>finger millet, soil testing, spectroscopy, nutrient analysis, precision agriculture</t>
  </si>
  <si>
    <t>Contour bunds</t>
  </si>
  <si>
    <t>Contour bunds are stone or earthen walls built across a slope to prevent runoff. Making furrows parallel to the contours ensures that rainfall and runoff are spread evenly over a field. The earthen bunds are formed by excavating a channel and creating a small ridge on the downhill side. Thus, contour bunds resemble narrow-channel terraces commonly referred to as "fanya chini" terraces. The technology is highly suitable for areas with unpredictable rains, especially the drought-prone areas (ASALs).</t>
  </si>
  <si>
    <t>Labour intensive construction, Risk of erosion if improperly laid, May require significant area, Maintenance required annually, May not be suitable for steep slopes</t>
  </si>
  <si>
    <t>finger millet, contour bunds, water conservation, soil erosion control, runoff management</t>
  </si>
  <si>
    <t>Zai Pits</t>
  </si>
  <si>
    <t>Zai pits are small planting pits typically measuring 15–30 cm in width and 10–20 cm in depth, spaced 60–80 cm apart. Zai pits harvest and store water for prolonged crop use. Farmers plant seeds into the pits after filling them with one to three handfuls of organic material such as manure, compost or dry plant biomass. The technology is highly suitable for areas with unpredictable rains, especially the drought-prone areas (ASALs).</t>
  </si>
  <si>
    <t>Labour intensive for construction, Needs organic matter which may not be available, May cost KES 40–100 per pit, Requires regular maintenance, Not suitable for large-scale without mechanization</t>
  </si>
  <si>
    <t>finger millet, zai pits, water harvesting, drought resilience, organic matter</t>
  </si>
  <si>
    <t>Bench terraces</t>
  </si>
  <si>
    <t>Bench terraces consist of a series of beds that are more or less level, running across a slope at vertical intervals and supported by steep banks or risers (walls or bunds). The flat beds created by bench terraces enable the cultivation of crops on medium to steep slopes. The technology is highly suitable for semi-arid to humid regions with rainfall of 700 mm or more; medium to steep slopes (12–47%); soil depth of more than 50 cm; and areas with no gullies or stones.</t>
  </si>
  <si>
    <t>Requires significant labour investment, Risk of erosion if improperly constructed, May need machinery for large-scale, Not suitable for slopes less than 12%, Requires skilled design and construction</t>
  </si>
  <si>
    <t>finger millet, bench terraces, soil conservation, slope cultivation, erosion control</t>
  </si>
  <si>
    <t>Fanya Juu Terraces</t>
  </si>
  <si>
    <t>'Fanya juu' terraces (juu is the Swahili word for 'up') are constructed by excavating soil and throwing it up-slope to make an embankment. The embankment forms a runoff barrier and the trench (ditch) is used to retain or collect runoff. The embankments are usually stabilized with fodder grasses. Crops such as finger millet may then be grown in the ditches. Through gradual redistribution of soils within the field, the terraces level off. The technology is highly suitable in areas with low annual rainfall (less than 700 mm); moderate slopes (less than 20%); deep soils (more than 60 cm); and hilly areas that are subject to widespread erosion.</t>
  </si>
  <si>
    <t>Labour intensive, Risk of erosion if improperly constructed, May not be suitable for steep slopes, Regular maintenance needed, Requires grass for stabilization</t>
  </si>
  <si>
    <t>finger millet, fanya juu, water harvesting, soil conservation, runoff collection</t>
  </si>
  <si>
    <t>Stone lines</t>
  </si>
  <si>
    <t>Stone lines are stones placed along contour lines to slow down runoff. With time, soil builds up on the upslope side of the stone line and a natural terrace is formed. The technology is suitable for gentle to moderate slopes (less than 10%); areas with low annual rainfall (200–750 mm); and stony areas.</t>
  </si>
  <si>
    <t>Labour intensive (requires 30–50 t ha⁻¹ of stones), Transport costs significant, Not suitable without stones available, May not work on steep slopes, Requires significant human effort</t>
  </si>
  <si>
    <t>finger millet, stone lines, soil conservation, runoff control, natural terracing</t>
  </si>
  <si>
    <t>Retention ditches</t>
  </si>
  <si>
    <t>Retention ditches are trenches designed to catch and retain incoming runoff and hold it until it infiltrates into the ground. They can be an alternative to waterways in high rainfall areas, but they are most often used in semi-arid areas to harvest water. The management practice is suitable in semi-arid areas; permeable, deep and stable soils; and on flat or gentle sloping land.</t>
  </si>
  <si>
    <t>Labour intensive construction, Must be properly designed, Requires suitable soil conditions, May collect water in undesirable areas, Needs maintenance after heavy rains</t>
  </si>
  <si>
    <t>finger millet, retention ditches, water harvesting, infiltration, runoff collection</t>
  </si>
  <si>
    <t>Grass strips</t>
  </si>
  <si>
    <t>Grass strips are dense strips of grass, up to 1 m wide, planted along a contour. With time, silt builds up above the strip and benches are formed. Grass strips can be planted along ditches to stabilize them, or on the risers of bench terraces to prevent erosion. They are a popular and easy way to terrace land, especially in areas with relatively high rainfall.</t>
  </si>
  <si>
    <t>Grass may become a weed in cropped areas, Requires regular trimming, Reduces cropped land area, May need appropriate grass species, Labour for maintenance required</t>
  </si>
  <si>
    <t>finger millet, grass strips, erosion control, soil conservation, fodder</t>
  </si>
  <si>
    <t>Tied ridges /Ridging /Earthing</t>
  </si>
  <si>
    <t>Tied ridges are small earthen ridges, 30 cm high, with an upslope furrow that accommodates water between ridges. In this technology, water flows down the small trenches/furrows running parallel and infiltrates into the crop root zones. Water is applied to the top end of each furrow and flows down the crop field under the influence of gravity.</t>
  </si>
  <si>
    <t>Labour intensive, Requires proximity to water source, Poor management may lead to water logging, Need suitable topography, Economic viability needs assessment</t>
  </si>
  <si>
    <t>finger millet, tied ridges, water conservation, furrow irrigation, moisture retention</t>
  </si>
  <si>
    <t>Rainwater harvesting systems (ponds and dams)</t>
  </si>
  <si>
    <t>Rainwater harvesting is a technique of collecting and storing rainwater in natural reservoirs or tanks, or of infiltrating surface water into subsurface aquifers (before it is lost as surface runoff). A vast number of techniques allow flexibility and adaptability to site-specific situations to best fight water scarcity and make agricultural production more resilient. Methods of rainwater harvesting include rooftop harvesting and harvesting through earth dams.</t>
  </si>
  <si>
    <t>High investment costs, May require communal land management, Risk of resource use conflicts, Requires regular de-silting, Vandalism risk for systems, Needs technical skills for installation</t>
  </si>
  <si>
    <t>finger millet, rainwater harvesting, water storage, earth dams, water conservation</t>
  </si>
  <si>
    <t>Conservation Agriculture</t>
  </si>
  <si>
    <t>A technology driven by three key principles: reduced soil disturbance, crop rotation and permanent/continuous soil cover.</t>
  </si>
  <si>
    <t>Needs mindset change, Requires crop residues which may not be available, Farmers reluctant without clear land rights, May affect disease dynamics (especially blast), Requires training and adaptation</t>
  </si>
  <si>
    <t>finger millet, conservation agriculture, minimum tillage, soil cover, crop rotation</t>
  </si>
  <si>
    <t>Scouting for timely identification and control of Finger millet pests and diseases</t>
  </si>
  <si>
    <t>This TIMP focuses on the regular application of field inspection and monitoring techniques to determine the presence of the different types of pests and diseases and their respective severities, in order to make decisions on how and when to control them.</t>
  </si>
  <si>
    <t>Requires regular time commitment, Requires knowledge of pest identification, May need training to be effective, Labour intensive, Need decision-making skills</t>
  </si>
  <si>
    <t>finger millet, pest scouting, disease monitoring, early warning, integrated pest management</t>
  </si>
  <si>
    <t>Cultural management of Shoot Fly (Atherigona soccata) in Finger millet</t>
  </si>
  <si>
    <t>Cultural management of shoot fly is the adoption of good crop husbandry on the farm, including weeding and clearing of alternate hosts around the farm, especially of the grass family; using high seeding rates during planting to achieve the desired optimum plant population; and practising crop rotation and intercropping with sunflower, cotton or legumes.</t>
  </si>
  <si>
    <t>Requires additional labour for weeding, May need crop rotation planning, Need access to alternative crops for intercropping, Not effective when pest pressure is high, May need combined with other IPM methods</t>
  </si>
  <si>
    <t>finger millet, shoot fly, cultural control, intercropping, crop rotation</t>
  </si>
  <si>
    <t>Identification of disease-free areas for production of Finger millet</t>
  </si>
  <si>
    <t>This management practice involves the selection of a suitable area or field for the cultivation of finger millet for better yields. Many fungal and bacterial diseases are more severe in wet areas than in dry areas. It is also advisable not to use the same field for finger millet year after year, since this may aggravate diseases such as seedling blight and Cercospora leaf spot. Field drainage is also important, since low-lying, waterlogged conditions favour most fungal diseases, such as damping off and root rot, in various agricultural crops.</t>
  </si>
  <si>
    <t>Requires understanding of disease epidemiology, May limit available cropping land, Need knowledge of field history, Not always possible with limited land, Requires crop rotation planning</t>
  </si>
  <si>
    <t>finger millet, disease-free areas, crop rotation, disease prevention, field selection</t>
  </si>
  <si>
    <t>Integrated Pest Management of Finger millet stem borer</t>
  </si>
  <si>
    <t>Integrated Pest Management (IPM) is the practice of using a combination of biological, cultural, mechanical, host plant resistance and chemical control practices for the management of stem borer in finger millet fields. In IPM, the use of agro-chemicals is usually considered as a last option, after undertaking all the other pest control practices and realizing that the pests are still attacking the crop. The cultural practices include use of resistant varieties if locally available, early planting with the first rains, intercropping millet with crops such as cowpeas, beans and pigeon peas, and destroying crop residues after harvest.</t>
  </si>
  <si>
    <t>Requires knowledge of multiple control methods, Needs planning before planting, May require investment in alternative crops, Chemical control still sometimes necessary, Requires understanding of pest life cycle</t>
  </si>
  <si>
    <t>finger millet, stem borer, IPM, biological control, cultural control</t>
  </si>
  <si>
    <t>Integrated Pest Management of cutworms in Finger millet</t>
  </si>
  <si>
    <t>Integrated control of finger millet cutworm is the use of a combination of biological, cultural and chemical control methods in finger millet fields to manage the pest.</t>
  </si>
  <si>
    <t>Biological controls may not be readily available, Chemical options may be expensive, Requires knowledge of pest life cycle, Cultural controls need planning, May require regular monitoring</t>
  </si>
  <si>
    <t>finger millet, cutworms, IPM, biological control, chemical control</t>
  </si>
  <si>
    <t>The use of soil amendments in suppressing soil-borne pathogens of Finger millet (leaf/head blast and millet smut)</t>
  </si>
  <si>
    <t>This is the use of compost, organic manure, and liquid extracts from herbs enriched with essential oils, phenols, organic acids and many other biocidal compounds to improve soil conditions and crop productivity and to aid in suppressing soil-borne pathogens.</t>
  </si>
  <si>
    <t>Requires validation of effectiveness, May need large quantities of organic matter, Not all amendments work equally, Can be labour intensive to apply, May require specific formulations for specific pathogens</t>
  </si>
  <si>
    <t>finger millet, soil amendments, compost, organic matter, disease suppression</t>
  </si>
  <si>
    <t>Control of Damping off of Finger millet by soil solarization</t>
  </si>
  <si>
    <t>Soil solarization is the placement of transparent plastic sheets over the production bed after sufficient irrigation to trap solar radiation, which then heats the soil layers, thus killing fungi, bacteria, oomycetes, nematodes, insects and weed seeds in the soil.</t>
  </si>
  <si>
    <t>Requires plastic which needs proper disposal, Only effective in sunny conditions, May need 4–6 weeks treatment, Not feasible for large areas, High initial investment for materials</t>
  </si>
  <si>
    <t>finger millet, soil solarization, damping off, plastic mulch, disease control</t>
  </si>
  <si>
    <t>Integrated Pest Management of root, stem and foliar aphids in Finger millet</t>
  </si>
  <si>
    <t>Integrated Pest Management (IPM) is the practice of using a combination of biological, cultural, mechanical, host plant resistance and chemical control practices for the management of aphids in finger millet fields. In IPM, the use of agro-chemicals is usually considered as a last option, after undertaking all the other pest control practices and realizing that the pests are still attacking the crop. The cultural practices include weeding to remove wild hosts, intercropping, use of resistant varieties if locally available, and use of biological control agents (e.g. parasitoids, predators and entomopathogenic fungi such as Lecanicillium lecanii).</t>
  </si>
  <si>
    <t>Biological control agents may not be readily available, Chemical options can be expensive, Plant extracts/botanicals need validation, Use of ammonia/soap solutions requires further research, Need regular monitoring</t>
  </si>
  <si>
    <t>finger millet, aphids, IPM, biological control, botanical pesticides</t>
  </si>
  <si>
    <t>Soil steam sterilization for the management of damping off and seedling blight diseases of Finger millet</t>
  </si>
  <si>
    <t>Soil steam sterilization is a technique used to kill soil-borne pathogens by injecting hot water vapour/steam into the soil using boilers and conductors.</t>
  </si>
  <si>
    <t>Requires specialized equipment (boilers, conductors), High investment cost, Not feasible for large-scale cultivation, Requires technical skills, May be too expensive for smallholders</t>
  </si>
  <si>
    <t>finger millet, soil steam sterilization, damping off, seedling blight, disease control</t>
  </si>
  <si>
    <t>Management of foliar diseases (Downy mildew and Cercospora leaf spot) of Finger millet by use of integrated disease management practices</t>
  </si>
  <si>
    <t>Integrated control of foliar diseases uses a combination of biological, cultural and chemical control methods in finger millet fields.</t>
  </si>
  <si>
    <t>Requires knowledge of multiple disease control methods, Chemical control may be expensive, Cultural practices need planning, Regular monitoring required, Biological control methods may not be readily available</t>
  </si>
  <si>
    <t>finger millet, downy mildew, Cercospora, disease management, IPM</t>
  </si>
  <si>
    <t>Community rangeland rehabilitation to increase populations of natural enemies for pest management in Finger millet</t>
  </si>
  <si>
    <t>Rangeland rehabilitation consists of applying a range of TIMPs with the purpose of reclaiming the productivity of the rangelands. The ultimate goal is to restore the structure and functioning of the original system. Examples of TIMPs include multi-purpose agroforestry species, range reseeding and soil erosion control.</t>
  </si>
  <si>
    <t>Takes long time for benefits, Requires community participation, High initial investment, May need policy support, Requires technical skills for implementation</t>
  </si>
  <si>
    <t>finger millet, rangeland rehabilitation, natural enemies, agroforestry, ecosystem restoration</t>
  </si>
  <si>
    <t>Integrated Weed Management in millet production</t>
  </si>
  <si>
    <t>Integrated Weed Management (IWM) is the management of weeds using two or more appropriate approaches, including preventive measures, planting in a clean seedbed, use of mulch (biodegradable or synthetic), cultural practices, rotation, intercropping and chemical control, depending on the weed types infesting the field. Cultural practices include transplanting rather than direct planting, proper fertilization, irrigation, and use of cover crops and plastic mulch to reduce weed populations. Physical control is the removal of weeds manually or by mechanical means, such as hand weeding or mowing. Farmers carry out manual weeding at 2–3 weeks after sowing, depending on the environment, weeds present, rainfall or soils. In chemical control, appropriate recommended herbicides registered by PCPB are applied to control weeds, strictly following the label.</t>
  </si>
  <si>
    <t>Requires knowledge of weed identification, Different weeds need different approaches, Herbicide use needs training, Manual weeding is labour intensive, Chemical costs may be high</t>
  </si>
  <si>
    <t>finger millet, integrated weed management, herbicides, manual weeding, cover crops</t>
  </si>
  <si>
    <t>Intercropping System in Millet production</t>
  </si>
  <si>
    <t>Innovative millet intercropping is the growing of two or more crops in a field at the same time, with the aim of enhancing agricultural production and obtaining efficient land use by reducing the weedy area. Intercropping systems are defined based on the temporal and spatial arrangements of the crops. There are several intercropping systems, such as mixed, strip and row intercropping patterns, and relay and alley intercropping. The farmers' common intercropping system involves planting crops such as vegetables (e.g. onions and kales) and cassava in between rows of millet or at the edge of plots. Innovative intercropping systems will involve arrangements that reduce weeds. More complex intercropping systems with more than two crops have also been tested.</t>
  </si>
  <si>
    <t>Knowledge intensive system, May impede mechanization, Requires understanding of crop compatibility, May lead to competition between crops, Need specific spacing and configurations</t>
  </si>
  <si>
    <t>finger millet, intercropping, mixed cropping, strip cropping, relay cropping</t>
  </si>
  <si>
    <t>Mulching for weed management in millet production</t>
  </si>
  <si>
    <t>The practice of covering the soil with natural or synthetic materials. Mulches can effectively control the germination of weeds at or near the soil surface. The two types of mulches are biodegradable (natural) and non-degradable (synthetic) mulches. Biodegradable mulches include straw, grass and dead leaves, and should be 5–10 cm deep to be effective. Non-degradable or synthetic mulches can also be used to control weeds in millet fields. Organic mulches suppress weeds; retain moisture in the soil; keep the soil cool; improve soil fertility (since the mulches decompose); and improve the microclimate, hence increasing biodiversity. Synthetic mulches solarize soils, control weeds and weed seeds, retain soil moisture and control diseases.</t>
  </si>
  <si>
    <t>Competing uses for crop residues, Labour intensive for application, May harbour insects/pests, Synthetic mulches require proper disposal, Small tears allow weed emergence</t>
  </si>
  <si>
    <t>finger millet, mulching, organic mulch, synthetic mulch, weed control</t>
  </si>
  <si>
    <t>Herbicide (Chemical) Weed Control in millet production</t>
  </si>
  <si>
    <t>Chemical weed control refers to any technique that involves the application of herbicides to weeds or the soil to control the germination and growth of weed species. Herbicide weed control is a technology that requires intensive knowledge of the herbicides' mode of action, the herbicides that are selective for millet, the conditions necessary for application to be effective, the type of soil, when to apply and how the application is done. Use only recommended herbicides registered by the Pest Control Products Board (PCPB).</t>
  </si>
  <si>
    <t>Requires knowledge of herbicide selection, Risk of environmental contamination, Need safe handling training, May affect non-target organisms, Requires calibration of equipment</t>
  </si>
  <si>
    <t>finger millet, herbicides, chemical weed control, selective herbicides, safe handling</t>
  </si>
  <si>
    <t>Soil solarization for weed control in millet production</t>
  </si>
  <si>
    <t>Soil solarization is a technique that involves the placement of transparent polythene sheets over the production bed after sufficient irrigation to trap solar radiation, which then heats the soil layers to a temperature high enough to kill weed seeds, pathogens and other soil-borne pests. The technique can increase soil temperature by 8–12 °C over non-mulched soil.</t>
  </si>
  <si>
    <t>Requires plastic which needs proper disposal, Only effective in sunny conditions, Not feasible for large areas, High initial investment, Effectiveness depends on soil depth and exposure time</t>
  </si>
  <si>
    <t>finger millet, soil solarization, weed control, polythene mulch, solar energy</t>
  </si>
  <si>
    <t>Stale seed bed for Weed Control in millet</t>
  </si>
  <si>
    <t>In the stale seedbed (or "false" seedbed) technique, weeds are allowed to germinate with rainfall or wetting and are then killed (after 1–2 flushes of weeds) before sowing clean certified millet seed. They are killed using glyphosate or glufosinate-ammonium. At this stage, shallow cultivation or non-residual paraquat may be used to destroy dense flushes of young weed seedlings. This is followed by sowing the selected millet variety. Use recommended pesticide registered by PCPB and strictly adhere to the instructions on the label.</t>
  </si>
  <si>
    <t>Requires herbicide use, Timing is critical, Need irrigation or rainfall for weed flush, May delay planting, Requires monitoring of weed emergence</t>
  </si>
  <si>
    <t>finger millet, stale seed bed, weed control, glyphosate, flush weeding</t>
  </si>
  <si>
    <t>Mechanical weed control in millet</t>
  </si>
  <si>
    <t>Prepare the land well using hand tools to get a weed-free seedbed. Sow clean certified seed into a weed-free field. Sowing is done in rows to facilitate inter-row weeding. Timely weeding is most effective at 2–3 weeks after sowing. Monitor weeds weekly and do a second weeding 2–3 weeks later. Avoid delayed weeding, which may result in weed takeover and consequent severe competition with the millet. Use appropriate tools for weeding to avoid stress to the millet from disturbance and root damage, because young millet plants are very sensitive. Intra-row weeds can be removed by hand pulling.</t>
  </si>
  <si>
    <t>Labour intensive, Timely weeding critical, Risk of crop damage during weeding, Appropriate tools may not be available, Requires regular monitoring</t>
  </si>
  <si>
    <t>finger millet, mechanical weeding, manual weeding, inter-row weeding, timely weeding</t>
  </si>
  <si>
    <t>Crop Rotation in Millet</t>
  </si>
  <si>
    <t>This is the growing of different crops in succession on a piece of land to avoid exhausting the soil and to control weeds, pests and diseases. A good weed control strategy starts with a crop rotation schedule incorporated for optimal millet production and yield. Land is divided into a number of distinct areas where the crops will be rotated every year. Keep plants of the same type together, e.g. millet – maize – sorghum. Millet is a heavy feeder and should follow legumes. Rotation adds diversity to the cropping system, increases its sustainability and provides the foundation for long-term weed management.</t>
  </si>
  <si>
    <t>Requires planning and organization, Small farms may limit rotation options, Knowledge of appropriate rotations needed, May reduce area for millet in some years, Requires access to alternative crops</t>
  </si>
  <si>
    <t>finger millet, crop rotation, weed management, sustainable agriculture, crop diversity</t>
  </si>
  <si>
    <t>Safe Use of herbicides in millet production</t>
  </si>
  <si>
    <t>Capacity building of farmers and crop protection teams on the safe handling and use of herbicides, from transportation from the agro-dealers to storage in their homes, mixing procedures and application in the field, in order to ensure the safety of the crop, the person handling them and the environment at large. The technology will include proper methodologies for herbicide disposal to minimize environmental pollution.</t>
  </si>
  <si>
    <t>Not safe for expectant women, Herbicides and protective gear are expensive, Illiteracy may hinder safe use, Need proper training for all users, Herbicide disposal requires special facilities</t>
  </si>
  <si>
    <t>finger millet, herbicide safety, personal protective equipment, safe handling, environmental protection</t>
  </si>
  <si>
    <t>Maturity and harvesting Techniques</t>
  </si>
  <si>
    <t>This is a management practice involving identification of maturity indices, pre-harvest operations and the actual harvesting procedure. Millet grains should be harvested as soon as they are physiologically mature. Late harvesting may lead to lodging, resulting in losses and grain deterioration due to rapid changes in temperature and humidity. In hand harvesting, the panicle is cut from the standing stalk at about 16–20% moisture content and the stalks are used as animal feed.</t>
  </si>
  <si>
    <t>Requires knowledge of maturity indices, Harvesting at wrong stage reduces quality, Need proper timing for optimal yields, Moisture content needs monitoring, Labour intensive harvesting</t>
  </si>
  <si>
    <t>finger millet, harvesting, maturity indices, moisture content, postharvest management</t>
  </si>
  <si>
    <t>Reducing Postharvest Yield and Quality Losses in Finger Millet Production</t>
  </si>
  <si>
    <t>This TIMP discusses the management of losses after harvesting finger millet. These operations comprise harvesting, harvest transportation, drying, threshing, winnowing, grain transportation and storage. Before finger millet is harvested, farmers experience some losses caused by birds and other field pests (rodents or wild/domesticated animals) and by shattering. Other losses emanate from harvesting before maturity and harvesting during the rainy season.</t>
  </si>
  <si>
    <t>Bird damage is a major challenge, Lack of harvesting/threshing equipment, Early planted millet more vulnerable, Losses up to 15% in early planting, Need pest management in the field</t>
  </si>
  <si>
    <t>finger millet, postharvest losses, bird damage, shattering, quality management</t>
  </si>
  <si>
    <t>Millet threshing and winnowing</t>
  </si>
  <si>
    <t>Millet can be threshed manually by beating the plants on a cement floor, or by beating bagged grain with sticks once the grain is dry enough. Various types of threshing machines, powered by petrol, diesel or electricity, are available in different sizes for small-, medium- and large-scale threshing of millet. Irrespective of the method used, millet seed can be easily damaged if threshed too roughly or when too dry. Thresh the dry millet grain on a clean surface such as a tarpaulin and then dry the threshed grain on a clean surface for two sunny days. Dry millet grain is winnowed to remove chaff, dust and foreign matter such as stones, and broken, shrivelled, mouldy, insect-damaged, rotten, discoloured or faded grains, and any remaining plant parts. Winnowing is done using a winnowing tray ('uteo') to separate the dry grain from the soil matter before sorting.</t>
  </si>
  <si>
    <t>Seed damage if threshed too roughly, Poultry eat grain during traditional threshing, Drying on ground causes contamination, Winnowing removes valuable fine grains, Threshing machines may not be available</t>
  </si>
  <si>
    <t>finger millet, threshing, winnowing, grain cleaning, postharvest</t>
  </si>
  <si>
    <t>Finger Millet grain drying</t>
  </si>
  <si>
    <t>Threshed grain should be dried on mats, plastic sheets or wire mesh trays raised on a platform, or in mechanized solar dryers or electricity-powered dryers. The grain should be spread thinly on the drying surface to allow air to pass through it and turned regularly to avoid overheating. Test the grain to see if it is dry enough for storage or market by biting it or pinching it with your fingernails. When dry enough, the grain should break or crack rather than bend or stick between the teeth or fingernails.</t>
  </si>
  <si>
    <t>Risk of contamination if dried on ground, Overheating can reduce quality, Need protection from birds/animals, May require equipment investment, Moisture content must be monitored</t>
  </si>
  <si>
    <t>finger millet, grain drying, solar dryer, moisture content, quality preservation</t>
  </si>
  <si>
    <t>Finger Millet grain storage</t>
  </si>
  <si>
    <t>Millet grain should be sun-dried to the recommended moisture content of 12–13%. Use hermetic bags such as PICS (Purdue Improved Crop Storage) bags to store grain under airtight conditions and keep insects away from the grain. Place the grain in the innermost bag and tie this bag tightly. Then tie the middle bag, and finally tie the outermost bag. When all the bags are tied, any insects in the grain die from lack of oxygen. It is not necessary to treat grain against storage pests when using hermetic bags. Ensure the hermetic bags are protected from rats and mice for them to remain effective.</t>
  </si>
  <si>
    <t>Pest infestation causes total loss within 10–12 months, Hermetic bags can be damaged by rodents, Need proper moisture content before storage, Traditional storage methods may fail, Cost of hermetic bags may be high</t>
  </si>
  <si>
    <t>finger millet, grain storage, hermetic bags, PICS bags, pest control</t>
  </si>
  <si>
    <t>Finger Millet Crackie Snack Food Product</t>
  </si>
  <si>
    <t>A dry snack food product made from finger millet, sweet potato, spices and wheat flour.</t>
  </si>
  <si>
    <t>May require KEBS certification, Packaging materials underdeveloped, Need appropriate promotion, May have product prejudice, Require commercial production facilities</t>
  </si>
  <si>
    <t>finger millet, snack food, value addition, crackies, food processing</t>
  </si>
  <si>
    <t>Finger Millet TAMUU Paste Food Product</t>
  </si>
  <si>
    <t>A paste food product made from finger millet that can be used as bread spread or consumed directly.</t>
  </si>
  <si>
    <t>Requires KEBS certification, Need appropriate packaging, May require validation with other legume ingredients, Require specific processing machines, Investment needed for commercialization</t>
  </si>
  <si>
    <t>finger millet, paste food, bread spread, value addition, food processing</t>
  </si>
  <si>
    <t>Finger Millet Onion bites Food Product</t>
  </si>
  <si>
    <t>A snack food product made from finger millet, sweet potato, wheat flour and onions.</t>
  </si>
  <si>
    <t>May need food safety certification, Packaging materials underdeveloped, Requires promotion campaigns, May face prejudice on orphan crops, Need small-scale entrepreneur engagement</t>
  </si>
  <si>
    <t>finger millet, onion bites, snack food, value addition, food processing</t>
  </si>
  <si>
    <t>Finger Millet Cake Food Product</t>
  </si>
  <si>
    <t>A cake made from a finger millet – wheat flour composite.</t>
  </si>
  <si>
    <t>Requires baking facilities, May need KEBS certification, Community ovens need validation, Packaging and promotion needed, May face market acceptance challenges</t>
  </si>
  <si>
    <t>finger millet, cake, composite flour, bakery, value addition</t>
  </si>
  <si>
    <t>Finger Millet Chapatti Food Product</t>
  </si>
  <si>
    <t>A main meal dish made from a finger millet – wheat flour composite.</t>
  </si>
  <si>
    <t>Colour prejudice may affect acceptance, Requires promotion campaigns, Need proper packaging, May need variety selection for optimal quality, Requires further research on variety effect</t>
  </si>
  <si>
    <t>finger millet, chapatti, composite flour, staple food, value addition</t>
  </si>
  <si>
    <t>Finger Millet Mandazi Food Product</t>
  </si>
  <si>
    <t>A snack food product made from a finger millet – wheat flour blend.</t>
  </si>
  <si>
    <t>Requires appropriate packaging, Need promotion campaigns, May face colour prejudice, Need commercial production facilities, Market acceptance may vary</t>
  </si>
  <si>
    <t>finger millet, mandazi, snack food, composite flour, value addition</t>
  </si>
  <si>
    <t>Finger Millet Blended and Composite Flour Product</t>
  </si>
  <si>
    <t>Flour products made from finger millet – wheat or maize flour composite.</t>
  </si>
  <si>
    <t>Requires nutrient composition validation, Need appropriate packaging and promotion, May require KEBS certification, Consumer awareness needed, Shelf life studies required</t>
  </si>
  <si>
    <t>finger millet, composite flour, blending, wheat flour, maize flour</t>
  </si>
  <si>
    <t>Finger Millet Biscuit Snack Food Product</t>
  </si>
  <si>
    <t>Snack food product made from finger millet – wheat flour composite.</t>
  </si>
  <si>
    <t>Requires nutrient composition validation, Community ovens/cutters need validation, Need packaging and promotion, May require KEBS certification, Market acceptance challenges</t>
  </si>
  <si>
    <t>finger millet, biscuits, snack food, composite flour, value addition</t>
  </si>
  <si>
    <t>Power Tiller</t>
  </si>
  <si>
    <t>A power tiller, also referred to as a walking tractor, is a low-powered, two-wheeled agricultural implement of 6–12 kW that can be fitted with implements such as a rotary tiller, disk harrow, mouldboard plough, trailer, chisel or water pump at alternate times to ease farm operations. One operator can complete one hectare in two hours.</t>
  </si>
  <si>
    <t>High initial cost. May not be affordable to smallholders, Requires operator training, Fuel and maintenance costs, May not be gender-friendly without modifications</t>
  </si>
  <si>
    <t>finger millet, power tiller, mechanization, walking tractor, rotary tiller</t>
  </si>
  <si>
    <t>4-Wheeled Tractor (37 kW)</t>
  </si>
  <si>
    <t>A small, 4-wheeled tractor is a low-powered agricultural implement of 30–41 kW that can be fitted with a rotary tiller, disk harrow, mouldboard plough, trailer, chisel or water pump at alternate times to ease farm operations. One operator can cover 4 ha in 8 hours, or two operators working in shifts can cover 8 ha per day.</t>
  </si>
  <si>
    <t>Very high initial cost. May not be suitable for small farms, Requires trained operators, Expensive maintenance and fuel, May not be gender-friendly</t>
  </si>
  <si>
    <t>finger millet, tractor, mechanization, 37 kW tractor, agricultural machinery</t>
  </si>
  <si>
    <t>Mouldboard Plough</t>
  </si>
  <si>
    <t>The mouldboard plough is an agricultural implement generally considered to be an important tillage implement. Mouldboard ploughs are available for power tiller and tractor operation. A mouldboard plough does four jobs, namely a) cutting the furrow slice, b) lifting the furrow slice, c) inverting the furrow slice and d) pulverizing the furrow slice. Ploughing accounts for more traction energy than any other field operation.</t>
  </si>
  <si>
    <t>High cost. Needs tractor for operation, May invert soil too deeply, Can cause soil degradation if overused, Requires operator skill</t>
  </si>
  <si>
    <t>finger millet, mouldboard plough, tillage, soil inversion, ploughing</t>
  </si>
  <si>
    <t>Disk Harrow</t>
  </si>
  <si>
    <t>A disk harrow is a farm implement used for surface tillage to pulverize soil, break up crop residues, uproot weeds and cover seed. It is used after ploughing to break up and smooth out the surface of the soil. The purpose of harrowing is to break up clods and to provide a soil structure, called tilth, that is suitable for planting seeds. Coarser harrowing may also be used to remove weeds and to cover seed after sowing.</t>
  </si>
  <si>
    <t>High cost. Needs tractor/power tiller for operation, May not be affordable to smallholders, Requires maintenance, May compact soil if used improperly</t>
  </si>
  <si>
    <t>finger millet, disk harrow, secondary tillage, seedbed preparation, soil pulverization</t>
  </si>
  <si>
    <t>Small grain planter</t>
  </si>
  <si>
    <t>An implement consisting of a heavy frame fitted with separate hoppers for fertilizer and seed. It is wheel-driven to rotate the seed and fertilizer dispenser sprockets. Calibration of seed and fertilizer is done separately by interchanging pairs of gears to match the required gear ratio. It has coulters to open a furrow for delivery of seed and fertilizer, while another coulter covers the planted furrow. The planter is pulled over harrowed land to plant.</t>
  </si>
  <si>
    <t>Requires training for calibration, Seed jamming may occur, Fertilizer distribution may not be uniform, Requires well-prepared soil</t>
  </si>
  <si>
    <t>finger millet, grain planter, precision planting, seed calibration, mechanization</t>
  </si>
  <si>
    <t>Motorized Sprayer</t>
  </si>
  <si>
    <t>A motorized sprayer is a device used to spray a liquid. In agriculture, it is a piece of equipment used to apply herbicides, pesticides and fertilizers on agricultural crops. Sprayers are man-portable units, typically backpacks with spray guns. They are used to control weeds that can harbour insects (by use of herbicides), insect pests that can cause diseases (by use of insecticides) and fungal diseases (by use of fungicides), and to apply micronutrients to plants. Use only pesticides registered by PCPB and strictly adhere to the instructions on the label.</t>
  </si>
  <si>
    <t>High cost. Requires safe chemical handling, Risk of chemical exposure, Needs maintenance, Spray drift can affect non-target areas</t>
  </si>
  <si>
    <t>finger millet, motorized sprayer, pesticide application, chemical spraying, crop protection</t>
  </si>
  <si>
    <t>Finger Millet Machine harvesting</t>
  </si>
  <si>
    <t>The modern combine harvester is a versatile machine designed to harvest a variety of grain crops efficiently. The name derives from its combining four separate harvesting operations (reaping, threshing, gathering and winnowing) into a single process. Among the crops harvested with a combine are wheat, rice, oats, rye, barley, corn (maize), sorghum, soybeans, flax (linseed), sunflowers, rapeseed and finger millet.</t>
  </si>
  <si>
    <t>Very high initial investment, Not suitable for small farms, Requires skilled operators, Harvesting losses if not well calibrated, May not be available in all regions</t>
  </si>
  <si>
    <t>finger millet, combine harvester, mechanical harvesting, threshing, grain gathering</t>
  </si>
  <si>
    <t>Transformative Model of Finger Millet Production</t>
  </si>
  <si>
    <t>An approach to organize finger millet production based on market orientation, transforming smallholder farmers from subsistence to semi-commercial to fully commercial levels. At subsistence, farmers use traditional inputs and outputs consumed at home. At semi-commercial, both traditional and improved inputs are used with output partly consumed and partly marketed. At fully commercial, inputs are accessed from markets and outputs solely for markets. Without transformation, the crop remains subsistence and commercialization will not be attainable, leading to decline in production and income.</t>
  </si>
  <si>
    <t>Disorganized and scattered farmers; Small-scale farming; Group dynamics; Limited investment by buyers; Prices of finger millet fluctuate; Level of policy support</t>
  </si>
  <si>
    <t>finger millet, transformative model, commercialization, subsistence, market orientation, value chain</t>
  </si>
  <si>
    <t>Building a Business Plan for Finger Millet Production</t>
  </si>
  <si>
    <t>A finger millet business plan serves as an internal management and organizing tool, used to communicate outside the business, or both. It addresses unplanned and traditional production leading to lack of production targets, losses and market failure. With a business plan, farmers and rural entrepreneurs can take the first step toward creating a successful and sustainable business. Users include farmers, traders and processors. Dissemination through trainings, factsheets, manuals, FFBS and AIP.</t>
  </si>
  <si>
    <t>Disorganized and scattered farmers; Small-scale farming; Inadequate information to stakeholders; Levels of policy support; Levels of education; Low adoption of business planning; Basic costs and estimated returns to be established</t>
  </si>
  <si>
    <t>finger millet, business plan, agribusiness, enterprise management, financial planning, market access</t>
  </si>
  <si>
    <t>Collective Marketing</t>
  </si>
  <si>
    <t>Marketing as a group where farmers establish an entity to create market links, involving formation of a group of farmers with the objective of reducing market inaccessibility. Due to small-scale farming, marketing as a group enables farmers to gain from economies of scale. Advantages include bigger volumes, uniform quality, reliable sellers, reliable buyers, continuous supply, higher price and organization. Critical factors include production programme outlined, selling produce before collective sale, farmer ability to deliver agreed amount, side-selling, bad weather and variable quality.</t>
  </si>
  <si>
    <t>Disorganized and scattered farmers; Small-scale farming; Inadequate information to stakeholders; Defining production programmes; Levels of policy support; Low commitment; Low volume due to side-sales; Lack of trust among members</t>
  </si>
  <si>
    <t>finger millet, collective marketing, farmer groups, economies of scale, market access, producer organization</t>
  </si>
  <si>
    <t>Profitability Analysis</t>
  </si>
  <si>
    <t>Profitability analysis involves recording of costs and returns and determination of profit which indicates the performance of the finger millet agro-enterprise. It reviews the management success and sustainability of the finger millet business and indicates areas of adjustment. Users include farmers, extension, NGOs and researchers. Critical factors include record keeping of costs and returns, ability of farmers to keep records. Challenges include inability of farmers to keep records and use of non-costed family labour.</t>
  </si>
  <si>
    <t>Youth, women and men; High costs applicable to youth, women and men; Basic costs and estimated returns to be established</t>
  </si>
  <si>
    <t>finger millet, profitability analysis, cost analysis, returns, record keeping, enterprise performance</t>
  </si>
  <si>
    <t>Market Research for Finger Millet Farmers</t>
  </si>
  <si>
    <t>Market research gathers information on the product buyer, demand, type required, minimum volume purchased, collective marketing volume, quality, packaging requirements, frequency of delivery, purchase price, means of payment and willingness to buy from local farmers. It addresses failure of smallholder farmers in gathering market information, leading to knowledge asymmetries and poor connectivity to distant markets. Without market research, farmers remain market disintegrated with low market participation.</t>
  </si>
  <si>
    <t>Issues related to increasing production from existing group; Issues related to increasing production from increasing size of existing groups; Participation by youth, women and men in scaling up plan; Basic costs and estimated returns to be established</t>
  </si>
  <si>
    <t>finger millet, market research, market information, buyer requirements, market access</t>
  </si>
  <si>
    <t>Contracted Finger Millet Production Model</t>
  </si>
  <si>
    <t>Contract farming involves investment by private companies, extending lines of credit to producers in the form of farming inputs and technical assistance. Contractors commit to buy the entire product at an agreed price while producers avail desired produce for sale. Benefits include market access, increased incomes, reduction in price fluctuation risk, credit and financial intermediation, timely provision of inputs, monitoring and labour incentives, reduction of production risk, introduction of higher-value crops, improved collective bargaining, household spill-over benefits and improved access to extension. A written contract is recommended.</t>
  </si>
  <si>
    <t>Disorganized and scattered farmers; Small-scale farming; Lack of information by part of the producers; Level of policy support; Conflicts with traditional farming; Basic costs and estimated returns to be established</t>
  </si>
  <si>
    <t>finger millet, contract farming, market access, input credit, production agreement, price stability</t>
  </si>
  <si>
    <t>Marketing Innovation Model</t>
  </si>
  <si>
    <t>Marketing innovation encompasses entrepreneurship where farmers undertake technology modification, finance and business acumen in an effort to transform innovations into economic goods and ultimately profit. It involves product diversification which develops various marketing channels. Failure to apply innovation in marketing of finger millet leads to narrow market outlook. Critical factors include organization of farmers, availability of innovations, achievement of profit, access to finance, availability of facilitators, availability of many traders, production volume and quality.</t>
  </si>
  <si>
    <t>Small-scale farming; Availability of information; Profitability in finger millet farming; Levels of policy support; Conflicts with traditional methods; Use of pesticides and disposal; Basic costs and estimated returns to be established</t>
  </si>
  <si>
    <t>finger millet, marketing innovation, entrepreneurship, product diversification, value addition, market channels</t>
  </si>
  <si>
    <t>Internet/Mobile Marketing</t>
  </si>
  <si>
    <t>Internet/mobile marketing refers to the online marketplace that provides buyers and sellers with an avenue to meet and exchange goods and services, including a variety of online platforms, tools and content delivery systems. It is increasingly becoming mandatory for businesses of all types, with high adaptability providing consumers with the best shopping experience. Internet marketing reduces costs. Users include farmers, traders and processors. Critical factors include education levels, experience, availability of information on production and marketing.</t>
  </si>
  <si>
    <t>Low digital skills of farmers; Unconsolidated produce for the market; Small-scale farming; Inadequate information to stakeholders; Internet connectivity; Levels of policy support on internet infrastructure; High costs of information technologies</t>
  </si>
  <si>
    <t>finger millet, internet marketing, mobile marketing, e-commerce, digital marketing, online marketplace</t>
  </si>
  <si>
    <t>Calculating fertilizer application - KALRO/NAVCDP/ISFM Factsheet No. 2/2024</t>
  </si>
  <si>
    <t>https://navcdp.kalro.org/docs/potatoes/CALCULATING%20FERTILIZER%20APPLICATION%20RATES.pdf</t>
  </si>
  <si>
    <t xml:space="preserve">KALRO Tigoni / J. Oyoo et al. </t>
  </si>
  <si>
    <t>Potato</t>
  </si>
  <si>
    <t>Control of aphids in potato - KALRO/CHP Fact Sheet No: 090</t>
  </si>
  <si>
    <t>https://navcdp.kalro.org/docs/potatoes/CONTROL%20OF%20APHIDS%20IN%20POTATO.pdf</t>
  </si>
  <si>
    <t xml:space="preserve">KALRO Tigoni / M. Mbiyu et al. </t>
  </si>
  <si>
    <t>Control of whiteflies in potato - KALRO/NAVCDP Factsheet No. 089</t>
  </si>
  <si>
    <t>https://navcdp.kalro.org/docs/potatoes/CONTROL%20OF%20WHITEFLIES%20IN%20POTATO.pdf</t>
  </si>
  <si>
    <t>Management of leaf miner in potato - KALRO/NAVCDP Factsheet No. 096</t>
  </si>
  <si>
    <t>https://navcdp.kalro.org/docs/potatoes/MANAGEMENT%20OF%20LEAF%20MINER%20IN%20POTATO.pdf</t>
  </si>
  <si>
    <t>Nutrient conversion chart - KALRO/Potato production Factsheet No. 043/2024</t>
  </si>
  <si>
    <t>https://navcdp.kalro.org/docs/potatoes/NUTRIENT%20CONVERSION%20CHART.pdf</t>
  </si>
  <si>
    <t>Soil sampling and testing guidelines - KALRO/NAVCDP/Potato production Factsheet No. 094/2024</t>
  </si>
  <si>
    <t>https://navcdp.kalro.org/docs/potatoes/SOIL%20SAMPLING%20AND%20TESTING%20GUIDELINES%20fact%20sheet.pdf</t>
  </si>
  <si>
    <t xml:space="preserve">KALRO Tigoni/J. Oyoo et al. </t>
  </si>
  <si>
    <t>Inventory of Climate Smart Agriculture Technologies, Innovations and Managment Practices for Potato Value Chain</t>
  </si>
  <si>
    <t>Anonymous</t>
  </si>
  <si>
    <t xml:space="preserve">KALRO Tigoni/Nyongesa, M. et al. </t>
  </si>
  <si>
    <t>Certified seed potato production</t>
  </si>
  <si>
    <t>https://navcdp.kalro.org/docs/potatoes/CERTIFIED%20SEED%20POTATO.pdf</t>
  </si>
  <si>
    <t>How to plan a seed potato business</t>
  </si>
  <si>
    <t>https://navcdp.kalro.org/docs/potatoes/HOW%20TO%20PLAN%20A%20SEED%20POTATO%20BUSINESS.pdf</t>
  </si>
  <si>
    <t xml:space="preserve">KALRO Tigoni / Ng’ang’a N, et al. </t>
  </si>
  <si>
    <t>How to plan for a ware potato business</t>
  </si>
  <si>
    <t>https://navcdp.kalro.org/docs/potatoes/HOW%20TO%20PLAN%20FOR%20A%20WARE%20POTATO%20BUSINESS.pdf</t>
  </si>
  <si>
    <t>Interpretating soil test results</t>
  </si>
  <si>
    <t>https://navcdp.kalro.org/docs/potatoes/INTERPRETATION%20%20OF%20SOIL.pdf</t>
  </si>
  <si>
    <t>Introduction to Climate Change and Climate Smart Agriculture</t>
  </si>
  <si>
    <t>https://navcdp.kalro.org/docs/potatoes/Introduction%20to%20Climate%20Change%20and%20Climate%20Smart%20Agriculture.pdf</t>
  </si>
  <si>
    <t xml:space="preserve">KALRO Tigoni/Nyaga A, et al. </t>
  </si>
  <si>
    <t>Nutrient requirements for potato production</t>
  </si>
  <si>
    <t>https://navcdp.kalro.org/docs/potatoes/NUTRIENT%20REQUIREMENTS%20FOR.pdf</t>
  </si>
  <si>
    <t>KALRO Tigoni/Esilaba, A.O., et al.</t>
  </si>
  <si>
    <t>Nutrients required by potato plant</t>
  </si>
  <si>
    <t>https://navcdp.kalro.org/docs/potatoes/NUTRIENTS%20REQUIRED%20BY%20POTATO%20PLANT.pdf</t>
  </si>
  <si>
    <t>Record keeping for potato production and marketing</t>
  </si>
  <si>
    <t>https://navcdp.kalro.org/docs/potatoes/RECORD%20KEEPING%20FOR%20POTATO.pdf</t>
  </si>
  <si>
    <t xml:space="preserve">KALRO Tigoni/Wambua S.M., et al. </t>
  </si>
  <si>
    <t>Production of mini-tubers through aeroponics system</t>
  </si>
  <si>
    <t>https://navcdp.kalro.org/docs/potatoes/PRODUCTION%20OF%20MINI-TUBERS%20THROUGH%20AEROPONICS%20SYSTEM.pdf</t>
  </si>
  <si>
    <t xml:space="preserve">KALRO Tigoni / Pwaipwai P., et al. </t>
  </si>
  <si>
    <t>Soil and water conservation in potato</t>
  </si>
  <si>
    <t>https://navcdp.kalro.org/docs/potatoes/SOIL%20AND%20WATER%20CONSERVATION%20IN%20POTATO.pdf</t>
  </si>
  <si>
    <t xml:space="preserve">KALRO Tigoni / Wandera F.M., et al. </t>
  </si>
  <si>
    <t>Simple seed potato storage structure</t>
  </si>
  <si>
    <t>https://navcdp.kalro.org/docs/potatoes/SIMPLE%20SEED%20POTATO%20STORAGE%20STUCTURE.pdf</t>
  </si>
  <si>
    <t>Tissue culture technology for rapid multiplication of certified see potato</t>
  </si>
  <si>
    <t>https://navcdp.kalro.org/docs/potatoes/TISSUE%20CULTURE%20TECHNOLOGY%20FOR%20RAPID%20MULTIPLICATION%20OF%20CERTIFIED%20SEED%20POTATO.pdf</t>
  </si>
  <si>
    <t>True Potato Seed (TPS) Technology</t>
  </si>
  <si>
    <t>https://navcdp.kalro.org/docs/potatoes/True%20Potato%20Seed%20%28TPS%29%20Technology.pdf</t>
  </si>
  <si>
    <t xml:space="preserve">KALRO Tigoni / S. Otieno et al. </t>
  </si>
  <si>
    <t>Ware Potato Production</t>
  </si>
  <si>
    <t>https://navcdp.kalro.org/docs/potatoes/Ware%20Potato%20Production.pdf</t>
  </si>
  <si>
    <t>Agroecosystem analysis (AESA) in farmer field and business school (FFBS)</t>
  </si>
  <si>
    <t>https://navcdp.kalro.org/docs/potatoes/AGROECOSYSTEMS%20ANALYSIS%20%28AESA%29%20IN%20FARMER%20FIELD%20AND%20BUSINESS%20SCHOOL%20%28FFBS%29.pdf</t>
  </si>
  <si>
    <t xml:space="preserve">KALRO Tigoni / Otieno M., et al. </t>
  </si>
  <si>
    <t>Climate-smart technologies and management practices in potato production</t>
  </si>
  <si>
    <t>https://navcdp.kalro.org/docs/potatoes/CLIMATE-SMART%20TECHNOLOGIES%20AND%20MANAGEMENT%20PRACTICES%20IN%20POTATO%20PRODUCTION.pdf</t>
  </si>
  <si>
    <t>Conservation agriculture in potato production</t>
  </si>
  <si>
    <t>https://navcdp.kalro.org/docs/potatoes/CONSERVATION%20AGRICULTURE%20IN%20POTATO%20PRODUCTION.pdf</t>
  </si>
  <si>
    <t>Potato Starch</t>
  </si>
  <si>
    <t>https://navcdp.kalro.org/docs/potatoes/POTATO%20STARCH.pdf</t>
  </si>
  <si>
    <t>Potato Crisps for increased income</t>
  </si>
  <si>
    <t>https://navcdp.kalro.org/docs/potatoes/POTATO%20CRISPS%20FOR%20INCREASED%20INCOME.pdf</t>
  </si>
  <si>
    <t>Post-harvest Management of Potatoes</t>
  </si>
  <si>
    <t>https://navcdp.kalro.org/docs/potatoes/Post-%20harvest%20Management%20of%20Potatoes.pdf</t>
  </si>
  <si>
    <t xml:space="preserve">Participatory technology development (PTD) for potato value chain </t>
  </si>
  <si>
    <t>https://navcdp.kalro.org/docs/potatoes/PARTICIPATORY%20TECHNOLOGY%20DEVELOPMENT%20%28PTD%29%20FARMER%20FIELD%20AND%20BUSINESS.pdf</t>
  </si>
  <si>
    <t>The Nutritional Value of Potatoes</t>
  </si>
  <si>
    <t>https://navcdp.kalro.org/docs/potatoes/The%20Nutritional%20Value%20of%20Potatoes.pdf</t>
  </si>
  <si>
    <t>Simple ware potato storage structure</t>
  </si>
  <si>
    <t>https://navcdp.kalro.org/docs/potatoes/SIMPLE%20WARE%20POTATO%20STORAGE%20STRUCTURE.pdf</t>
  </si>
  <si>
    <t>Potato Variety: Shangi</t>
  </si>
  <si>
    <t>Shangi is a 1 m tall semi-erect potato plant with purple flowers, broad leaves, with oval shaped medium to large tubers, with cream white skin, deep pink eyes and cream yellow flesh with a characteristically short dormancy. Suitable altitude is 1400 to 3000 m a.s.l., sufficient and well distributed rainfall or supplement moisture by irrigation, optimal temperature of 15 to 20 °C. Suitable soils of sandy loams preferably but also silty loams and clay loams. This variety is susceptible to late blight and all potato viruses.</t>
  </si>
  <si>
    <t>Susceptible to late blight and all potato viruses, Short dormancy, Deep eyes cause high wastage during peeling, Poor color of processed products</t>
  </si>
  <si>
    <t>potato, Shangi, early maturing, susceptible to blight, short dormancy</t>
  </si>
  <si>
    <t>Potato Variety: Kenya Mpya</t>
  </si>
  <si>
    <t>Kenya Mpya is a high yielding, tolerant to late blight and early maturing variety. It has strong plants which are semi-erect, 1 m high plant with white flowers. The tubers are oval/round shaped, cream white skin, large tubers with shallow pink eyes and cream yellow flesh. It has medium tuber dormancy period, very tolerant to late blight and potato viruses and easily deteriorates when exposed to light during storage. It is suitable for fresh chips and table consumption.</t>
  </si>
  <si>
    <t>Easily deteriorates when exposed to light during storage, Not suitable for processing</t>
  </si>
  <si>
    <t>potato, Kenya Mpya, early maturing, late blight tolerant, high yielding</t>
  </si>
  <si>
    <t>Potato variety: Unica</t>
  </si>
  <si>
    <t>Unica is a medium tall, strong and semi-erect plant with dark green leaves. Unica has purple flowers and has oblong shaped tubers, white shallow eyes, deep red skin and cream white flesh. Unica is drought and heat tolerant, moderately tolerant to late blight, resistant to potato viruses and high yielding &gt;45 t/ha. Unica does well in altitudes below 1500 m a.s.l. to 3000 m a.s.l., well-draining soils preferably silty loams, sandy or clay loams. This variety is drought and heat tolerant and suitable for chipping and table consumption.</t>
  </si>
  <si>
    <t>Long dormancy requires dormancy breaking technology, Rapid tuber expansion results in large distribution of ware sized tubers even in seed crops</t>
  </si>
  <si>
    <t>potato, Unica, drought tolerant, heat tolerant, chipping variety</t>
  </si>
  <si>
    <t>Potato variety: Kenya Karibu</t>
  </si>
  <si>
    <t>Kenya Karibu is a tall, erect plant with strong stems and dark green narrow pointed leaves. The variety yields 35 to 40 t/ha, deep red smooth skin with deep red eyes, and round shaped. Kenya Karibu has medium dormancy period of 3 to 4 months. It is good for table consumption. The variety is not drought tolerant and is tolerant to late blight. It produces very long stolons hence requiring careful use of machinery to avoid damaging newly forming tubers and also needs more earthing up.</t>
  </si>
  <si>
    <t>Not drought tolerant, Deep eyes cause wastage, Produces very long stolons requiring careful machinery use, Needs more earthing up</t>
  </si>
  <si>
    <t>potato, Kenya Karibu, late blight tolerant, medium dormancy, table consumption</t>
  </si>
  <si>
    <t>Potato variety: Dutch Robijn</t>
  </si>
  <si>
    <t>Dutch Robijn is an erect medium tall variety (about 0.7 m in height) with strong stems and dark green medium sized leaves. It flowers scarcely and the flowers are white with a light pink hue. The tubers of this variety are pale red with characteristic rough skin, round in shape (commonly referred to as 'golofu' as the round shape resembles the golf ball). It requires optimal rainfall or supplemental irrigation in case of drought, silty loams, sand clay loam or clay loams. This variety is not drought tolerant and yields are up to 30 t/ha. This variety is susceptible to late blight and potato viruses.</t>
  </si>
  <si>
    <t>Not drought tolerant, Susceptible to late blight and potato viruses, Limited market outside Bomet County, Processors cite poor quality</t>
  </si>
  <si>
    <t>potato, Dutch Robijn, crisps processing, susceptible to blight, rough skin</t>
  </si>
  <si>
    <t>Potato variety: Kenya Sherekea</t>
  </si>
  <si>
    <t>Sherekea is a semi-erect tall variety (slightly below 1 m) with strong stems and pale green, medium sized leaves. It flowers profusely and the flowers are light purple. Sherekea does well in altitudes from 1500 to 2800 m a.s.l.; does well in fertile, well-draining soils with pH of 5.8 to 6.5; sufficient soil moisture; suitable temperature range of 15 to 24 °C. Its tubers are round in shape, smooth red skin with deep red eyes. This variety is tolerant to late blight and PVX.</t>
  </si>
  <si>
    <t>Long dormancy requires sprouting technology, Deep eyes</t>
  </si>
  <si>
    <t>potato, Kenya Sherekea, late blight tolerant, PVX tolerant, long dormancy</t>
  </si>
  <si>
    <t>Potato variety: Asante</t>
  </si>
  <si>
    <t>Asante is an erect tall variety (slightly below 1 m) with strong stems and light green broad leaves. It flowers moderately and the flowers are pink; a high yielding variety (40-45 t/ha); tolerant to late blight; medium dormancy (2 to 3 months). It does well in altitudes from 1500 to 2800 m a.s.l., with a temperature range of 14 to 24 °C. Good soils are the sandy loams and alluvials with good draining capacity and high fertility, with a pH of 5.8 to 6.5. The variety requires sufficient soil moisture throughout its growing period to give a good yield. Asante is not drought tolerant. Its characteristic features include pale red skin with deep red eyes. It is good for table consumption.</t>
  </si>
  <si>
    <t>Not drought tolerant, Deep eyes, Long dormancy requires sprouting technology</t>
  </si>
  <si>
    <t>potato, Asante, high yielding, late blight tolerant, table consumption</t>
  </si>
  <si>
    <t>Potato Variety: Tigoni</t>
  </si>
  <si>
    <t>It is a high yielding variety (35 to 40 t/ha) and tolerant to late blight. It has a medium dormancy period. The variety is suitable for fresh chips, crisps and table consumption. Tigoni does well in high altitudes of above 2100 m to 3000 m a.s.l., with optimal temperatures of 12 to 18 °C. Tigoni requires sufficient rainfall or water supply through irrigation in case of drought. It has very poor storage quality because of greening. Its characteristic features include white skin with shallow white eyes, oval shaped and medium eye depth.</t>
  </si>
  <si>
    <t>Very poor storage because of greening, Prone to greening both in field and storage, Requires high altitude (above 2100 m)</t>
  </si>
  <si>
    <t>potato, Tigoni, high altitude, late blight tolerant, greening</t>
  </si>
  <si>
    <t>Potato Variety: Lenana</t>
  </si>
  <si>
    <t>Lenana—a medium tall potato plant with strong semi erect stems and dark green, medium-sized leaves and white flowers. Shallow eyes, drought/heat tolerant, late maturing, high yielding, resistant to late blight, short dormancy period; suitable for fresh chips, french fries and table consumption. This variety does well in altitudes from 1500 to 3000 m a.s.l. It has oval shaped tubers, white skin, cream white flesh and shallow eye. It is also drought tolerant.</t>
  </si>
  <si>
    <t>Short dormancy poses storage challenges, Sprouts quickly</t>
  </si>
  <si>
    <t>potato, Lenana, drought tolerant, late maturing, french fries</t>
  </si>
  <si>
    <t>Potato Variety: Konjo</t>
  </si>
  <si>
    <t>Konjo—a tall potato plant with strong erect stems and dark green broad leaves, white flowers with a tinge of purple, oval shaped tubers with shallow eyes, medium dormancy period (2-3 months), late maturing, high yielding (40 to 45 t/ha), resistant to late blight, PVX and PVY. It is suitable for table consumption, fresh chips and crisps. The variety does well in altitudes 1500 to 3000 m a.s.l. with optimum temperature of 15 to 18 °C and optimum rainfall of 800 mm.</t>
  </si>
  <si>
    <t>Seed availability limited, Needs awareness creation</t>
  </si>
  <si>
    <t>potato, Konjo, high yielding, virus resistant, late maturing</t>
  </si>
  <si>
    <t>Potato Variety: Wanjiku</t>
  </si>
  <si>
    <t>Wanjiku—medium tall potato plant with strong semi erect stems and dark green, medium-sized leaves with pinkish flowers, drought/heat tolerant, early maturing; very high yielding, resistant to late blight, PVX and PVY, suitable for fresh chips and table consumption. It has short dormancy, oval shaped tubers which have pale white skin with medium deep pink eyes and dormancy period of 1 to 2 months. This variety does well in 1500 to 3000 m a.s.l. altitude, sufficient moisture, well-draining soils and temperatures of 15 to 18 °C.</t>
  </si>
  <si>
    <t>Seed availability limited, Short dormancy, Needs awareness creation</t>
  </si>
  <si>
    <t>potato, Wanjiku, drought tolerant, early maturing, virus resistant</t>
  </si>
  <si>
    <t>Potato Variety Nyota</t>
  </si>
  <si>
    <t>Nyota—cream white skin with pale pink eyes, oval shaped; drought/heat tolerant early maturing; high yielding, susceptible to late blight, short dormancy period; suitable for fresh chips, crisps and table consumption, medium eye depth, poor storage.</t>
  </si>
  <si>
    <t>Susceptible to late blight, Short dormancy, Poor storage, Seed availability limited</t>
  </si>
  <si>
    <t>potato, Nyota, drought tolerant, early maturing, susceptible to blight</t>
  </si>
  <si>
    <t>Potato variety Chulu</t>
  </si>
  <si>
    <t>Chulu–drought/heat tolerant early maturing; high yielding, resistant to late blight, suitable for table consumption, well adapted; very early maturing variety.</t>
  </si>
  <si>
    <t>Certified seed availability limited, Sprouts quickly, Needs awareness creation</t>
  </si>
  <si>
    <t>potato, Chulu, drought tolerant, early maturing, late blight resistant</t>
  </si>
  <si>
    <t>Potato variety/advance clone 6C11</t>
  </si>
  <si>
    <t>Advance clone 6C11 is a red skin, cream flesh with shallow eyes, it has white flowers and shows level of drought/heat tolerance. The clone is high yielding (30-40 t/ha), resistant to late blight, suitable for chipping.</t>
  </si>
  <si>
    <t>Candidate for National Performance Trials, Breeder seed production to be undertaken, Needs further research</t>
  </si>
  <si>
    <t>potato, 6C11, chipping, late blight resistant, high yielding</t>
  </si>
  <si>
    <t>Potato Advance clone IHC</t>
  </si>
  <si>
    <t>Advance clone IHC is purple skin with pale purple eyes, round shaped, medium eyes early to mid maturing, with moderate yield potential, suitable for table consumption, the flesh colour is white.</t>
  </si>
  <si>
    <t>Yet to be released, Needs further research</t>
  </si>
  <si>
    <t>potato, IHC, purple skin, table consumption, early maturing</t>
  </si>
  <si>
    <t>Potato advance clone 6B170</t>
  </si>
  <si>
    <t>Advance clone 6B170 is a medium tall potato plant with semi erect stems and dark green medium sized leaves. It is mid maturing with red tubers, resistant to late blight and suitable for fresh chips and table consumption. It has oblong shaped tubers with shallow eyes and purple flowers. The clone is high yielding (30-40 t/ha).</t>
  </si>
  <si>
    <t>Yet to be released, Needs further research, High marketing costs due to poor infrastructure</t>
  </si>
  <si>
    <t>potato, 6B170, red tubers, chips, late blight resistant</t>
  </si>
  <si>
    <t>Potato Advance clone 1G70</t>
  </si>
  <si>
    <t>Advance clone 1G70 is a tall potato plant with vibrant erect stems and dark green medium sized leaves. It has oval shaped tubers with medium eyes and profuse white flowers with cream flesh. The clone is high yielding (30-40 t/ha). It is late maturing and highly resistant to late blight and other pests. It is suitable for fresh chips and has cream to white flesh.</t>
  </si>
  <si>
    <t>Yet to be released, Needs further research, Packaging seed potato in smaller units needed</t>
  </si>
  <si>
    <t>potato, 1G70, late maturing, late blight resistant, fresh chips</t>
  </si>
  <si>
    <t>Potato advance clone 3C22</t>
  </si>
  <si>
    <t>Advance clone 3C22 has a vibrant semi erect short to medium height stems and dark green medium sized leaves. It has round shaped white tubers with deep eyes. Has white flowers and cream flesh. The clone is high yielding (30-40 t/ha). It is early maturing and highly resistant to late blight and other pests. It is suitable for crisping and table consumption.</t>
  </si>
  <si>
    <t>Yet to be released, Needs further research, Deep eyes</t>
  </si>
  <si>
    <t>potato, 3C22, early maturing, crisping, late blight resistant</t>
  </si>
  <si>
    <t>Potato advance clone: IG35</t>
  </si>
  <si>
    <t>Advance clone IG35 is a tall potato plant with vibrant erect stems and dark green medium sized leaves. It has oval shaped tubers with shallow eyes. The clone is high yielding (30-40 t/ha). It is late maturing, very high yielding and highly resistant to late blight and other pests. It is suitable for fresh chips and table consumption. It has cream flesh and purple flowers.</t>
  </si>
  <si>
    <t>Yet to be released, Needs further research, High marketing costs</t>
  </si>
  <si>
    <t>potato, IG35, late maturing, high yielding, fresh chips</t>
  </si>
  <si>
    <t>Potato advance clone IHB</t>
  </si>
  <si>
    <t>Advance clone IHB has short to medium height stems and dark green, large leaves. It has oval shaped white tubers with light purple shallow eyes. Has purple flowers and cream flesh. The clone is high yielding (30-40 t/ha). It is mid maturing and highly resistant to late blight and other pests. It is suitable for chips and table consumption.</t>
  </si>
  <si>
    <t>potato, IHB, chips, mid maturing, late blight resistant</t>
  </si>
  <si>
    <t>Potato Variety descriptors</t>
  </si>
  <si>
    <t>This is a list that consists of an initial set of characterization and evaluation descriptors for potato. This key set of strategic descriptors, together with passport data, becomes the basis for the global accession-level information system on Global Information on Germplasm Accessions (GIGA). It facilitates access to and utilization of potato accessions held in genebanks and does not preclude the addition of further descriptors, should data subsequently become available. Key features of a potato descriptor are: passport characteristics; plant characteristics; tuber characteristics; utilization characteristics; tubering characteristics; resistance to pests and diseases.</t>
  </si>
  <si>
    <t>Descriptors for public varieties in Kenya yet to be compiled into a single catalogue, Lack of technical capacity</t>
  </si>
  <si>
    <t>potato, descriptors, characterization, evaluation, germplasm</t>
  </si>
  <si>
    <t>Potato Suitability Map</t>
  </si>
  <si>
    <t>A suitability map is a tool that provides information on which crop varieties are best suited for cultivation in a specific agro-ecological location given prevailing biophysical conditions of soils and climate and the need to use natural resources as efficiently as possible.</t>
  </si>
  <si>
    <t>Requires further research, Low literacy levels among female gender affecting adoption</t>
  </si>
  <si>
    <t>potato, suitability map, variety selection, agro-ecological, climate adaptation</t>
  </si>
  <si>
    <t>Genetic/DNA Fingerprinting Potato</t>
  </si>
  <si>
    <t>Genetic/DNA fingerprinting is used to identify inherited genetic traits responsible for traits that confer uniqueness to varieties and which can be used to identify them. Using this technique, breeders can more quickly and accurately identify varieties.</t>
  </si>
  <si>
    <t>Requires further research, Availability of equipment locally limited, Low technical capacity</t>
  </si>
  <si>
    <t>potato, DNA fingerprinting, variety identification, genetic traits, breeding</t>
  </si>
  <si>
    <t>Tissue culture</t>
  </si>
  <si>
    <t>Tissue culture – involves in vitro aseptic culture of plant cells, plant tissues and organs for the purpose of obtaining growth. It is the beginning stage of increasing rapidly quantities of disease free planting materials within a very short time.</t>
  </si>
  <si>
    <t>Most growers not aware of the technology, Limited capacity, Limited potato innovation platforms</t>
  </si>
  <si>
    <t>potato, tissue culture, disease free, in vitro, seed multiplication</t>
  </si>
  <si>
    <t>Aeroponics</t>
  </si>
  <si>
    <t>Aeroponics is a technique in which production of potato minitubers is performed in a soil-less culture environment. The system ensures production of disease free tubers by eliminating contact between plants and soil. The in-vitro plantlets produced through tissue culture are suspended on specially designed support structures which enclose roots in dark chambers. The nutrients in solution form are supplied directly to plant roots by misters connected to a programmed automated pumping system.</t>
  </si>
  <si>
    <t>Setup cost approximately KES 1,500,000 for 15 m by 5 m unit, Limited awareness, Limited and unorganized production and marketing channels</t>
  </si>
  <si>
    <t>potato, aeroponics, minitubers, soil-less culture, disease free</t>
  </si>
  <si>
    <t>Rooted Apical Cuttings (RACs) Potato</t>
  </si>
  <si>
    <t>Rooted apical cuttings are a technology for increasing seed production at farm level within a short period through use of seedlings obtained by rooting apical shoots from tissue culture plantlets. The seedlings are then established outdoors on raised beds, protected from direct weather elements until they are established. Production guidelines follow the normal way of growing potatoes.</t>
  </si>
  <si>
    <t>Seed cost KES 15 per piece, Sensitive to water stress, Requires irrigation, Weakening seed potato sector, Limited access to crop agronomic packages</t>
  </si>
  <si>
    <t>potato, RACs, apical cuttings, seed multiplication, disease free</t>
  </si>
  <si>
    <t>Sand ponics Potato</t>
  </si>
  <si>
    <t>Sand ponics involves production of minitubers in a sterilized sand medium. The system involves use of river sand which is thoroughly cleaned with clean water, and sterilized by steam or disinfectants such as sodium hypochlorite (jik). The cleaned sand is then placed in specially designed wooden support structures (troughs). In-vitro plantlets produced through tissue culture are hardened for two weeks then planted on the sand in these structures at a spacing of 10 cm by 10 cm or 15 cm by 15 cm. The plants are supplied with artificial nutrients in solution form delivered via misters from a nutrient tank aided by an automated system.</t>
  </si>
  <si>
    <t>Weakening seed potato sector, Inaccessibility and low awareness, Women might not be aware due to illiteracy</t>
  </si>
  <si>
    <t>potato, sand ponics, minitubers, sterilized sand, disease free</t>
  </si>
  <si>
    <t>Positive Seed selection Potato</t>
  </si>
  <si>
    <t>Positive seed selection is the selection of healthy-looking plants exhibiting vigorous growth to be used as the source of seed potatoes for the next season. By doing so, the number of sick plants in the next crop is reduced significantly.</t>
  </si>
  <si>
    <t>Big challenge between information availability and accessibility, Non-exposure of end-user, Women might not be aware due to illiteracy</t>
  </si>
  <si>
    <t>potato, positive seed selection, seed quality, disease management, healthy plants</t>
  </si>
  <si>
    <t>Satellite seed potato bulking Potato</t>
  </si>
  <si>
    <t>This is a system aimed at promoting and decentralizing seed potato production through organized and registered Seed CIGs. The CIGs are trained on seed potato production guidelines, licensed to use the KALRO license for two seasons to produce certified seed potato, contribute land, labor and security to the project and meet all the KEPHIS inspection and certification costs, while the KALRO may contribute the initial stocks of basic seed potato. The certified seed potato produced is sold directly to seed potato growers who multiply further before selling to ware potato producers.</t>
  </si>
  <si>
    <t>potato, satellite bulking, CIGs, certified seed, KEPHIS</t>
  </si>
  <si>
    <t>Quality Declared Seed Potato</t>
  </si>
  <si>
    <t>Quality Declared Seed (QDS) is seed in a quality control system, introduced by FAO, whereby 10% of the seed fields and lots are checked by an autonomous quality control agency and the remainder by the seed production organization. This is seed which is not processed through a formal seed system, but in which quality is assured through the reputational identity of the original source of initial stock.</t>
  </si>
  <si>
    <t>Non-exposure of end-user, Acceptability by national regulatory organization, VMGs have limited access</t>
  </si>
  <si>
    <t>potato, QDS, quality declared seed, seed system, FAO</t>
  </si>
  <si>
    <t>Sprouting technologies Potato</t>
  </si>
  <si>
    <t>Sprouting techniques refer to any form of manipulation or treatment done to seed potato tubers to induce sprouting, a process that marks the end of dormancy stage. Sprouting techniques may be physical or chemical treatments, with the former being preferred. Physical sprouting techniques include normal storage of tubers in diffused light store (DLS) hence allowing normal conditions to bring about the sprouting naturally. Chemical sprouting techniques include the use of synthetic products containing hormones that trigger inhibition of dormancy stage but promotion of vegetative growth stage.</t>
  </si>
  <si>
    <t>Non-exposure of end-user, Acceptability by national regulatory organization, Women might not be aware due to illiteracy</t>
  </si>
  <si>
    <t>potato, sprouting, dormancy, DLS, chemical treatment</t>
  </si>
  <si>
    <t>Cut seed potato tubers Potato</t>
  </si>
  <si>
    <t>Cut seed potato technique refers to a process of cutting a whole seed potato tuber into two or more pieces in a bid to increase quantity of planting materials for potato farmers. The seed potatoes are cut using a sharp knife that is sterilized after every cut in order to prevent transmission of diseases from tuber to tuber. The cut tubers are dipped in wood ash then allowed to cure for a period of 7 to 15 days. When the cut pieces have cured, pieces with at least one sprout are sorted and planted. This technique applies to certified seed potato shortage where the tubers are above 55 mm in diameter. Consideration is made so that the cut made does not injure or damage a sprout, while ensuring that every cut piece has a sprout.</t>
  </si>
  <si>
    <t>Non-exposure of end-user, Acceptability by national regulatory organization, Risk of disease transmission if knife not sterilized</t>
  </si>
  <si>
    <t>potato, cut seed, tuber cutting, disease prevention, wood ash</t>
  </si>
  <si>
    <t>True potato seed (TPS) Potato</t>
  </si>
  <si>
    <t>True potato seed (TPS)/hybrid is the actual botanical seed produced by sexual reproduction and is formed inside the fruits/berries of potato, resembling tomatoes. True potato seed is occasionally formed after the potato has finished flowering. It is considered an alternative source of high quality seed for potato production. While certified seed potatoes take several months to produce, are bulky and deteriorate quickly, TPS/HTPS is lighter to transport, store and handle.</t>
  </si>
  <si>
    <t>potato, TPS, true potato seed, hybrid, seed system</t>
  </si>
  <si>
    <t>Food Safety Management System (FSMS) through Hazard Analysis Critical Control Points (HACCP) Plan for Potato Value Chain in Kenya Potato</t>
  </si>
  <si>
    <t>The Food safety management system (FSMS) through Hazard Analysis and Critical Control Point (HACCP) in potatoes is a system of food safety monitoring and control based on the systematic identification and assessment of various hazards. It is a preventive, rather than a reactive, tool that places the protection of the potato value chain from biological, chemical and physical hazards into the hands of food management systems. This HACCP system is designed to minimize the risk of food safety hazards by identifying the hazards, establishing controls and monitoring these controls. When this HACCP concept is applied to the management of likely adverse health effects resulting from exposure to hazards in the potato value chain, a wholesome and safe potato supply can therefore be maintained improving on trade and health within and outside Kenya’s borders.</t>
  </si>
  <si>
    <t>Inadequate funds to reach value chain actors, Requires expert team (HACCP specialist, food scientist, microbiologist), Heavy metal accumulations like lead/mercury/cadmium detected</t>
  </si>
  <si>
    <t>potato, HACCP, food safety, hazard analysis, quality control</t>
  </si>
  <si>
    <t>Global Good Agricultural Practices (GAP) and standards in potato production Potato</t>
  </si>
  <si>
    <t>It is a systematic process of implementing a standardized production system globally designed to reassure consumers about how food is produced on the farm, pre-farm gate or on-farm standards. It is not about a specific crop production but the process through which production takes place. The four 'pillars' of GAP (economic viability, environmental sustainability, social acceptability and food safety and quality) are included in most private and public sector standards, but the scope which they actually cover varies widely.</t>
  </si>
  <si>
    <t>Lack/inadequate knowledge on benefits of GAPs, Lack of legislative mechanisms, Perception that GAP is oppressive rather than supportive, Requires a lot of movement on the farm to maintain records</t>
  </si>
  <si>
    <t>potato, GAP, food safety, quality standards, sustainability</t>
  </si>
  <si>
    <t>Spacing Potato</t>
  </si>
  <si>
    <t>Spacing is the planting of a specific number of plants per unit area. Spacing is important because it determines plant population and therefore farmers are in a position to project expected yields. Recommended spacing also gives the plant adequate area for root development to absorb nutrients and develop as well as stolon formation, on which tubers are attached. Additionally, proper spacing allows for good air circulation around the plant minimizing the risks of disease infection. Potato requires a spacing of 0.75 m between rows and 0.30 m between plants.</t>
  </si>
  <si>
    <t>Requires accurate row spacing, Needs thinning for correct plant population, More precision than broadcasting, May need specialized equipment</t>
  </si>
  <si>
    <t>potato, spacing, plant population, row planting, air circulation</t>
  </si>
  <si>
    <t>Hilling/Earthing up Potato</t>
  </si>
  <si>
    <t>This is a technique of mounding soil around the base of the potato crop. It can be done manually or mechanically. Earthing up promotes stolonization where tubers are formed and attached. It is also a climate-smart practice which enhances soil moisture conservation as well as protects new tubers from being damaged by potato tuber moth (PTM).</t>
  </si>
  <si>
    <t>Labour intensive, Women and youth lack access to quality seed potato, Most farmer groups composed of women leaving out men</t>
  </si>
  <si>
    <t>potato, hilling, earthing up, stolonization, PTM protection</t>
  </si>
  <si>
    <t>Harvesting Potato</t>
  </si>
  <si>
    <t>This is an agronomic practice of lifting mature potatoes from the ground for purposes of utilization by the end-users. This is done when the potato crop has matured and the vines are completely dry. Alternatively, de-haulming can be done two weeks before harvesting when the crop is physiologically mature; the stage when more than 50% of the potato crop is yellowing, followed by harvesting two weeks later. Harvesting can be manual or mechanized.</t>
  </si>
  <si>
    <t>Land ownership mainly by men, Women and youth exploited by middlemen, Limited exposure by end-user</t>
  </si>
  <si>
    <t>potato, harvesting, maturity, de-haulming, mechanization</t>
  </si>
  <si>
    <t>Integrated Manure Management (IMM) Potato</t>
  </si>
  <si>
    <t>Labour intensive, Can harbor pathogens, May propagate invasive species, Requires proper storage, Contamination of water sources possible</t>
  </si>
  <si>
    <t>potato, IMM, manure management, soil fertility, organic matter</t>
  </si>
  <si>
    <t>Integrated Soil Fertility Management (ISFM) Potato</t>
  </si>
  <si>
    <t>A set of soil fertility management practices that include the use of fertilizers, locally available organic inputs and improved seed combined to adapt practices to local conditions. It places emphasis on the importance of using often scarce resources like fertilizer and organic inputs efficiently through techniques such as fertilizer banding (field application of fertilizer directly in area of root-zone to increase the potential for uptake) and micro dosing (applying small quantities of fertilizer with the seed at planting time and a few weeks after emergence).</t>
  </si>
  <si>
    <t>Technically demanding, May not be responsive in all soils, Requires knowledge of fertilizer banding, VMGs physically disadvantaged</t>
  </si>
  <si>
    <t>potato, ISFM, fertilizer banding, micro dosing, soil health</t>
  </si>
  <si>
    <t>Rapid soil testing services Potato</t>
  </si>
  <si>
    <t>This is a dry method for soil testing using simplicity of light—the interaction of electromagnetic radiation with matter to characterize biochemical composition of a soil and/or plant tissue. It requires partners involved (ICRAF, iSDA and SoilCares) to work closely with KALRO and County agricultural officers to sensitize farmers to embrace the testing method.</t>
  </si>
  <si>
    <t>Requires specialized equipment, Need continuous updating of recommendations, May require sample verification in certified labs, Farmers must trust the information</t>
  </si>
  <si>
    <t>potato, soil testing, spectroscopy, nutrient analysis, precision agriculture</t>
  </si>
  <si>
    <t>Bench terraces Potato</t>
  </si>
  <si>
    <t>Bench terraces are a conservation structure which are platform like construction (looking like staircase on slope) constructed along the contour of the sloping land. They consist of a series of beds which are more or less level running across a slope at vertical intervals, supported by steep banks or risers (walls or bunds). The flat beds created by bench terraces enable the cultivation of crops on medium to steep slopes. Close the terrace by growing grass on the last flat area at the bottom of the terrace. The technology is highly suitable for semi-arid to humid regions with rainfall of 700 mm or more; medium to steep slopes (12-47%); soil depth of greater than 50 cm; and areas with no gullies or stones.</t>
  </si>
  <si>
    <t>Labour intensive, Risk of erosion if improperly constructed, Not suitable for slopes less than 12%, Land tenure issues</t>
  </si>
  <si>
    <t>potato, bench terraces, soil conservation, slope cultivation, erosion control</t>
  </si>
  <si>
    <t>Fanya Juu Terraces Potato</t>
  </si>
  <si>
    <t>'Fanya juu' terraces (juu is the Swahili word for 'up') are constructed by excavating soil and throwing it up-slope to make an embankment. The embankment forms a run-off barrier and the trench (ditch) is used to retain or collect run-off. The embankments are usually stabilized with fodder grasses. Crops, such as bananas, pawpaws, citrus and guava, are grown in the ditches. Through gradual redistribution of soils within the field, the terraces level off. The technology is highly suitable in low annual rainfall areas (less than 700 mm); moderate slopes (less than 20%); deep soils (more than 60 cm); and hilly areas that are subject to widespread erosion.</t>
  </si>
  <si>
    <t>Labour intensive, Risk of erosion if improperly constructed, Land tenure systems – communal land ownership, Women have limited access to productive resources</t>
  </si>
  <si>
    <t>potato, fanya juu, water harvesting, soil conservation, runoff collection</t>
  </si>
  <si>
    <t>Retention ditches Potato</t>
  </si>
  <si>
    <t>Retention ditches are trenches designed to catch and retain incoming run-off and hold it until it infiltrates into the ground. They can be an alternative to waterways in high rainfall areas, but they are most often used in semi-arid areas to harvest water. The technology is suitable in semi-arid areas; permeable, deep and stable soils; and on flat or gentle sloping land.</t>
  </si>
  <si>
    <t>Labour intensive, Must be properly designed, Requires suitable soil conditions, Land tenure issues</t>
  </si>
  <si>
    <t>potato, retention ditches, water harvesting, infiltration, runoff collection</t>
  </si>
  <si>
    <t>Grass strips Potato</t>
  </si>
  <si>
    <t>Grass strips are dense strips of grass planted up to 1 m wide, along a contour. With time, silt builds up above the strip and benches are formed. Grass strips can be planted along ditches to stabilize them, or on the risers of bench terraces to prevent erosion. They are a popular and easy way to terrace land, especially in areas with relatively good rainfall. The technology is suitable in regions with fairly gentle slopes (0-6%); grass is needed for fodder; and high rainfall areas.</t>
  </si>
  <si>
    <t>Grass may become a weed, Requires regular trimming, Reduces cropped land area, Labour for maintenance required</t>
  </si>
  <si>
    <t>potato, grass strips, erosion control, soil conservation, fodder</t>
  </si>
  <si>
    <t>Intercropping Potato</t>
  </si>
  <si>
    <t>Intercropping is the planting of two or more crops, such as maize and potato, in the same field. Intercropping, also known as inter planting, provides additional income, food and shade, fixes nitrogen, and controls weeds and soil erosion. It also provides a lot of biomass to form residues to be returned as organic inputs to the soil in form of mulch and compost. Care should be taken when intercropping potato with other crops because some plants host pests and can transmit diseases to the potato crop. The types of intercropping that can be adopted by potato growers include row intercropping and relay intercropping.</t>
  </si>
  <si>
    <t>Some plants host pests and transmit diseases to potato, Requires extra care in planning, Makes weeding complicated, Knowledge intensive, Requires validation</t>
  </si>
  <si>
    <t>potato, intercropping, biodiversity, weed control, soil conservation</t>
  </si>
  <si>
    <t>Crop Rotation Potato</t>
  </si>
  <si>
    <t>Crop rotation is the practice of growing a series of several types of crops in the same crop field in a repetitive sequence defined in order of a year or years of cropping. It is encouraged to resolve soil constraints and maximize utilization of available land. This technology involves selecting appropriate crops for rotation, suitable rotation patterns and calendar. Crop rotation is a climate smart practice that reduces GHG emissions through carbon sequestration, cushions farm families against climatic risks and hazards through diverse enterprises that boost household incomes and food diets. Potatoes should be grown on land where potatoes and other Solanaceous crops have not been grown in the previous seasons.</t>
  </si>
  <si>
    <t>Labour intensive, Scarcity of training materials on compatible rotations, Limited land available for rotation, Women have limited access to productive resources</t>
  </si>
  <si>
    <t>potato, crop rotation, pest management, disease control, soil health</t>
  </si>
  <si>
    <t>Mulching Potato</t>
  </si>
  <si>
    <t>Mulching is the covering of soil between crop rows or around trees with materials, rougher than the surface of the soil to protect it from splash erosion and formation of crust. Different materials are used, including organic mulch (from e.g. grass, straw, hay, bark, leaves, husks, sand, sea shells, pine needles, gravel, and stone) and synthetic mulch (plastics etc). Benefits: retain moisture in the soil; suppress weeds; keep the soil cool; and help improve soil fertility (as the mulches decompose).</t>
  </si>
  <si>
    <t>Competing uses for crop residues, Labour intensive for initial application, May harbor insects/pests, Synthetic mulches require proper disposal</t>
  </si>
  <si>
    <t>potato, mulching, organic mulch, synthetic mulch, moisture retention</t>
  </si>
  <si>
    <t>Use of drip irrigation in Potato production Potato</t>
  </si>
  <si>
    <t>It is a type of micro-irrigation system that allows for optimal usage of limited water resource by controlled delivery of the water to the plant root zone at low pressure using drip lines and emitters to minimize water loss. The layout is above surface and is easy to design and operate. It can be used to apply fertilizer efficiently through fertigation. It provides an opportunity for farmers to increase crop yields. Use of drip irrigation has been reported to save up to 70% of water used by potatoes in rain-fed systems. This technology combines well with the use of row planting and optimum spacing.</t>
  </si>
  <si>
    <t>Cost KES 50,000-100,000 for ¼ acre, Conflict over water resources, Limited know-how among farmers, Women and youth have financial constraints</t>
  </si>
  <si>
    <t>potato, drip irrigation, water conservation, fertigation, micro-irrigation</t>
  </si>
  <si>
    <t>Zeba Potato</t>
  </si>
  <si>
    <t>Zeba is a soil enhancer that absorbs and releases moisture and nutrients only when plants need them, conserving water at a time when food producers are grappling with water shortage occasioned by changing weather patterns. The water retention technology is based on a starch based absorbent which comes in form of granules. Each granule has ability to expand by 400 times its original size, trapping water and nutrients which are then released during dry spells while remaining effective for more than a year. Up to 95% of the water held by the granules is released back to the soil.</t>
  </si>
  <si>
    <t>Cost KES 1,500 per kg (KES 7,500 for 5 kg/acre), Not easy to apply when damp or humid, Requires further research, VMGs might not be aware</t>
  </si>
  <si>
    <t>potato, Zeba, water retention, drought mitigation, soil enhancer</t>
  </si>
  <si>
    <t>Integrated Management of Potato Cyst Nematode (PCN) Potato</t>
  </si>
  <si>
    <t>Integrated management of potato cyst nematodes consists of several approaches applied in an integrated manner to break the cycle of the nematode. Cultural practices include soil analysis, use of clean seed, heavy organic mulch, crop rotation with non-solanaceae crops for 7 years, uproot volunteer plants, avoid planting spinach/capsicum/eggplant, uproot infected plants and bury deeply, disinfect farm tools, control run off water, solarise soil, plough kale/cabbage/Indian mustard to decompose, and plant black night shade as a trap crop. Bio-control options include applying green Tithonia or Mexican marigold organic amendments and drenching with Azadirachtin. Chemical management includes applying the nematicide Velum Prime (fluopyram).</t>
  </si>
  <si>
    <t>Cost KES 50,000 per acre, 80% yield loss if not controlled, Difficulty for farmers to practice IPM due to cost and technical capacity, Limited information on PCN</t>
  </si>
  <si>
    <t>potato, PCN, cyst nematode, crop rotation, soil solarization</t>
  </si>
  <si>
    <t>Integrated Management of Potato Tuber Moth Potato</t>
  </si>
  <si>
    <t>Timely application of management options for this pest during tuber formation is required. Cultural practices include collecting and destroying all infested plants, avoiding movement of tubers from infested areas, placing sticky traps. Biological options include spraying with Bacillus thuringiensis. Chemical management includes spraying with Malathion based products, Deltamethrin based products, or Bifenthrin based products.</t>
  </si>
  <si>
    <t>Cost KES 45,000 per acre, Up to 60% yield loss if not controlled, Limited information on management strategies, Difficulty to adopt IPM due to cost</t>
  </si>
  <si>
    <t>potato, potato tuber moth, IPM, Bacillus thuringiensis, Malathion</t>
  </si>
  <si>
    <t>Integrated Management of Aphids Potato</t>
  </si>
  <si>
    <t>Integrated management of potato aphids involves selection of effective environmentally safe options. Cultural practices include intercropping with repellent crops (onions, garlic), propagating seed potato under protected environment, weeding to remove alternate hosts, maintaining hedge around field, removing severely affected plants, using overhead irrigation, and using blue sticky traps. Biological options include spraying with neem oil or Beauveria bassiana based products. Chemical management includes spraying acetamiprid, lambda-cyhalothrin or deltamethrin based products.</t>
  </si>
  <si>
    <t>Cost KES 46,000 per acre, 10-30% yield loss if not controlled, Women involved in spraying which may be unhealthy, Inadequate information on aphid management</t>
  </si>
  <si>
    <t>potato, aphids, IPM, neem oil, Beauveria bassiana</t>
  </si>
  <si>
    <t>Integrated Management of Mealybugs of Potatoes Potato</t>
  </si>
  <si>
    <t>Integrated management of mealybugs includes the use of various pest control strategies. Cultural practices include pruning and destroying infested plants, avoiding over irrigation/fertilization, spraying with mild detergent solution, disinfecting farm tools, and treating tubers with heated water. Biological options include spraying neem formulation. Chemical management includes applying Buprofezin or Segatron Ultra. Use recommended pesticide registered by PCPB and strictly adhere to the instructions on the label.</t>
  </si>
  <si>
    <t>Cost KES 45,000 per acre, Up to 60% yield loss if not controlled, Women involved in spraying which may be unhealthy</t>
  </si>
  <si>
    <t>potato, mealybugs, IPM, neem, PCPB-registered pesticides</t>
  </si>
  <si>
    <t>Integrated Management of White Flies Potato</t>
  </si>
  <si>
    <t>Integrated management of white flies in potatoes comprises the use of cultural, biological and mechanical approaches. Cultural practices include weekly scouting, intercropping with non-solanaceae crops, early planting, planting certified tolerant cultivars, placing yellow sticky traps, providing mulch, spraying with soapy water, and making homemade sticky traps. Biological options include conserving natural enemies and applying neem formulation.</t>
  </si>
  <si>
    <t>Cost KES 33,000 per acre, 40-70% yield loss if not controlled, Reluctance by farmers to adopt IPM, Inadequate knowledge on IPM strategies</t>
  </si>
  <si>
    <t>potato, white flies, IPM, sticky traps, neem</t>
  </si>
  <si>
    <t>Integrated Management of Spider Mites Potato</t>
  </si>
  <si>
    <t>Integrated management of the spider mites includes the use of various pest control strategies. Cultural practices include siting nurseries away from infested crops, growing healthy crops, applying mulch, keeping perennial hedges to encourage predatory mites, uprooting and burning infested plants, keeping fields weed-free, removing crop residues, spraying with soapy water, using sticky pheromone traps, and overhead irrigation. Biological options include conserving natural enemies and applying neem formulation. Chemical management includes spraying natural commercial pyrethrum extracts.</t>
  </si>
  <si>
    <t>Cost KES 50,000 per acre, Up to 42% yield loss if not controlled, Women involved in spraying which may be unhealthy</t>
  </si>
  <si>
    <t>potato, spider mites, IPM, predatory mites, pyrethrum</t>
  </si>
  <si>
    <t>Integrated Management of Leaf Miner Potato</t>
  </si>
  <si>
    <t>Integrated management of leaf miners consists of several approaches applied in an integrated manner to break the insect cycle. Cultural practices include planting clean seed tubers, rotating with non-host crops, removing and destroying wild host plants, removing and burning infected crop residues, removing infested leaves, burying deep infested plants, and using black sticky traps. Biological options include using Bacillus thuringiensis and pheromone traps. Chemical management includes spraying spinetoram or chlorantraniliprole.</t>
  </si>
  <si>
    <t>Cost KES 50,000 per acre, 30-70% yield loss if not controlled, Women involved in spraying which may be unhealthy</t>
  </si>
  <si>
    <t>potato, leaf miner, IPM, spinetoram, pheromone traps</t>
  </si>
  <si>
    <t>Integrated Management of Cutworms Potato</t>
  </si>
  <si>
    <t>Integrated management of potato cutworms involves the use of a combination of cultural, biological and chemical control methods. Cultural practices include ploughing land to expose caterpillars, preparing field and destroying vegetation 10-14 days before planting, delaying planting slightly, hand picking caterpillars, flooding field, using bait traps, and using pheromone traps. Biological options include spraying neem based products and applying pesticides judiciously to conserve natural enemies. Chemical management includes spraying with alpha-cypermethrin or lambda-cyhalothrin.</t>
  </si>
  <si>
    <t>Cost KES 47,000 per acre, 20-30% yield loss if not controlled, Women involved in spraying which may be unhealthy</t>
  </si>
  <si>
    <t>potato, cutworms, IPM, neem, Alpha Cypermethrin</t>
  </si>
  <si>
    <t>Integrated Management of Millipedes Potato</t>
  </si>
  <si>
    <t>Integrated management of potato millipedes involves the use of a combination of cultural, biological and chemical control methods. Cultural control includes avoiding practices that increase soil moisture, clearing hiding places, removing volunteer plants and crop residues, avoiding planting in wet areas, using beer in bowls as traps, and applying entomopathogenic nematodes. Chemical management includes seed dressing with Thiamethoxam + Metalaxyl-M + Difenoconazole, applying lambda-cyhalothrin, or applying deltamethrin.</t>
  </si>
  <si>
    <t>Cost KES 50,000 per acre, Up to 80% yield loss if not controlled, Women involved in spraying which may be unhealthy, Requires further research</t>
  </si>
  <si>
    <t>potato, millipedes, IPM, Entomopathogenic nematodes, seed dressing</t>
  </si>
  <si>
    <t>Integrated Management of Slugs Potato</t>
  </si>
  <si>
    <t>Integrated management of slugs involves the use of a combination of cultural methods. Cultural practices include inspecting plants for feeding damage and slime trails, cleaning up weeds and plant debris, removing rocks and anything that can shelter slugs, hand picking and killing slugs, trapping slugs with shallow containers of beer/molasses/yeast and sugar solution, placing large cabbage leaves on the ground as traps, and putting up a vertical copper barrier.</t>
  </si>
  <si>
    <t>Cost KES 15,000 per acre, Reduces quality by 100% if not controlled, Women involved in spraying which may be unhealthy</t>
  </si>
  <si>
    <t>potato, slugs, cultural control, trapping, copper barrier</t>
  </si>
  <si>
    <t>Integrated Management of Bacterial Wilt Potato</t>
  </si>
  <si>
    <t>Integrated management of bacterial wilt disease is the combined application of cultural and chemical approaches to break the disease cycle. Cultural practices include using tolerant varieties or clean seed, avoiding planting capsicum/eggplant/potato/tomato/tobacco on affected soil for at least 3 years, practicing crop rotation with non-solanaceae crops, keeping fields free from weeds, controlling run-off water, uprooting and destroying diseased plants, and disinfecting farm implements. Biological options include spraying Azadirachtin to control beetles. Chemical management includes spraying copper-based fungicide and drenching with Carbendazim.</t>
  </si>
  <si>
    <t>Cost KES 55,000 per acre, 50-100% yield loss if not controlled, Reluctance by farmers to adopt IDM</t>
  </si>
  <si>
    <t>potato, bacterial wilt, Ralstonia solanacearum, crop rotation, copper fungicide</t>
  </si>
  <si>
    <t>Integrated Management Late Blight Disease Potato</t>
  </si>
  <si>
    <t>Integrated management of potato late blight consists of several approaches applied in an integrated manner to break the cycle of the disease. Cultural practices include using clean certified seed, not planting next to infected fields, destroying crop debris after harvest, practicing rotation with beans/maize/sorghum/millet/cowpeas/onion/sweet potatoes/carrots, intercropping with millet/maize/cotton/sorghum/soybean, disinfecting tools, regularly weeding, removing and burning infected plants, using dry mulch, avoiding planting capsicum/eggplant/potatoes/tomatoes/tobacco for at least 3 years, and using tolerant varieties. Biological options include botanical controls (fermented marigold and onion bulb extracts) and baking soda spray. Chemical management includes spraying Mancozeb, Copper hydroxide, Copper oxychloride, or Metalaxyl.</t>
  </si>
  <si>
    <t>Cost KES 43,000 per acre, Up to 67% yield loss if not controlled, Reluctance by farmers to adopt IDM</t>
  </si>
  <si>
    <t>potato, late blight, Phytophthora infestans, Mancozeb, crop rotation</t>
  </si>
  <si>
    <t>Integrated Management of Potato Blackleg disease Potato</t>
  </si>
  <si>
    <t>Integrated management of potato blackleg disease consists of several approaches applied in an integrated manner to break the cycle of the disease. Cultural practices include planting disease-free seed tubers, ploughing deep to reduce inoculum, removing affected crop and debris, controlling root- and tuber-chewing pests, rotating with maize/legumes/soybeans/fodder grasses, removing and burning infected materials, and disinfecting farm implements. Bio-control options include drenching with Trichoderma based biopesticide. Chemical management includes spraying copper-based fungicide and drenching with Azadirachtin-based products.</t>
  </si>
  <si>
    <t>Cost KES 50,000 per acre, 50% yield loss if not controlled, Reluctance by farmers to adopt IDM</t>
  </si>
  <si>
    <t>potato, blackleg, Trichoderma, copper fungicide, crop rotation</t>
  </si>
  <si>
    <t>Integrated Management Soft Rot Disease Potato</t>
  </si>
  <si>
    <t>Integrated management of soft rot consists of various approaches including cultural, biological and chemical control that help to break the disease cycle. Cultural practices include planting pathogen-free seed tubers, harvesting mature tubers, avoiding storing wet tubers, avoiding harvesting during wet periods, disinfecting tools, crop rotation with non-legumes for 6-8 seasons, proper field hygiene, avoiding excessive watering, avoiding surface run off, uprooting infected plants, and applying farm yard manure. Biological options include drenching with Trichoderma based biopesticide. Chemical control includes spraying copper-based fungicide and drenching with Azadirachtin-based products.</t>
  </si>
  <si>
    <t>Cost KES 51,000 per acre, Up to 30% yield loss if not controlled, Women involved in spraying which may be unhealthy</t>
  </si>
  <si>
    <t>potato, soft rot, Trichoderma, copper fungicide, field hygiene</t>
  </si>
  <si>
    <t>Integrated Management of Potato Leaf Roll Virus Potato</t>
  </si>
  <si>
    <t>Integrated management of Potato Leaf Roll Virus disease of potatoes consists of various approaches that help to break the disease cycle. Cultural practices include use of certified seed, monitoring insect vectors, avoiding work on fields when wet, uprooting weeds that could serve as alternative hosts, and growing tolerant potato varieties. Chemical management includes spraying Thiamethoxam or Imidacloprid.</t>
  </si>
  <si>
    <t>Cost KES 33,000 per acre, 60% yield loss if not controlled, Reluctance by farmers to adopt IDM</t>
  </si>
  <si>
    <t>potato, PLRV, Potato Leaf Roll Virus, aphid vectors, Thiamethoxam</t>
  </si>
  <si>
    <t>Integrated Management of Potato Virus Y Potato</t>
  </si>
  <si>
    <t>Potato virus Y disease is transmitted by aphids. This disease can effectively be managed by controlling aphid population. Integrated management consists of various approaches including good cultural practices, use of biopesticides and synthetic pesticides. Cultural practices include use of certified seed, monitoring insect vectors, avoiding work on fields when wet, uprooting weeds that may serve as alternative hosts, and growing tolerant potato varieties. Chemical management includes spraying Thiamethoxam or Imidacloprid.</t>
  </si>
  <si>
    <t>Cost KES 33,000 per acre, 60% yield loss if not controlled, Inadequate availability and accessibility of information</t>
  </si>
  <si>
    <t>potato, PVY, Potato Virus Y, aphid vectors, Thiamethoxam</t>
  </si>
  <si>
    <t>Integrated Management of Potato Virus X Potato</t>
  </si>
  <si>
    <t>Integrated management of Potato Virus X disease of potatoes consists of various approaches that help to break the disease cycle. Cultural practices include use of certified seed, monitoring insect vectors (aphids and white flies), avoiding work on fields when wet, uprooting weeds that could serve as alternative hosts, and growing tolerant potato varieties. Chemical management includes spraying Thiamethoxam or Imidacloprid.</t>
  </si>
  <si>
    <t>Cost KES 33,000 per acre, 60% yield loss if not controlled, Big challenge between information availability and accessibility</t>
  </si>
  <si>
    <t>potato, PVX, Potato Virus X, aphid vectors, Thiamethoxam</t>
  </si>
  <si>
    <t>LAMP Technology for Rapid Detection of Bacterial Wilt, Dickeya and Viruses in potato Potato</t>
  </si>
  <si>
    <t>Loop-mediated Isothermal Amplification (LAMP) is a rapid diagnostic tool for determining the quality status of seed potato production facility. It enables detection of low density and sub-microscopic infections with better accuracy and greater ease.</t>
  </si>
  <si>
    <t>Requires validation, Scarcity of LAMP equipment, Lack of awareness among seed producers, Most seed producing entities dominated by men</t>
  </si>
  <si>
    <t>potato, LAMP, rapid detection, bacterial wilt, virus detection</t>
  </si>
  <si>
    <t>Integrated Weed Management (IWM) in potato Potato</t>
  </si>
  <si>
    <t>Integrated weed management is the management of weeds using several approaches such as preventive, physical control, biological control, mulching, cultural, mechanical and chemical control. Physical/manual control is manual or mechanical removal of weeds. Biological control is use of live organisms such as insects, pathogen or animals to control weeds. Chemical control is use of appropriate herbicides to control weeds while Cultural control is weed control by methods such as crop rotation and intercropping.</t>
  </si>
  <si>
    <t>Labour intensive, High cost of herbicides, Limited knowledge and information on herbicides, Myths on appropriateness of using herbicides</t>
  </si>
  <si>
    <t>potato, IWM, integrated weed management, herbicides, cultural control</t>
  </si>
  <si>
    <t>Mulching for Weed Management in Potato Potato</t>
  </si>
  <si>
    <t>The practice of covering the soil/ground with natural or synthetic materials to effectively control germination of weed seeds in or at the soil surface using biodegradable or natural mulches. Biodegradable include straw, grass and dead leaves. Organic mulches should be between 5-10 cm deep to effectively prevent weed germination and suppress the growth in potato fields. In addition organic mulches retain moisture in the soil; keep the soil cool; and help improve soil fertility and improve microclimate when they decompose. Synthetic mulches will solarize soils, suppress weed growth, prevent seed germination and retain soil moisture.</t>
  </si>
  <si>
    <t>Labour intensity, Competing uses of crop residues, Possibilities of insect build up, Small tears allow weed emergence</t>
  </si>
  <si>
    <t>potato, mulching, weed management, organic mulch, synthetic mulch</t>
  </si>
  <si>
    <t>Chemical Weed Control in Potato Potato</t>
  </si>
  <si>
    <t>Chemical weed control is a technology used to control the germination and growth of the weed species through application of chemicals/herbicides to weeds or the soil. Herbicide weed control is a technology that requires knowledge on herbicides required for specific crops. Some recommended herbicides include: Metribuzin-based products such as Ambar 480 SC at 50-100 mL in 20 litres of water, and Agil 100 EC (propaquizafop) at 100-200 mL in 20 litres of water to control grass weeds in potato.</t>
  </si>
  <si>
    <t>Limited knowledge and low literacy levels, Risk of environmental and health hazards, Farmers need to understand proper use to avoid buying wrong herbicides</t>
  </si>
  <si>
    <t>potato, chemical weed control, herbicides, metribuzin, Ambar</t>
  </si>
  <si>
    <t>Solarization Bed for Weed Control in Potato Potato</t>
  </si>
  <si>
    <t>Solarisation is a method where transparent/clear polythene films/plastic is used to heat the soil and kill weed seedlings and dormant seeds in the top 15 cm of the soil. This increases soil temperatures by about 10 °C or more than atmospheric. The basic phenomenon is building up of lethal high temperatures in the soil where most dormant and viable seeds are present. The mechanism can increase soil temperature by 8-12 °C over non mulched soil which kills seeds and rhizomes of annual and perennial weeds if not deeply buried. Effectiveness depends on specific species and also the length of period of heating.</t>
  </si>
  <si>
    <t>Requires validation, Requires further research, Polythene disposal must be done carefully to avoid environmental hazards</t>
  </si>
  <si>
    <t>potato, solarization, weed control, polythene, soil heating</t>
  </si>
  <si>
    <t>Safe Use of Herbicides in Potato Potato</t>
  </si>
  <si>
    <t>The recommended practice includes methodologies for proper herbicide handling, application, and disposal of leftovers and containers in order to minimize pollution of the environment and contamination of the produce. Capacity building of farmers, crop protection spray teams on safe handling and use of herbicides right from transportation from the agro-dealers to storage in their houses, mixing procedures and their application in the field in order to ensure safety of the crop, the person handling them and the environment at large.</t>
  </si>
  <si>
    <t>Not safe for expectant women, Herbicides and protective gear expensive, Illiteracy hinders safe use, Use of banned pesticides from neighboring countries</t>
  </si>
  <si>
    <t>potato, herbicide safety, PPE, safe handling, environmental protection</t>
  </si>
  <si>
    <t>Mechanical Weed Control in Potato Potato</t>
  </si>
  <si>
    <t>Mechanical/manual weed control is a technique that manages weed populations through physical methods that remove, injure, kill, or make the growing conditions unfavourable for growth using tools such as pangas, jembes and slashers. Land preparation is done manually using hoes or implements such as sub-soilers. Some of the methods cause direct damage to the weeds through complete removal or causing a lethal injury. Other techniques may alter the growing environment by eliminating light, increasing the temperature of the soil, or depriving the plant of carbon dioxide or oxygen.</t>
  </si>
  <si>
    <t>Labour intensity, Appropriate implements not readily available, Women and children are main sources of labour</t>
  </si>
  <si>
    <t>potato, mechanical weeding, manual weeding, sub-soiler, inter-row weeding</t>
  </si>
  <si>
    <t>Dehaulming Potato</t>
  </si>
  <si>
    <t>This is the removal or destruction of the haulm (the plant above the ground level) to allow the skin to harden and reduce damage to the tubers during harvest. This is usually done 10 to 14 days before harvesting and improves the storability of the tubers. The haulms can be removed manually with a panga or mechanically with a rotary mower.</t>
  </si>
  <si>
    <t>Labour intensive, Lack of knowledge on the TIMP, Lack of incentives for producing quality tubers</t>
  </si>
  <si>
    <t>potato, dehaulming, harvest efficiency, skin hardening, storability</t>
  </si>
  <si>
    <t>Maturity Indices and Correct Time for Harvesting Potatoes Potato</t>
  </si>
  <si>
    <t>This is a management practice involving careful maturity indices, pre-harvest operations and actual harvesting procedure. Potatoes are harvested when they attain sufficient size (5 to 7.5 cm in diameter) – early varieties 57-100 days, late varieties 120-160 days. Other maturity indicators include skin slipping from the tuber, starch content and leaf senescence or top drying. Harvesting can be done manually or mechanically. Manual harvesting involves uprooting/lifting the tubers by using hand-held hoes, fork jembes or 2-pronged sticks after the haulms are completely dry. Mechanical harvesting involves use of machinery.</t>
  </si>
  <si>
    <t>Requires validation, Lack of knowledge on maturity and appropriate harvesting, Negative attitude towards adoption of new TIMPs</t>
  </si>
  <si>
    <t>potato, maturity indices, harvesting time, skin slipping, leaf senescence</t>
  </si>
  <si>
    <t>Curing for Storage of Ware Potatoes Potato</t>
  </si>
  <si>
    <t>This involves exposing the harvested potato tubers immediately (within 1 to 2 hours) following harvest, to moderate temperatures of 25-30 °C and high relative humidity (85-95%) for 10 to 14 days. Tubers should never be washed prior to curing and/or storage, as this would result in severe decay after several weeks. Curing should be started within 1 to 2 hours of harvest. The temperature should not exceed 35 °C nor should the relative humidity be so high (i.e. 100%) where moisture condensation occurs on the surface of the potato. Curing toughens the skin in order to protect them from damage, and heal any existing wounds, thus reducing the risk of postharvest diseases infestation. Curing can be done in two methods – (a) field curing, and (b) curing using ventilated sheds.</t>
  </si>
  <si>
    <t>Labour intensive, Do not wash tubers prior to curing, Temperature should not exceed 35 °C, Women have limited access to productive resources</t>
  </si>
  <si>
    <t>potato, curing, storage, wound healing, skin toughening</t>
  </si>
  <si>
    <t>Sorting and Grading Potato</t>
  </si>
  <si>
    <t>Sorting is done to remove rotten, damaged (bruised, cut), malformed and pest-infested tubers, and debris from the good ones. All potatoes showing greening, decay or severe damage owing to harvesting or pest attack should be discarded at harvest. Immature tubers and those showing minor damage or wetted by rain should be put aside for immediate consumption. Potatoes to be stored for food or seed should be fully mature and free from any visible damage or decay. Grading classifies potato tubers by size and simplifies product selection for market sellers. Grading should be carried out to separate the ware, seed and chats. Each bag should be well-labelled according to variety description and weight for ease of identification. Grading can be done manually or with mechanized graders.</t>
  </si>
  <si>
    <t>High cost of mechanized graders, Lack of knowledge on the TIMP, Usually done by women increasing their labor</t>
  </si>
  <si>
    <t>potato, sorting, grading, quality, size classification</t>
  </si>
  <si>
    <t>Ambient/Naturally Ventilated Ware Potato Store Potato</t>
  </si>
  <si>
    <t>This is a store constructed of locally available material for storage of ware potato. It provides temperatures of 4–8 °C and can allow up to 8 months of storage. Store in cool, dark and well ventilated areas.</t>
  </si>
  <si>
    <t>Requires validation, Non-exposure of end-user to Ware Storage, Women have limited access to construction materials</t>
  </si>
  <si>
    <t>potato, ware storage, ambient storage, ventilated store, shelf life</t>
  </si>
  <si>
    <t>Potato flour Potato</t>
  </si>
  <si>
    <t>This is flour prepared by milling dry potato chips.</t>
  </si>
  <si>
    <t>Limited awareness of technology, Difficulty in acquiring KEBS certification, Lack of standards for the product</t>
  </si>
  <si>
    <t>potato, flour, value addition, processing, milling</t>
  </si>
  <si>
    <t>Production of Potato starch Potato</t>
  </si>
  <si>
    <t>Potato starch is a carbohydrate extracted from starch grains of potato tubers. It is used in making soups, gluten free recipes, cakes and cuisines. Some potato starch is also produced as a byproduct from the potato processing industry, recovered from the potato cutting circuit during the production of French fries and potato chips.</t>
  </si>
  <si>
    <t>Requires validation, Limited awareness of technology, Lack of funds to invest in processing</t>
  </si>
  <si>
    <t>potato, starch, value addition, extraction, processing</t>
  </si>
  <si>
    <t>Potato Crisps Potato</t>
  </si>
  <si>
    <t>Potato crisps are thin slices of potatoes that may have been deep fried or baked until they become crunchy. Fresh potato tubers are cut into thin slices, deep fried in heated cooking oil to a crunchy texture, cooled and packaged in airtight containers.</t>
  </si>
  <si>
    <t>Limited awareness of product, Difficulty in acquiring KEBS certification, Lack of standards for the product, Lack of credit facilities</t>
  </si>
  <si>
    <t>potato, crisps, value addition, deep frying, snack food</t>
  </si>
  <si>
    <t>Potato chips/fries Potato</t>
  </si>
  <si>
    <t>Potatoes are peeled then cut into chips, deep fried and served hot.</t>
  </si>
  <si>
    <t>Limited awareness of product, Limited processing technology at household level, Difficulty in acquiring KEBS certification</t>
  </si>
  <si>
    <t>potato, chips, fries, value addition, deep frying</t>
  </si>
  <si>
    <t>Potato/wheat chapati Potato</t>
  </si>
  <si>
    <t>Potatoes are washed, peeled, boiled and mashed well without lumps. The mashed potato is then mixed with wheat flour, cumin powder, salt to taste and warm water to make a dough. Small balls of about 5 cm are made and flattened. Cooking oil is then gently heated in a pan, and the flattened dough is added and cooked until both sides turn golden brown with some dark areas, then served.</t>
  </si>
  <si>
    <t>Limited awareness of product, Difficulty in acquiring KEBS certification, Lack of standards for the product</t>
  </si>
  <si>
    <t>potato, chapati, composite flour, value addition, blending</t>
  </si>
  <si>
    <t>Potato Mandazi Potato</t>
  </si>
  <si>
    <t>Potato/wheat mandazi made from composite flour of 25% potato and 75% wheat flour.</t>
  </si>
  <si>
    <t>potato, mandazi, composite flour, value addition, blending</t>
  </si>
  <si>
    <t>Potato Buns Potato</t>
  </si>
  <si>
    <t>Potato/wheat buns made from composite flour of 25% potato and 75% wheat flour.</t>
  </si>
  <si>
    <t>potato, buns, composite flour, value addition, baking</t>
  </si>
  <si>
    <t>Potato Fritters Potato</t>
  </si>
  <si>
    <t>Grated fresh potato tubers combined with wheat flour, eggs and spices. The combination is deep fried, cooled and packaged.</t>
  </si>
  <si>
    <t>Limited awareness of product, Difficulty in acquiring KEBS certification, Limited processing technology at household level</t>
  </si>
  <si>
    <t>potato, fritters, value addition, deep frying, snack food</t>
  </si>
  <si>
    <t>Potato/Wheat noodles Potato</t>
  </si>
  <si>
    <t>Potato/wheat noodles made from composite flour of 25% potato and 75% wheat flour.</t>
  </si>
  <si>
    <t>Requires validation, Limited awareness of product, Difficulty in acquiring KEBS certification</t>
  </si>
  <si>
    <t>potato, noodles, composite flour, value addition, processing</t>
  </si>
  <si>
    <t>Potato/Wheat Doughnuts Potato</t>
  </si>
  <si>
    <t>Potato/wheat doughnuts made from composite flour of 25% potato and 75% wheat flour.</t>
  </si>
  <si>
    <t>potato, doughnuts, composite flour, value addition, baking</t>
  </si>
  <si>
    <t>Power Tiller Potato</t>
  </si>
  <si>
    <t>A Power tiller is a low-powered two-wheeled agricultural implement (6-12 kW), also referred to as a walking tractor, that can be fitted with a rotary tiller, disk harrow, mouldboard plough, trailer, water pump or chisel at alternate times for easing farm operations. It can complete one hectare per day by one operator in about two hours though the machine could do more with a different operator. This will vary depending on the climatic conditions, soil types, soil moisture content, operator stamina and experience. Fuel consumption is about 15 litres per ha.</t>
  </si>
  <si>
    <t>High initial cost for small-scale farmers, Requires operator training, Fuel and maintenance costs</t>
  </si>
  <si>
    <t>potato, power tiller, mechanization, walking tractor, rotary tiller</t>
  </si>
  <si>
    <t>Wheeled Tractor 37 kW Potato</t>
  </si>
  <si>
    <t>A small-sized, 4-wheeled tractor is a low-powered agricultural implement of 30-41 kW that can be fitted with a rotary tiller, disk harrow, mouldboard plough, trailer, water pump or chisel at alternate times for easing farm operations. It can complete 4 hectares per day by one operator, but with two operators running another 8 hours of 4 hectares, the total comes to 8 hectares per day. This will vary depending on the climatic conditions, soil types, soil moisture content and operator experience. Fuel consumption is about 15 litres per ha.</t>
  </si>
  <si>
    <t>Very high initial cost, Not suitable for small farms, Requires trained operators</t>
  </si>
  <si>
    <t>potato, tractor, mechanization, 37 kW tractor, agricultural machinery</t>
  </si>
  <si>
    <t>Mouldboard Plough Potato</t>
  </si>
  <si>
    <t>Mouldboard plough is an agricultural implement and is generally considered to be an important tillage implement. Mouldboard ploughs are available for power tiller and tractor operation. A mouldboard plough does four jobs namely a) cutting the furrow slice, b) lifting the furrow slice, c) inverting the furrow slice and d) pulverizing the furrow slice. Ploughing accounts for more traction energy than any other field operation.</t>
  </si>
  <si>
    <t>Needs tractor for operation, May invert soil too deeply, Can cause soil degradation if overused</t>
  </si>
  <si>
    <t>potato, mouldboard plough, tillage, soil inversion, ploughing</t>
  </si>
  <si>
    <t>Harrow Potato</t>
  </si>
  <si>
    <t>It is an implement consisting of a heavy frame set with teeth or tines which is dragged over ploughed land to break up clods, remove weeds, and cover seed and is a cultivating tool used primarily for breaking up and smoothing the soil in preparation of a seedbed for small sized grain planting.</t>
  </si>
  <si>
    <t>Needs tractor/power tiller for operation, May not be affordable to smallholders</t>
  </si>
  <si>
    <t>potato, harrow, secondary tillage, seedbed preparation, soil pulverization</t>
  </si>
  <si>
    <t>Potato Planter Potato</t>
  </si>
  <si>
    <t>A potato planter is a device used in agriculture that opens furrows, meters and sows seed potatoes by positioning them in the soil, burying them to a specific depth and forming a ridge along the seed row. The potato planter sows seeds at the proper seeding rate and depth, ensuring that the seeds are covered by soil.</t>
  </si>
  <si>
    <t>Requires training for calibration, Seed jamming may occur</t>
  </si>
  <si>
    <t>potato, planter, precision planting, mechanization, seed placement</t>
  </si>
  <si>
    <t>Motorised Sprayer Potato</t>
  </si>
  <si>
    <t>A motorized sprayer is a device used to spray a liquid, where sprayers are commonly used for projection of water, weed killers, crop performance materials, pest maintenance chemicals, as well as manufacturing and production line ingredients. In agriculture, a sprayer is a piece of equipment that is used to apply herbicides, pesticides, and fertilizers on agricultural crops. Sprayers are man-portable units typically backpacks with spray guns. They are used to control weeds, insect pests, fungal diseases and application of micronutrients.</t>
  </si>
  <si>
    <t>Requires safe chemical handling, Risk of chemical exposure, Spray drift can affect non-target areas</t>
  </si>
  <si>
    <t>potato, motorized sprayer, pesticide application, chemical spraying, crop protection</t>
  </si>
  <si>
    <t>Harvester Potato</t>
  </si>
  <si>
    <t>A potato harvester is a machine that harvests potatoes. It works by lifting the potatoes from the bed using a share. Soil and crop are transferred onto a series of webs where the loose soil is sieved out. The potatoes are moved towards the back of the harvester on to a separation unit and then (on manned machines) to a picking table where people pick out the stones, clods, and haulms (stems or stalks) by hand. The potatoes then go on to a side elevator and into a trailer or a potato box.</t>
  </si>
  <si>
    <t>Requires further research, Very high initial investment, Not suitable for small farms, Requires skilled operators</t>
  </si>
  <si>
    <t>potato, harvester, mechanical harvesting, potato harvester, mechanization</t>
  </si>
  <si>
    <t>Grader Potato</t>
  </si>
  <si>
    <t>The potato grader is a machine with PVC rollers that rotate potatoes to allow quality inspection, and finally grades on three to six sizes. It has a bag closing device and weighing system that enables direct packing. It has a conveyor at the bottom of the hopper. The machine is automatic feeding and can carry a large capacity.</t>
  </si>
  <si>
    <t>Requires further research, Relatively high cost for individual small-scale farmer, Limited awareness of the machine</t>
  </si>
  <si>
    <t>potato, grader, grading, size classification, mechanization</t>
  </si>
  <si>
    <t>Transformative Model of Potato Production Potato</t>
  </si>
  <si>
    <t>Transformative model of potato production involves three levels of shifting. As farmers gain production skills and improved access to markets, the production of potato shifts from subsistence, to semi-commercial to fully commercial. An approach to transform smallholder farmers from the use of low to high levels of improved inputs and thereby build market linkages. At the fully commercial level, inputs are accessed from the markets and outputs solely for the markets.</t>
  </si>
  <si>
    <t>Requires validation, Disorganization and scattered farmers, Small-scale farming, Group dynamics challenges, High perishability of potato</t>
  </si>
  <si>
    <t>potato, transformative model, commercialization, subsistence, market linkages</t>
  </si>
  <si>
    <t>Profitability analysis Potato</t>
  </si>
  <si>
    <t>Profitability analysis involves recording of costs, returns and therefore determination of profit which indicates the performance of the potato agro-enterprise. Profit analysis detects whether the business is operating at a loss or gain.</t>
  </si>
  <si>
    <t>Women farmers semi-illiterate cannot keep records, Limited access to agricultural information, Women and youth have limited finances</t>
  </si>
  <si>
    <t>potato, profitability, cost analysis, returns, enterprise performance</t>
  </si>
  <si>
    <t>Market Research Potato</t>
  </si>
  <si>
    <t>Market research is a practice by farmers to gather market information to help them in business planning and organization of the production.</t>
  </si>
  <si>
    <t>Requires validation, Disorganization and scattered farmers, Lack of appreciation of market opportunity group, Women sell small quantities due to limited finances</t>
  </si>
  <si>
    <t>potato, market research, market information, business planning, market access</t>
  </si>
  <si>
    <t>Collective marketing Potato</t>
  </si>
  <si>
    <t>Collective marketing through farmers' groups has been identified as a strategy to improve the participation of small scale farmers in markets. Collective marketing promotes the empowerment of farmer groups and allows them to overcome specific barriers to becoming part of market economy. Collective marketing is a characteristic of producer organization which is a group of producers formed with an objective of accessing markets and reducing market failures. It is a legal entity established to bring farmers together to benefit from marketing.</t>
  </si>
  <si>
    <t>Requires validation, Disorganization and scattered farmers, Small-scale farming, Group dynamics challenges, Strict rules of entry may limit women participation</t>
  </si>
  <si>
    <t>potato, collective marketing, farmer groups, economies of scale, market access</t>
  </si>
  <si>
    <t>Marketing innovation model Potato</t>
  </si>
  <si>
    <t>The marketing innovation model is characterized by the entrepreneurship where farmers undertake technology modification, finance and business acumen in an effort to transform innovations into economic goods and ultimately profit. Some of the innovations include identification of the opportunities and strengths in potato production and marketing.</t>
  </si>
  <si>
    <t>Requires validation, Small-scale farming, Inadequate information, Subsistence farming, Literacy levels among smallholder farmers</t>
  </si>
  <si>
    <t>potato, marketing innovation, entrepreneurship, product diversification, business acumen</t>
  </si>
  <si>
    <t>Contracted potato production model Potato</t>
  </si>
  <si>
    <t>Contract farming is a contractual arrangement between producers and buyers of a farm product. The contract can either be oral or written, and will specify one or more conditions of production and marketing of an agricultural product. In essence, contract farming commits the farmer to produce a certain commodity at a certain time for an agreed price and, in return, the contractor undertakes to buy the commodity, and may provide agricultural extension and other services to producers in order to satisfy production requirements in terms of quality and quantity. At times beyond buying of the potato outputs, the contractors extend lines of credit to producers in the form of farming inputs and technical assistance. Under contract farming terms, contractors commit themselves to buy the entire product contracted out to producers at an agreed price. On the other hand, producers provide labour and manage the contracted farming activity.</t>
  </si>
  <si>
    <t>Requires validation, Disorganization and scattered farmers, Small-scale farming, Inadequate information on contract farming</t>
  </si>
  <si>
    <t>potato, contract farming, market access, input credit, production agreement</t>
  </si>
  <si>
    <t>Internet/mobile marketing Potato</t>
  </si>
  <si>
    <t>Internet and mobile marketing refer to the strategies used to market products and services online and through other digital means. These can include a variety of online platforms, tools, and content delivery systems. The same online strategies can be used while marketing potato production.</t>
  </si>
  <si>
    <t>Requires validation, Limited digital skills of farmers, Inadequate internet connectivity, Most women have limited information on internet marketing</t>
  </si>
  <si>
    <t>potato, internet marketing, mobile marketing, e-commerce, digital marketing</t>
  </si>
  <si>
    <t>Building a Business plan for potato production Potato</t>
  </si>
  <si>
    <t>A business plan is a document which guides the potato business operations in a farm. The document contains business details, such as introduction, business organization, products, marketing strategy, risks, business operation plan, marketing costs, income streams, profit and loss analysis and financial requirements. The business plan provides a roadmap for the potato small farm business, an overall vision and mission to drive the business.</t>
  </si>
  <si>
    <t>Requires validation, Disorganization and scattered farmers, Small-scale farming, Inadequate information, Levels of education of farmers</t>
  </si>
  <si>
    <t>potato, business plan, financial planning, agribusiness, enterprise management</t>
  </si>
  <si>
    <t>The National Potato Policy Strategy Potato</t>
  </si>
  <si>
    <t>The National Potato Strategy analyzed the major stakeholders and their core functions in the potato industry. The potato strategy has been developed with a view to provide a road map for the industry players and to create opportunities to develop the industry by addressing identified constraints. This Strategy is intended to harmonize the activities of different players and fully utilize their synergies and complementarities in potato industry.</t>
  </si>
  <si>
    <t>Disorganization and scattered farmers, Small-scale farming, Inadequate information on agricultural policies, Poorly established potato value chain</t>
  </si>
  <si>
    <t>potato, national policy, strategy, stakeholders, coordination</t>
  </si>
  <si>
    <t>Policy cycle Potato</t>
  </si>
  <si>
    <t>The policy cycle detailed in the potato strategy includes sequential parts or stages. These are (1) problem emergence, (2) agenda setting, (3) consideration of policy options, (4) decision-making, (5) implementation, and (6) evaluation. The cycle is a valuable device for involving the smallholder farmers of potato to articulate their issues in the potato production and marketing and therefore initiate the centralization of their agencies and voices.</t>
  </si>
  <si>
    <t>Requires validation, Disorganization and scattered farmers, Small-scale farming, Inadequate information on agricultural policies</t>
  </si>
  <si>
    <t>potato, policy cycle, agenda setting, formulation, implementation, evaluation</t>
  </si>
  <si>
    <t>County Integrated Development Planning Potato</t>
  </si>
  <si>
    <t>The County Integrated Development Planning (CIDP) is a five-year plan developed by County governments to guide County investments. The planning process is participatory, involving the development stakeholders in the county. It is during this planning period where the issues in potato production, marketing and processing are considered.</t>
  </si>
  <si>
    <t>Disorganization and scattered farmers, Small-scale farming, Inadequate information on CIDPs, Farmers fail to articulate their issues</t>
  </si>
  <si>
    <t>potato, county planning, CIDP, development planning, participatory planning</t>
  </si>
  <si>
    <t>Policy instruments for the producers of potato Potato</t>
  </si>
  <si>
    <t>The policy instruments are the means to achieve the National potato policy objectives through stakeholders. Some of the instruments in the National Potato Strategy are provision of extension services, policy implementation, training of staff and farmers on technology transfer by the County governments. Other instruments through KALRO-Tigoni are development and dissemination of suitable technologies, provision of basic seed potato, research on pest and disease management, maintenance and supply of breeder's seed, dissemination of research findings to the MOALD and other stakeholders and capacity building on seed production and marketing.</t>
  </si>
  <si>
    <t>Disorganization and scattered farmers, Small-scale farming, Inappropriate policy instruments, Women might not have adequate information on CIDP</t>
  </si>
  <si>
    <t>potato, policy instruments, extension services, technology transfer, implementation</t>
  </si>
  <si>
    <t>Potato starch is a highly versatile ingredient in the food industry, prized for its neutral taste and odour. This natural thickening agent, stabilizer, and gelling component is gluten-free, making it a popular choice for a wide range of culinary applications. In baking it is used as a binder that enhances the shelf life of baked goods and is a gluten free replacement for wheat flour. In frying, it is used as a coating for fried food to give it a crispy, golden texture.</t>
  </si>
  <si>
    <t>Requires proper drying to prevent spoilage, Starch yield depends on potato variety and quality</t>
  </si>
  <si>
    <t>potato starch, gluten-free, thickening agent, baking binder, frying coating</t>
  </si>
  <si>
    <t>Ingredients for Potato Starch Production (Potato)</t>
  </si>
  <si>
    <t>6 kg of medium sized potatoes (converted to 1 kg of starch); Clean water</t>
  </si>
  <si>
    <t>6 kg potatoes yield only 1 kg starch, Quality of water affects starch quality</t>
  </si>
  <si>
    <t>potato starch, ingredients, potatoes, water, starch extraction</t>
  </si>
  <si>
    <t>Equipment Required for Potato Starch Production (Potato)</t>
  </si>
  <si>
    <t>4 pieces of 5-litre stainless steel containers; Potato peeler; Sieve; Grater; Tray (for drying the starch)</t>
  </si>
  <si>
    <t>Stainless steel containers required to prevent contamination, Proper drying equipment needed to prevent spoilage</t>
  </si>
  <si>
    <t>potato starch, equipment, grater, sieve, drying tray</t>
  </si>
  <si>
    <t>Applications of Potato Starch (Potato)</t>
  </si>
  <si>
    <t>9. Spread the damp starch evenly onto a tray and allow it to dry until it reaches a powdery consistency. This can be achieved using a solar drier, oven, or by placing the tray in direct sunlight.</t>
  </si>
  <si>
    <t>May not be suitable for all recipes, Proper storage required to maintain quality</t>
  </si>
  <si>
    <t>potato starch, food applications, baked goods, soups, dressings</t>
  </si>
  <si>
    <t>Procedure for Potato Starch Production (Potato)</t>
  </si>
  <si>
    <t>1. Wash the selected potatoes thoroughly and peel using a peeler
2. Grate the potatoes and place them in a container
3. Add 2 litres of water and let the grated potatoes stand in the water for 10-15 minutes
4. First, thoroughly wash your hands and rinse them with clean water. Next, use your hands to squeeze out the excess starch from the grated potatoes using a sieve.
5. Transfer the material left in the sieve into a separate container, then add 2 litres of water. Allow the mixture to stand for 10-15 minutes.
6. To extract the maximum amount of starch from the grated potato material, use a sieve to squeeze it again. Collect the starch in a separate container. Repeat the process one more time to ensure all the starch has been extracted.
7. Combine all the water that has been strained three times into a single container and let it settle for 60 minutes. After this time, you will notice white sludge accumulating at the bottom of the container.
8. Carefully drain the water, ensuring that the sludge (white solid) is not poured out. What is left behind is wet starch.
9. Spread the damp starch evenly onto a tray and allow it to dry until it reaches a powdery consistency. This can be achieved using a solar drier, oven, or by placing the tray in direct sunlight.
10. Package the dried powder into the specified quantities.</t>
  </si>
  <si>
    <t>Requires thorough hand washing to prevent contamination, Incomplete drying may lead to mold growth, Starch must settle for full 60 minutes</t>
  </si>
  <si>
    <t>potato starch, extraction process, grating, settling, drying</t>
  </si>
  <si>
    <t>Potato starch is a common ingredient in a wide variety of food products, including baked goods like muffins and breads, candies, canned soups, dips, dressings, shredded cheese, spice mixes, and various prepackaged food items.</t>
  </si>
  <si>
    <t>Potato Crisps</t>
  </si>
  <si>
    <t>Potato crisps is a fried potato snack that typically consists of 30-35% oil and 2-10% of flavour. It is a preferred snack that is very marketable in urban centres.</t>
  </si>
  <si>
    <t>Contains 30-35% oil, Not considered nutritious (630-840 kJ, i.e. 150-200 kcal, per 28 g)</t>
  </si>
  <si>
    <t>potato crisps, fried snack, high oil content, marketable, urban centres</t>
  </si>
  <si>
    <t>Introduction to Potato Crisps (potato)</t>
  </si>
  <si>
    <t>Ware potatoes are seasonal and occasionally experience periods of overproduction. During these periods, prices plummet and farmers experience losses. Value added products such as potato crisps are some of the products that can be made during the periods of potato glut and sold over extended periods of time since they have long shelf life. Through value addition, farmers may sell some of their produce to crisps processors at favourable prices. The value addition stands to benefit the youth, the vulnerable and marginalized communities, who wish to benefit in one way or another in the potato value chain.</t>
  </si>
  <si>
    <t>1 kg potatoes yields only 250-280 g of crisps, Requires investment in equipment (deep fryer, sealer, etc.)</t>
  </si>
  <si>
    <t>potato crisps, value addition, income generation, potato glut, shelf life</t>
  </si>
  <si>
    <t>Ingredients for Potato Crisps (potato)</t>
  </si>
  <si>
    <t>1 kg of potato tubers (makes 250 to 280 g of crisps); Vegetable cooking oil (amount depends on type and size of fryer); Water for washing tubers; Herbs and spices (optional); Salt as desired</t>
  </si>
  <si>
    <t>High oil consumption required, Only 25-28% yield from raw potatoes</t>
  </si>
  <si>
    <t>potato crisps, ingredients, potatoes, cooking oil, seasonings</t>
  </si>
  <si>
    <t>Equipment Required for Potato Crisps (potato)</t>
  </si>
  <si>
    <t>Potato peeler; Potato slicer; Strainer; Hot bath; Waste bucket; Container; Deep fryer; Weighing scale; Packaging material; Sealer</t>
  </si>
  <si>
    <t>Requires significant equipment investment, Deep fryer needed (thermostat recommended)</t>
  </si>
  <si>
    <t>potato crisps, equipment, deep fryer, slicer, packaging</t>
  </si>
  <si>
    <t>Procedure for Potato Crisps Production (potato)</t>
  </si>
  <si>
    <t>1. Select medium sized potatoes of a similar size and shape. Freshly harvested ones give a higher number of crisps compared to those that had been stored.
2. Peel the selected potatoes (optional) and wash the peeled potatoes thoroughly before slicing them into thin, 3 mm thick slices using a slicer.
3. Wash the cut slices with water, 2 or 3 times to remove starch.
4. To blanch or cook the crisps, slightly immerse them in a hot water bath (75-80 °C) using a strainer for 2-3 minutes.
5. Remove the strainer from the water bath and let the excess water drain for 5-10 minutes. This will also allow the par-cooked slices to cool down.
6. Transfer the par-cooked slices from the blanching strainer to the deep-frying wire mesh basket.
7. Pour vegetable cooking oil into the deep-frying machine and heat the oil to about 170 °C (use the fryer's inbuilt thermostat).
8. Deep fry the potato slices in small batches and constantly check the temperature to ensure that it remains at about 170 °C.
9. If your fryer does not have a thermostat, remove the crisps occasionally during the deep-frying process to allow the oil to heat up. Do this until the crisps are cooked.
10. Remove the frying mesh containing the fried crisps from the oil, and position it in a manner that facilitates the draining of excess oil.
11. Arrange the freshly prepared crisps on a tray, sprinkle with salt and any desired seasonings, and allow them to cool.
12. Place the crisps in airtight packets, weigh and seal. Entry of air into the packet may lead to loss of crispiness, leading to spoilage.</t>
  </si>
  <si>
    <t>Freshly harvested potatoes give better results, Oil must be at 170 °C, Air entry causes loss of crispiness, Requires constant temperature monitoring</t>
  </si>
  <si>
    <t>potato crisps, processing procedure, blanching, deep frying, packaging</t>
  </si>
  <si>
    <t>Caution for Potato Crisps Production (potato)</t>
  </si>
  <si>
    <t>1. Tubers that are immature, identified by their easily peeling skin when rubbed using your fingers, will result in crisps that are undesirable and dark brown colour. This is caused by the high sugar content found in such tubers.
2. Fried potato crisps are not typically viewed as a nutritious snack option. A single serving of 28 g, which is roughly equivalent to 18 crisps, contains approximately 630 to 840 kJ (150 to 200 kcal), 10 g of fat, 15 g of carbohydrates and 2 g of protein.</t>
  </si>
  <si>
    <t>Immature potatoes produce dark brown crisps, High calorie and fat content (630-840 kJ, i.e. 150-200 kcal, per 28 g)</t>
  </si>
  <si>
    <t>potato crisps, caution, immature potatoes, nutrition, dark colour</t>
  </si>
  <si>
    <t>Ware Potato Storage</t>
  </si>
  <si>
    <t>Ware potato refers to potatoes meant for consumption. The potatoes are in demand throughout the year and must be kept fresh. To avoid spoilage, they should be stored in a cool, dark and well-ventilated store. Standard potato ware stores are expensive to construct for smallholder farmers, necessitating the need for alternative ways of constructing simple low-cost storage structures. These stores should preferably be grass-thatched with walls made of bricks or wood and covered with iron sheets to protect from rainfall and direct sunshine.</t>
  </si>
  <si>
    <t>Standard stores are expensive for smallholder farmers, Store must be kept dark to prevent greening</t>
  </si>
  <si>
    <t>potato, ware storage, low-cost, cooling, ventilation</t>
  </si>
  <si>
    <t>Low-Cost Ware Potato Store (Potato)</t>
  </si>
  <si>
    <t>The low-cost structure is made from locally available material such as grass, charcoal, wood or mud. This low-cost potato ware stores works by natural ventilation. During construction, openings are made on the roof and on the lower sides of the walls. Cooler and denser air from outside enters the store through the openings at the bottom of the store floor and flows through the stored potatoes resulting in a cooling effect. As the cooler and denser air flows over the potatoes, it gets heated by the warm air generated from respiration of potatoes and moves upwards, escaping through the openings in the roof. More cooler air enters the store and continues to keep the potato store cool. The low-cost ware store has the potential to keep potatoes in good condition for up to four months, depending on the variety and region.</t>
  </si>
  <si>
    <t>Stores potatoes for maximum 4 months only (variety dependent), Requires proper ventilation design to work effectively</t>
  </si>
  <si>
    <t>potato, low-cost store, natural ventilation, cooling, four months</t>
  </si>
  <si>
    <t>Rules Guiding Ware Potato Storage (Potato)</t>
  </si>
  <si>
    <t>Clean and disinfect store each season before bringing in new ware potato stock. Pour and spread the harvested tubers in a holding area at normal room temperature to allow the openings on the skin to heal (natural ventilation) for 14 days. Sort to remove plant materials, soil, stones and leave tubers in holding area under shade. Grade into different sizes according to market requirements. Pack the tubers into wooden crates and place them in the store.</t>
  </si>
  <si>
    <t>Requires 14 days curing period before storage, Store must be cleaned and disinfected each season</t>
  </si>
  <si>
    <t>potato, storage rules, curing, sorting, grading</t>
  </si>
  <si>
    <t>Refrigerated Cold Storage for Ware Potatoes (Potato)</t>
  </si>
  <si>
    <t>Potatoes can also be stored in a modern refrigerated store for up to 10 months.</t>
  </si>
  <si>
    <t>High cost of refrigerated storage, Requires electricity supply</t>
  </si>
  <si>
    <t>potato, refrigerated storage, cold storage, 10 months, modern store</t>
  </si>
  <si>
    <t>Why Store Ware Potatoes (Potato)</t>
  </si>
  <si>
    <t>Ensure a steady supply of potatoes to the market. Maintain potato quality for longer periods and benefit from steady market prices that accompany periods of oversupply. Enhance food security for the farming community. The store should be dark and temperatures should be maintained at 14 °C or below. The store should have ventilators and a door that are opened every night to allow the accumulated carbon dioxide and heat generated by the potatoes to escape while letting in cool night air from outside.</t>
  </si>
  <si>
    <t>Temperature must be 14 °C or below, Doors must be opened nightly for ventilation, Store must be dark to prevent greening</t>
  </si>
  <si>
    <t>potato, storage benefits, market supply, quality maintenance, food security</t>
  </si>
  <si>
    <t>How to Construct a Low-Cost Ware Potato Store (Potato)</t>
  </si>
  <si>
    <t>Construct a store measuring 5 by 4 by 3.5 m using local materials or concrete walls. The floor can be cemented or compacted to make it even and easy to maintain. Paint a concrete-walled store with whitewash to reflect light and keep the inside of the store cool. A mud or charcoal-walled store does not require painting. Install a window or air extractor for ventilation high on the wall or on the roof. Provide a bottom flap to allow cool night air to flow in.</t>
  </si>
  <si>
    <t>Store dimensions 5 × 4 × 3.5 m required, Whitewash needed for concrete walls to keep cool</t>
  </si>
  <si>
    <t>potato, construction, 5 × 4 × 3.5 m, whitewash, ventilation</t>
  </si>
  <si>
    <t>Low-Cost Ware Store Capacity (Potato)</t>
  </si>
  <si>
    <t>Low-cost ware store holds up to 6 t (120 bags of 50 kg).</t>
  </si>
  <si>
    <t>Capacity limited to 6 t (120 bags), Not suitable for large-scale commercial storage</t>
  </si>
  <si>
    <t>potato, storage capacity, 6 t, 120 bags, 50 kg bags</t>
  </si>
  <si>
    <t>Storage Recommendations (Potato)</t>
  </si>
  <si>
    <t>It is advisable that during harvesting, potatoes should not be spread on the floor but on raised surface preferably wooden one. It is also recommended not to store potatoes in bags but in wooden crates or raised wooden surface.</t>
  </si>
  <si>
    <t>Do not spread potatoes directly on floor, Store in wooden crates not bags</t>
  </si>
  <si>
    <t>potato, raised surface, wooden crates, no bags, floor storage</t>
  </si>
  <si>
    <t>Production of potato through True Potato Seed is done either by transplanting the seedlings raised from the potato berries, in the nursery beds or by planting seedlings from tubers produced in the previous season. Farmers may opt for either of the methods that is suitable for their area. Raising a potato crop from seedling and then transplanting may be done only in areas where temperatures are mild, adequate water through irrigation is assured and crop season is of longer duration to accommodate nearly one month period required to raise seedlings in nursery beds.</t>
  </si>
  <si>
    <t>Requires mild temperatures and assured irrigation, Needs longer growing season (extra month for nursery)</t>
  </si>
  <si>
    <t>true potato seed, TPS, transplanting, seedling production, potato berries</t>
  </si>
  <si>
    <t>Production of True Potato Seed (potato)</t>
  </si>
  <si>
    <t>Production of TPS requires technical expertise in order to be able to select male and female parental lines with desired characteristics while maintaining genetic purity of desired characteristics. True potato seeds are produced by breeders through controlled crossing of selected mother plants. The seed is obtained through sexual reproduction, where the fertilised flowers form fruits/berries that resemble tomatoes. A potato plant would produce approximately 20 berries, each berry having 300 seeds. The berries can be harvested after 60 days when the seeds are already mature.</t>
  </si>
  <si>
    <t>Requires technical expertise for crossing, Harvest berries after 60 days when seeds are mature</t>
  </si>
  <si>
    <t>true potato seed, controlled crossing, berries, genetic purity, seed production</t>
  </si>
  <si>
    <t>Utilization of TPS Technologies in Potato Production (potato)</t>
  </si>
  <si>
    <t>TPS can be utilized using 3 approaches: i) Direct sowing in the field: This is only viable in areas with low temperature and high rainfall during the first 6 weeks after sowing TPS. However, this is usually challenging due to inconsistency in germination, weeds, and vulnerability of the seeds to pests and diseases. ii) Transplanting seedlings in the field. The seed is planted in a nursery to raise seedlings which are then transplanted in the field to produce potato seed tubers. iii) Planting seed tubers produced from TPS for the production of ware potatoes. Seedlings from TPS are raised in nursery beds to ensure better establishment in the field.</t>
  </si>
  <si>
    <t>Direct sowing has poor germination and weed problems, Nursery method gives better establishment</t>
  </si>
  <si>
    <t>TPS utilization, direct sowing, transplanting, nursery seedlings, ware potatoes</t>
  </si>
  <si>
    <t>Nursery Establishment, Seed Sowing, and Management (potato)</t>
  </si>
  <si>
    <t>The nursery is prepared on punnets (containers) measuring 48 by 27 cm, having 230 cells in each punnet, with each cell measuring 3 cm deep and 2 cm wide. The punnets' cells are filled with peat moss ready for planting. Nurseries are beds prepared and kept in the screen house to protect them from pests and diseases and adverse weather conditions. The media is sprayed with contact fungicides to prevent damage from soil-borne pathogens causing damping off (Rhizoctonia and Pythium spp.). Nurseries are drenched with water and chemical fertilizers one day before TPS sowing. True potato seeds are treated with a recommended fungicide such as "Mancozeb" and are then sown at 0.5 cm deep. A recommended nutrient solution such as "Microsol B" in 500 litres of water is applied every 3 days till the seedlings are ready for transplanting. The TPS are ready for planting when they have developed 5-6 leaves or attained 9-12 cm shoot height. Plant protection management is carried out during this period.</t>
  </si>
  <si>
    <t>Requires screen house protection, Needs fungicide treatment to prevent damping off, TPS ready when 5-6 leaves or 9-12 cm height</t>
  </si>
  <si>
    <t>nursery establishment, punnets, fungicide treatment, Mancozeb, seedling management</t>
  </si>
  <si>
    <t>Land Preparation and Transplanting (potato)</t>
  </si>
  <si>
    <t>The land is prepared using the conventional way of potato production where the field is tilled to a fine tilth. About 20 cm high ridges are made, and the distance between the ridges is 75 cm whereas the seedlings are planted at 20 cm apart. The ridges are flattened on top to provide proper irrigation. During transplanting, soil moisture should be high to reduce transplanting shock. Thus, the field may be irrigated one day before planting. During the warm season, transplanting should be done late in the afternoon and watering done immediately after transplanting to avoid wilting. During planting, DAP (18% N, 46% P2O5) should be applied at the recommended rate of 500 kg/ha. This will enable the seedling to produce new shoots faster and enhance root development.</t>
  </si>
  <si>
    <t>Ridges 20 cm high, 75 cm between ridges, 20 cm between plants, Transplant late afternoon to avoid wilting, Irrigate immediately after transplanting</t>
  </si>
  <si>
    <t>land preparation, transplanting, ridging, DAP fertilizer, soil moisture</t>
  </si>
  <si>
    <t>Crop Management for TPS (potato)</t>
  </si>
  <si>
    <t>Good agronomic practices are imperative for high yield and production of good quality tubers. Weeds must be controlled, either through mechanical, cultural, or chemical ways to reduce the competition for space and nutrients from the soil as well as provide aeration in the root zone and reduce yield loss. It is also important to earth-up. Hilling or ridging is a process of heaping soil to about 15 cm high around the root and base of the potato crop. This allows stolons to form tubers under the soil, prevents tubers from being exposed to sunlight and puts the roots deeper into the soil while creating a fluffy surrounding for tuber bulking. True potato seedlings are delicate plants and therefore are prone to pests and diseases. Measures are therefore taken to control pests and diseases in the nursery and in the field. Rhizoctonia, Pythium and Fusarium are the most common diseases after transplanting. Spraying both contact and systemic fungicides on the furrows and at the base part of the plant is important. Care must be taken while irrigating the crop during the first 20 days after transplanting. Subsequent irrigation is done on a need basis. When TPS is used for seed production, the potato crop is dehaulmed (the vegetative top is separated from the roots) when 80% of tubers are seed size, whereas in ware production dehaulming is skipped. At harvest, tubers are graded into different seed sizes and large tubers above 65 mm diameter are sold as ware.</t>
  </si>
  <si>
    <t>TPS plants are delicate and pest/disease prone, Careful irrigation first 20 days after transplanting, Dehaulm only when 80% tubers are seed size</t>
  </si>
  <si>
    <t>crop management, earthing-up, pest control, dehaulming, fungicide spraying</t>
  </si>
  <si>
    <t>Potato Production Using TPS Tubers (potato)</t>
  </si>
  <si>
    <t>TPS tubers are produced from 1st generation tubers (tubers from potato plants that were raised from seed) in the nursery beds or the TPS in the field. These seedling tubers are often of a pure variety and free from soilborne diseases and pests. Seed tubers weigh between 10 g to 30 g and are not prone to unfavourable weather conditions compared to seedlings. Production of tubers in the nursery is as described above. Seedlings are then transplanted into 500 mL containers where they establish better and seed tubers weighing between 10 g to 30 g. These first-generation tubers can now be planted in the field for ware production.</t>
  </si>
  <si>
    <t>Seed tubers weigh 10-30 g only, Grading essential for uniformity</t>
  </si>
  <si>
    <t>TPS tubers, first generation, 10-30 g tubers, disease-free, ware production</t>
  </si>
  <si>
    <t>Advantages of True Potato Seeds over Seed Tubers (potato)</t>
  </si>
  <si>
    <t>1. True potato seeds would reduce the cost and space of storage as seed tubers require more space and controlled temperatures. 2. True potato seeds reduce problems associated with tuber disease transmission. 3. True potato seeds have potential for expanding potatoes production in regions where the environmental conditions do not favour their production. 4. True potato seeds also offer more room for research into new varieties than seed tubers.</t>
  </si>
  <si>
    <t>Seed tubers require more storage space, Tuber disease transmission reduced with TPS</t>
  </si>
  <si>
    <t>TPS advantages, storage cost reduction, disease-free, research potential, production expansion</t>
  </si>
  <si>
    <t>Disadvantages of TPS (potato)</t>
  </si>
  <si>
    <t>(a) Freshly harvested TPS are dormant. (b) A major problem associated with the technique is poor germination and seedling establishment. (c) Duration of the growth cycle of a TPS crop is longer than that of a crop from seed tubers. (d) Crops grown from TPS are less uniform in plant type and maturity. (e) Plants from TPS are more susceptible to pests, diseases and competition from weeds. (f) The tubers produced from TPS are less uniform in shape, colour, size and dry matter content than tubers produced from a clone. (g) TPS production is vulnerable to environmental stress and has high susceptibility to adverse conditions.</t>
  </si>
  <si>
    <t>Dormancy after harvest, Poor germination and establishment, Longer growth cycle, Less uniform plants and tubers, More susceptible to pests and diseases</t>
  </si>
  <si>
    <t>TPS disadvantages, seed dormancy, poor germination, longer growth cycle, non-uniformity</t>
  </si>
  <si>
    <t>Ware Potato Production Introduction (potato)</t>
  </si>
  <si>
    <t>Potato (Solanum tuberosum L.) belongs to the family Solanaceae. It is an important staple and cash crop in Kenya. Ware potato are grown for consumption as opposed to seed potato. The commonly grown varieties include Shangi, Kenya Karibu and Dutch Robijn. Optimal altitude for ware potato production is 1500 to 3000 m a.s.l. The main growing areas are Nyandarua, Nakuru, Narok, Kiambu, Elgeyo Marakwet, Nyeri, Meru, Bomet, Bungoma (Mt Elgon area), Uasin Gishu, Taita Taveta, Murang’a, Trans Nzoia and West Pokot. Ware potato can be boiled, fried, mashed or made into crisps or chips. They can also be eaten in stews or in mixed foods such as maize and beans.</t>
  </si>
  <si>
    <t>Requires altitude 1500-3000 m for optimal production, Varieties have different susceptibility to diseases</t>
  </si>
  <si>
    <t>ware potato, Solanaceae, staple crop, cash crop, Shangi variety</t>
  </si>
  <si>
    <t>Site Selection and Land Preparation (potato)</t>
  </si>
  <si>
    <t>Select a site where Solanaceae family crops including tomato, chillies, eggplant among others have not been grown for at least two seasons (one year). This is important to control soil borne diseases. Avoid poorly drained or rocky soils. Plough the land thoroughly to remove weeds. Soil should be well broken to allow aeration. Make planting furrows 75 cm apart and 10-15 cm deep.</t>
  </si>
  <si>
    <t>Avoid fields with previous Solanaceae crops for 1 year, Poor drainage and rocky soils reduce yields</t>
  </si>
  <si>
    <t>site selection, land preparation, crop rotation, furrows, soil borne diseases</t>
  </si>
  <si>
    <t>Seed Size and Sprouting (potato)</t>
  </si>
  <si>
    <t>Use disease-free or certified seed tubers. One acre will require approximately 16-18 seed size bags of 50 kg seed tubers depending on seed size. Seed tubers should measure 25-35 mm in diameter with 4-5 sprouts each. Seed tubers are kept in diffuse light conditions during sprouting so as to allow short strong sprouts to grow. Good sprouting of tubers ensures early emergence leading to higher yields.</t>
  </si>
  <si>
    <t>Requires 16-18 bags of 50 kg seed per acre, Sprouts must be short and strong, Keep in diffuse light</t>
  </si>
  <si>
    <t>seed tubers, sprouting, diffuse light, certified seed, 25-35 mm size</t>
  </si>
  <si>
    <t>Fertilizers and Manure (potato)</t>
  </si>
  <si>
    <t>Apply DAP fertilizer in the rows at planting at the rate of 500 kg/ha (or 200 kg/acre). On acidic soils, apply Monoammonium Phosphate (MAP) at the same rate as DAP. Take a half-litre container and fill it with the fertilizer and apply uniformly. Fertilizer is applied in the rows and mixed thoroughly in the soil. Apply well decomposed manure at the rate of 5-10 t/ha. Well rotten manure helps to prevent the occurrence of black scurf (Rhizoctonia solani) fungal disease. Soil analysis is recommended to determine the soil pH and nutrient status to provide a guide for fertilizer and manure requirement. This service is available at KALRO-Kabete (NARL) and a number of other KALRO centers.</t>
  </si>
  <si>
    <t>DAP rate 500 kg/ha (200 kg/acre), Acidic soils require MAP instead of DAP, Well-decomposed manure (5-10t/ha) prevents black scurf, Soil analysis recommended</t>
  </si>
  <si>
    <t>fertilizer, DAP, MAP, manure, soil analysis</t>
  </si>
  <si>
    <t>Planting and Spacing (potato)</t>
  </si>
  <si>
    <t>For pure stand potato the spacing of 75 cm between furrows is recommended. Place tubers 30 cm apart in the furrows. Avoid direct contact of tubers with fertilizer as this may have a burning effect on the tubers. Planting should be done shortly before onset of rains. Place tubers in furrows with the side having sprouts facing up. Cover the tubers with soil completely to avoid sun scorching.</t>
  </si>
  <si>
    <t>75 cm between furrows, 30 cm between tubers, Avoid fertilizer-tuber contact to prevent burning, Plant shortly before rains, Sprouts facing up</t>
  </si>
  <si>
    <t>planting, spacing, 75 cm furrows, sun scorching, fertilizer burn</t>
  </si>
  <si>
    <t>Weeding and Ridging (potato)</t>
  </si>
  <si>
    <t>Weeding should commence after potatoes have germinated to avoid uprooting seed tubers. Earth-up along the rows as the potato grow eventually forming ridges of about 25 cm in height. After the plants have completely covered the space between the rows, no more weeding or ridging should be done to avoid damaging the stems (haulms). Avoid working in the crop when the soil is too wet to minimize soil compaction and spread of fungal diseases like late blight.</t>
  </si>
  <si>
    <t>Weed after germination to avoid uprooting, Ridges 25 cm high, Stop weeding when plants cover rows, Avoid working in wet soil</t>
  </si>
  <si>
    <t>weeding, ridging, earthing-up, haulms, soil compaction</t>
  </si>
  <si>
    <t>Late Blight Disease (potato)</t>
  </si>
  <si>
    <t>This is the most serious fungal disease of potato in Kenya. It first appears as water soaked spots on leaflets. The spots enlarge rapidly and turn brown. The spots can also occur on the tips of the stems which turn black and die off. On the underside of the leaf, the fungus produces a white mould. Control: A number of effective fungicides are available on the market. Farmers are advised to consult the nearest extension officer for advice. Start spraying when the plants are 10 cm tall. Spraying should be carried out as a preventive measure especially on susceptible varieties. For varieties with some resistance, spraying should commence when the first spots are noticed on the crop. Ensure thorough coverage of foliage.</t>
  </si>
  <si>
    <t>Most serious fungal disease, Start spraying at 10 cm plant height, Preventive spraying essential, Thorough foliage coverage required</t>
  </si>
  <si>
    <t>late blight, fungal disease, water soaked spots, white mould, fungicides</t>
  </si>
  <si>
    <t>Bacterial Wilt Disease (potato)</t>
  </si>
  <si>
    <t>This is a serious soil and seed borne disease caused by a bacterium (Ralstonia solanacearum). It persists in the soil for long periods, sometimes up to 4 years or longer. Spread is mainly through infected soil, infected potato tubers, farm tools and contaminated irrigation water. Leaves or branches of infected plants wilt randomly in the field. Leaves maintain a green colour and do not fall off but the plant wilts completely. Control: No chemical cure is available once the disease has infected a crop. A combination of practices can reduce the destructive effects of bacterial wilt. Avoid fields with previous incidents of bacterial wilt. Use uninfected seed tubers by obtaining planting materials from a reputable source. Carry out crop rotation and field sanitation including sterilization of farm tools.</t>
  </si>
  <si>
    <t>No chemical cure available, Persists in soil up to 4 years, Avoid infected fields, Use certified seed</t>
  </si>
  <si>
    <t>bacterial wilt, Ralstonia solanacearum, soil borne, seed borne, crop rotation</t>
  </si>
  <si>
    <t>Aphids (potato)</t>
  </si>
  <si>
    <t>Aphids are insects that suck sap from plants and transmit viral diseases like potato leaf roll virus. Aphids attack sprouting tubers. Wingless ones start colonies on underside of leaves in field. Control: Aphids can be controlled by both systemic and contact insecticides.</t>
  </si>
  <si>
    <t>Transmit potato leaf roll virus, Attack sprouting tubers, Can be controlled by systemic and contact insecticides</t>
  </si>
  <si>
    <t>aphids, sap sucking, viral diseases, PLRV, insecticides</t>
  </si>
  <si>
    <t>Potato Tuber Moth (potato)</t>
  </si>
  <si>
    <t>This is both a field and storage pest. In the field, the larvae mine the leaves, feeding between the upper and lower epidermis. The main damage is caused by larvae tunneling the tubers and leaving tunnels filled with excreta. This damage is mainly noticed in the store and can cause the tubers to rot. Control: Field management is done through proper earthing up in the field to ensure that tubers are not exposed to tuber moth attack. Spray with suitable insecticides as advised by extension personnel as soon as infestation is observed in the field. Cleaning stores is recommended as a cultural practice.</t>
  </si>
  <si>
    <t>Both field and storage pest, Larvae tunnel tubers causing rot, Proper earthing up prevents exposure, Clean stores recommended</t>
  </si>
  <si>
    <t>potato tuber moth, tunneling, storage pest, earthing up, insecticides</t>
  </si>
  <si>
    <t>Harvesting (potato)</t>
  </si>
  <si>
    <t>High and quality yields are obtained by leaving potato in the ground until they mature and the skin has hardened. Hardening of the skin can be accelerated by cutting the haulms or pulling them out about two weeks before harvesting.</t>
  </si>
  <si>
    <t>Harvest when skin hardened, Cut haulms 2 weeks before harvest to accelerate skin hardening</t>
  </si>
  <si>
    <t>harvesting, skin hardening, haulm cutting, maturity, quality yields</t>
  </si>
  <si>
    <t>Yield (potato)</t>
  </si>
  <si>
    <t>Areas at 1500 to 3000 m a.s.l. and with adequate rainfall can yield as much as 40 t/ha depending on variety.</t>
  </si>
  <si>
    <t>Requires altitude 1500-3000 m, Adequate rainfall needed, Yield depends on variety</t>
  </si>
  <si>
    <t>yield, 40 t/ha, altitude, rainfall, variety</t>
  </si>
  <si>
    <t>Grading and Storage (potato)</t>
  </si>
  <si>
    <t>Before storing potatoes, mis-shapen, diseased and damaged tubers should be removed to avoid losses in storage due to rotting. Potatoes are graded into three sizes depending on the diameter: Large or ware (greater than 55 mm), medium (25-55 mm) and smallest or chats (less than 25 mm). Keep ware tubers in a cool dark well aerated store to prevent greening. Potatoes can be held in sacks for short periods (up to one month) but for longer periods, wooden crates are preferred.</t>
  </si>
  <si>
    <t>Remove diseased/damaged tubers before storage, Grades: ware (&gt;55 mm), medium (25-55 mm), chats (&lt;25 mm), Keep cool, dark, well-aerated, Sacks for short term only (1 month), Wooden crates preferred for longer storage</t>
  </si>
  <si>
    <t>grading, storage, ware, chats, greening</t>
  </si>
  <si>
    <t>Tissue Culture Technology (potato)</t>
  </si>
  <si>
    <t>Tissue culture is the production of new plants through the growing of plant cells, tissues and organs in artificial/soilless media in laboratory conditions. This method uses a synthetic growth medium which stimulates the growth of axillary buds.</t>
  </si>
  <si>
    <t>Requires sterile laboratory conditions, Requires technical expertise and specialized equipment</t>
  </si>
  <si>
    <t>tissue culture, artificial media, axillary buds, soilless culture, plant cells</t>
  </si>
  <si>
    <t>Introduction to Tissue Culture (potato)</t>
  </si>
  <si>
    <t>Good quality healthy seed is essential for the timely availability of certified seed potato to farmers. Due to high seasonal demand for over 30,000 t of seed potato, there is a need to increase quantities of initial parent stocks (minitubers or rooted apical cuttings) that would be bulked in the field for several cycles to obtain certified seed potato. Among the techniques explored to achieve this is tissue culture technology.</t>
  </si>
  <si>
    <t>Kenya demands over 30,000 t of seed potato seasonally, Requires specialized laboratory infrastructure</t>
  </si>
  <si>
    <t>certified seed, minitubers, apical cuttings, seed demand, field bulking</t>
  </si>
  <si>
    <t>Importance of Tissue Culture in Potato (potato)</t>
  </si>
  <si>
    <t>Provides healthy planting material to farmers and researchers and therefore fast or quick availability of high-quality planting materials. To establish and maintain disease-free parent stock. Ability to achieve large quantities through mass production (large-scale production). Preservation of genetic purity - genetically identical plants are produced.</t>
  </si>
  <si>
    <t>Requires investment in laboratory facilities, Contamination risk if not properly maintained</t>
  </si>
  <si>
    <t>disease-free, genetic purity, mass production, parent stock, quality planting material</t>
  </si>
  <si>
    <t>How Tissue Culture Works (potato)</t>
  </si>
  <si>
    <t>An initial single meristem cell is inoculated in test tubes containing sterile growth media. When the cell grows into a plantlet, the plantlet is removed from the test tube and placed on a sterile petri dish or working surface. Using a scalpel blade, nodes are cut and transferred onto freshly prepared growth media, ensuring that the cutting is in good contact with the surface of the growth medium contained in Kilner jars. The Kilner Jars are then transferred to the growth room to allow new plantlets to form. The ideal growth room conditions include a temperature of 19-22 °C with 16 hours of light supplied by lux-fluorescent tubes. However, it is possible to grow plantlets in front of a window as long as they are protected from strong direct sunlight.</t>
  </si>
  <si>
    <t>Temperature must be 19-22 °C, Requires 16 hours of light daily, Sterile conditions essential to prevent contamination</t>
  </si>
  <si>
    <t>meristem, sterile media, nodal cutting, Kilner jars, growth room</t>
  </si>
  <si>
    <t>Hardening Section (potato)</t>
  </si>
  <si>
    <t>The tissue culture process lasts for six weeks when the in vitro plantlets are considered mature and are transferred to the hardening section. High-quality seed minitubers (pre-basic seed) are produced by removing in vitro plantlets from jars under laboratory conditions, washing off artificial media and then planting them into a seed bed containing appropriate planting media under screen house conditions, to harden them for outdoor conditions. While in this section, high relative humidity is important, especially on the first day following transplanting. Care must be taken to water the young plants with fine mist especially when temperatures are high and to protect them from disease infections.</t>
  </si>
  <si>
    <t>Six weeks required before hardening, High humidity critical on first day after transplanting, Use fine mist for watering, Protect from disease infections</t>
  </si>
  <si>
    <t>hardening, minitubers, pre-basic seed, screen house, humidity</t>
  </si>
  <si>
    <t>Tissue Culture Process Duration (potato)</t>
  </si>
  <si>
    <t>The tissue culture process lasts for six weeks when the in vitro plantlets are considered mature and are transferred to the hardening section.</t>
  </si>
  <si>
    <t>Process takes six weeks before transfer to hardening</t>
  </si>
  <si>
    <t>tissue culture, six weeks, maturity, hardening, in vitro</t>
  </si>
  <si>
    <t>Ideal Growth Room Conditions (potato)</t>
  </si>
  <si>
    <t>The ideal growth room conditions include a temperature of 19-22 °C with 16 hours of light supplied by lux-fluorescent tubes. However, it is possible to grow plantlets in front of a window as long as they are protected from strong direct sunlight.</t>
  </si>
  <si>
    <t>Temperature must be 19-22 °C, 16 hours light required daily, Avoid strong direct sunlight</t>
  </si>
  <si>
    <t>growth room, 19-22 °C, 16 hours light, fluorescent tubes, light conditions</t>
  </si>
  <si>
    <t>Postharvest management of potatoes is essential for enhancing productivity and nutritional quality of tubers while reducing losses caused by pests, diseases, and environmental factors. Potato is the second most important food crop after maize but poor postharvest handling results in losses that are estimated at 30% as well as low quality tubers with a limited shelf-life. Effective postharvest management ensures that tubers harvested are of good quality and that they retain this quality as much as possible. Proper crop management practices, harvesting, transportation, and storage are crucial components of this process.</t>
  </si>
  <si>
    <t>Poor postharvest handling causes up to 30% losses, Limited shelf-life if not properly managed</t>
  </si>
  <si>
    <t>potato, postharvest, losses, shelf-life, quality management</t>
  </si>
  <si>
    <t>Crop Management Practices (potato)</t>
  </si>
  <si>
    <t>The correct amount and type of fertilizer should be applied, and proper irrigation should be carried out. This ensures that tubers grow evenly maintaining their proper shape and they do not develop a hollow heart or hole inside. Proper hilling up of potato plants is essential to prevent tubers from being exposed to sunlight. This exposure leads to the accumulation of chlorophyll in the tubers, causing them to turn green. Correct disease management ensures that tubers are not infected with diseases that spread from the foliage to the tubers, like tuber blight from excessive late blight. Remove the above ground greenery through dehaulming or let the foliage dry out on its own. Leave tubers in the ground for a fortnight so that their skins will mature and become firm. The intact skin ensures minimal damage from pests and diseases, resulting in an attractive potato with a longer shelf life and an enhanced market appeal.</t>
  </si>
  <si>
    <t>Sun exposure causes greening (chlorophyll accumulation), Hollow heart may develop if growth uneven, Leave tubers 14 days for skin maturity</t>
  </si>
  <si>
    <t>potato, hilling, dehaulming, greening, tuber blight</t>
  </si>
  <si>
    <t>Harvesting Process (potato)</t>
  </si>
  <si>
    <t>Harvesting should be done when the soil is neither too wet nor too dry. When the soil is too wet, infections from roots are more likely to occur, and muddy tubers do not attract buyers. When the soil is too dry it tends to be compact or hard and this increases incidences of tuber damage and bruising.</t>
  </si>
  <si>
    <t>Avoid harvesting when soil is too wet (root infections), Avoid harvesting when soil is too dry (bruising)</t>
  </si>
  <si>
    <t>potato, harvesting, soil moisture, bruising, root infections</t>
  </si>
  <si>
    <t>Hand Harvesting Tools (potato)</t>
  </si>
  <si>
    <t>Farmers have the option to use hoes, jembes, or special sticks for harvesting. While hoes are commonly used due to their efficiency in speeding up the harvesting process, they also cause higher levels of damage to the tubers compared to using a stick with a hook or bend in it.</t>
  </si>
  <si>
    <t>Hoes cause higher damage to tubers, Stick with hook causes less damage</t>
  </si>
  <si>
    <t>potato, hand harvesting, hoes, sticks, tuber damage</t>
  </si>
  <si>
    <t>Mechanized Harvesting (potato)</t>
  </si>
  <si>
    <t>Simple mechanized equipment can be used or the farmer can hire a tractor with the harvester from the Agriculture Mechanization Services (AMS) in some counties (Eldoret, Nyandarua, Nandi) or from mechanization service providers. Mechanized harvesting requires farmer to have planted using a planter (not people) due to spacing specifications.</t>
  </si>
  <si>
    <t>Requires planting with a planter (not people), Available from AMS in select counties</t>
  </si>
  <si>
    <t>potato, mechanized harvesting, tractor, AMS, planter</t>
  </si>
  <si>
    <t>Handling of Harvested Tubers (potato)</t>
  </si>
  <si>
    <t>Tubers should be covered or collected and transported to the store as soon as possible to avoid exposure to the sun which can cause heat injuries or scalding.</t>
  </si>
  <si>
    <t>Sun exposure causes heat injuries or scalding, Transport to store immediately</t>
  </si>
  <si>
    <t>potato, tuber handling, scalding, heat injury, sun exposure</t>
  </si>
  <si>
    <t>Sorting and Grading (potato)</t>
  </si>
  <si>
    <t>Remove rotting or damaged tubers. Some selected outlets require that tubers are graded into pre-agreed upon sizes.</t>
  </si>
  <si>
    <t>Remove rotting and damaged tubers, Some markets require pre-agreed size grades</t>
  </si>
  <si>
    <t>potato, sorting, grading, rotting tubers, damaged tubers</t>
  </si>
  <si>
    <t>Tuber Curing (potato)</t>
  </si>
  <si>
    <t>Tuber curing is a vital process that involves the self-healing of wounds, cuts, and bruises on tubers. This process is crucial as it helps to minimize water loss, which can lead to shriveling and ultimately impact the successful marketing of tubers.</t>
  </si>
  <si>
    <t>Self-healing of wounds required, Prevents shriveling and water loss</t>
  </si>
  <si>
    <t>potato, curing, wound healing, water loss, shriveling</t>
  </si>
  <si>
    <t>Conditions Required for Curing (potato)</t>
  </si>
  <si>
    <t>Temperature: 15-20 °C; Relative humidity: 85-90%; Number of days required: 10-14 days.</t>
  </si>
  <si>
    <t>Requires 15-20 °C temperature, 85-90% relative humidity, 10-14 days curing time</t>
  </si>
  <si>
    <t>potato, curing conditions, temperature, humidity, 14 days</t>
  </si>
  <si>
    <t>The Nutritional Value of Potatoes (potato)</t>
  </si>
  <si>
    <t>Potatoes offer nutrients crucial for maintaining a balanced and healthy diet. Among these nutrients are fiber, vitamins, phenolic compounds, high-quality protein and essential minerals. This diverse nutritional profile makes potatoes valuable, especially for individuals following vegetarian diets. Understanding the nutrients in potatoes is key to appreciating their significant role in promoting overall health and well-being.</t>
  </si>
  <si>
    <t>Potatoes are high in carbohydrates, Cooking methods significantly affect nutrient retention</t>
  </si>
  <si>
    <t>potato, nutrition, fiber, vitamins, protein</t>
  </si>
  <si>
    <t>Key Nutrients - Carbohydrates (potato)</t>
  </si>
  <si>
    <t>Potatoes are rich in carbohydrates, primarily in the form of starch, comprising amylopectin and amylose in a consistent 3:1 ratio. They contain Resistant Starch (RS), which resists digestion in the small intestine, fermenting in the large intestine to produce beneficial short-chain fatty acids, supporting gut health.</t>
  </si>
  <si>
    <t>High starch content may affect blood sugar, Cooking methods significantly affect RS content</t>
  </si>
  <si>
    <t>carbohydrates, starch, resistant starch, amylopectin, amylose</t>
  </si>
  <si>
    <t>Resistant Starch (RS) Benefits (potato)</t>
  </si>
  <si>
    <t>Short-chain fatty acids from RS modulate gut pH, reduce toxic ammonia and promote the growth of beneficial bacteria, improving digestion and overall well-being. Resistant Starch enhances satiety, potentially aiding in weight management, and positively influences lipid and glucose metabolism. Cooking methods significantly affect RS content. Baked and chilled potatoes have higher RS levels, followed by chilled-and-reheated variations, with hot potatoes having the least. Even processed forms like potato flakes retain substantial RS, emphasizing the importance of selecting appropriate cooking techniques for maximizing nutritional benefits.</t>
  </si>
  <si>
    <t>Baked and chilled potatoes have highest RS levels, Hot potatoes have least RS content</t>
  </si>
  <si>
    <t>resistant starch, gut health, satiety, metabolism, cooking methods</t>
  </si>
  <si>
    <t>Dietary Fiber (potato)</t>
  </si>
  <si>
    <t>In every 150 g of potato, there are 2 g of fiber, about 7% of the fiber one needs in a day. Most of this fiber is in the potato's flesh, with some in the skin.</t>
  </si>
  <si>
    <t>Only 2 g fiber per 150 g potato (7% daily requirement), Most fiber in flesh, some in skin</t>
  </si>
  <si>
    <t>dietary fiber, digestion, bowel health, flesh, skin</t>
  </si>
  <si>
    <t>Crude Protein (potato)</t>
  </si>
  <si>
    <t>Potatoes have more protein than many other vegetables. Protein quality is measured using egg protein as the standard, which is given a value of 100. Potatoes have a protein quality of about 90, which is quite high.</t>
  </si>
  <si>
    <t>Protein quality is 90 (egg=100), Higher protein than many vegetables</t>
  </si>
  <si>
    <t>crude protein, protein quality, egg protein, high quality, vegetables</t>
  </si>
  <si>
    <t>Amino Acids (potato)</t>
  </si>
  <si>
    <t>Potatoes have all nine essential amino acids, which are important for the human body. They are a great addition to a healthy diet. Additionally, they have fewer sulfur-containing amino acids, which might not be so good for your bones.</t>
  </si>
  <si>
    <t>Contains all 9 essential amino acids, Fewer sulfur-containing amino acids may affect bone health</t>
  </si>
  <si>
    <t>essential amino acids, sulfur-containing, bone health, complete protein, healthy diet</t>
  </si>
  <si>
    <t>Vitamins and Minerals (potato)</t>
  </si>
  <si>
    <t>Vitamin C: A medium-sized potato provides 27 mg of vitamin C, meeting the U.S. Food and Drug Administration's (FDA) standard for being an "excellent source" of this vitamin. Despite not containing as much vitamin C as citrus fruits, potatoes contribute significantly to meeting the body’s daily requirements. B Vitamins: Potatoes are also rich in essential B vitamins such as riboflavin, thiamin, folate and vitamin B6. Potassium: Potatoes surpass other high-potassium foods like bananas, oranges and broccoli. Magnesium: A medium potato with the skin on provides 48 mg of magnesium, a mineral often lacking in many diets. Iron: While potatoes contain only 1.3 mg of iron, their high vitamin C content aids in iron absorption. With no substances hindering absorption, potatoes remain a valuable source of iron in a diet.</t>
  </si>
  <si>
    <t>27 mg Vitamin C per medium potato (excellent source), Potassium surpasses bananas, 48 mg magnesium with skin on, Only 1.3 mg iron but vitamin C aids absorption</t>
  </si>
  <si>
    <t>vitamin C, B vitamins, potassium, magnesium, iron</t>
  </si>
  <si>
    <t>Health Benefits - Digestive Health (potato)</t>
  </si>
  <si>
    <t>Potatoes are a good source of dietary fiber, which aids in digestion by promoting regular bowel movements and preventing constipation. Fiber also supports the growth of beneficial gut bacteria, contributing to overall digestive health.</t>
  </si>
  <si>
    <t>Fiber promotes regular bowel movements, Supports beneficial gut bacteria</t>
  </si>
  <si>
    <t>digestive health, fiber, bowel movements, constipation, gut bacteria</t>
  </si>
  <si>
    <t>Health Benefits - Immune Function (potato)</t>
  </si>
  <si>
    <t>Potatoes contain significant amounts of vitamin C, which is essential for a healthy immune system. Vitamin C helps the body produce white blood cells, which are crucial for fighting off infections and illnesses, thus bolstering immune function.</t>
  </si>
  <si>
    <t>Vitamin C boosts white blood cell production, Essential for fighting infections</t>
  </si>
  <si>
    <t>immune function, vitamin C, white blood cells, infections, immunity</t>
  </si>
  <si>
    <t>Health Benefits - Blood Pressure Regulation (potato)</t>
  </si>
  <si>
    <t>Potatoes are naturally low in sodium and rich in potassium, a mineral that plays a key role in regulating blood pressure levels. Potassium helps counteract the effects of sodium in the body, promoting healthy blood pressure and reducing the risk of hypertension and related cardiovascular issues.</t>
  </si>
  <si>
    <t>Low sodium, Rich in potassium, Helps counteract sodium effects</t>
  </si>
  <si>
    <t>blood pressure, potassium, sodium, hypertension, cardiovascular</t>
  </si>
  <si>
    <t>Health Benefits - Heart Health (potato)</t>
  </si>
  <si>
    <t>The combination of fiber, potassium and other nutrients found in potatoes contributes to heart health. Fiber helps lower cholesterol levels, while potassium helps regulate blood pressure, reducing the risk of heart disease. Potatoes contain compounds like flavonoids and antioxidants that may further support heart health by reducing inflammation and oxidative stress.</t>
  </si>
  <si>
    <t>Fiber lowers cholesterol, Potassium regulates blood pressure, Contains flavonoids and antioxidants</t>
  </si>
  <si>
    <t>heart health, fiber, potassium, flavonoids, antioxidants</t>
  </si>
  <si>
    <t>Tips for Maximizing Nutritional Value - Cooking Methods (potato)</t>
  </si>
  <si>
    <t>Opt for cooking methods that preserve the nutritional content of potatoes such as boiling, steaming or baking, rather than frying or excessive oil usage. Boiling and steaming help retain nutrients, while baking at moderate temperatures preserves nutritional integrity. However, boiling or baking potatoes for extended periods or frying them, can deplete nutrients. Vitamin C is both water-soluble and sensitive to heat and oxygen. Frying and use of excessive oil introduce unhealthy fats and calories.</t>
  </si>
  <si>
    <t>Boiling/steaming/baking preserve nutrients, Avoid frying or excessive oil, Vitamin C sensitive to heat and oxygen</t>
  </si>
  <si>
    <t>cooking methods, boiling, steaming, baking, vitamin C preservation</t>
  </si>
  <si>
    <t>Tips for Maximizing Nutritional Value - Pairing (potato)</t>
  </si>
  <si>
    <t>Enhance the nutritional value of potatoes by pairing them with other nutrient-rich foods such as vegetables, lean proteins, or healthy fats. This not only adds variety and flavor to your meal but also provides a broader range of essential nutrients for overall health.</t>
  </si>
  <si>
    <t>food pairing, vegetables, lean proteins, healthy fats, balanced diet</t>
  </si>
  <si>
    <t>Adoption of Climate-Smart Potato Varieties (potato)</t>
  </si>
  <si>
    <t>KALRO has developed potato varieties Shangi and Unica, which are resilient to changing climatic conditions and offer high yields. By adopting these varieties, farmers are empowered to effectively mitigate risks and adapt to the challenges posed by climate change.</t>
  </si>
  <si>
    <t>Shangi and Unica varieties are resilient, High yields under changing climatic conditions</t>
  </si>
  <si>
    <t>Shangi, Unica, resilient varieties, climate adaptation, high yields</t>
  </si>
  <si>
    <t>Sustainable Land Preparation Practices (potato)</t>
  </si>
  <si>
    <t>Conservation Agriculture technologies including bush clearing, minimum tillage and zero tillage.</t>
  </si>
  <si>
    <t>Minimum and zero tillage require adaptation, Bush clearing must be done sustainably</t>
  </si>
  <si>
    <t>conservation agriculture, minimum tillage, zero tillage, bush clearing, sustainable land prep</t>
  </si>
  <si>
    <t>Soil Fertility Management (potato)</t>
  </si>
  <si>
    <t>They include use of agro-weather advisory, soil testing, mulching, composting and vermiculture, use of cover crops, use of lime, use of inorganic fertilizers and use of manure.</t>
  </si>
  <si>
    <t>Requires soil testing for proper fertilizer application, Lime needed for acidic soils</t>
  </si>
  <si>
    <t>soil fertility, agro-weather advisory, soil testing, mulching, vermiculture</t>
  </si>
  <si>
    <t>Soil and Water Conservation Practices (potato)</t>
  </si>
  <si>
    <t>These practices include cut-off drains, terracing, vegetation strips, water harvesting and storage, agroforestry, and irrigation.</t>
  </si>
  <si>
    <t>Requires proper design to prevent erosion, Irrigation needs water source</t>
  </si>
  <si>
    <t>cut-off drains, terracing, vegetation strips, water harvesting, agroforestry</t>
  </si>
  <si>
    <t>These practices involve timely planting, appropriate use of inorganic fertilizers, utilization of manure, crop rotation, timely weeding, earthing up, and intercropping.</t>
  </si>
  <si>
    <t>Timely planting critical, Earthing up prevents greening, Intercropping must be compatible</t>
  </si>
  <si>
    <t>timely planting, fertilizers, manure, crop rotation, earthing up</t>
  </si>
  <si>
    <t>Integrated Pest Management (IPM) (potato)</t>
  </si>
  <si>
    <t>Integrated pest management (IPM) encompasses various strategies, including avoidance through the selection of tolerant varieties and/or early planting, field sanitation, scouting, cultural, biological, mechanical, and chemical methods, all aimed at controlling pests while ensuring the safe use of pesticides.</t>
  </si>
  <si>
    <t>Select tolerant varieties, Field sanitation essential, Use pesticides safely</t>
  </si>
  <si>
    <t>IPM, tolerant varieties, field sanitation, scouting, biological control</t>
  </si>
  <si>
    <t>Additional CSA Strategies (potato)</t>
  </si>
  <si>
    <t>Other strategies include agroforestry, renewable energy and improved postharvest handling and processing practices.</t>
  </si>
  <si>
    <t>Renewable energy requires investment, Improved postharvest handling reduces losses</t>
  </si>
  <si>
    <t>agroforestry, renewable energy, postharvest handling, processing, value addition</t>
  </si>
  <si>
    <t>Conventional vs Climate-Smart Practices (potato)</t>
  </si>
  <si>
    <t>Conventional potato production practices, including land preparation, fertilizer application, water supply, pest management, harvesting, and postharvest handling technologies, among others, have contributed to the release of greenhouse gases such as methane, nitrous oxide, and carbon dioxide, which are responsible for climate change. However, potatoes must continue to be produced to feed growing populations and ensure food and nutritional security. Therefore, the agri-food system must adapt to climate change and drastically reduce greenhouse gas emissions.</t>
  </si>
  <si>
    <t>Conventional practices release GHGs (methane, nitrous oxide, CO2), Adaptation is essential for food security</t>
  </si>
  <si>
    <t>greenhouse gases, methane, nitrous oxide, carbon dioxide, food security</t>
  </si>
  <si>
    <t>Introduction to Potato Nutrient Requirements (Potato)</t>
  </si>
  <si>
    <t>Potato crop requires sufficient soil nutrients to grow well and give many tubers which are of high quality. Before planting potatoes, it is advisable to do soil testing to establish soil nutrient levels. Low soil fertility is caused by continuous growing of crops on your land without adding manure or fertilizers. Other causes of low soil fertility are soil erosion where top soil is washed away by surface runoff or by wind. These challenges call for an integrated soil fertility management (ISFM) approach that combines appropriate interventions on soil management including fertilizer use and crop agronomy.</t>
  </si>
  <si>
    <t>Soil testing recommended before planting, Continuous cropping without manure causes low fertility, Soil erosion reduces fertility</t>
  </si>
  <si>
    <t>soil nutrients, soil testing, low fertility, manure, soil erosion</t>
  </si>
  <si>
    <t>Integrated Soil Fertility Management (ISFM) (Potato)</t>
  </si>
  <si>
    <t>ISFM is a set of soil fertility management practices that include the use of inorganic fertilizers, locally available organic inputs, improved seed combined to adapt practices to local conditions. It aims to optimize proper usage of nutrients of the applied fertilizer materials and water by plants for improved crop productivity. ISFM uses techniques such as fertilizer banding (field application of fertilizer directly in area of root-zone) and micro dosing (applying small quantities of fertilizer with the seed at planting time and later a few weeks after emergence in top dressing).</t>
  </si>
  <si>
    <t>Requires knowledge of fertilizer banding, Micro dosing requires precise application</t>
  </si>
  <si>
    <t>ISFM, inorganic fertilizers, organic inputs, fertilizer banding, micro dosing</t>
  </si>
  <si>
    <t>Soil Requirements for Potato Production (Potato)</t>
  </si>
  <si>
    <t>Potato can be grown in a wide range of soils. Well-drained clay loams to sandy loams texture is best. Soil pH should range between 5.8 and 7. Soil nutrients testing must be conducted before planting.</t>
  </si>
  <si>
    <t>Soil pH should be 5.8-7.0, Well-drained clay loams to sandy loams best, Soil testing mandatory</t>
  </si>
  <si>
    <t>soil requirements, clay loams, sandy loams, soil pH, drainage</t>
  </si>
  <si>
    <t>Potato Nutrient Requirements Overview (Potato)</t>
  </si>
  <si>
    <t>Potato nutrient requirements include macronutrients (N, P, K) and micronutrients (Cu, Zn, B and Mo). The general recommendation is to apply enough fertilizer to furnish 40-120 kg of nitrogen (N), 24-40 kg of phosphorus (P2O5) and 80-120 kg of potassium (K2O) per acre. Micronutrients are normally applied in small quantities as foliar feed.</t>
  </si>
  <si>
    <t>N: 40-120 kg/acre, P2O5: 24-40 kg/acre, K2O: 80-120 kg/acre, Micronutrients applied as foliar feed</t>
  </si>
  <si>
    <t>macronutrients, micronutrients, N, P, K</t>
  </si>
  <si>
    <t>Nitrogen (N) (Potato)</t>
  </si>
  <si>
    <t>N fertilization has the greatest impact on increasing tuber weight. Too much N (based on the soil test results) can stimulate excessive vegetative growth, and suppress or delay tuber formation.</t>
  </si>
  <si>
    <t>Too much N suppresses tuber formation, Greatest impact on tuber weight</t>
  </si>
  <si>
    <t>nitrogen, tuber weight, vegetative growth, excessive N, tuber formation</t>
  </si>
  <si>
    <t>Phosphorus (P) (Potato)</t>
  </si>
  <si>
    <t>Potatoes need a good supply of available P in the soil for increased tuber numbers and uniformity in size and keeping quality. Due to unavailability of P in acid soils (P fixation), P fertilizer applications need to be considerably higher than the 12 to 20 kg P2O5/acre removed by the crop. P fertilizer recommendation for potato is 92 kg of P2O5/acre for most areas in Kenya.</t>
  </si>
  <si>
    <t>P unavailable in acid soils (fixation), Recommend 92 kg P2O5/acre in Kenya</t>
  </si>
  <si>
    <t>phosphorus, tuber numbers, uniformity, P fixation, acid soils</t>
  </si>
  <si>
    <t>Phosphorus Deficiency Symptoms (Potato)</t>
  </si>
  <si>
    <t>Where P is deficient, plants may first develop leaves that are smaller and lighter green than normal. Over time, the lower leaves darken, have less shine, start to curl, and develop small grey patches along the edges. Plants are stunted with shortened internodes and poor root systems, which can be observed at the early growth stages.</t>
  </si>
  <si>
    <t>Small, lighter green leaves, Lower leaves darken and curl, Grey patches on edges, Stunted plants</t>
  </si>
  <si>
    <t>P deficiency, small leaves, grey patches, stunted growth, poor roots</t>
  </si>
  <si>
    <t>Potassium (K) (Potato)</t>
  </si>
  <si>
    <t>Potato requires large quantities of potassium (K) for increased yield, tuber quality and disease resistance.</t>
  </si>
  <si>
    <t>Large quantities of K required, Improves yield, tuber quality, disease resistance</t>
  </si>
  <si>
    <t>potassium, yield, tuber quality, disease resistance</t>
  </si>
  <si>
    <t>Potassium Deficiency Symptoms (Potato)</t>
  </si>
  <si>
    <t>Leaves appear dull and are often blue-green in colour between the veins. Leaves also develop small, dark brown spots on the undersides and a bronzed appearance on the upper surfaces. Yellow leaf margins eventually develop.</t>
  </si>
  <si>
    <t>Dull blue-green leaves, Dark brown spots underside, Bronzed upper surface, Yellow leaf margins</t>
  </si>
  <si>
    <t>K deficiency, dull leaves, brown spots, bronzed appearance, yellow margins</t>
  </si>
  <si>
    <t>Sulphur (S) (Potato)</t>
  </si>
  <si>
    <t>Sulphur (S) is important for good crop development, improved yield, stress and pest resistance.</t>
  </si>
  <si>
    <t>Important for crop development, Improves yield, stress and pest resistance</t>
  </si>
  <si>
    <t>sulphur, crop development, yield, stress resistance, pest resistance</t>
  </si>
  <si>
    <t>Sulphur Deficiency Symptoms (Potato)</t>
  </si>
  <si>
    <t>Young and maturing leaves on the upper plant become yellow while the lower leaves remain green. Leaves show overall yellowing and curving upward.</t>
  </si>
  <si>
    <t>Upper leaves yellow first, Lower leaves remain green, Overall yellowing and curving</t>
  </si>
  <si>
    <t>S deficiency, upper leaf yellowing, curving leaves, lower leaves green</t>
  </si>
  <si>
    <t>Calcium (Ca) (Potato)</t>
  </si>
  <si>
    <t>Calcium (Ca) is a key nutrient for improving potato keeping quality. Adequate Ca supply reduces the severity of many plant and tuber diseases in the field and during storage.</t>
  </si>
  <si>
    <t>Key for keeping quality, Reduces plant and tuber diseases</t>
  </si>
  <si>
    <t>calcium, keeping quality, disease reduction, storage, field diseases</t>
  </si>
  <si>
    <t>Calcium Deficiency Symptoms (Potato)</t>
  </si>
  <si>
    <t>Young leaves are smaller, distorted, cupped, and darker green than normal.</t>
  </si>
  <si>
    <t>Smaller, distorted, cupped leaves, Darker green than normal</t>
  </si>
  <si>
    <t>Ca deficiency, leaf distortion, cupped leaves, smaller leaves</t>
  </si>
  <si>
    <t>Magnesium (Mg) (Potato)</t>
  </si>
  <si>
    <t>Magnesium (Mg) increases yield, improves disease resistance and enhances keeping quality.</t>
  </si>
  <si>
    <t>magnesium, yield, disease resistance, keeping quality</t>
  </si>
  <si>
    <t>Magnesium Deficiency Symptoms (Potato)</t>
  </si>
  <si>
    <t>Mature leaves are first to show yellowing (chlorosis) near the veins, which spreads out to the leaf edges. Leaves remain green on the margins and veins but are yellow in between the veins.</t>
  </si>
  <si>
    <t>Mg deficiency, chlorosis, vein yellowing, mature leaves, green margins</t>
  </si>
  <si>
    <t>4R Nutrient Stewardship for Potato Production (Potato)</t>
  </si>
  <si>
    <t>The 4R nutrient stewardship concept helps to identify the "Right" way to meet the needs of the potato crop by considering: Right Source, Right Rate, Right Time, Right Place.</t>
  </si>
  <si>
    <t>4R stewardship, Right Source, Right Rate, Right Time, Right Place</t>
  </si>
  <si>
    <t>Potato crop requires sufficient soil nutrients to grow well and give many tubers which are of high quality. Before planting potatoes, it is advisable to do soil testing to establish soil nutrient levels. Low soil fertility is caused by continuous growing of crops on your land without adding manure or fertilizers. Other causes of low soil fertility are soil erosion where top soil is washed away by surface runoff or by wind. These challenges call for an Integrated Soil Fertility Management (ISFM) approach that combines appropriate interventions on soil management including fertilizer use and crop agronomy.</t>
  </si>
  <si>
    <t>potato, soil nutrients, soil testing, low fertility, ISFM</t>
  </si>
  <si>
    <t>The set of soil fertility management practices (ISFM) that include the use of inorganic fertilizers, locally available organic inputs, improved seed combined to adapt practices to local conditions. It aims to optimize proper use of nutrients from the applied fertilizer materials and water by plants for improved crop productivity. Among others, ISFM uses techniques such as fertilizer banding (field application of fertilizer directly in area of root-zone) and micro dosing (applying small quantities of fertilizer with the seed at planting time and later a few weeks after emergence in top dressing).</t>
  </si>
  <si>
    <t>potato, ISFM, inorganic fertilizers, organic inputs, fertilizer banding</t>
  </si>
  <si>
    <t>Soil pH 5.8-7.0 required, Well-drained clay loams to sandy loams best, Soil testing mandatory</t>
  </si>
  <si>
    <t>potato, soil requirements, clay loams, sandy loams, soil pH</t>
  </si>
  <si>
    <t>potato, macronutrients, micronutrients, N, P, K</t>
  </si>
  <si>
    <t>Application of N has the greatest impact on increasing tuber weight. Too much N (based on the soil test results) can stimulate excessive vegetative growth, and suppress or delay tuber formation.</t>
  </si>
  <si>
    <t>potato, nitrogen, tuber weight, vegetative growth, excessive N</t>
  </si>
  <si>
    <t>Potatoes need a good supply of available P in soil for increased tuber numbers and uniformity in size and keeping quality. Due to unavailability of P in acid soils (P fixation), P fertilizer applications need to be considerably higher than the 12 to 20 kg P2O5/acre removed by the crop. Phosphorus fertilizer recommendation for potato is 92 kg of P2O5/acre for most areas in Kenya.</t>
  </si>
  <si>
    <t>potato, phosphorus, tuber numbers, P fixation, acid soils</t>
  </si>
  <si>
    <t>potato, P deficiency, small leaves, grey patches, stunted growth</t>
  </si>
  <si>
    <t>Potato requires large quantities of Potassium (K) for increased yield, tuber quality and disease resistance.</t>
  </si>
  <si>
    <t>potato, potassium, yield, tuber quality, disease resistance</t>
  </si>
  <si>
    <t>Leaves appear dull and are often blue-green between the veins. Leaves also develop small, dark brown spots on the undersides and a bronzed appearance on the upper surfaces. Yellow leaf margins eventually develop.</t>
  </si>
  <si>
    <t>potato, K deficiency, dull leaves, brown spots, yellow margins</t>
  </si>
  <si>
    <t>potato, sulphur, crop development, yield, stress resistance</t>
  </si>
  <si>
    <t>potato, S deficiency, upper leaf yellowing, curving leaves, lower leaves green</t>
  </si>
  <si>
    <t>Calcium (Ca) is a key nutrient for improving potato keeping quality. Adequate Ca reduces the severity of many plant and tuber diseases in the field and during storage.</t>
  </si>
  <si>
    <t>potato, calcium, keeping quality, disease reduction, storage</t>
  </si>
  <si>
    <t>potato, Ca deficiency, leaf distortion, cupped leaves, smaller leaves</t>
  </si>
  <si>
    <t>Increases yield, Improves disease resistance, Enhances keeping quality</t>
  </si>
  <si>
    <t>potato, magnesium, yield, disease resistance, keeping quality</t>
  </si>
  <si>
    <t>Mature leaves yellow near veins, Veins and margins remain green, Yellow between veins</t>
  </si>
  <si>
    <t>potato, Mg deficiency, chlorosis, vein yellowing, mature leaves</t>
  </si>
  <si>
    <t>The 4R nutrient stewardship concept helps to identify the "Right" way to meet the needs of the potato crop by considering: Right source, Right rate, Right time, Right place.</t>
  </si>
  <si>
    <t>Right Source, Right Rate, Right Time, Right Place</t>
  </si>
  <si>
    <t>potato, 4R stewardship, Right Source, Right Rate, Right Time, Right Place</t>
  </si>
  <si>
    <t>SOR-001</t>
  </si>
  <si>
    <t>Sorghum Production Training and Extension Manual (KCEP-CRAL)</t>
  </si>
  <si>
    <t>https://keep.kalro.org/appfiles/media/vc_files/sorghum-training-manual-8-12-20.pdf</t>
  </si>
  <si>
    <t>KALRO (KCEP-CRAL) / Kisilu R., Kamau C., Achieng J., Mutisya D., Esilaba A., Ouda J.</t>
  </si>
  <si>
    <t>2020-03</t>
  </si>
  <si>
    <t>Sorghum</t>
  </si>
  <si>
    <t>Ecological requirements; variety selection; agronomy; pest management; post-harvest</t>
  </si>
  <si>
    <t>Smallholder rainfed (ASAL cereals)</t>
  </si>
  <si>
    <t>Extension officers, service providers, lead farmers</t>
  </si>
  <si>
    <t>Kenya - ASAL / semi-arid (13 KCEP-CRAL counties)</t>
  </si>
  <si>
    <t>expert_reviewed</t>
  </si>
  <si>
    <t>Verified against the PDF cover: publication date is MARCH 2020, not the 2020-12-08 implied by the filename. Named editorial panel; strong provenance. Publisher's disclaimer states content is advisory and must be verified per agro-climatic zone - reproduce that disclaimer in any derived advisory.</t>
  </si>
  <si>
    <t>SOR-002</t>
  </si>
  <si>
    <t>Handbook on Improved Agronomic Practices for Sorghum Production in North East Nigeria</t>
  </si>
  <si>
    <t>https://oar.icrisat.org/11531/1/Handbook%20on%20Sorghum%20production%20for%20NE%20printed%20version.pdf</t>
  </si>
  <si>
    <t>ICRISAT / IITA / Feed the Future Nigeria Integrated Agriculture Activity / Ajeigbe H.A., Angarawai I.I., Akinseye F., Inuwa A.H., AbdulAzeez T. and Vabi M.B.; USAID-funded</t>
  </si>
  <si>
    <t>2020</t>
  </si>
  <si>
    <t>Cultivation practices; diseases; insect pests; storage pests</t>
  </si>
  <si>
    <t>Nigeria - North East (Borno and Adamawa states) (not Kenya)</t>
  </si>
  <si>
    <t>High</t>
  </si>
  <si>
    <t>Added from the source block on the Content tab. Screening fields auto-filled from the register text - reviewer to confirm. 15 pp. Nigeria-specific; ICRISAT is the CGIAR mandate centre for sorghum with a regional hub in Nairobi. BLOCKER: names mancozeb, cypermethrin and carbaryl; herbicide selection deferred to a document not included. Internal inconsistency on storage moisture (12% vs 9%).</t>
  </si>
  <si>
    <t>SOR-003</t>
  </si>
  <si>
    <t>Inventory of Climate Smart Agriculture Sorghum Technologies, Innovations &amp; Management Practices (Version 1)</t>
  </si>
  <si>
    <t>https://keep.kalro.org/appfiles/media/vc_files/SORGHUM-1.pdf</t>
  </si>
  <si>
    <t>KALRO (KCSAP) / Kisilu R., Kamau C. and Cheruiyot E. (KALRO Katumani; Egerton University)</t>
  </si>
  <si>
    <t>TIMPs inventory with readiness ratings; improved varieties; agronomic practices; bird damage; mechanization; post-harvest; marketing; value addition</t>
  </si>
  <si>
    <t>Kenya</t>
  </si>
  <si>
    <t>Medium</t>
  </si>
  <si>
    <t>Added from the source block on the Content tab. Screening fields auto-filled from the register text - reviewer to confirm. PARENT document of the sorghum ToT manual (SOR-001). Rates each TIMP 1 ready for upscaling, 2 requires validation, 3 requires further research: 33 TIMPs - 15 ready, 16 require validation, 2 require further research. Where a readiness rating exists it overrides every other screening judgement.</t>
  </si>
  <si>
    <t>SOR-004</t>
  </si>
  <si>
    <t>Infonet-Biovision, Sorghum (Revised) datasheet and linked plant health content</t>
  </si>
  <si>
    <t>https://infonet-biovision.org/crops-fruits-vegetables/sorghum-revised</t>
  </si>
  <si>
    <t>Biovision Foundation with Biovision Africa Trust, Nairobi</t>
  </si>
  <si>
    <t>Not stated (continuously updated web platform)</t>
  </si>
  <si>
    <t>Nutrition &amp; food composition; utilisation; non-chemical pest &amp; disease management</t>
  </si>
  <si>
    <t>Kenya - National</t>
  </si>
  <si>
    <t>Needs Verification</t>
  </si>
  <si>
    <t>Added from the source block on the Content tab. Screening fields auto-filled from the register text - reviewer to confirm. Web platform, continuously updated; marked 'Revised', so among the more recently maintained datasheets.</t>
  </si>
  <si>
    <t>SOR-005</t>
  </si>
  <si>
    <t>National Crop Variety List - Kenya, 2025 Edition (Version 5-2-2025)</t>
  </si>
  <si>
    <t>https://www.kephis.go.ke/sites/default/files/2025-02/NATIONAL%20CROP%20VARIETY%20LIST-%202025%20EDITION.pdf</t>
  </si>
  <si>
    <t>Kenya Plant Health Inspectorate Service (KEPHIS)</t>
  </si>
  <si>
    <t>2025-02</t>
  </si>
  <si>
    <t>Statutory variety list; variety release process; seed law framework</t>
  </si>
  <si>
    <t>Duplicate</t>
  </si>
  <si>
    <t>Added from the source block on the Content tab. Screening fields auto-filled from the register text - reviewer to confirm. 232 pp; sorghum list at pp 115-121. Same document as TOM-004 - listed here because its sorghum section is broken down on Sorghum Content. Sorghum is a Schedule 2 crop: release is mandatory.</t>
  </si>
  <si>
    <t>Part I - Section 1: Background (1.1 Role in the Kenyan economy; 1.2 Role in food and nutrition security; 1.3 Sorghum as a climate smart innovation; 1.4 Objectives of the training)</t>
  </si>
  <si>
    <t>Sorghum is a drought and heat tolerant dual-purpose cereal, grown at altitudes of up to 2,500 m a.s.l. and with as little as 300 mm of annual rainfall, though it performs best above 900 mm. In Kenya it occupies an estimated 184,654 ha, mainly on smallholdings in the dryland areas of Western, Eastern and Coast. It serves both food and income: grain for household consumption and, for malting types such as Gadam, a commercial brewing market, alongside a government initiative to blend sorghum flour with other cereals.</t>
  </si>
  <si>
    <t>Production and demographic statistics (184,654 ha; over 35% of Kenya's population and more than 26% of livestock in the named regions) are undated and unsourced in the text - verify against current KNBS or MoALD data before reuse in reporting or dashboards. The named commercial brewing partnership creates a market-steering implication; keep it attributed rather than presenting malting sorghum as neutral advice. The flour blending target year (2022) has passed.</t>
  </si>
  <si>
    <t>background, drought tolerance, dual purpose, Gadam, malting, EABL, flour blending, unsourced statistics</t>
  </si>
  <si>
    <t>Part I - Sections 2–4: Training content, training design and facilitator guidelines</t>
  </si>
  <si>
    <t>No sorghum subject matter - this section covers how training is designed and delivered rather than the crop itself: module structure and duration, the cascade from a core team of trainers through master trainers to lead farmers, partner roles, venue and demonstration-plot requirements, and evaluation design.</t>
  </si>
  <si>
    <t>Section 4.8 is titled 'Facilitator Reference Materials' in the table of contents but 'Participants' Reference Materials' in the body. The reference list is generic (manuals, pamphlets, factsheets) and names no specific publications, so it cannot be reconciled against an asset register as it stands.</t>
  </si>
  <si>
    <t>training design, 13 modules, ToT cascade, delivery system, partners, evaluation, TOC mismatch</t>
  </si>
  <si>
    <t>Module 1: Climate Change and Climate Smart Agriculture</t>
  </si>
  <si>
    <t>Climate change reaches sorghum through altered rainfall and rising temperature, and the crop's own drought and heat tolerance is what makes it a climate-smart choice in the first place. Terminology is distinguished carefully - weather from climate, variability from change, adaptation from coping - before projected rainfall and temperature scenarios are matched to specific adaptation measures for the crop.</t>
  </si>
  <si>
    <t>Low technical risk. Climate projections presented in 2020 should not be reused as current scenarios. References the 2019 KCEP-CRAL Climate Smart Agriculture Extension Manual, which is a separate asset to catalogue.</t>
  </si>
  <si>
    <t>climate change, CSA, adaptation, climate projections, triple wins</t>
  </si>
  <si>
    <t>Module 2: Farmer Field and Business School (FFBS) Approach in Sorghum Production</t>
  </si>
  <si>
    <t>No sorghum subject matter beyond the curriculum framing - this section covers the Farmer Field and Business School method: Agro-Ecosystem Analysis, participatory technology development plots, season-long sessions, field days and graduation, plus facilitation and group leadership skills.</t>
  </si>
  <si>
    <t>Non-technical methodology. Module learning outcomes contain a copy error: outcome text refers to identifying climate risks and hazards in sorghum value chain. Minor but confirms cross-value-chain template reuse; check the whole module for other substitutions before ingestion.</t>
  </si>
  <si>
    <t>FFBS, curriculum matrix, PTD, facilitation, leadership.</t>
  </si>
  <si>
    <t>Module 3: Sorghum Production Niches and Climatic Requirements</t>
  </si>
  <si>
    <t>Sorghum occupies three broad production niches in Kenya: dry lowlands, dry cold highlands, and semi-humid to humid areas. Suitability within each depends on altitude, soil type, pH and general fertility. County-level agro-ecological zones are reviewed against average yields, typical land sizes and the production constraints particular to each, using suitability maps to match crop to place.</t>
  </si>
  <si>
    <t>Stated module duration is inconsistent: section 3.5 says 4 hours while the module summary totals 4 hours 30 minutes. Handouts cite sorghum production guides dated 2017 and 2019 and leaflets from 2017 - all now well aged.</t>
  </si>
  <si>
    <t>production niches, AEZ, altitude, soils, suitability maps, county yields, duration inconsistency</t>
  </si>
  <si>
    <t>Module 4: Sorghum Variety Selection</t>
  </si>
  <si>
    <t>Sorghum varieties are chosen by end use as much as by adaptation. The improved varieties are grouped as malting types for brewing, types for human and animal consumption, forage types, and sweet sorghum, each matched to dry lowland, dry cold highland, or semi-humid and humid production areas. Field identification of varieties in an established plot is part of the selection skill.</t>
  </si>
  <si>
    <t>Variety recommendations rest on 2017 guides and leaflets and a 2019 extension manual. Variety releases and withdrawals since 2020 are not reflected - verify every named variety against the current KEPHIS National Variety List before farmer-facing release. This is the highest-value module for an advisory tool and therefore the one where staleness does most damage.</t>
  </si>
  <si>
    <t>variety selection, malting, forage, sweet sorghum, KEPHIS, staleness risk</t>
  </si>
  <si>
    <t>Module 5: Sorghum Seed Systems</t>
  </si>
  <si>
    <t>Sorghum seed reaches farmers through both formal and informal systems. Quality seed is defined against legal standards, with a certification process, post-certification enforcement, and import and export requirements. Seed multiplication follows set standards, and community seed bulking offers a route where formal supply is weak. Seed requirements can be calculated at county, ward or group level to plan supply.</t>
  </si>
  <si>
    <t>Contains legal and regulatory content citing the Seeds and Plant Varieties Act (Cap 326) - statutory references must be checked for amendment before reuse, and regulatory guidance should not be delivered to farmers through an AI channel without a current legal review.</t>
  </si>
  <si>
    <t>seed systems, certification, Seeds and Plant Varieties Act Cap 326, community seed bulking, regulatory, legal review</t>
  </si>
  <si>
    <t>Module 6: Climate Smart Agronomic Practices for Sorghum</t>
  </si>
  <si>
    <t>Climate-smart sorghum agronomy begins with enterprise selection and land preparation, then planting at defined seed rates and plant densities, thinning, weed control and rogueing. Cropping system, inter-row and intra-row spacing determine plant population. Conservation agriculture principles apply, and the crop's response depends on seed, fertiliser and manure applied at the right rate and time.</t>
  </si>
  <si>
    <t>Input rates and dosage content - the highest-consequence agronomic material in the manual. The abbreviations list defines DAP as 'Di Ammonium Nitrate', which is incorrect: DAP is di-ammonium phosphate. Correct this before ingestion, as an AI would propagate the error into fertiliser advice. Verify all rates against current KALRO fertiliser recommendations.</t>
  </si>
  <si>
    <t>agronomy, seed rate, plant density, fertiliser rates, conservation agriculture, DAP error, ESCALATE</t>
  </si>
  <si>
    <t>Module 7: Integrated Soil and Water Management Practices for Sorghum Production</t>
  </si>
  <si>
    <t>Sorghum is grown largely on soils of low fertility and under moisture stress, so soil and water management carries the yield. Soil and plant tissue sampling with accredited laboratory analysis guides nutrition under the 4R principle. Kenyan soils are identified as deficient in nitrogen, phosphorus, potassium, sulphur, zinc, molybdenum and boron. Integrated soil fertility management combines conservation agriculture, cereal-legume intercropping, rotation, manure, mulching and composting; water harvesting and tillage conserve moisture, alongside reclamation of degraded and problematic soils.</t>
  </si>
  <si>
    <t>Identifies specific macro- and micronutrient deficiencies in Kenyan soils (N, P, K, S, Zn, Mo, B) - these are broad claims that should retain attribution. Directs users to accredited laboratories but names none; supply a current accredited-laboratory list if this content is used in an advisory flow.</t>
  </si>
  <si>
    <t>ISFM, soil sampling, 4R stewardship, nutrient deficiency, water harvesting, soil degradation, accredited labs</t>
  </si>
  <si>
    <t>Module 8: Crop Protection and Health Management for Sorghum</t>
  </si>
  <si>
    <t>Sorghum's most distinctive constraint is bird damage, reported at over 60% loss even with human scaring and total loss without it. Management combines identification of major pests and diseases, scouting against thresholds, and control of post-harvest weevils, with aflatoxin as a linked grain-safety concern. Harvesting white varieties early at the grain hardening dough stage, then drying, is presented as a way to escape bird damage. Safe pesticide use covers knapsack demonstration, protective gear and calibration.</t>
  </si>
  <si>
    <t>HIGHEST-RISK MODULE. Bird damage loss figures (over 60% with human scaring, 100% without) are unattributed - retain source or drop. The only pesticide reference is a 2019 PCPB registered-products list hosted on a third-party commercial domain rather than the PCPB register itself; replace with the current official source before any farmer-facing use. Fall armyworm and locusts are described as new and emerging, which is no longer accurate. The dough-stage early harvest technology is explicitly described as not widely known among extension staff and farmers - flag as advisory-with-caveat, not settled practice.</t>
  </si>
  <si>
    <t>IPM, IDM, bird damage, fall armyworm, locusts, aflatoxin, PCPB, pesticide safety, ESCALATE</t>
  </si>
  <si>
    <t>Module 9: Sorghum Harvesting and Post-Harvest Management</t>
  </si>
  <si>
    <t>Sorghum grain quality is set at harvest and preserved or lost in storage. Harvesting and drying maintain quality; threshing by machine reduces both labour and grain contamination compared with manual methods; cleaning and drying follow. Storage depends on moisture: the salt method and a moisture meter are used to test grain moisture before sealing into hermetic bags.</t>
  </si>
  <si>
    <t>Mentions storage chemicals in the training materials list without naming products or rates - do not synthesise. Grain quality standards are referenced but not specified; align with current KEBS standards before reuse. The salt and moisture-meter method is practical, low-risk content well suited to repackaging.</t>
  </si>
  <si>
    <t>harvesting, threshing, drying, grain storage, hermetic bags, moisture content, KEBS, storage chemicals</t>
  </si>
  <si>
    <t>Module 10: Sorghum Value Addition</t>
  </si>
  <si>
    <t>Sorghum grain can be processed into a wide range of foods, which raises both its nutritional contribution and its market value: ugali, porridge, a milk beverage, pilau, doughnuts, cupcakes, biscuits, cake and chapatti. Products are ranked by pairwise comparison to prioritise which opportunities to pursue, and a market strategy developed for the ranked products. Traditional sorghum dishes are noted as appealing less to youth and children than newer product forms.</t>
  </si>
  <si>
    <t>Food preparation content with low technical risk and strong repackaging potential. Notes that traditional sorghum recipes appeal less to youth and children - a consumer-acceptance claim that is unattributed. A home economist is recommended to backstop the practical session.</t>
  </si>
  <si>
    <t>value addition, recipes, nutrition, pairwise ranking, market strategy, consumer acceptance</t>
  </si>
  <si>
    <t>Module 11: Mechanization of Sorghum Production Activities</t>
  </si>
  <si>
    <t>Sorghum production is labour-intensive at nearly every stage, which is what mechanisation addresses. The operations covered are climate-smart tillage, calibration of planters for fertiliser and seed rate, pest control equipment including knapsack sprayers and pheromones, harvest timing and yield estimation, estimation of harvesting losses, and machinery for grading grain.</t>
  </si>
  <si>
    <t>Planter calibration and sprayer content is equipment-dosing guidance that pairs with Module 6 rates and Module 8 pesticide content - screen the three together rather than in isolation, since calibration guidance is only safe alongside a verified product and rate.</t>
  </si>
  <si>
    <t>mechanisation, tillage, planter calibration, knapsack, pheromones, yield estimation, grading</t>
  </si>
  <si>
    <t>Module 12: Sorghum Business and Marketing</t>
  </si>
  <si>
    <t>Sorghum has an unusual market structure for a dryland cereal: alongside household food use there is an industrial brewing market. The business options covered are that brewery opportunity, forms of farmer aggregation to reach it, and contract farming arrangements between producers and buyers.</t>
  </si>
  <si>
    <t>Recorded from the table of contents and Table 1 module outline. Market structure and contract terms will have moved since 2020 - do not present as current. The brewery market framing again carries a commercial steer that should stay attributed.</t>
  </si>
  <si>
    <t>business, marketing, brewery, aggregation, contract farming, time-sensitive</t>
  </si>
  <si>
    <t>Module 13: Sorghum Cross-Cutting Issues (13.1 Agricultural Innovation Platforms; 13.2 Gender, VMGs, Socio-Environmental Concerns and Cohesion; 13.3 Climate-Smart Agricultural Policy Options)</t>
  </si>
  <si>
    <t>Three issues cutting across sorghum production. Agricultural Innovation Platforms link producers, traders, processors and researchers, and are profiled at county level. The second strand addresses how vulnerable and marginalised groups can draw benefit from the sorghum value chain, including employment opportunities within it. The third covers climate-smart agricultural policy as it bears on sorghum.</t>
  </si>
  <si>
    <t>PAGINATION DEFECT: the table of contents lists sub-module 13.3 at page 56, which is impossible given 13.2 at page 68 and Annex 1 at page 78. Resolve the true page range before any page-level citation or chunking. Policy content from 2020 should not be presented as current.</t>
  </si>
  <si>
    <t>innovation platforms, gender, VMGs, policy, pagination error, ESCALATE, time-sensitive</t>
  </si>
  <si>
    <t>Annex 1: Training Program</t>
  </si>
  <si>
    <t>No sorghum subject matter - a six-day training timetable for the thirteen modules.</t>
  </si>
  <si>
    <t>Administrative content; no advisory risk.</t>
  </si>
  <si>
    <t>annex, training program, timetable</t>
  </si>
  <si>
    <t>1. Introduction (1.1 Uses of sorghum)</t>
  </si>
  <si>
    <t>Sorghum is the fifth most important cereal worldwide and the leading food crop of the Nigerian Savanna, grown on about 5.9 million ha for roughly 6.7 million tonnes a year. Grain is ground to flour for thick and thin porridges and other traditional dishes, and processed into malt, beverages, confectionery, and poultry and fish feed. Production is constrained by low investment in fertiliser and improved varieties, rising labour cost, changing consumer preference, bird attack, Striga, and rainfall variability - the last of which collapses prices in good years and so deters farmers from investing commercially.</t>
  </si>
  <si>
    <t>All statistics are Nigerian. The price-risk argument is a genuinely useful analytical frame that transfers conceptually to Kenyan ASAL sorghum, and it complements rather than duplicates the KALRO manual's brewery-market framing. Uses are Nigerian dishes (tuwo, kamu, pate) - not transferable to Kenyan utilisation or recipe content.</t>
  </si>
  <si>
    <t>introduction, Nigeria statistics, price risk, Striga, bird damage, conceptual transfer</t>
  </si>
  <si>
    <t>2. Sorghum production in Nigeria (2.1–2.15: cultivation practices, soil, climate, land preparation, planting date, variety choice, seed rate and dressing, planting, thinning, fertilisation, micro-dosing, weeding, harvest, threshing, storage)</t>
  </si>
  <si>
    <t>Sorghum is a warm-weather crop needing high temperature to germinate and establish. It grows on many soils but yields best on deep, fertile, well-drained loam with good water retention, tolerates alkaline salts better than most cereals across pH 5.5–8.5, and withstands short waterlogging. Germination begins at 7–10 °C, reaches 80% within 7–10 days at 15 °C, and optimum growth is 27–32 °C; exceptionally high temperature aborts pollen. It is a short-day plant, flowering at a 10–11 h photoperiod, with early-maturing varieties photoperiod-insensitive. Rainfall of 300–1,200 mm supports production, with medium to late cultivars maturing in 110–145 days needing about 450–800 mm during the season. Establishment depends on a well-prepared seedbed, planting once soil moisture is adequate, thinning two weeks after sowing, and Striga management - a parasitic weed whose seed stays viable 15–20 years and against which no complete resistance exists, though rotation with cotton, groundnut, cowpea and pigeon pea reduces incidence.</t>
  </si>
  <si>
    <t>BLOCKER - names Mancozeb (dithiocarbamate) as a seed dressing and defers all herbicide selection to an external 'Safer Use Action Plan' that is NOT included in the document, so the chemical guidance is incomplete by design. Verify against the current PCPB register. DO NOT TRANSFER: the 14 varieties are all Nigerian SAMSORG and CSR releases mapped to Sahel, Sudan and Guinea Savannah zones, none on the KEPHIS list; planting dates are Borno and Adamawa specific (end May to early July). The fertiliser recommendation is an explicitly BLANKET application (NPK 15:15:15 at 200 kg ha⁻¹ plus urea at 100 kg ha⁻¹) which DIRECTLY CONTRADICTS the 4R site-specific stewardship principle taught in the KALRO sorghum Module 7 - the two sources must not be ingested together without resolving this. Micro-dosing quantities are given in 'cork stoppers' and 'mudus', non-metric local units that will not translate. Striga guidance (seed viable 15–20 years, no complete resistance) is scientifically sound and transferable.</t>
  </si>
  <si>
    <t>ESCALATE, mancozeb, PCPB, dangling SUAP reference, Nigerian varieties, blanket fertiliser, 4R conflict, micro-dosing, non-metric units, Striga, transferable</t>
  </si>
  <si>
    <t>3. Major diseases of sorghum in Nigeria (3.1 Seedling blight; 3.2 Anthracnose; 3.3 Smut)</t>
  </si>
  <si>
    <t>Sorghum is attacked by bacterial, fungal and viral diseases, though improved varieties resist most common ones. Seedling blight, or damping off, arises from Pythium, Fusarium, Aspergillus and Rhizoctonia acting alone or together. Anthracnose (Colletotrichum graminicola) is the most important foliar disease, appearing in foliar, panicle and stalk forms and causing up to 47% yield loss in susceptible varieties. Smut is the most widespread disease group, with four types - covered, loose, head and long smut - differing in prevalence by zone; head smut is soilborne, infects at seedling stage and favours late-maturing cultivars. Resistant varieties are described as the cheapest and most effective control.</t>
  </si>
  <si>
    <t>Pathogen biology is transferable; race structure and prevalence by zone are Nigeria-specific and must not be presented as Kenyan. Control depends on unnamed 'appropriate fungicide' - a dangling recommendation that an AI could fill in dangerously. The four-year rotation and gall-burning advice are sound non-chemical measures worth extracting separately. Emphasises resistant varieties as the cheapest and most effective control, which is a useful counterweight to chemical-first advice.</t>
  </si>
  <si>
    <t>diseases, anthracnose, smut, seedling blight, physiological races, unnamed fungicide, rotation, non-chemical control</t>
  </si>
  <si>
    <t>4. Major insect pests (4.1 Spittle bug; 4.2 Shoot fly; 4.3 Stem feeders; 4.4 Sorghum midge; 4.5 Head bugs; 4.6 African armyworm; 4.7 Grasshoppers)</t>
  </si>
  <si>
    <t>Seven insect pests attack sorghum in the field. Spittle bug (Poophilus costalis) feeds in leaf whorls causing chlorotic blotches and stunting, its nymphs sheltering in a foamy spittle mass. Shoot fly (Atherigona soccata) larvae feed on the central leaf producing the characteristic dead heart, which pulls out easily and smells foul. Stalk borer (Busseola fusca) larvae bore into stems, producing three generations a year with the third entering a 5–7-month diapause. Sorghum midge (Contarinia sorghicola) larvae feed on the ovary and blast the panicle, completing 9–12 generations in a season. Head bug (Eurystylus oldi) sucks developing grain, leaving red-brown punctures that spoil quality, ruin germination and worsen grain mould. African armyworm (Spodoptera exempta) appears in periodic outbreaks, its gregarious larvae moving through vegetation at high density. Grasshoppers (Oedalus senegalensis) attack all stages, worst at seedling and ripening.</t>
  </si>
  <si>
    <t>BLOCKER - names cypermethrin (spittle bug and shoot fly) and carbaryl (stalk borer) as controls. Carbaryl is withdrawn or heavily restricted in numerous jurisdictions and must be checked against the current PCPB register before this content is reused in any form; do not assume registration in Kenya. Non-chemical controls are strong and separable: sowing date adjustment, higher seeding rate, resistant cultivars, destruction of dry stalks and stubble, early and uniform planting against midge, and open-panicle varieties against head bugs. Busseola fusca and Spodoptera exempta are both present in Kenya, so the pest biology here genuinely complements KALRO material even though the chemistry does not.</t>
  </si>
  <si>
    <t>ESCALATE, cypermethrin, carbaryl, PCPB, shoot fly, stalk borer, midge, head bugs, armyworm, cultural control, separable, Kenya-relevant biology</t>
  </si>
  <si>
    <t>5. Insect pests of stored sorghum (5.1 Maize weevil; 5.2 Flour beetles)</t>
  </si>
  <si>
    <t>Stored sorghum loses an estimated 35% of produce to insect damage. Maize weevil (Sitophilus zeamais) and rice weevil (S. oryzae) are the most destructive, with both adults and larvae feeding on grain, often damaging it beyond use, and doing most harm in warm humid conditions. Confused flour beetle (Tribolium confusum) and red flour beetle (T. castaneum) are mainly secondary feeders on flour, grain dust and broken kernels, turning contaminated grain greyish-yellow and mouldy with a pungent smell. Infestation begins in the field and in old granaries, and spreads between stores. Grain moisture is the controlling variable: weevils cannot feed below 9%.</t>
  </si>
  <si>
    <t>INTERNAL INCONSISTENCY on the critical number: section 2.15 gives safe storage moisture as below 12%, while 5.1 states the weevil cannot feed below 9%. Both are presented as thresholds and an AI would surface whichever it retrieved first. Resolve before use. Fumigation is recommended without naming a product or any safety procedure - phosphine and similar fumigants are acutely toxic and this is an unsafe gap to leave for a generative system to fill. Section 2.15 also advises testing grain dryness by breaking grains with the teeth, which should not be reproduced for grain that may have been seed-dressed or fumigated. The 35% storage loss figure is Nigerian.</t>
  </si>
  <si>
    <t>ESCALATE, storage pests, moisture threshold conflict, fumigation, phosphine, unsafe gap, teeth test, hermetic storage, PICS bags</t>
  </si>
  <si>
    <t>References and ICRISAT institutional note</t>
  </si>
  <si>
    <t>No sorghum subject matter - reference list and a description of ICRISAT's mandate, dryland crop portfolio and regional hubs including Nairobi.</t>
  </si>
  <si>
    <t>The reference list rests partly on very old material, including a 1969 FAO agricultural development paper, and on a USAID-MARKETS package of practices from 2009. The document carries the standard USAID disclaimer that views are the authors' and not necessarily USAID's - reproduce that if the content is redistributed. ICRISAT's Nairobi hub is a realistic route to obtaining a Kenya-calibrated equivalent of this handbook.</t>
  </si>
  <si>
    <t>references, dated sources, USAID disclaimer, ICRISAT Nairobi, follow-up route</t>
  </si>
  <si>
    <t>1.0 Definition of terms and summary tables (1.1 Definitions; 1.2 Summary of inventory)</t>
  </si>
  <si>
    <t>Sorghum research output is classified into three kinds of thing. A technology is a commercialisable, patentable research output - a variety, tool, breed or technique. A management practice is the recommendation that lets a technology reach its optimum output, such as seeding rate, fertiliser rate, spacing or planting period; a technology released without it is described as incomplete. An innovation is an existing technology repurposed for an entirely different use. Across sorghum this yields 33 items - 21 technologies, 6 innovations and 6 management practices - spread over seven sub-themes, of which 15 are cleared for upscaling, 16 require validation and 2 require further research.</t>
  </si>
  <si>
    <t>THIS IS THE MISSING GOVERNANCE LAYER for the whole register - it is the only document screened so far that states, per item, whether content is cleared for farmer-facing use. Both summary tables are internally consistent (21+6+6 = 33 and 15+16+2 = 33), which is reassuring given the arithmetic defects found elsewhere. Note the definition of management practice: a technology without its accompanying management practice is described as incomplete, which is a useful principle for deciding what may be extracted in isolation.</t>
  </si>
  <si>
    <t>readiness ratings, governance layer, definitions, 33 TIMPs, 15 ready, 16 validation, 2 research, internally consistent</t>
  </si>
  <si>
    <t>MAJOR FINDING: the ToT manual teaches content the inventory rates as NOT ready</t>
  </si>
  <si>
    <t>No sorghum subject matter - this row records a discrepancy between two documents rather than a fact about the crop. Bird damage management, mechanisation, the COPMAS marketing model, both intercropping practices and growth enhancers are rated as requiring validation or further research in the inventory, yet all are taught in the ToT manual, whose foreword states it covers only upscaling-ready material.</t>
  </si>
  <si>
    <t>ESCALATE TO GOVERNANCE, NOT JUST CONTENT. At least four ToT modules teach material the parent inventory does not clear for upscaling. This means readiness cannot be inferred from a topic's presence in a ToT manual - it must be checked against the inventory item by item. For an AI advisory build this is the single most consequential finding in the register: content that reads as settled KALRO guidance may be explicitly unvalidated upstream. The ToT manual's own Module 8 does hedge the dough-stage technique as 'not widely known', which is consistent with the validation rating and suggests the authors knew.</t>
  </si>
  <si>
    <t>ESCALATE, governance finding, ToT versus inventory, readiness not inferable, unvalidated content taught as settled, bird damage, mechanisation, marketing, intercropping</t>
  </si>
  <si>
    <t>2.1 Improved sorghum varieties - 20 entries with readiness ratings (2.1.1 to 2.1.20)</t>
  </si>
  <si>
    <t>Twenty sorghum varieties are available in Kenya, differing by grain colour, end use, altitude range, maturity and bird tolerance. Gadam (1994) is the most drought-resilient, chalky white with brown testa, maturing in 3 months at 250–1,600 m a.s.l., yielding 2–2.5 t ha⁻¹ with brewing quality. KARI Mtama-1 (2000) is white, sweet and low in tannin, yielding 3.4 t ha⁻¹ at 250–1,800 m a.s.l. but maturing later at 3–3.5 months. Sila (2006) is dual-purpose, giving 2–4 t ha⁻¹ grain and 4 t ha⁻¹ fodder. Seredo and Serena, both 1970s brown open-pollinated varieties yielding around 2.7 t ha⁻¹, resist bird damage through grain tannin - at the cost of palatability and digestibility - and are used for blending with maize and cassava flour and for feeding chickens. SC Smile (2016) is red, and its colour likewise deters birds. The forage varieties BJ28, Ikinyaluka, E1291 and E6518 suit cold dry highlands from 750 to 2,300 m a.s.l., where most sorghum fails, with Ikinyaluka reaching 8 t ha⁻¹ forage and E6518 7.2 t ha⁻¹; sorghum cut at soft dough and ensiled runs 52–65% dry matter digestibility, 8–12% crude protein, 60–75% NDF and 34–40% ADF. E97 (2017) tolerates head smut, drought, aluminium toxicity and low soil phosphorus. The sweet sorghums carry high stem sugar for ethanol - EUSS 11 yields 44 t ha⁻¹ stalk and 838 L ha⁻¹ ethanol, EUSS 10 40 t ha⁻¹ and 644 L ha⁻¹, and Kak Sweet Sorg 1 reaches 16% Brix.</t>
  </si>
  <si>
    <t>THE READINESS SPLIT MAPS ALMOST EXACTLY ONTO AGE. Every variety cleared for upscaling was released between the 1970s and 2006; every variety requiring validation was released 2016–2019. So the nine varieties an advisory tool may safely recommend are 19 to 55 years old. Three (EUSH 1, KM 32-1, E97) are marked 'requires validation AND SEED ACCESS' - the inventory states plainly there is no commercial seed. Do not recommend any variety without checking both its readiness rating and its seed availability; a technically sound recommendation for a variety with no seed is still a failed recommendation. Verify all 20 against the current KEPHIS list, since the inventory is itself from 2019.</t>
  </si>
  <si>
    <t>20 varieties, 9 ready, 11 validation, readiness correlates with age, seed access gap, Gadam, Seredo, Serena, KEPHIS, do not recommend without seed check</t>
  </si>
  <si>
    <t>Economic data across the variety entries - production cost, revenue and returns</t>
  </si>
  <si>
    <t>Sorghum production costs about KES 15,000 per acre. Revenue and margin vary by variety and market: Gadam returns about KES 28,800 per acre in revenue, KM 32-1 about KES 48,640 with a net of KES 33,640, and the EUSH 1 hybrid about 20 bags per acre at KES 32 per kg, giving KES 57,600 revenue and KES 42,600 net. Sweet sorghum seed costs KES 350 per kg, with returns mostly unquantified pending validation. Margins on the older brown varieties are thinner than on malting and hybrid types.</t>
  </si>
  <si>
    <t>ARITHMETIC DEFECT - the Seredo, Serena and E97 entries state revenue of KES 38,800 and returns of KES 13,800, but 38,800 minus the stated 15,000 cost is 23,800. Section 2.2.1 does the same subtraction correctly and gives 23,800. The 13,800 figure appears to have been carried over from the Gadam entry, where 28,800 minus 15,000 does equal 13,800. Three entries therefore understate net return by KES 10,000 per acre. Also a probable UNIT ERROR: KM 32-1 yield is given as 2.7–3.8 t/acre, which at 3.8 t/acre would be about 9.4 t ha⁻¹ - implausible for sorghum and inconsistent with every other entry, which uses t ha⁻¹. All figures are 2019 prices and must not be presented as current gross margins.</t>
  </si>
  <si>
    <t>ESCALATE, arithmetic defect, copy-carried figure, KES 10,000 understatement, unit error t/acre vs t ha⁻¹, 2019 prices, gross margin</t>
  </si>
  <si>
    <t>2.2 Agronomic management practices (2.2.1 to 2.2.6) with readiness ratings</t>
  </si>
  <si>
    <t>Good sorghum husbandry is a defined package: a variety matched to area and end use, certified seed or properly selected own seed, fine land preparation and early planting, spacing of 90 cm × 15 cm behind an ox plough or 75 cm × 20 cm by hand, at 5 cm depth, and a seed rate of 3–4 kg per acre (about 7.4–9.9 kg ha⁻¹) for a sole crop. Weeding follows two weeks after germination and thinning to one plant per hole after three weeks. Fertility is managed with 50 kg per acre (about 124 kg ha⁻¹) of basal fertiliser and 50 kg per acre of top dressing, with tied ridges to control runoff. Grain is dried and threshed on a tarpaulin to protect quality, dried to 13% moisture and stored in hermetic bags in dry ventilated stores - though grain destined for breweries should not be dusted. Conservation agriculture is an established practice; growth enhancers, sorghum-legume intercropping and legume intercropping against Striga are not yet settled.</t>
  </si>
  <si>
    <t>Seed rate of 3–4 kg per acre converts to roughly 7.4–9.9 kg per hectare, which is CONSISTENT with the ICRISAT figure of 8–10 kg per hectare - a rare point of agreement between the two sources and worth noting as such. But the moisture threshold now has THREE different values across the register: 13% here, below 12% in ICRISAT section 2.15, and below 9% as the weevil feeding threshold in ICRISAT 5.1. Resolve before any storage advisory. Pest management is stated only as 'spraying recommended pesticides' and 'recommended agrochemicals' with nothing named - a dangling recommendation that a generative system would fill in. Note the entry advises that dusting is not recommended for grain sold to breweries, which is a market-specific residue consideration worth preserving.</t>
  </si>
  <si>
    <t>agronomic package, ready for upscaling, spacing, seed rate, agrees with ICRISAT, moisture threshold three-way conflict, unnamed pesticides, brewery residue, intercropping needs research</t>
  </si>
  <si>
    <t>2.3 to 2.7 Bird damage, mechanisation, postharvest, marketing and value addition</t>
  </si>
  <si>
    <t>Beyond varieties and agronomy, sorghum has technologies at five points in the chain. Against bird damage, harvesting at soft dough stage. For mechanisation, a planter, weeder and harvester. After harvest, a sorghum thresher and a solar drier. For marketing, the Community Production and Marketing System, which aggregates smallholder production to reach buyers. For value addition, processing and utilisation of the grain, and sorghum bread. Of these, the thresher, processing and utilisation, and sorghum bread are the settled ones.</t>
  </si>
  <si>
    <t>Only three of these nine items are cleared for upscaling: the thresher, processing and utilisation, and sorghum bread. Value addition is the cleanest sub-theme in the entire value chain - two of two ready, no chemical exposure, no veterinary exposure - which makes it the best candidate for a first farmer-facing release. Conversely mechanisation is the only sub-theme with nothing cleared at all, yet the ToT manual gives it a full module. See row 2.</t>
  </si>
  <si>
    <t>readiness by sub-theme, value addition cleanest, mechanisation nothing cleared, thresher ready, COPMAS validation, solar drier, first release candidate</t>
  </si>
  <si>
    <t>Research Gaps in sorghum varieties (six declared gaps)</t>
  </si>
  <si>
    <t>Six things about sorghum remain unknown or unsolved in Kenya. The seed system is weak: newly released varieties are not taken up by formal or informal multipliers, so an alternative production and supply route is needed. Research and end users are disconnected on which varieties are actually wanted where. No resistance exists to fall armyworm, shoot fly or Striga. Data on fodder sorghum nutrition, digestibility and hydrogen cyanide content is missing. Breeding is needed for cold tolerance and humid adaptability, since demand exists in cold highlands and humid areas, and for varieties targeted at specific end uses - malting and brewing, baking, food and feed formulation, agrochemicals, fodder and intercropping.</t>
  </si>
  <si>
    <t>SAFETY-CRITICAL FINDING IN GAP 4. Four fodder varieties - BJ28, Ikinyaluka, E1291 and E6518 - are rated READY FOR UPSCALING and promoted for livestock feed, while the inventory simultaneously declares that HCN (hydrogen cyanide) content data is missing. Sorghum forage can accumulate prussic acid to levels lethal to ruminants, particularly in young regrowth and drought-stressed plants. Promoting fodder sorghum for livestock without HCN data is a genuine animal-safety exposure, and any advisory covering these four varieties must carry a prussic acid caution and a management rule on grazing height and drought stress. Gap 3 also directly contradicts the ToT manual's framing of fall armyworm as manageable. Gap 1 explains the 'requires validation and seed access' ratings.</t>
  </si>
  <si>
    <t>ESCALATE, research gaps, HCN, prussic acid, fodder sorghum, animal safety, BJ28, Ikinyaluka, E1291, E6518, no FAW resistance, weak seed system</t>
  </si>
  <si>
    <t>Sorghum nutrition and food composition</t>
  </si>
  <si>
    <t>Nutrient composition of sorghum is documented against the Kenya Food Composition Tables, with values expressed per portion and as percent daily value on a 2,000 kcal (about 8,400 kJ) basis, using retinol activity equivalents for vitamin A and Codex nutrient reference values as the comparison standard.</t>
  </si>
  <si>
    <t>THE ONLY PROPERLY SOURCED KENYAN NUTRITION DATA IN THE REGISTER, and it fills a real gap: the KALRO value addition module asserts nutritional benefit for sorghum products without citing composition data. The Kenya Food Composition Tables (2018) are the authoritative national reference and should be cited directly rather than through the datasheet. Relevant to nutrition-sensitive advisory and to the flour blending initiative recorded on the Sorghum and Markets sheets.</t>
  </si>
  <si>
    <t>nutrition, Kenya Food Composition Tables 2018, FAO, Codex, RAE, authoritative source, fills gap, flour blending, cite primary</t>
  </si>
  <si>
    <t>Sorghum utilisation - Kenyan preparations</t>
  </si>
  <si>
    <t>Documented Kenyan sorghum preparations with ingredients and method, including Muvya, in which sorghum is pounded in a mortar with a pestle and optionally served with ghee, and Mungamano wa Muvya, a sorghum and bean mixture from the Kamba of Kitui in which pounded and winnowed sorghum is added to boiled beans, cooked through, seasoned and served warm with ghee, optionally with fried onion and tomato.</t>
  </si>
  <si>
    <t>KENYAN AND COMMUNITY-ATTRIBUTED, unlike the Nigerian dishes in the ICRISAT handbook which do not transfer. This directly answers the consumer-acceptance problem the KALRO manual raises - it notes traditional sorghum foods appeal less to youth while offering no Kenyan alternatives. The sorghum-bean combination is also nutritionally sound, pairing cereal with legume protein. Community attribution should be preserved rather than stripped, both as provenance and as respect for the source community.</t>
  </si>
  <si>
    <t>utilisation, Muvya, Kamba, Kitui, sorghum-bean, Kenyan recipes, consumer acceptance, cereal-legume, preserve attribution</t>
  </si>
  <si>
    <t>Sorghum pest and disease management, non-chemical</t>
  </si>
  <si>
    <t>Sorghum pest and disease content is built on established East African references and linked to the platform's non-chemical control datasheets - natural enemies, plant extracts, traps and bagging, field sanitation and biopesticides registered in Kenya.</t>
  </si>
  <si>
    <t>The reference base is East African and includes the AIC Field Crops Technical Handbook, a standard Kenyan extension reference not otherwise catalogued here and worth acquiring in its own right. But several underlying references are old - 1973, 1980, 2002 - so the datasheet's currency depends on how thoroughly it has been revised. This block offers the non-chemical counterpart to the cypermethrin and carbaryl recommendations in the ICRISAT handbook; screen the two together and prefer the registered-biopesticide route.</t>
  </si>
  <si>
    <t>pest management, non-chemical, AIC Field Crops Handbook, PROTA, Youdeowei IPM, dated references, counterpart to ICRISAT chemicals, acquire AIC handbook</t>
  </si>
  <si>
    <t>Platform reach and delivery model</t>
  </si>
  <si>
    <t>Infonet-Biovision was initiated in 2005 to translate research findings into user-friendly form for East African users, and now serves roughly half a million users a year, about half from African countries and a quarter from Kenya. Content is validated with contributions from local experts and international scientists, and is available for both online and offline use. It operates within the Biovision Farmer Communication Programme alongside other farmer-facing channels.</t>
  </si>
  <si>
    <t>Relevant to KilimoStack as precedent rather than as agronomy: this is an existing, validated, Kenyan-audience agricultural knowledge platform with offline capability serving the same users. Worth examining for content-licensing terms, for the offline delivery model, and as a potential partner rather than solely a source to catalogue. Establish licensing before ingesting any datasheet content.</t>
  </si>
  <si>
    <t>platform, Biovision Africa Trust, icipe, 500,000 users, offline capability, precedent, partnership, licensing required</t>
  </si>
  <si>
    <t>National Sorghum Variety List</t>
  </si>
  <si>
    <t>The official register of sorghum varieties recognised in Kenya, running seven pages. Each entry carries the breeder or owner, date of registration and release, unique registration number, Distinctness, Uniformity and Stability testing results, agronomic performance from trials including yield data, the region or agro-ecological zones to which the variety is adapted, pest and disease resistance or tolerance, and special attributes such as drought resistance or early maturity.</t>
  </si>
  <si>
    <t>RESOLVES THE VARIETY WARNINGS ON THIS SHEET AND ENABLES A DIRECT CROSS-CHECK. The KALRO TIMPs inventory (April 2019) lists 20 sorghum varieties with readiness ratings; this list is the 2025 statutory position. Reconciling the two would answer three open questions at once: which of the 20 remain listed, whether the 11 rated 'requires validation' have since been released, and whether the three flagged as lacking commercial seed now have any. That reconciliation is the single highest-value next task for this value chain. Only the section location is verified here - retrieve and extract.</t>
  </si>
  <si>
    <t>KEPHIS, National Variety List, 2025, sorghum varieties, statutory, DUS, cross-check against TIMPs inventory, highest-value next task, extract required</t>
  </si>
  <si>
    <t>Sorghum is a Schedule 2 crop - release is mandatory</t>
  </si>
  <si>
    <t>Sorghum sits in the Second Schedule of the Variety Evaluation and Release Regulations alongside maize, wheat, barley, millet, oats and triticale. Any new sorghum variety must undergo National Performance Trials and DUS testing, demonstrate compliance with the prescribed release criteria, and be officially released before it may be commercialised.</t>
  </si>
  <si>
    <t>Gives the sorghum variety list real force: an unlisted sorghum variety cannot lawfully be commercialised, so the KEPHIS list is not merely advisory for this crop. This strengthens the case for treating it as the canonical variety source over any training manual. It also bears on the weak seed system recorded as research gap 1 in the TIMPs inventory - mandatory release raises the barrier to informal multiplication, which may be part of why released varieties are not taken up.</t>
  </si>
  <si>
    <t>Schedule 2, mandatory release, cereals, canonical source, seed system implication, links to TIMPs research gap 1</t>
  </si>
  <si>
    <t>Seed law framework - partially resolves the Module 5 legal warning</t>
  </si>
  <si>
    <t>Variety evaluation and release in Kenya is governed by the Seeds and Plant Varieties Act Cap 326 in its 2012 form, together with the Seeds and Plant Varieties (Variety Evaluation and Release) Regulations 2016. Plant breeders' rights are a separate intellectual property right granted by the state over a new variety. KEPHIS notes further regulations under review or development, covering vegetatively propagated seeds (2023), plant breeders' rights (2022) and forest tree seeds (2021).</t>
  </si>
  <si>
    <t>PARTIALLY RESOLVES the legal warning recorded against KALRO sorghum Module 5, which cites Cap 326 without stating which version. The operative instruments are the 2012 Act and the 2016 Regulations, not the original enactment. But 'under review or development' means the position is live, so this is not a settled answer - confirm against Kenya Law before any regulatory content reaches farmers. Regulatory guidance should not be delivered through an AI channel without current legal review.</t>
  </si>
  <si>
    <t>Cap 326, 2012 Act, 2016 Regulations, plant breeders rights, regulations under review, partially resolves Module 5, Kenya Law, legal review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</si>
</sst>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5" x14ac:knownFonts="1">
    <font>
      <sz val="11"/>
      <color theme="1"/>
      <name val="Calibri"/>
      <family val="2"/>
      <charset val="1"/>
    </font>
    <font>
      <b/>
      <sz val="20"/>
      <color rgb="FF1B3D1C"/>
      <name val="Calibri"/>
      <family val="2"/>
    </font>
    <font>
      <i/>
      <sz val="11"/>
      <color rgb="FF5A5A50"/>
      <name val="Calibri"/>
      <family val="2"/>
    </font>
    <font>
      <b/>
      <sz val="13"/>
      <color rgb="FF2C5F2D"/>
      <name val="Calibri"/>
      <family val="2"/>
    </font>
    <font>
      <sz val="10.5"/>
      <color rgb="FF2B2B26"/>
      <name val="Calibri"/>
      <family val="2"/>
    </font>
    <font>
      <b/>
      <sz val="11"/>
      <color rgb="FF1B3D1C"/>
      <name val="Calibri"/>
      <family val="2"/>
    </font>
    <font>
      <i/>
      <sz val="10"/>
      <color rgb="FF8A8A80"/>
      <name val="Calibri"/>
      <family val="2"/>
    </font>
    <font>
      <b/>
      <sz val="18"/>
      <color rgb="FF1B3D1C"/>
      <name val="Calibri"/>
      <family val="2"/>
    </font>
    <font>
      <b/>
      <sz val="10.5"/>
      <color rgb="FFFFFFFF"/>
      <name val="Calibri"/>
      <family val="2"/>
    </font>
    <font>
      <sz val="10"/>
      <color rgb="FF8A8A80"/>
      <name val="Calibri"/>
      <family val="2"/>
    </font>
    <font>
      <sz val="12"/>
      <color theme="1"/>
      <name val="Times New Roman"/>
      <family val="1"/>
    </font>
    <font>
      <u/>
      <sz val="11"/>
      <color theme="10"/>
      <name val="Calibri"/>
      <family val="2"/>
      <charset val="1"/>
    </font>
    <font>
      <b/>
      <sz val="12"/>
      <name val="Times New Roman"/>
      <family val="1"/>
    </font>
    <font>
      <b/>
      <sz val="12"/>
      <color theme="0"/>
      <name val="Times New Roman"/>
      <family val="1"/>
    </font>
    <font>
      <sz val="11"/>
      <name val="Calibri"/>
      <family val="2"/>
    </font>
    <font>
      <u/>
      <sz val="11"/>
      <name val="Calibri"/>
      <family val="2"/>
    </font>
    <font>
      <sz val="10.5"/>
      <name val="Calibri"/>
      <family val="2"/>
    </font>
    <font>
      <sz val="12"/>
      <name val="Times New Roman"/>
      <family val="1"/>
    </font>
    <font>
      <b/>
      <sz val="10"/>
      <name val="Calibri"/>
      <family val="2"/>
    </font>
    <font>
      <sz val="11"/>
      <name val="Calibri"/>
      <family val="2"/>
      <charset val="1"/>
    </font>
    <font>
      <i/>
      <sz val="12"/>
      <name val="Times New Roman"/>
      <family val="1"/>
    </font>
    <font>
      <b/>
      <sz val="10.5"/>
      <color theme="0"/>
      <name val="Calibri"/>
      <family val="2"/>
    </font>
    <font>
      <sz val="11"/>
      <color theme="0"/>
      <name val="Calibri"/>
      <family val="2"/>
    </font>
    <font>
      <sz val="12"/>
      <color theme="0"/>
      <name val="Times New Roman"/>
      <family val="1"/>
    </font>
    <font>
      <b/>
      <sz val="11"/>
      <name val="Calibri"/>
      <family val="2"/>
    </font>
    <font>
      <sz val="11"/>
      <color theme="1"/>
      <name val="Calibri"/>
      <scheme val="minor"/>
    </font>
    <font>
      <sz val="11"/>
      <color rgb="FF000000"/>
      <name val="Calibri"/>
      <scheme val="minor"/>
    </font>
    <font>
      <sz val="13"/>
      <color theme="1"/>
      <name val="Times New Roman"/>
    </font>
    <font>
      <i/>
      <sz val="10"/>
      <color rgb="FF000000"/>
      <name val="Calibri"/>
    </font>
    <font>
      <sz val="10"/>
      <color rgb="FF000000"/>
      <name val="Calibri"/>
    </font>
    <font>
      <b/>
      <sz val="13"/>
      <color rgb="FFFFFFFF"/>
      <name val="Times New Roman"/>
    </font>
    <font>
      <b/>
      <sz val="13"/>
      <color theme="0"/>
      <name val="Times New Roman"/>
    </font>
    <font>
      <sz val="13"/>
      <color rgb="FFBFBFBF"/>
      <name val="Times New Roman"/>
    </font>
    <font>
      <u/>
      <sz val="11"/>
      <color rgb="FF000000"/>
      <name val="Calibri"/>
    </font>
    <font>
      <sz val="11"/>
      <color rgb="FF000000"/>
      <name val="Calibri"/>
    </font>
    <font>
      <sz val="12"/>
      <color rgb="FF000000"/>
      <name val="Calibri"/>
    </font>
    <font>
      <sz val="12"/>
      <color theme="1"/>
      <name val="Times New Roman"/>
    </font>
    <font>
      <i/>
      <sz val="12"/>
      <color rgb="FF000000"/>
      <name val="Calibri"/>
    </font>
    <font>
      <sz val="10"/>
      <color rgb="FF2B2B26"/>
      <name val="Calibri"/>
    </font>
    <font>
      <sz val="12"/>
      <color rgb="FFBFBFBF"/>
      <name val="Times New Roman"/>
    </font>
    <font>
      <b/>
      <sz val="12"/>
      <color rgb="FFFFFFFF"/>
      <name val="Times New Roman"/>
    </font>
    <font>
      <b/>
      <sz val="12"/>
      <color rgb="FFBFBFBF"/>
      <name val="Times New Roman"/>
    </font>
    <font>
      <b/>
      <sz val="12"/>
      <color theme="0"/>
      <name val="Times New Roman"/>
    </font>
    <font>
      <u/>
      <sz val="12"/>
      <color rgb="FF000000"/>
      <name val="Calibri"/>
    </font>
    <font>
      <b/>
      <sz val="12"/>
      <color theme="1"/>
      <name val="Times New Roman"/>
    </font>
    <font>
      <sz val="14"/>
      <color theme="1"/>
      <name val="Times New Roman"/>
    </font>
    <font>
      <sz val="16"/>
      <color theme="1"/>
      <name val="Calibri"/>
    </font>
    <font>
      <i/>
      <sz val="16"/>
      <color rgb="FF8A8A80"/>
      <name val="Calibri"/>
    </font>
    <font>
      <b/>
      <sz val="10"/>
      <color rgb="FFFFFFFF"/>
      <name val="Times New Roman"/>
    </font>
    <font>
      <sz val="16"/>
      <color rgb="FF8A8A80"/>
      <name val="Calibri"/>
    </font>
    <font>
      <sz val="16"/>
      <color rgb="FF2B2B26"/>
      <name val="Calibri"/>
    </font>
    <font>
      <b/>
      <sz val="11"/>
      <color theme="0"/>
      <name val="Times New Roman"/>
    </font>
    <font>
      <sz val="10"/>
      <color theme="1"/>
      <name val="Times New Roman"/>
    </font>
    <font>
      <sz val="12"/>
      <color rgb="FF2B2B26"/>
      <name val="Times New Roman"/>
    </font>
    <font>
      <sz val="12"/>
      <color rgb="FF0F1115"/>
      <name val="Times New Roman"/>
    </font>
    <font>
      <sz val="12"/>
      <color rgb="FF8A8A80"/>
      <name val="Times New Roman"/>
    </font>
    <font>
      <u/>
      <sz val="16"/>
      <color rgb="FF0000FF"/>
      <name val="Calibri"/>
    </font>
    <font>
      <sz val="16"/>
      <color rgb="FFE36C09"/>
      <name val="Calibri"/>
    </font>
    <font>
      <b/>
      <sz val="14"/>
      <color rgb="FFFFFFFF"/>
      <name val="Times New Roman"/>
    </font>
    <font>
      <b/>
      <sz val="14"/>
      <color theme="0"/>
      <name val="Times New Roman"/>
    </font>
    <font>
      <sz val="14"/>
      <color rgb="FF8A8A80"/>
      <name val="Times New Roman"/>
    </font>
    <font>
      <sz val="14"/>
      <color rgb="FF000000"/>
      <name val="Times New Roman"/>
    </font>
    <font>
      <b/>
      <i/>
      <sz val="10"/>
      <color rgb="FF8A8A80"/>
      <name val="Calibri"/>
    </font>
    <font>
      <sz val="12"/>
      <color rgb="FF2B2B26"/>
      <name val="Calibri"/>
    </font>
    <font>
      <sz val="10"/>
      <color rgb="FF8A8A80"/>
      <name val="Calibri"/>
    </font>
  </fonts>
  <fills count="15">
    <fill>
      <patternFill patternType="none"/>
    </fill>
    <fill>
      <patternFill patternType="gray125"/>
    </fill>
    <fill>
      <patternFill patternType="solid">
        <fgColor rgb="FFF7F7F2"/>
        <bgColor rgb="FFF2F2EC"/>
      </patternFill>
    </fill>
    <fill>
      <patternFill patternType="solid">
        <fgColor rgb="FFFFF6DF"/>
        <bgColor rgb="FFF7F7F2"/>
      </patternFill>
    </fill>
    <fill>
      <patternFill patternType="solid">
        <fgColor rgb="FFF2F2EC"/>
        <bgColor rgb="FFF7F7F2"/>
      </patternFill>
    </fill>
    <fill>
      <patternFill patternType="solid">
        <fgColor rgb="FF2C5F2D"/>
        <bgColor rgb="FF5A5A50"/>
      </patternFill>
    </fill>
    <fill>
      <patternFill patternType="solid">
        <fgColor theme="9" tint="0.79998168889431442"/>
        <bgColor indexed="64"/>
      </patternFill>
    </fill>
    <fill>
      <patternFill patternType="solid">
        <fgColor theme="9" tint="0.79998168889431442"/>
        <bgColor rgb="FFF7F7F2"/>
      </patternFill>
    </fill>
    <fill>
      <patternFill patternType="solid">
        <fgColor rgb="FF004821"/>
        <bgColor indexed="64"/>
      </patternFill>
    </fill>
    <fill>
      <patternFill patternType="solid">
        <fgColor rgb="FF2C5F2D"/>
        <bgColor rgb="FF2C5F2D"/>
      </patternFill>
    </fill>
    <fill>
      <patternFill patternType="solid">
        <fgColor rgb="FF00682F"/>
        <bgColor rgb="FF00682F"/>
      </patternFill>
    </fill>
    <fill>
      <patternFill patternType="solid">
        <fgColor rgb="FF00602B"/>
        <bgColor rgb="FF00602B"/>
      </patternFill>
    </fill>
    <fill>
      <patternFill patternType="solid">
        <fgColor rgb="FFF2F2EC"/>
        <bgColor rgb="FFF2F2EC"/>
      </patternFill>
    </fill>
    <fill>
      <patternFill patternType="solid">
        <fgColor rgb="FFFFFFFF"/>
        <bgColor rgb="FFFFFFFF"/>
      </patternFill>
    </fill>
    <fill>
      <patternFill patternType="solid">
        <fgColor rgb="FF385623"/>
        <bgColor rgb="FF385623"/>
      </patternFill>
    </fill>
  </fills>
  <borders count="43">
    <border>
      <left/>
      <right/>
      <top/>
      <bottom/>
      <diagonal/>
    </border>
    <border>
      <left style="thin">
        <color rgb="FFE0E0D8"/>
      </left>
      <right style="thin">
        <color rgb="FFE0E0D8"/>
      </right>
      <top style="thin">
        <color rgb="FFE0E0D8"/>
      </top>
      <bottom style="thin">
        <color rgb="FFE0E0D8"/>
      </bottom>
      <diagonal/>
    </border>
    <border>
      <left style="thin">
        <color indexed="64"/>
      </left>
      <right style="thin">
        <color indexed="64"/>
      </right>
      <top style="thin">
        <color indexed="64"/>
      </top>
      <bottom style="thin">
        <color indexed="64"/>
      </bottom>
      <diagonal/>
    </border>
    <border>
      <left style="thin">
        <color rgb="FFE0E0D8"/>
      </left>
      <right style="thin">
        <color rgb="FFE0E0D8"/>
      </right>
      <top style="thin">
        <color rgb="FFE0E0D8"/>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rgb="FFE0E0D8"/>
      </left>
      <right/>
      <top style="thin">
        <color rgb="FFE0E0D8"/>
      </top>
      <bottom/>
      <diagonal/>
    </border>
    <border>
      <left/>
      <right/>
      <top style="medium">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E0E0D8"/>
      </right>
      <top style="thin">
        <color rgb="FFE0E0D8"/>
      </top>
      <bottom style="thin">
        <color rgb="FFE0E0D8"/>
      </bottom>
      <diagonal/>
    </border>
    <border>
      <left style="thin">
        <color rgb="FFE0E0D8"/>
      </left>
      <right/>
      <top style="thin">
        <color rgb="FFE0E0D8"/>
      </top>
      <bottom style="thin">
        <color rgb="FFE0E0D8"/>
      </bottom>
      <diagonal/>
    </border>
    <border>
      <left style="thin">
        <color rgb="FFD8D8D8"/>
      </left>
      <right style="thin">
        <color rgb="FFE0E0D8"/>
      </right>
      <top style="thin">
        <color rgb="FFE0E0D8"/>
      </top>
      <bottom style="thin">
        <color rgb="FFE0E0D8"/>
      </bottom>
      <diagonal/>
    </border>
    <border>
      <left style="thin">
        <color rgb="FFE0E0D8"/>
      </left>
      <right/>
      <top/>
      <bottom/>
      <diagonal/>
    </border>
    <border>
      <left style="thin">
        <color rgb="FF000000"/>
      </left>
      <right style="thin">
        <color rgb="FF000000"/>
      </right>
      <top style="thin">
        <color rgb="FF000000"/>
      </top>
      <bottom/>
      <diagonal/>
    </border>
    <border>
      <left style="thin">
        <color rgb="FFF2F2F2"/>
      </left>
      <right/>
      <top style="thin">
        <color rgb="FFF2F2F2"/>
      </top>
      <bottom style="thin">
        <color rgb="FFE0E0D8"/>
      </bottom>
      <diagonal/>
    </border>
    <border>
      <left style="thin">
        <color rgb="FF000000"/>
      </left>
      <right style="thin">
        <color rgb="FFF2F2F2"/>
      </right>
      <top style="thin">
        <color rgb="FFF2F2F2"/>
      </top>
      <bottom style="thin">
        <color rgb="FF000000"/>
      </bottom>
      <diagonal/>
    </border>
    <border>
      <left style="thin">
        <color rgb="FFF2F2F2"/>
      </left>
      <right/>
      <top style="thin">
        <color rgb="FFE0E0D8"/>
      </top>
      <bottom style="thin">
        <color rgb="FFE0E0D8"/>
      </bottom>
      <diagonal/>
    </border>
    <border>
      <left style="thin">
        <color rgb="FF000000"/>
      </left>
      <right style="thin">
        <color rgb="FFF2F2F2"/>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thin">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thin">
        <color rgb="FF000000"/>
      </top>
      <bottom style="medium">
        <color rgb="FF000000"/>
      </bottom>
      <diagonal/>
    </border>
    <border>
      <left style="thin">
        <color rgb="FFD8D8D0"/>
      </left>
      <right style="thin">
        <color rgb="FFD8D8D0"/>
      </right>
      <top style="thin">
        <color rgb="FFD8D8D0"/>
      </top>
      <bottom style="thin">
        <color rgb="FFD8D8D0"/>
      </bottom>
      <diagonal/>
    </border>
    <border>
      <left style="thin">
        <color rgb="FFC5C5B8"/>
      </left>
      <right style="thin">
        <color rgb="FFC5C5B8"/>
      </right>
      <top style="thin">
        <color rgb="FFC5C5B8"/>
      </top>
      <bottom style="thin">
        <color rgb="FFC5C5B8"/>
      </bottom>
      <diagonal/>
    </border>
  </borders>
  <cellStyleXfs count="3">
    <xf numFmtId="0" fontId="0" fillId="0" borderId="0"/>
    <xf numFmtId="0" fontId="11" fillId="0" borderId="0"/>
    <xf numFmtId="0" fontId="25" fillId="0" borderId="0"/>
  </cellStyleXfs>
  <cellXfs count="214">
    <xf numFmtId="0" fontId="0" fillId="0" borderId="0" xfId="0"/>
    <xf numFmtId="0" fontId="5" fillId="0" borderId="0" xfId="0" applyFont="1" applyAlignment="1">
      <alignment vertical="top" wrapText="1"/>
    </xf>
    <xf numFmtId="0" fontId="4" fillId="3" borderId="1" xfId="0" applyFont="1" applyFill="1" applyBorder="1"/>
    <xf numFmtId="0" fontId="4" fillId="0" borderId="0" xfId="0" applyFont="1"/>
    <xf numFmtId="0" fontId="6" fillId="4" borderId="1" xfId="0" applyFont="1" applyFill="1" applyBorder="1"/>
    <xf numFmtId="0" fontId="8" fillId="5"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5" fillId="2" borderId="1" xfId="0" applyFont="1" applyFill="1" applyBorder="1"/>
    <xf numFmtId="0" fontId="5" fillId="2" borderId="1" xfId="0" applyFont="1" applyFill="1" applyBorder="1" applyAlignment="1">
      <alignment horizontal="center" vertical="center"/>
    </xf>
    <xf numFmtId="0" fontId="9" fillId="0" borderId="2" xfId="0" applyFont="1" applyBorder="1" applyAlignment="1">
      <alignment vertical="top"/>
    </xf>
    <xf numFmtId="0" fontId="4" fillId="3" borderId="2" xfId="0" applyFont="1" applyFill="1" applyBorder="1" applyAlignment="1">
      <alignment vertical="top" wrapText="1"/>
    </xf>
    <xf numFmtId="164" fontId="4" fillId="3" borderId="2" xfId="0" applyNumberFormat="1" applyFont="1" applyFill="1" applyBorder="1" applyAlignment="1">
      <alignment vertical="top" wrapText="1"/>
    </xf>
    <xf numFmtId="0" fontId="0" fillId="0" borderId="2" xfId="0" applyBorder="1" applyAlignment="1">
      <alignment vertical="top"/>
    </xf>
    <xf numFmtId="0" fontId="0" fillId="0" borderId="2" xfId="0" applyBorder="1" applyAlignment="1">
      <alignment vertical="top" wrapText="1"/>
    </xf>
    <xf numFmtId="0" fontId="4" fillId="0" borderId="0" xfId="0" applyFont="1" applyAlignment="1">
      <alignment vertical="top" wrapText="1"/>
    </xf>
    <xf numFmtId="0" fontId="0" fillId="0" borderId="12" xfId="0" applyBorder="1" applyAlignment="1">
      <alignment vertical="top" wrapText="1"/>
    </xf>
    <xf numFmtId="0" fontId="13" fillId="8" borderId="0" xfId="0" applyFont="1" applyFill="1" applyAlignment="1">
      <alignment vertical="center"/>
    </xf>
    <xf numFmtId="0" fontId="14" fillId="6" borderId="2" xfId="0" applyFont="1" applyFill="1" applyBorder="1" applyAlignment="1">
      <alignment vertical="top"/>
    </xf>
    <xf numFmtId="0" fontId="14" fillId="7" borderId="2" xfId="0" applyFont="1" applyFill="1" applyBorder="1" applyAlignment="1">
      <alignment vertical="top" wrapText="1"/>
    </xf>
    <xf numFmtId="164" fontId="14" fillId="7" borderId="2" xfId="0" applyNumberFormat="1" applyFont="1" applyFill="1" applyBorder="1" applyAlignment="1">
      <alignment vertical="top" wrapText="1"/>
    </xf>
    <xf numFmtId="0" fontId="16" fillId="7" borderId="2" xfId="0" applyFont="1" applyFill="1" applyBorder="1" applyAlignment="1">
      <alignment vertical="top" wrapText="1"/>
    </xf>
    <xf numFmtId="164" fontId="16" fillId="7" borderId="2" xfId="0" applyNumberFormat="1" applyFont="1" applyFill="1" applyBorder="1" applyAlignment="1">
      <alignment vertical="top" wrapText="1"/>
    </xf>
    <xf numFmtId="0" fontId="14" fillId="6" borderId="0" xfId="0" applyFont="1" applyFill="1"/>
    <xf numFmtId="0" fontId="14" fillId="6" borderId="2" xfId="0" applyFont="1" applyFill="1" applyBorder="1" applyAlignment="1">
      <alignment vertical="top" wrapText="1"/>
    </xf>
    <xf numFmtId="0" fontId="15" fillId="7" borderId="2" xfId="1" applyFont="1" applyFill="1" applyBorder="1" applyAlignment="1">
      <alignment vertical="top" wrapText="1"/>
    </xf>
    <xf numFmtId="0" fontId="15" fillId="6" borderId="2" xfId="1" applyFont="1" applyFill="1" applyBorder="1" applyAlignment="1">
      <alignment vertical="top"/>
    </xf>
    <xf numFmtId="0" fontId="14" fillId="6" borderId="0" xfId="1" applyFont="1" applyFill="1" applyAlignment="1">
      <alignment vertical="top" wrapText="1"/>
    </xf>
    <xf numFmtId="0" fontId="14" fillId="0" borderId="0" xfId="0" applyFont="1"/>
    <xf numFmtId="0" fontId="21" fillId="5" borderId="3" xfId="0" applyFont="1" applyFill="1" applyBorder="1" applyAlignment="1">
      <alignment horizontal="center" vertical="center" wrapText="1"/>
    </xf>
    <xf numFmtId="0" fontId="21" fillId="5" borderId="9"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22" fillId="0" borderId="0" xfId="0" applyFont="1"/>
    <xf numFmtId="0" fontId="23" fillId="0" borderId="0" xfId="0" applyFont="1"/>
    <xf numFmtId="0" fontId="13" fillId="5" borderId="3" xfId="0" applyFont="1" applyFill="1" applyBorder="1" applyAlignment="1">
      <alignment horizontal="center" vertical="center" wrapText="1"/>
    </xf>
    <xf numFmtId="0" fontId="21" fillId="5" borderId="13" xfId="0" applyFont="1" applyFill="1" applyBorder="1" applyAlignment="1">
      <alignment horizontal="center" vertical="center" wrapText="1"/>
    </xf>
    <xf numFmtId="0" fontId="16" fillId="0" borderId="2" xfId="0" applyFont="1" applyFill="1" applyBorder="1" applyAlignment="1">
      <alignment vertical="top" wrapText="1"/>
    </xf>
    <xf numFmtId="0" fontId="19" fillId="0" borderId="2" xfId="0" applyFont="1" applyFill="1" applyBorder="1" applyAlignment="1">
      <alignment vertical="top" wrapText="1"/>
    </xf>
    <xf numFmtId="0" fontId="0" fillId="0" borderId="2" xfId="0" applyFill="1" applyBorder="1" applyAlignment="1">
      <alignment vertical="top" wrapText="1"/>
    </xf>
    <xf numFmtId="0" fontId="0" fillId="0" borderId="0" xfId="0" applyFill="1"/>
    <xf numFmtId="0" fontId="17" fillId="0" borderId="4" xfId="0" applyFont="1" applyFill="1" applyBorder="1" applyAlignment="1">
      <alignment vertical="top" wrapText="1"/>
    </xf>
    <xf numFmtId="0" fontId="17" fillId="0" borderId="5" xfId="0" applyFont="1" applyFill="1" applyBorder="1" applyAlignment="1">
      <alignment vertical="top" wrapText="1"/>
    </xf>
    <xf numFmtId="0" fontId="18" fillId="0" borderId="2" xfId="0" applyFont="1" applyFill="1" applyBorder="1" applyAlignment="1">
      <alignment vertical="top"/>
    </xf>
    <xf numFmtId="0" fontId="17" fillId="0" borderId="10" xfId="0" applyFont="1" applyFill="1" applyBorder="1" applyAlignment="1">
      <alignment vertical="top" wrapText="1"/>
    </xf>
    <xf numFmtId="0" fontId="17" fillId="0" borderId="2" xfId="0" applyFont="1" applyFill="1" applyBorder="1" applyAlignment="1">
      <alignment vertical="top" wrapText="1"/>
    </xf>
    <xf numFmtId="0" fontId="17" fillId="0" borderId="6" xfId="0" applyFont="1" applyFill="1" applyBorder="1" applyAlignment="1">
      <alignment vertical="top" wrapText="1"/>
    </xf>
    <xf numFmtId="0" fontId="17" fillId="0" borderId="7" xfId="0" applyFont="1" applyFill="1" applyBorder="1" applyAlignment="1">
      <alignment vertical="top" wrapText="1"/>
    </xf>
    <xf numFmtId="0" fontId="17" fillId="0" borderId="11" xfId="0" applyFont="1" applyFill="1" applyBorder="1" applyAlignment="1">
      <alignment vertical="top" wrapText="1"/>
    </xf>
    <xf numFmtId="0" fontId="19" fillId="0" borderId="2" xfId="0" applyFont="1" applyFill="1" applyBorder="1" applyAlignment="1">
      <alignment vertical="top"/>
    </xf>
    <xf numFmtId="0" fontId="14" fillId="0" borderId="5" xfId="0" applyFont="1" applyFill="1" applyBorder="1" applyAlignment="1">
      <alignment vertical="top" wrapText="1"/>
    </xf>
    <xf numFmtId="0" fontId="17" fillId="0" borderId="0" xfId="0" applyFont="1" applyFill="1"/>
    <xf numFmtId="0" fontId="12" fillId="0" borderId="2" xfId="0" applyFont="1" applyFill="1" applyBorder="1" applyAlignment="1">
      <alignment vertical="top" wrapText="1"/>
    </xf>
    <xf numFmtId="0" fontId="17" fillId="0" borderId="12" xfId="0" applyFont="1" applyFill="1" applyBorder="1" applyAlignment="1">
      <alignment vertical="top" wrapText="1"/>
    </xf>
    <xf numFmtId="0" fontId="17" fillId="0" borderId="13" xfId="0" applyFont="1" applyFill="1" applyBorder="1" applyAlignment="1">
      <alignment vertical="top"/>
    </xf>
    <xf numFmtId="0" fontId="10" fillId="0" borderId="0" xfId="0" applyFont="1" applyFill="1"/>
    <xf numFmtId="0" fontId="17" fillId="0" borderId="14" xfId="0" applyFont="1" applyFill="1" applyBorder="1" applyAlignment="1">
      <alignment vertical="top"/>
    </xf>
    <xf numFmtId="0" fontId="17" fillId="0" borderId="2" xfId="0" applyFont="1" applyFill="1" applyBorder="1" applyAlignment="1">
      <alignment vertical="top" wrapText="1" shrinkToFit="1"/>
    </xf>
    <xf numFmtId="0" fontId="12" fillId="0" borderId="5" xfId="0" applyFont="1" applyFill="1" applyBorder="1" applyAlignment="1">
      <alignment vertical="top" wrapText="1"/>
    </xf>
    <xf numFmtId="0" fontId="12" fillId="0" borderId="7" xfId="0" applyFont="1" applyFill="1" applyBorder="1" applyAlignment="1">
      <alignment vertical="top" wrapText="1"/>
    </xf>
    <xf numFmtId="0" fontId="12" fillId="0" borderId="8" xfId="0" applyFont="1" applyFill="1" applyBorder="1" applyAlignment="1">
      <alignment vertical="top" wrapText="1"/>
    </xf>
    <xf numFmtId="0" fontId="17" fillId="0" borderId="4" xfId="0" applyFont="1" applyFill="1" applyBorder="1" applyAlignment="1">
      <alignment vertical="center" wrapText="1"/>
    </xf>
    <xf numFmtId="0" fontId="12" fillId="0" borderId="4" xfId="0" applyFont="1" applyFill="1" applyBorder="1" applyAlignment="1">
      <alignment vertical="top" wrapText="1"/>
    </xf>
    <xf numFmtId="0" fontId="17" fillId="0" borderId="0" xfId="0" applyFont="1" applyFill="1" applyAlignment="1">
      <alignment vertical="top" wrapText="1"/>
    </xf>
    <xf numFmtId="0" fontId="17" fillId="0" borderId="15" xfId="0" applyFont="1" applyFill="1" applyBorder="1" applyAlignment="1">
      <alignment vertical="top"/>
    </xf>
    <xf numFmtId="0" fontId="10" fillId="0" borderId="2" xfId="0" applyFont="1" applyFill="1" applyBorder="1" applyAlignment="1">
      <alignment vertical="top" wrapText="1"/>
    </xf>
    <xf numFmtId="0" fontId="24" fillId="0" borderId="7" xfId="0" applyFont="1" applyFill="1" applyBorder="1" applyAlignment="1">
      <alignment vertical="top" wrapText="1"/>
    </xf>
    <xf numFmtId="0" fontId="17" fillId="0" borderId="14" xfId="0" applyFont="1" applyFill="1" applyBorder="1" applyAlignment="1">
      <alignment vertical="top" wrapText="1"/>
    </xf>
    <xf numFmtId="0" fontId="19" fillId="0" borderId="0" xfId="0" applyFont="1" applyFill="1"/>
    <xf numFmtId="0" fontId="12" fillId="0" borderId="4" xfId="0" applyFont="1" applyFill="1" applyBorder="1" applyAlignment="1">
      <alignment vertical="center" wrapText="1"/>
    </xf>
    <xf numFmtId="0" fontId="12" fillId="0" borderId="6" xfId="0" applyFont="1" applyFill="1" applyBorder="1" applyAlignment="1">
      <alignment vertical="center" wrapText="1"/>
    </xf>
    <xf numFmtId="0" fontId="19" fillId="0" borderId="12" xfId="0" applyFont="1" applyFill="1" applyBorder="1" applyAlignment="1">
      <alignment vertical="top" wrapText="1"/>
    </xf>
    <xf numFmtId="0" fontId="19" fillId="0" borderId="14" xfId="0" applyFont="1" applyFill="1" applyBorder="1"/>
    <xf numFmtId="0" fontId="26" fillId="0" borderId="0" xfId="2" applyFont="1"/>
    <xf numFmtId="0" fontId="29" fillId="0" borderId="0" xfId="2" applyFont="1"/>
    <xf numFmtId="0" fontId="28" fillId="0" borderId="1" xfId="2" applyFont="1" applyBorder="1" applyAlignment="1">
      <alignment vertical="center"/>
    </xf>
    <xf numFmtId="0" fontId="28" fillId="0" borderId="1" xfId="2" applyFont="1" applyBorder="1" applyAlignment="1">
      <alignment vertical="center" wrapText="1"/>
    </xf>
    <xf numFmtId="164" fontId="28" fillId="0" borderId="1" xfId="2" applyNumberFormat="1" applyFont="1" applyBorder="1" applyAlignment="1">
      <alignment vertical="center" wrapText="1"/>
    </xf>
    <xf numFmtId="0" fontId="29" fillId="0" borderId="1" xfId="2" applyFont="1" applyBorder="1" applyAlignment="1">
      <alignment vertical="center"/>
    </xf>
    <xf numFmtId="0" fontId="29" fillId="0" borderId="1" xfId="2" applyFont="1" applyBorder="1" applyAlignment="1">
      <alignment vertical="center" wrapText="1"/>
    </xf>
    <xf numFmtId="0" fontId="33" fillId="0" borderId="1" xfId="2" applyFont="1" applyBorder="1" applyAlignment="1">
      <alignment vertical="center" wrapText="1"/>
    </xf>
    <xf numFmtId="164" fontId="29" fillId="0" borderId="1" xfId="2" applyNumberFormat="1" applyFont="1" applyBorder="1" applyAlignment="1">
      <alignment vertical="center" wrapText="1"/>
    </xf>
    <xf numFmtId="0" fontId="34" fillId="0" borderId="16" xfId="2" applyFont="1" applyBorder="1" applyAlignment="1">
      <alignment vertical="top" wrapText="1"/>
    </xf>
    <xf numFmtId="0" fontId="34" fillId="0" borderId="0" xfId="2" applyFont="1" applyBorder="1"/>
    <xf numFmtId="0" fontId="30" fillId="9" borderId="16" xfId="2" applyFont="1" applyFill="1" applyBorder="1" applyAlignment="1">
      <alignment horizontal="center" vertical="center" wrapText="1"/>
    </xf>
    <xf numFmtId="0" fontId="31" fillId="10" borderId="16" xfId="2" applyFont="1" applyFill="1" applyBorder="1"/>
    <xf numFmtId="0" fontId="27" fillId="0" borderId="16" xfId="2" applyFont="1" applyBorder="1" applyAlignment="1">
      <alignment horizontal="left" vertical="top" wrapText="1"/>
    </xf>
    <xf numFmtId="0" fontId="32" fillId="0" borderId="16" xfId="2" applyFont="1" applyBorder="1" applyAlignment="1">
      <alignment vertical="top" wrapText="1"/>
    </xf>
    <xf numFmtId="0" fontId="27" fillId="0" borderId="16" xfId="2" applyFont="1" applyBorder="1" applyAlignment="1">
      <alignment vertical="top" wrapText="1"/>
    </xf>
    <xf numFmtId="0" fontId="27" fillId="0" borderId="16" xfId="2" applyFont="1" applyBorder="1" applyAlignment="1">
      <alignment horizontal="left" vertical="top"/>
    </xf>
    <xf numFmtId="0" fontId="4" fillId="0" borderId="0" xfId="0" applyFont="1" applyAlignment="1">
      <alignment vertical="top" wrapText="1"/>
    </xf>
    <xf numFmtId="0" fontId="0" fillId="0" borderId="0" xfId="0"/>
    <xf numFmtId="0" fontId="3" fillId="2" borderId="0" xfId="0" applyFont="1" applyFill="1"/>
    <xf numFmtId="0" fontId="1" fillId="0" borderId="0" xfId="0" applyFont="1"/>
    <xf numFmtId="0" fontId="2" fillId="0" borderId="0" xfId="0" applyFont="1"/>
    <xf numFmtId="0" fontId="7" fillId="0" borderId="0" xfId="0" applyFont="1"/>
    <xf numFmtId="0" fontId="48" fillId="9" borderId="3" xfId="0" applyFont="1" applyFill="1" applyBorder="1" applyAlignment="1">
      <alignment horizontal="left" vertical="center" wrapText="1"/>
    </xf>
    <xf numFmtId="0" fontId="35" fillId="0" borderId="0" xfId="2" applyFont="1"/>
    <xf numFmtId="0" fontId="37" fillId="0" borderId="1" xfId="2" applyFont="1" applyBorder="1" applyAlignment="1">
      <alignment vertical="center"/>
    </xf>
    <xf numFmtId="0" fontId="37" fillId="0" borderId="1" xfId="2" applyFont="1" applyBorder="1" applyAlignment="1">
      <alignment vertical="center" wrapText="1"/>
    </xf>
    <xf numFmtId="164" fontId="37" fillId="0" borderId="1" xfId="2" applyNumberFormat="1" applyFont="1" applyBorder="1" applyAlignment="1">
      <alignment vertical="center" wrapText="1"/>
    </xf>
    <xf numFmtId="0" fontId="35" fillId="0" borderId="1" xfId="2" applyFont="1" applyBorder="1" applyAlignment="1">
      <alignment vertical="center"/>
    </xf>
    <xf numFmtId="0" fontId="35" fillId="0" borderId="1" xfId="2" applyFont="1" applyBorder="1" applyAlignment="1">
      <alignment vertical="center" wrapText="1"/>
    </xf>
    <xf numFmtId="164" fontId="35" fillId="0" borderId="1" xfId="2" applyNumberFormat="1" applyFont="1" applyBorder="1" applyAlignment="1">
      <alignment vertical="center" wrapText="1"/>
    </xf>
    <xf numFmtId="0" fontId="35" fillId="0" borderId="0" xfId="2" applyFont="1" applyBorder="1"/>
    <xf numFmtId="0" fontId="43" fillId="0" borderId="1" xfId="2" applyFont="1" applyBorder="1" applyAlignment="1">
      <alignment vertical="center" wrapText="1"/>
    </xf>
    <xf numFmtId="0" fontId="35" fillId="0" borderId="16" xfId="2" applyFont="1" applyBorder="1" applyAlignment="1">
      <alignment vertical="center"/>
    </xf>
    <xf numFmtId="0" fontId="35" fillId="0" borderId="16" xfId="2" applyFont="1" applyBorder="1" applyAlignment="1">
      <alignment vertical="center" wrapText="1"/>
    </xf>
    <xf numFmtId="0" fontId="43" fillId="0" borderId="16" xfId="2" applyFont="1" applyBorder="1" applyAlignment="1">
      <alignment vertical="center" wrapText="1"/>
    </xf>
    <xf numFmtId="0" fontId="35" fillId="0" borderId="16" xfId="2" applyFont="1" applyBorder="1" applyAlignment="1">
      <alignment vertical="top" wrapText="1"/>
    </xf>
    <xf numFmtId="0" fontId="35" fillId="0" borderId="19" xfId="2" applyFont="1" applyBorder="1" applyAlignment="1">
      <alignment vertical="center" wrapText="1"/>
    </xf>
    <xf numFmtId="0" fontId="35" fillId="0" borderId="20" xfId="2" applyFont="1" applyBorder="1" applyAlignment="1">
      <alignment vertical="center" wrapText="1"/>
    </xf>
    <xf numFmtId="0" fontId="35" fillId="0" borderId="21" xfId="2" applyFont="1" applyBorder="1" applyAlignment="1">
      <alignment vertical="center" wrapText="1"/>
    </xf>
    <xf numFmtId="0" fontId="35" fillId="0" borderId="17" xfId="2" applyFont="1" applyBorder="1" applyAlignment="1">
      <alignment vertical="center"/>
    </xf>
    <xf numFmtId="0" fontId="35" fillId="0" borderId="22" xfId="2" applyFont="1" applyBorder="1" applyAlignment="1">
      <alignment vertical="center"/>
    </xf>
    <xf numFmtId="0" fontId="35" fillId="0" borderId="23" xfId="2" applyFont="1" applyBorder="1" applyAlignment="1">
      <alignment vertical="top" wrapText="1"/>
    </xf>
    <xf numFmtId="0" fontId="35" fillId="0" borderId="24" xfId="2" applyFont="1" applyBorder="1" applyAlignment="1">
      <alignment vertical="center"/>
    </xf>
    <xf numFmtId="0" fontId="35" fillId="0" borderId="25" xfId="2" applyFont="1" applyBorder="1" applyAlignment="1">
      <alignment vertical="top" wrapText="1"/>
    </xf>
    <xf numFmtId="0" fontId="35" fillId="0" borderId="18" xfId="2" applyFont="1" applyBorder="1" applyAlignment="1">
      <alignment vertical="top" wrapText="1"/>
    </xf>
    <xf numFmtId="0" fontId="35" fillId="0" borderId="26" xfId="2" applyFont="1" applyBorder="1" applyAlignment="1">
      <alignment vertical="center"/>
    </xf>
    <xf numFmtId="0" fontId="35" fillId="0" borderId="27" xfId="2" applyFont="1" applyBorder="1" applyAlignment="1">
      <alignment vertical="top" wrapText="1"/>
    </xf>
    <xf numFmtId="0" fontId="40" fillId="9" borderId="16" xfId="2" applyFont="1" applyFill="1" applyBorder="1" applyAlignment="1">
      <alignment horizontal="center" vertical="center" wrapText="1"/>
    </xf>
    <xf numFmtId="0" fontId="41" fillId="9" borderId="16" xfId="2" applyFont="1" applyFill="1" applyBorder="1" applyAlignment="1">
      <alignment horizontal="left" vertical="center" wrapText="1"/>
    </xf>
    <xf numFmtId="0" fontId="42" fillId="11" borderId="16" xfId="2" applyFont="1" applyFill="1" applyBorder="1"/>
    <xf numFmtId="0" fontId="36" fillId="0" borderId="16" xfId="2" applyFont="1" applyBorder="1" applyAlignment="1">
      <alignment horizontal="left" vertical="top" wrapText="1"/>
    </xf>
    <xf numFmtId="0" fontId="39" fillId="0" borderId="16" xfId="2" applyFont="1" applyBorder="1" applyAlignment="1">
      <alignment horizontal="left" vertical="top" wrapText="1"/>
    </xf>
    <xf numFmtId="0" fontId="36" fillId="0" borderId="16" xfId="2" applyFont="1" applyBorder="1" applyAlignment="1">
      <alignment vertical="top"/>
    </xf>
    <xf numFmtId="0" fontId="36" fillId="0" borderId="16" xfId="2" applyFont="1" applyBorder="1" applyAlignment="1">
      <alignment vertical="top" wrapText="1"/>
    </xf>
    <xf numFmtId="0" fontId="39" fillId="0" borderId="16" xfId="2" applyFont="1" applyBorder="1" applyAlignment="1">
      <alignment vertical="top" wrapText="1"/>
    </xf>
    <xf numFmtId="0" fontId="46" fillId="0" borderId="0" xfId="2" applyFont="1" applyAlignment="1">
      <alignment horizontal="left" vertical="top"/>
    </xf>
    <xf numFmtId="0" fontId="47" fillId="12" borderId="1" xfId="2" applyFont="1" applyFill="1" applyBorder="1" applyAlignment="1">
      <alignment horizontal="left" vertical="top"/>
    </xf>
    <xf numFmtId="0" fontId="47" fillId="12" borderId="1" xfId="2" applyFont="1" applyFill="1" applyBorder="1" applyAlignment="1">
      <alignment horizontal="left" vertical="top" wrapText="1"/>
    </xf>
    <xf numFmtId="164" fontId="47" fillId="12" borderId="1" xfId="2" applyNumberFormat="1" applyFont="1" applyFill="1" applyBorder="1" applyAlignment="1">
      <alignment horizontal="left" vertical="top" wrapText="1"/>
    </xf>
    <xf numFmtId="0" fontId="49" fillId="0" borderId="1" xfId="2" applyFont="1" applyBorder="1" applyAlignment="1">
      <alignment horizontal="left" vertical="top"/>
    </xf>
    <xf numFmtId="0" fontId="50" fillId="0" borderId="1" xfId="2" applyFont="1" applyBorder="1" applyAlignment="1">
      <alignment horizontal="left" vertical="top" wrapText="1"/>
    </xf>
    <xf numFmtId="0" fontId="46" fillId="0" borderId="1" xfId="2" applyFont="1" applyBorder="1" applyAlignment="1">
      <alignment horizontal="left" vertical="top"/>
    </xf>
    <xf numFmtId="0" fontId="50" fillId="0" borderId="1" xfId="2" applyFont="1" applyBorder="1" applyAlignment="1">
      <alignment horizontal="left" vertical="top"/>
    </xf>
    <xf numFmtId="164" fontId="50" fillId="0" borderId="1" xfId="2" applyNumberFormat="1" applyFont="1" applyBorder="1" applyAlignment="1">
      <alignment horizontal="left" vertical="top"/>
    </xf>
    <xf numFmtId="0" fontId="48" fillId="9" borderId="3" xfId="0" applyFont="1" applyFill="1" applyBorder="1" applyAlignment="1">
      <alignment horizontal="center" vertical="center" wrapText="1"/>
    </xf>
    <xf numFmtId="0" fontId="51" fillId="11" borderId="0" xfId="0" applyFont="1" applyFill="1" applyAlignment="1">
      <alignment horizontal="center" vertical="center"/>
    </xf>
    <xf numFmtId="0" fontId="53" fillId="0" borderId="16" xfId="0" applyFont="1" applyBorder="1" applyAlignment="1">
      <alignment horizontal="left" vertical="top" wrapText="1"/>
    </xf>
    <xf numFmtId="0" fontId="54" fillId="13" borderId="16" xfId="0" applyFont="1" applyFill="1" applyBorder="1" applyAlignment="1">
      <alignment horizontal="left" vertical="top" wrapText="1"/>
    </xf>
    <xf numFmtId="0" fontId="55" fillId="0" borderId="16" xfId="0" applyFont="1" applyBorder="1" applyAlignment="1">
      <alignment horizontal="center" vertical="center"/>
    </xf>
    <xf numFmtId="0" fontId="52" fillId="0" borderId="16" xfId="0" applyFont="1" applyBorder="1" applyAlignment="1">
      <alignment horizontal="left" vertical="top"/>
    </xf>
    <xf numFmtId="0" fontId="54" fillId="13" borderId="23" xfId="0" applyFont="1" applyFill="1" applyBorder="1" applyAlignment="1">
      <alignment horizontal="left" vertical="top" wrapText="1"/>
    </xf>
    <xf numFmtId="0" fontId="36" fillId="0" borderId="28" xfId="0" applyFont="1" applyBorder="1" applyAlignment="1">
      <alignment horizontal="left" vertical="top"/>
    </xf>
    <xf numFmtId="0" fontId="54" fillId="13" borderId="0" xfId="0" applyFont="1" applyFill="1" applyAlignment="1">
      <alignment horizontal="left" vertical="top" wrapText="1"/>
    </xf>
    <xf numFmtId="0" fontId="55" fillId="0" borderId="18" xfId="0" applyFont="1" applyBorder="1" applyAlignment="1">
      <alignment horizontal="center" vertical="center"/>
    </xf>
    <xf numFmtId="0" fontId="36" fillId="0" borderId="17" xfId="0" applyFont="1" applyBorder="1" applyAlignment="1">
      <alignment horizontal="left" vertical="top"/>
    </xf>
    <xf numFmtId="0" fontId="54" fillId="13" borderId="16" xfId="0" applyFont="1" applyFill="1" applyBorder="1" applyAlignment="1">
      <alignment horizontal="left" vertical="center" wrapText="1"/>
    </xf>
    <xf numFmtId="0" fontId="36" fillId="0" borderId="29" xfId="0" applyFont="1" applyBorder="1" applyAlignment="1">
      <alignment horizontal="left" vertical="top"/>
    </xf>
    <xf numFmtId="0" fontId="36" fillId="0" borderId="16" xfId="0" applyFont="1" applyBorder="1" applyAlignment="1">
      <alignment horizontal="left" vertical="top"/>
    </xf>
    <xf numFmtId="0" fontId="47" fillId="12" borderId="1" xfId="0" applyFont="1" applyFill="1" applyBorder="1" applyAlignment="1">
      <alignment horizontal="left" vertical="top"/>
    </xf>
    <xf numFmtId="0" fontId="47" fillId="12" borderId="1" xfId="0" applyFont="1" applyFill="1" applyBorder="1" applyAlignment="1">
      <alignment horizontal="left" vertical="top" wrapText="1"/>
    </xf>
    <xf numFmtId="164" fontId="47" fillId="12" borderId="1" xfId="0" applyNumberFormat="1" applyFont="1" applyFill="1" applyBorder="1" applyAlignment="1">
      <alignment horizontal="left" vertical="top" wrapText="1"/>
    </xf>
    <xf numFmtId="0" fontId="49" fillId="0" borderId="1" xfId="0" applyFont="1" applyBorder="1" applyAlignment="1">
      <alignment horizontal="left" vertical="top"/>
    </xf>
    <xf numFmtId="0" fontId="50" fillId="0" borderId="1" xfId="0" applyFont="1" applyBorder="1" applyAlignment="1">
      <alignment horizontal="left" vertical="top" wrapText="1"/>
    </xf>
    <xf numFmtId="0" fontId="46" fillId="0" borderId="1" xfId="0" applyFont="1" applyBorder="1" applyAlignment="1">
      <alignment horizontal="left" vertical="top"/>
    </xf>
    <xf numFmtId="0" fontId="50" fillId="0" borderId="1" xfId="0" applyFont="1" applyBorder="1" applyAlignment="1">
      <alignment horizontal="left" vertical="top"/>
    </xf>
    <xf numFmtId="164" fontId="50" fillId="0" borderId="16" xfId="0" applyNumberFormat="1" applyFont="1" applyBorder="1" applyAlignment="1">
      <alignment horizontal="right" vertical="top" wrapText="1"/>
    </xf>
    <xf numFmtId="164" fontId="50" fillId="0" borderId="1" xfId="0" applyNumberFormat="1" applyFont="1" applyBorder="1" applyAlignment="1">
      <alignment horizontal="left" vertical="top"/>
    </xf>
    <xf numFmtId="0" fontId="56" fillId="0" borderId="1" xfId="0" applyFont="1" applyBorder="1" applyAlignment="1">
      <alignment horizontal="left" vertical="top"/>
    </xf>
    <xf numFmtId="164" fontId="50" fillId="0" borderId="16" xfId="0" applyNumberFormat="1" applyFont="1" applyBorder="1" applyAlignment="1">
      <alignment horizontal="left" vertical="top" wrapText="1"/>
    </xf>
    <xf numFmtId="0" fontId="57" fillId="0" borderId="1" xfId="0" applyFont="1" applyBorder="1" applyAlignment="1">
      <alignment horizontal="left" vertical="top"/>
    </xf>
    <xf numFmtId="164" fontId="57" fillId="0" borderId="1" xfId="0" applyNumberFormat="1" applyFont="1" applyBorder="1" applyAlignment="1">
      <alignment horizontal="left" vertical="top"/>
    </xf>
    <xf numFmtId="0" fontId="46" fillId="0" borderId="1" xfId="0" applyFont="1" applyBorder="1" applyAlignment="1">
      <alignment horizontal="left" vertical="top" wrapText="1"/>
    </xf>
    <xf numFmtId="0" fontId="46" fillId="0" borderId="0" xfId="0" applyFont="1" applyAlignment="1">
      <alignment horizontal="left" vertical="top"/>
    </xf>
    <xf numFmtId="0" fontId="58" fillId="0" borderId="16" xfId="0" applyFont="1" applyBorder="1" applyAlignment="1">
      <alignment horizontal="right" vertical="top" wrapText="1"/>
    </xf>
    <xf numFmtId="0" fontId="58" fillId="11" borderId="16" xfId="0" applyFont="1" applyFill="1" applyBorder="1" applyAlignment="1">
      <alignment horizontal="center" vertical="center" wrapText="1"/>
    </xf>
    <xf numFmtId="0" fontId="58" fillId="11" borderId="23" xfId="0" applyFont="1" applyFill="1" applyBorder="1" applyAlignment="1">
      <alignment horizontal="center" vertical="center" wrapText="1"/>
    </xf>
    <xf numFmtId="0" fontId="59" fillId="11" borderId="16" xfId="0" applyFont="1" applyFill="1" applyBorder="1" applyAlignment="1">
      <alignment horizontal="center" vertical="center"/>
    </xf>
    <xf numFmtId="0" fontId="45" fillId="0" borderId="16" xfId="0" applyFont="1" applyBorder="1" applyAlignment="1">
      <alignment horizontal="right" vertical="top" wrapText="1"/>
    </xf>
    <xf numFmtId="0" fontId="45" fillId="0" borderId="30" xfId="0" applyFont="1" applyBorder="1" applyAlignment="1">
      <alignment horizontal="left" vertical="top" wrapText="1"/>
    </xf>
    <xf numFmtId="0" fontId="45" fillId="0" borderId="31" xfId="0" applyFont="1" applyBorder="1" applyAlignment="1">
      <alignment horizontal="left" vertical="top" wrapText="1"/>
    </xf>
    <xf numFmtId="0" fontId="60" fillId="0" borderId="32" xfId="0" applyFont="1" applyBorder="1" applyAlignment="1">
      <alignment horizontal="left" vertical="top"/>
    </xf>
    <xf numFmtId="0" fontId="45" fillId="0" borderId="33" xfId="0" applyFont="1" applyBorder="1" applyAlignment="1">
      <alignment horizontal="left" vertical="top" wrapText="1"/>
    </xf>
    <xf numFmtId="0" fontId="45" fillId="0" borderId="16" xfId="0" applyFont="1" applyBorder="1" applyAlignment="1">
      <alignment horizontal="left" vertical="top"/>
    </xf>
    <xf numFmtId="0" fontId="60" fillId="0" borderId="34" xfId="0" applyFont="1" applyBorder="1" applyAlignment="1">
      <alignment horizontal="left" vertical="top"/>
    </xf>
    <xf numFmtId="0" fontId="45" fillId="0" borderId="35" xfId="0" applyFont="1" applyBorder="1" applyAlignment="1">
      <alignment horizontal="left" vertical="top" wrapText="1"/>
    </xf>
    <xf numFmtId="0" fontId="45" fillId="0" borderId="36" xfId="0" applyFont="1" applyBorder="1" applyAlignment="1">
      <alignment horizontal="left" vertical="top" wrapText="1"/>
    </xf>
    <xf numFmtId="0" fontId="45" fillId="0" borderId="37" xfId="0" applyFont="1" applyBorder="1" applyAlignment="1">
      <alignment horizontal="left" vertical="top" wrapText="1"/>
    </xf>
    <xf numFmtId="0" fontId="45" fillId="0" borderId="0" xfId="0" applyFont="1" applyAlignment="1">
      <alignment horizontal="left" vertical="top" wrapText="1"/>
    </xf>
    <xf numFmtId="0" fontId="45" fillId="0" borderId="17" xfId="0" applyFont="1" applyBorder="1" applyAlignment="1">
      <alignment horizontal="left" vertical="top" wrapText="1"/>
    </xf>
    <xf numFmtId="0" fontId="45" fillId="0" borderId="38" xfId="0" applyFont="1" applyBorder="1" applyAlignment="1">
      <alignment horizontal="left" vertical="top" wrapText="1"/>
    </xf>
    <xf numFmtId="0" fontId="45" fillId="0" borderId="39" xfId="0" applyFont="1" applyBorder="1" applyAlignment="1">
      <alignment horizontal="left" vertical="top" wrapText="1"/>
    </xf>
    <xf numFmtId="0" fontId="45" fillId="0" borderId="16" xfId="0" applyFont="1" applyBorder="1" applyAlignment="1">
      <alignment horizontal="left" vertical="top" wrapText="1"/>
    </xf>
    <xf numFmtId="0" fontId="45" fillId="0" borderId="18" xfId="0" applyFont="1" applyBorder="1" applyAlignment="1">
      <alignment horizontal="left" vertical="top" wrapText="1"/>
    </xf>
    <xf numFmtId="0" fontId="45" fillId="0" borderId="16" xfId="0" applyFont="1" applyBorder="1" applyAlignment="1">
      <alignment vertical="top" wrapText="1"/>
    </xf>
    <xf numFmtId="0" fontId="45" fillId="0" borderId="35" xfId="0" applyFont="1" applyBorder="1" applyAlignment="1">
      <alignment vertical="top" wrapText="1"/>
    </xf>
    <xf numFmtId="0" fontId="45" fillId="0" borderId="36" xfId="0" applyFont="1" applyBorder="1" applyAlignment="1">
      <alignment vertical="top" wrapText="1"/>
    </xf>
    <xf numFmtId="0" fontId="60" fillId="0" borderId="34" xfId="0" applyFont="1" applyBorder="1" applyAlignment="1">
      <alignment vertical="top"/>
    </xf>
    <xf numFmtId="0" fontId="45" fillId="0" borderId="37" xfId="0" applyFont="1" applyBorder="1" applyAlignment="1">
      <alignment vertical="top" wrapText="1"/>
    </xf>
    <xf numFmtId="0" fontId="45" fillId="0" borderId="30" xfId="0" applyFont="1" applyBorder="1" applyAlignment="1">
      <alignment vertical="top" wrapText="1"/>
    </xf>
    <xf numFmtId="0" fontId="45" fillId="0" borderId="31" xfId="0" applyFont="1" applyBorder="1" applyAlignment="1">
      <alignment vertical="top" wrapText="1"/>
    </xf>
    <xf numFmtId="0" fontId="45" fillId="0" borderId="33" xfId="0" applyFont="1" applyBorder="1" applyAlignment="1">
      <alignment vertical="top" wrapText="1"/>
    </xf>
    <xf numFmtId="0" fontId="61" fillId="0" borderId="35" xfId="0" applyFont="1" applyBorder="1" applyAlignment="1">
      <alignment horizontal="left" vertical="top" wrapText="1"/>
    </xf>
    <xf numFmtId="0" fontId="61" fillId="0" borderId="36" xfId="0" applyFont="1" applyBorder="1" applyAlignment="1">
      <alignment horizontal="left" vertical="top" wrapText="1"/>
    </xf>
    <xf numFmtId="0" fontId="60" fillId="0" borderId="34" xfId="0" applyFont="1" applyBorder="1" applyAlignment="1">
      <alignment horizontal="center" vertical="center"/>
    </xf>
    <xf numFmtId="0" fontId="61" fillId="0" borderId="37" xfId="0" applyFont="1" applyBorder="1" applyAlignment="1">
      <alignment horizontal="left" vertical="top" wrapText="1"/>
    </xf>
    <xf numFmtId="0" fontId="61" fillId="0" borderId="30" xfId="0" applyFont="1" applyBorder="1" applyAlignment="1">
      <alignment horizontal="left" vertical="top" wrapText="1"/>
    </xf>
    <xf numFmtId="0" fontId="61" fillId="0" borderId="31" xfId="0" applyFont="1" applyBorder="1" applyAlignment="1">
      <alignment horizontal="left" vertical="top" wrapText="1"/>
    </xf>
    <xf numFmtId="0" fontId="61" fillId="0" borderId="33" xfId="0" applyFont="1" applyBorder="1" applyAlignment="1">
      <alignment horizontal="left" vertical="top" wrapText="1"/>
    </xf>
    <xf numFmtId="0" fontId="60" fillId="0" borderId="34" xfId="0" applyFont="1" applyBorder="1" applyAlignment="1">
      <alignment horizontal="center" vertical="top"/>
    </xf>
    <xf numFmtId="0" fontId="60" fillId="0" borderId="40" xfId="0" applyFont="1" applyBorder="1" applyAlignment="1">
      <alignment horizontal="center" vertical="center"/>
    </xf>
    <xf numFmtId="0" fontId="62" fillId="0" borderId="1" xfId="2" applyFont="1" applyBorder="1" applyAlignment="1">
      <alignment horizontal="center" vertical="center"/>
    </xf>
    <xf numFmtId="0" fontId="62" fillId="0" borderId="1" xfId="2" applyFont="1" applyBorder="1" applyAlignment="1">
      <alignment vertical="center" wrapText="1"/>
    </xf>
    <xf numFmtId="164" fontId="62" fillId="0" borderId="1" xfId="2" applyNumberFormat="1" applyFont="1" applyBorder="1" applyAlignment="1">
      <alignment vertical="center" wrapText="1"/>
    </xf>
    <xf numFmtId="0" fontId="64" fillId="0" borderId="42" xfId="2" applyFont="1" applyBorder="1" applyAlignment="1">
      <alignment horizontal="center" vertical="center"/>
    </xf>
    <xf numFmtId="0" fontId="38" fillId="0" borderId="42" xfId="2" applyFont="1" applyBorder="1" applyAlignment="1">
      <alignment vertical="center" wrapText="1"/>
    </xf>
    <xf numFmtId="164" fontId="38" fillId="0" borderId="42" xfId="2" applyNumberFormat="1" applyFont="1" applyBorder="1" applyAlignment="1">
      <alignment vertical="center" wrapText="1"/>
    </xf>
    <xf numFmtId="0" fontId="40" fillId="9" borderId="41" xfId="2" applyFont="1" applyFill="1" applyBorder="1" applyAlignment="1">
      <alignment vertical="center" wrapText="1"/>
    </xf>
    <xf numFmtId="0" fontId="42" fillId="14" borderId="0" xfId="2" applyFont="1" applyFill="1" applyBorder="1" applyAlignment="1">
      <alignment vertical="center"/>
    </xf>
    <xf numFmtId="0" fontId="53" fillId="0" borderId="41" xfId="2" applyFont="1" applyBorder="1" applyAlignment="1">
      <alignment vertical="top" wrapText="1"/>
    </xf>
    <xf numFmtId="0" fontId="63" fillId="0" borderId="42" xfId="2" applyFont="1" applyBorder="1" applyAlignment="1">
      <alignment horizontal="center" vertical="top" wrapText="1"/>
    </xf>
    <xf numFmtId="0" fontId="36" fillId="0" borderId="0" xfId="2" applyFont="1" applyAlignment="1">
      <alignment vertical="top"/>
    </xf>
  </cellXfs>
  <cellStyles count="3">
    <cellStyle name="Hyperlink" xfId="1" builtinId="8"/>
    <cellStyle name="Normal" xfId="0" builtinId="0"/>
    <cellStyle name="Normal 2" xfId="2" xr:uid="{54C9BCD9-9AA7-4D17-91FB-5B4D1C2609A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C5F2D"/>
      <rgbColor rgb="FF000080"/>
      <rgbColor rgb="FF808000"/>
      <rgbColor rgb="FF800080"/>
      <rgbColor rgb="FF008080"/>
      <rgbColor rgb="FFC0C0C0"/>
      <rgbColor rgb="FF8A8A80"/>
      <rgbColor rgb="FF9999FF"/>
      <rgbColor rgb="FF993366"/>
      <rgbColor rgb="FFFFF6DF"/>
      <rgbColor rgb="FFF2F2EC"/>
      <rgbColor rgb="FF660066"/>
      <rgbColor rgb="FFFF8080"/>
      <rgbColor rgb="FF0066CC"/>
      <rgbColor rgb="FFE0E0D8"/>
      <rgbColor rgb="FF000080"/>
      <rgbColor rgb="FFFF00FF"/>
      <rgbColor rgb="FFFFFF00"/>
      <rgbColor rgb="FF00FFFF"/>
      <rgbColor rgb="FF800080"/>
      <rgbColor rgb="FF800000"/>
      <rgbColor rgb="FF008080"/>
      <rgbColor rgb="FF0000FF"/>
      <rgbColor rgb="FF00CCFF"/>
      <rgbColor rgb="FFF7F7F2"/>
      <rgbColor rgb="FFCCFFCC"/>
      <rgbColor rgb="FFFFFF99"/>
      <rgbColor rgb="FF99CCFF"/>
      <rgbColor rgb="FFFF99CC"/>
      <rgbColor rgb="FFCC99FF"/>
      <rgbColor rgb="FFFBE3E0"/>
      <rgbColor rgb="FF3366FF"/>
      <rgbColor rgb="FF33CCCC"/>
      <rgbColor rgb="FF99CC00"/>
      <rgbColor rgb="FFFFCC00"/>
      <rgbColor rgb="FFD9A441"/>
      <rgbColor rgb="FFFF6600"/>
      <rgbColor rgb="FF5A5A50"/>
      <rgbColor rgb="FF97BC62"/>
      <rgbColor rgb="FF003366"/>
      <rgbColor rgb="FF339966"/>
      <rgbColor rgb="FF003300"/>
      <rgbColor rgb="FF1B3D1C"/>
      <rgbColor rgb="FFC0392B"/>
      <rgbColor rgb="FF993366"/>
      <rgbColor rgb="FF333399"/>
      <rgbColor rgb="FF2B2B26"/>
      <rgbColor rgb="00003366"/>
      <rgbColor rgb="00339966"/>
      <rgbColor rgb="00003300"/>
      <rgbColor rgb="00333300"/>
      <rgbColor rgb="00993300"/>
      <rgbColor rgb="00993366"/>
      <rgbColor rgb="00333399"/>
      <rgbColor rgb="00333333"/>
    </indexedColors>
    <mruColors>
      <color rgb="FF0048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navcdp.kalro.org/docs/potatoes/CONTROL%20OF%20APHIDS%20IN%20POTATO.pdf" TargetMode="External"/><Relationship Id="rId13" Type="http://schemas.openxmlformats.org/officeDocument/2006/relationships/hyperlink" Target="https://navcdp.kalro.org/docs/potatoes/True%20Potato%20Seed%20%28TPS%29%20Technology.pdf" TargetMode="External"/><Relationship Id="rId3" Type="http://schemas.openxmlformats.org/officeDocument/2006/relationships/hyperlink" Target="https://navcdp.kalro.org/kalroknowledgebank/factsheets/COMMUNITY%20SEED%20BULKING%20Karanja.pdf" TargetMode="External"/><Relationship Id="rId7" Type="http://schemas.openxmlformats.org/officeDocument/2006/relationships/hyperlink" Target="https://www.kalro.org/navcdp/index.php/information-resoures/publications/training-manuals23" TargetMode="External"/><Relationship Id="rId12" Type="http://schemas.openxmlformats.org/officeDocument/2006/relationships/hyperlink" Target="https://navcdp.kalro.org/docs/potatoes/NUTRIENT%20REQUIREMENTS%20FOR.pdf" TargetMode="External"/><Relationship Id="rId2" Type="http://schemas.openxmlformats.org/officeDocument/2006/relationships/hyperlink" Target="https://navcdp.kalro.org/docs/kcsap/Final%20Dry-Beans-TIMPs%20for%20upload.pdf" TargetMode="External"/><Relationship Id="rId16" Type="http://schemas.openxmlformats.org/officeDocument/2006/relationships/hyperlink" Target="https://navcdp.kalro.org/docs/potatoes/POTATO%20STARCH.pdf" TargetMode="External"/><Relationship Id="rId1" Type="http://schemas.openxmlformats.org/officeDocument/2006/relationships/hyperlink" Target="https://navcdp.kalro.org/docs/kcsap/AIV%20Volume%20I.pdf" TargetMode="External"/><Relationship Id="rId6" Type="http://schemas.openxmlformats.org/officeDocument/2006/relationships/hyperlink" Target="https://navcdp.kalro.org/docs/timps_2025/MAIZE%20TIMPS%20Volume%202%20for%20upload.pdf" TargetMode="External"/><Relationship Id="rId11" Type="http://schemas.openxmlformats.org/officeDocument/2006/relationships/hyperlink" Target="https://navcdp.kalro.org/docs/potatoes/CERTIFIED%20SEED%20POTATO.pdf" TargetMode="External"/><Relationship Id="rId5" Type="http://schemas.openxmlformats.org/officeDocument/2006/relationships/hyperlink" Target="https://navcdp.kalro.org/docs/timps_2025/MAIZE%20TIMPS%20Volume-1%20for%20Upload.pdf" TargetMode="External"/><Relationship Id="rId15" Type="http://schemas.openxmlformats.org/officeDocument/2006/relationships/hyperlink" Target="https://navcdp.kalro.org/docs/potatoes/CLIMATE-SMART%20TECHNOLOGIES%20AND%20MANAGEMENT%20PRACTICES%20IN%20POTATO%20PRODUCTION.pdf" TargetMode="External"/><Relationship Id="rId10" Type="http://schemas.openxmlformats.org/officeDocument/2006/relationships/hyperlink" Target="https://navcdp.kalro.org/docs/potatoes/NUTRIENT%20CONVERSION%20CHART.pdf" TargetMode="External"/><Relationship Id="rId4" Type="http://schemas.openxmlformats.org/officeDocument/2006/relationships/hyperlink" Target="https://navcdp.kalro.org/docs/kcsap/Cassava%20Aug2019-Munga.pdf" TargetMode="External"/><Relationship Id="rId9" Type="http://schemas.openxmlformats.org/officeDocument/2006/relationships/hyperlink" Target="https://navcdp.kalro.org/docs/potatoes/MANAGEMENT%20OF%20LEAF%20MINER%20IN%20POTATO.pdf" TargetMode="External"/><Relationship Id="rId14" Type="http://schemas.openxmlformats.org/officeDocument/2006/relationships/hyperlink" Target="https://navcdp.kalro.org/docs/potatoes/AGROECOSYSTEMS%20ANALYSIS%20%28AESA%29%20IN%20FARMER%20FIELD%20AND%20BUSINESS%20SCHOOL%20%28FFBS%29.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A441"/>
    <pageSetUpPr fitToPage="1"/>
  </sheetPr>
  <dimension ref="B2:C44"/>
  <sheetViews>
    <sheetView showGridLines="0" topLeftCell="A23" zoomScaleNormal="100" workbookViewId="0"/>
  </sheetViews>
  <sheetFormatPr defaultColWidth="8.5703125" defaultRowHeight="15" x14ac:dyDescent="0.25"/>
  <cols>
    <col min="1" max="1" width="2.42578125" customWidth="1"/>
    <col min="2" max="2" width="30" customWidth="1"/>
    <col min="3" max="3" width="62" customWidth="1"/>
  </cols>
  <sheetData>
    <row r="2" spans="2:3" ht="26.25" customHeight="1" x14ac:dyDescent="0.4">
      <c r="B2" s="92" t="s">
        <v>0</v>
      </c>
      <c r="C2" s="90"/>
    </row>
    <row r="3" spans="2:3" x14ac:dyDescent="0.25">
      <c r="B3" s="93" t="s">
        <v>1</v>
      </c>
      <c r="C3" s="90"/>
    </row>
    <row r="5" spans="2:3" ht="21.75" customHeight="1" x14ac:dyDescent="0.3">
      <c r="B5" s="91" t="s">
        <v>2</v>
      </c>
      <c r="C5" s="90"/>
    </row>
    <row r="6" spans="2:3" ht="27.75" customHeight="1" x14ac:dyDescent="0.25">
      <c r="B6" s="89" t="s">
        <v>3</v>
      </c>
      <c r="C6" s="90"/>
    </row>
    <row r="7" spans="2:3" ht="27.75" customHeight="1" x14ac:dyDescent="0.25">
      <c r="B7" s="89" t="s">
        <v>4</v>
      </c>
      <c r="C7" s="90"/>
    </row>
    <row r="9" spans="2:3" ht="21.75" customHeight="1" x14ac:dyDescent="0.3">
      <c r="B9" s="91" t="s">
        <v>5</v>
      </c>
      <c r="C9" s="90"/>
    </row>
    <row r="10" spans="2:3" ht="27.75" customHeight="1" x14ac:dyDescent="0.25">
      <c r="B10" s="89" t="s">
        <v>6</v>
      </c>
      <c r="C10" s="90"/>
    </row>
    <row r="11" spans="2:3" ht="27.75" customHeight="1" x14ac:dyDescent="0.25">
      <c r="B11" s="89" t="s">
        <v>7</v>
      </c>
      <c r="C11" s="90"/>
    </row>
    <row r="12" spans="2:3" ht="27.75" customHeight="1" x14ac:dyDescent="0.25">
      <c r="B12" s="89" t="s">
        <v>8</v>
      </c>
      <c r="C12" s="90"/>
    </row>
    <row r="13" spans="2:3" ht="27.75" customHeight="1" x14ac:dyDescent="0.25">
      <c r="B13" s="89" t="s">
        <v>9</v>
      </c>
      <c r="C13" s="90"/>
    </row>
    <row r="14" spans="2:3" ht="27.75" customHeight="1" x14ac:dyDescent="0.25">
      <c r="B14" s="89" t="s">
        <v>10</v>
      </c>
      <c r="C14" s="90"/>
    </row>
    <row r="16" spans="2:3" ht="21.75" customHeight="1" x14ac:dyDescent="0.3">
      <c r="B16" s="91" t="s">
        <v>11</v>
      </c>
      <c r="C16" s="90"/>
    </row>
    <row r="17" spans="2:3" ht="27.75" customHeight="1" x14ac:dyDescent="0.25">
      <c r="B17" s="89" t="s">
        <v>12</v>
      </c>
      <c r="C17" s="90"/>
    </row>
    <row r="18" spans="2:3" ht="27.75" customHeight="1" x14ac:dyDescent="0.25">
      <c r="B18" s="89" t="s">
        <v>13</v>
      </c>
      <c r="C18" s="90"/>
    </row>
    <row r="19" spans="2:3" ht="27.75" customHeight="1" x14ac:dyDescent="0.25">
      <c r="B19" s="89" t="s">
        <v>14</v>
      </c>
      <c r="C19" s="90"/>
    </row>
    <row r="20" spans="2:3" ht="27.75" customHeight="1" x14ac:dyDescent="0.25">
      <c r="B20" s="89" t="s">
        <v>15</v>
      </c>
      <c r="C20" s="90"/>
    </row>
    <row r="22" spans="2:3" ht="21.75" customHeight="1" x14ac:dyDescent="0.3">
      <c r="B22" s="91" t="s">
        <v>16</v>
      </c>
      <c r="C22" s="90"/>
    </row>
    <row r="23" spans="2:3" ht="27.75" customHeight="1" x14ac:dyDescent="0.25">
      <c r="B23" s="1" t="s">
        <v>17</v>
      </c>
      <c r="C23" s="15" t="s">
        <v>18</v>
      </c>
    </row>
    <row r="24" spans="2:3" ht="27.75" customHeight="1" x14ac:dyDescent="0.25">
      <c r="B24" s="1" t="s">
        <v>19</v>
      </c>
      <c r="C24" s="15" t="s">
        <v>20</v>
      </c>
    </row>
    <row r="25" spans="2:3" ht="27.75" customHeight="1" x14ac:dyDescent="0.25">
      <c r="B25" s="1" t="s">
        <v>21</v>
      </c>
      <c r="C25" s="15" t="s">
        <v>22</v>
      </c>
    </row>
    <row r="26" spans="2:3" ht="27.75" customHeight="1" x14ac:dyDescent="0.25">
      <c r="B26" s="1" t="s">
        <v>23</v>
      </c>
      <c r="C26" s="15" t="s">
        <v>24</v>
      </c>
    </row>
    <row r="27" spans="2:3" ht="27.75" customHeight="1" x14ac:dyDescent="0.25">
      <c r="B27" s="1" t="s">
        <v>25</v>
      </c>
      <c r="C27" s="15" t="s">
        <v>26</v>
      </c>
    </row>
    <row r="28" spans="2:3" ht="27.75" customHeight="1" x14ac:dyDescent="0.25">
      <c r="B28" s="1" t="s">
        <v>27</v>
      </c>
      <c r="C28" s="15" t="s">
        <v>28</v>
      </c>
    </row>
    <row r="29" spans="2:3" ht="27.75" customHeight="1" x14ac:dyDescent="0.25">
      <c r="B29" s="1" t="s">
        <v>29</v>
      </c>
      <c r="C29" s="15" t="s">
        <v>30</v>
      </c>
    </row>
    <row r="30" spans="2:3" ht="27.75" customHeight="1" x14ac:dyDescent="0.25">
      <c r="B30" s="1" t="s">
        <v>31</v>
      </c>
      <c r="C30" s="15" t="s">
        <v>32</v>
      </c>
    </row>
    <row r="31" spans="2:3" ht="27.75" customHeight="1" x14ac:dyDescent="0.25">
      <c r="B31" s="1" t="s">
        <v>33</v>
      </c>
      <c r="C31" s="15" t="s">
        <v>34</v>
      </c>
    </row>
    <row r="32" spans="2:3" ht="27.75" customHeight="1" x14ac:dyDescent="0.25">
      <c r="B32" s="1" t="s">
        <v>35</v>
      </c>
      <c r="C32" s="15" t="s">
        <v>36</v>
      </c>
    </row>
    <row r="33" spans="2:3" ht="27.75" customHeight="1" x14ac:dyDescent="0.25">
      <c r="B33" s="1" t="s">
        <v>37</v>
      </c>
      <c r="C33" s="15" t="s">
        <v>38</v>
      </c>
    </row>
    <row r="34" spans="2:3" ht="27.75" customHeight="1" x14ac:dyDescent="0.25">
      <c r="B34" s="1" t="s">
        <v>39</v>
      </c>
      <c r="C34" s="15" t="s">
        <v>40</v>
      </c>
    </row>
    <row r="35" spans="2:3" ht="27.75" customHeight="1" x14ac:dyDescent="0.25">
      <c r="B35" s="1" t="s">
        <v>41</v>
      </c>
      <c r="C35" s="15" t="s">
        <v>42</v>
      </c>
    </row>
    <row r="36" spans="2:3" ht="27.75" customHeight="1" x14ac:dyDescent="0.25">
      <c r="B36" s="1" t="s">
        <v>43</v>
      </c>
      <c r="C36" s="15" t="s">
        <v>44</v>
      </c>
    </row>
    <row r="37" spans="2:3" ht="27.75" customHeight="1" x14ac:dyDescent="0.25">
      <c r="B37" s="1" t="s">
        <v>45</v>
      </c>
      <c r="C37" s="15" t="s">
        <v>46</v>
      </c>
    </row>
    <row r="38" spans="2:3" ht="27.75" customHeight="1" x14ac:dyDescent="0.25">
      <c r="B38" s="1" t="s">
        <v>47</v>
      </c>
      <c r="C38" s="15" t="s">
        <v>48</v>
      </c>
    </row>
    <row r="39" spans="2:3" ht="27.75" customHeight="1" x14ac:dyDescent="0.25">
      <c r="B39" s="1" t="s">
        <v>49</v>
      </c>
      <c r="C39" s="15" t="s">
        <v>50</v>
      </c>
    </row>
    <row r="40" spans="2:3" ht="27.75" customHeight="1" x14ac:dyDescent="0.25">
      <c r="B40" s="1" t="s">
        <v>51</v>
      </c>
      <c r="C40" s="15" t="s">
        <v>52</v>
      </c>
    </row>
    <row r="42" spans="2:3" ht="21.75" customHeight="1" x14ac:dyDescent="0.3">
      <c r="B42" s="91" t="s">
        <v>53</v>
      </c>
      <c r="C42" s="90"/>
    </row>
    <row r="43" spans="2:3" x14ac:dyDescent="0.25">
      <c r="B43" s="2" t="s">
        <v>54</v>
      </c>
      <c r="C43" s="3" t="s">
        <v>55</v>
      </c>
    </row>
    <row r="44" spans="2:3" x14ac:dyDescent="0.25">
      <c r="B44" s="4" t="s">
        <v>56</v>
      </c>
      <c r="C44" s="3" t="s">
        <v>57</v>
      </c>
    </row>
  </sheetData>
  <mergeCells count="18">
    <mergeCell ref="B20:C20"/>
    <mergeCell ref="B19:C19"/>
    <mergeCell ref="B10:C10"/>
    <mergeCell ref="B42:C42"/>
    <mergeCell ref="B22:C22"/>
    <mergeCell ref="B14:C14"/>
    <mergeCell ref="B17:C17"/>
    <mergeCell ref="B18:C18"/>
    <mergeCell ref="B12:C12"/>
    <mergeCell ref="B13:C13"/>
    <mergeCell ref="B6:C6"/>
    <mergeCell ref="B16:C16"/>
    <mergeCell ref="B2:C2"/>
    <mergeCell ref="B7:C7"/>
    <mergeCell ref="B11:C11"/>
    <mergeCell ref="B3:C3"/>
    <mergeCell ref="B5:C5"/>
    <mergeCell ref="B9:C9"/>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2C5F2D"/>
    <pageSetUpPr fitToPage="1"/>
  </sheetPr>
  <dimension ref="A1:T648"/>
  <sheetViews>
    <sheetView showGridLines="0" zoomScale="70" zoomScaleNormal="70" workbookViewId="0">
      <pane xSplit="6" ySplit="1" topLeftCell="G75" activePane="bottomRight" state="frozen"/>
      <selection pane="topRight" activeCell="G1" sqref="G1"/>
      <selection pane="bottomLeft" activeCell="A2" sqref="A2"/>
      <selection pane="bottomRight" activeCell="T85" sqref="T85"/>
    </sheetView>
  </sheetViews>
  <sheetFormatPr defaultColWidth="8.5703125" defaultRowHeight="15" x14ac:dyDescent="0.25"/>
  <cols>
    <col min="1" max="1" width="2.42578125" customWidth="1"/>
    <col min="2" max="2" width="12.7109375" customWidth="1"/>
    <col min="3" max="3" width="38.7109375" customWidth="1"/>
    <col min="4" max="4" width="41" customWidth="1"/>
    <col min="5" max="5" width="46.85546875" customWidth="1"/>
    <col min="6" max="6" width="32.140625" customWidth="1"/>
    <col min="7" max="7" width="21.85546875" customWidth="1"/>
    <col min="8" max="8" width="33" customWidth="1"/>
    <col min="9" max="9" width="26.42578125" customWidth="1"/>
    <col min="10" max="10" width="13" customWidth="1"/>
    <col min="11" max="11" width="38.5703125" customWidth="1"/>
    <col min="12" max="12" width="34.42578125" customWidth="1"/>
    <col min="13" max="13" width="22" customWidth="1"/>
    <col min="14" max="14" width="15" customWidth="1"/>
    <col min="15" max="15" width="16" customWidth="1"/>
    <col min="16" max="16" width="18" customWidth="1"/>
    <col min="17" max="17" width="16" customWidth="1"/>
    <col min="18" max="18" width="12" customWidth="1"/>
    <col min="19" max="19" width="16" customWidth="1"/>
    <col min="20" max="20" width="38" customWidth="1"/>
  </cols>
  <sheetData>
    <row r="1" spans="1:20" ht="42.75" customHeight="1" x14ac:dyDescent="0.25">
      <c r="B1" s="5" t="s">
        <v>58</v>
      </c>
      <c r="C1" s="5" t="s">
        <v>17</v>
      </c>
      <c r="D1" s="5" t="s">
        <v>19</v>
      </c>
      <c r="E1" s="5" t="s">
        <v>21</v>
      </c>
      <c r="F1" s="5" t="s">
        <v>23</v>
      </c>
      <c r="G1" s="5" t="s">
        <v>25</v>
      </c>
      <c r="H1" s="5" t="s">
        <v>27</v>
      </c>
      <c r="I1" s="5" t="s">
        <v>29</v>
      </c>
      <c r="J1" s="5" t="s">
        <v>31</v>
      </c>
      <c r="K1" s="5" t="s">
        <v>33</v>
      </c>
      <c r="L1" s="5" t="s">
        <v>35</v>
      </c>
      <c r="M1" s="5" t="s">
        <v>37</v>
      </c>
      <c r="N1" s="5" t="s">
        <v>59</v>
      </c>
      <c r="O1" s="5" t="s">
        <v>41</v>
      </c>
      <c r="P1" s="5" t="s">
        <v>43</v>
      </c>
      <c r="Q1" s="5" t="s">
        <v>45</v>
      </c>
      <c r="R1" s="5" t="s">
        <v>47</v>
      </c>
      <c r="S1" s="5" t="s">
        <v>49</v>
      </c>
      <c r="T1" s="5" t="s">
        <v>51</v>
      </c>
    </row>
    <row r="2" spans="1:20" s="23" customFormat="1" ht="75" customHeight="1" x14ac:dyDescent="0.25">
      <c r="A2" s="28"/>
      <c r="B2" s="18" t="s">
        <v>60</v>
      </c>
      <c r="C2" s="19" t="s">
        <v>61</v>
      </c>
      <c r="D2" s="27" t="s">
        <v>62</v>
      </c>
      <c r="E2" s="19" t="s">
        <v>63</v>
      </c>
      <c r="F2" s="20"/>
      <c r="G2" s="19" t="s">
        <v>64</v>
      </c>
      <c r="H2" s="19"/>
      <c r="I2" s="19" t="s">
        <v>65</v>
      </c>
      <c r="J2" s="19" t="s">
        <v>66</v>
      </c>
      <c r="K2" s="21"/>
      <c r="L2" s="21"/>
      <c r="M2" s="21"/>
      <c r="N2" s="22"/>
      <c r="O2" s="21"/>
      <c r="P2" s="21"/>
      <c r="Q2" s="21"/>
      <c r="R2" s="21"/>
      <c r="S2" s="21"/>
      <c r="T2" s="21"/>
    </row>
    <row r="3" spans="1:20" s="23" customFormat="1" ht="61.5" customHeight="1" x14ac:dyDescent="0.25">
      <c r="A3" s="28"/>
      <c r="B3" s="18" t="s">
        <v>137</v>
      </c>
      <c r="C3" s="19" t="s">
        <v>1173</v>
      </c>
      <c r="D3" s="24" t="s">
        <v>138</v>
      </c>
      <c r="E3" s="19" t="s">
        <v>1172</v>
      </c>
      <c r="F3" s="20"/>
      <c r="G3" s="19" t="s">
        <v>64</v>
      </c>
      <c r="H3" s="19"/>
      <c r="I3" s="19" t="s">
        <v>65</v>
      </c>
      <c r="J3" s="19" t="s">
        <v>66</v>
      </c>
      <c r="K3" s="18"/>
      <c r="L3" s="18"/>
      <c r="M3" s="18"/>
      <c r="N3" s="18"/>
      <c r="O3" s="18"/>
      <c r="P3" s="18"/>
      <c r="Q3" s="18"/>
      <c r="R3" s="18"/>
      <c r="S3" s="18"/>
      <c r="T3" s="18"/>
    </row>
    <row r="4" spans="1:20" s="23" customFormat="1" ht="105" customHeight="1" x14ac:dyDescent="0.25">
      <c r="A4" s="28"/>
      <c r="B4" s="18" t="s">
        <v>67</v>
      </c>
      <c r="C4" s="19" t="s">
        <v>68</v>
      </c>
      <c r="D4" s="19" t="s">
        <v>69</v>
      </c>
      <c r="E4" s="19" t="s">
        <v>70</v>
      </c>
      <c r="F4" s="20"/>
      <c r="G4" s="19" t="s">
        <v>71</v>
      </c>
      <c r="H4" s="19"/>
      <c r="I4" s="19" t="s">
        <v>72</v>
      </c>
      <c r="J4" s="19" t="s">
        <v>66</v>
      </c>
      <c r="K4" s="21"/>
      <c r="L4" s="21"/>
      <c r="M4" s="21"/>
      <c r="N4" s="22"/>
      <c r="O4" s="21"/>
      <c r="P4" s="21"/>
      <c r="Q4" s="21"/>
      <c r="R4" s="21"/>
      <c r="S4" s="21"/>
      <c r="T4" s="21"/>
    </row>
    <row r="5" spans="1:20" s="23" customFormat="1" ht="75" customHeight="1" x14ac:dyDescent="0.25">
      <c r="A5" s="28"/>
      <c r="B5" s="18" t="s">
        <v>73</v>
      </c>
      <c r="C5" s="19" t="s">
        <v>74</v>
      </c>
      <c r="D5" s="19" t="s">
        <v>75</v>
      </c>
      <c r="E5" s="19" t="s">
        <v>63</v>
      </c>
      <c r="F5" s="20"/>
      <c r="G5" s="19" t="s">
        <v>71</v>
      </c>
      <c r="H5" s="19"/>
      <c r="I5" s="19" t="s">
        <v>72</v>
      </c>
      <c r="J5" s="19" t="s">
        <v>66</v>
      </c>
      <c r="K5" s="21"/>
      <c r="L5" s="21"/>
      <c r="M5" s="21"/>
      <c r="N5" s="22"/>
      <c r="O5" s="21"/>
      <c r="P5" s="21"/>
      <c r="Q5" s="21"/>
      <c r="R5" s="21"/>
      <c r="S5" s="21"/>
      <c r="T5" s="21"/>
    </row>
    <row r="6" spans="1:20" s="23" customFormat="1" ht="90" customHeight="1" x14ac:dyDescent="0.25">
      <c r="A6" s="28"/>
      <c r="B6" s="18" t="s">
        <v>76</v>
      </c>
      <c r="C6" s="19" t="s">
        <v>77</v>
      </c>
      <c r="D6" s="19" t="s">
        <v>78</v>
      </c>
      <c r="E6" s="19" t="s">
        <v>79</v>
      </c>
      <c r="F6" s="20">
        <v>44348</v>
      </c>
      <c r="G6" s="19" t="s">
        <v>71</v>
      </c>
      <c r="H6" s="19"/>
      <c r="I6" s="19" t="s">
        <v>72</v>
      </c>
      <c r="J6" s="19" t="s">
        <v>66</v>
      </c>
      <c r="K6" s="21"/>
      <c r="L6" s="21"/>
      <c r="M6" s="21"/>
      <c r="N6" s="22"/>
      <c r="O6" s="21"/>
      <c r="P6" s="21"/>
      <c r="Q6" s="21"/>
      <c r="R6" s="21"/>
      <c r="S6" s="21"/>
      <c r="T6" s="21"/>
    </row>
    <row r="7" spans="1:20" s="23" customFormat="1" ht="90" customHeight="1" x14ac:dyDescent="0.25">
      <c r="A7" s="28"/>
      <c r="B7" s="18" t="s">
        <v>80</v>
      </c>
      <c r="C7" s="19" t="s">
        <v>81</v>
      </c>
      <c r="D7" s="19" t="s">
        <v>82</v>
      </c>
      <c r="E7" s="19" t="s">
        <v>79</v>
      </c>
      <c r="F7" s="20">
        <v>44348</v>
      </c>
      <c r="G7" s="19" t="s">
        <v>71</v>
      </c>
      <c r="H7" s="19"/>
      <c r="I7" s="19" t="s">
        <v>72</v>
      </c>
      <c r="J7" s="19" t="s">
        <v>66</v>
      </c>
      <c r="K7" s="21"/>
      <c r="L7" s="21"/>
      <c r="M7" s="21"/>
      <c r="N7" s="22"/>
      <c r="O7" s="21"/>
      <c r="P7" s="21"/>
      <c r="Q7" s="21"/>
      <c r="R7" s="21"/>
      <c r="S7" s="21"/>
      <c r="T7" s="21"/>
    </row>
    <row r="8" spans="1:20" s="23" customFormat="1" ht="90" customHeight="1" x14ac:dyDescent="0.25">
      <c r="A8" s="28"/>
      <c r="B8" s="18" t="s">
        <v>83</v>
      </c>
      <c r="C8" s="19" t="s">
        <v>84</v>
      </c>
      <c r="D8" s="19" t="s">
        <v>85</v>
      </c>
      <c r="E8" s="19" t="s">
        <v>79</v>
      </c>
      <c r="F8" s="20">
        <v>44348</v>
      </c>
      <c r="G8" s="19" t="s">
        <v>71</v>
      </c>
      <c r="H8" s="19"/>
      <c r="I8" s="19" t="s">
        <v>72</v>
      </c>
      <c r="J8" s="19" t="s">
        <v>66</v>
      </c>
      <c r="K8" s="21"/>
      <c r="L8" s="21"/>
      <c r="M8" s="21"/>
      <c r="N8" s="22"/>
      <c r="O8" s="21"/>
      <c r="P8" s="21"/>
      <c r="Q8" s="21"/>
      <c r="R8" s="21"/>
      <c r="S8" s="21"/>
      <c r="T8" s="21"/>
    </row>
    <row r="9" spans="1:20" s="23" customFormat="1" ht="105" customHeight="1" x14ac:dyDescent="0.25">
      <c r="A9" s="28"/>
      <c r="B9" s="18" t="s">
        <v>86</v>
      </c>
      <c r="C9" s="19" t="s">
        <v>87</v>
      </c>
      <c r="D9" s="19" t="s">
        <v>88</v>
      </c>
      <c r="E9" s="19" t="s">
        <v>79</v>
      </c>
      <c r="F9" s="20">
        <v>44348</v>
      </c>
      <c r="G9" s="19" t="s">
        <v>71</v>
      </c>
      <c r="H9" s="19"/>
      <c r="I9" s="19" t="s">
        <v>72</v>
      </c>
      <c r="J9" s="19" t="s">
        <v>66</v>
      </c>
      <c r="K9" s="21"/>
      <c r="L9" s="21"/>
      <c r="M9" s="21"/>
      <c r="N9" s="22"/>
      <c r="O9" s="21"/>
      <c r="P9" s="21"/>
      <c r="Q9" s="21"/>
      <c r="R9" s="21"/>
      <c r="S9" s="21"/>
      <c r="T9" s="21"/>
    </row>
    <row r="10" spans="1:20" s="23" customFormat="1" ht="90" customHeight="1" x14ac:dyDescent="0.25">
      <c r="A10" s="28"/>
      <c r="B10" s="18" t="s">
        <v>89</v>
      </c>
      <c r="C10" s="19" t="s">
        <v>90</v>
      </c>
      <c r="D10" s="19" t="s">
        <v>91</v>
      </c>
      <c r="E10" s="19" t="s">
        <v>79</v>
      </c>
      <c r="F10" s="20">
        <v>44348</v>
      </c>
      <c r="G10" s="19" t="s">
        <v>71</v>
      </c>
      <c r="H10" s="19"/>
      <c r="I10" s="19" t="s">
        <v>72</v>
      </c>
      <c r="J10" s="19" t="s">
        <v>66</v>
      </c>
      <c r="K10" s="21"/>
      <c r="L10" s="21"/>
      <c r="M10" s="21"/>
      <c r="N10" s="22"/>
      <c r="O10" s="21"/>
      <c r="P10" s="21"/>
      <c r="Q10" s="21"/>
      <c r="R10" s="21"/>
      <c r="S10" s="21"/>
      <c r="T10" s="21"/>
    </row>
    <row r="11" spans="1:20" s="23" customFormat="1" ht="75" customHeight="1" x14ac:dyDescent="0.25">
      <c r="A11" s="28"/>
      <c r="B11" s="18" t="s">
        <v>92</v>
      </c>
      <c r="C11" s="19" t="s">
        <v>93</v>
      </c>
      <c r="D11" s="19" t="s">
        <v>94</v>
      </c>
      <c r="E11" s="19" t="s">
        <v>79</v>
      </c>
      <c r="F11" s="20">
        <v>44348</v>
      </c>
      <c r="G11" s="19" t="s">
        <v>71</v>
      </c>
      <c r="H11" s="19"/>
      <c r="I11" s="19" t="s">
        <v>72</v>
      </c>
      <c r="J11" s="19" t="s">
        <v>66</v>
      </c>
      <c r="K11" s="21"/>
      <c r="L11" s="21"/>
      <c r="M11" s="21"/>
      <c r="N11" s="22"/>
      <c r="O11" s="21"/>
      <c r="P11" s="21"/>
      <c r="Q11" s="21"/>
      <c r="R11" s="21"/>
      <c r="S11" s="21"/>
      <c r="T11" s="21"/>
    </row>
    <row r="12" spans="1:20" s="23" customFormat="1" ht="105" customHeight="1" x14ac:dyDescent="0.25">
      <c r="A12" s="28"/>
      <c r="B12" s="18" t="s">
        <v>95</v>
      </c>
      <c r="C12" s="19" t="s">
        <v>96</v>
      </c>
      <c r="D12" s="19" t="s">
        <v>97</v>
      </c>
      <c r="E12" s="19" t="s">
        <v>79</v>
      </c>
      <c r="F12" s="20">
        <v>44348</v>
      </c>
      <c r="G12" s="19" t="s">
        <v>71</v>
      </c>
      <c r="H12" s="19"/>
      <c r="I12" s="19" t="s">
        <v>72</v>
      </c>
      <c r="J12" s="19" t="s">
        <v>66</v>
      </c>
      <c r="K12" s="21"/>
      <c r="L12" s="21"/>
      <c r="M12" s="21"/>
      <c r="N12" s="22"/>
      <c r="O12" s="21"/>
      <c r="P12" s="21"/>
      <c r="Q12" s="21"/>
      <c r="R12" s="21"/>
      <c r="S12" s="21"/>
      <c r="T12" s="21"/>
    </row>
    <row r="13" spans="1:20" s="23" customFormat="1" ht="105" customHeight="1" x14ac:dyDescent="0.25">
      <c r="A13" s="28"/>
      <c r="B13" s="18" t="s">
        <v>98</v>
      </c>
      <c r="C13" s="19" t="s">
        <v>99</v>
      </c>
      <c r="D13" s="19" t="s">
        <v>100</v>
      </c>
      <c r="E13" s="19" t="s">
        <v>79</v>
      </c>
      <c r="F13" s="20">
        <v>44348</v>
      </c>
      <c r="G13" s="19" t="s">
        <v>71</v>
      </c>
      <c r="H13" s="19"/>
      <c r="I13" s="19" t="s">
        <v>72</v>
      </c>
      <c r="J13" s="19" t="s">
        <v>66</v>
      </c>
      <c r="K13" s="21"/>
      <c r="L13" s="21"/>
      <c r="M13" s="21"/>
      <c r="N13" s="22"/>
      <c r="O13" s="21"/>
      <c r="P13" s="21"/>
      <c r="Q13" s="21"/>
      <c r="R13" s="21"/>
      <c r="S13" s="21"/>
      <c r="T13" s="21"/>
    </row>
    <row r="14" spans="1:20" s="23" customFormat="1" ht="105" customHeight="1" x14ac:dyDescent="0.25">
      <c r="A14" s="28"/>
      <c r="B14" s="18" t="s">
        <v>101</v>
      </c>
      <c r="C14" s="19" t="s">
        <v>102</v>
      </c>
      <c r="D14" s="19" t="s">
        <v>103</v>
      </c>
      <c r="E14" s="19" t="s">
        <v>79</v>
      </c>
      <c r="F14" s="20">
        <v>44348</v>
      </c>
      <c r="G14" s="19" t="s">
        <v>71</v>
      </c>
      <c r="H14" s="19"/>
      <c r="I14" s="19" t="s">
        <v>72</v>
      </c>
      <c r="J14" s="19" t="s">
        <v>66</v>
      </c>
      <c r="K14" s="21"/>
      <c r="L14" s="21"/>
      <c r="M14" s="21"/>
      <c r="N14" s="22"/>
      <c r="O14" s="21"/>
      <c r="P14" s="21"/>
      <c r="Q14" s="21"/>
      <c r="R14" s="21"/>
      <c r="S14" s="21"/>
      <c r="T14" s="21"/>
    </row>
    <row r="15" spans="1:20" s="23" customFormat="1" ht="90" customHeight="1" x14ac:dyDescent="0.25">
      <c r="A15" s="28"/>
      <c r="B15" s="18" t="s">
        <v>104</v>
      </c>
      <c r="C15" s="19" t="s">
        <v>105</v>
      </c>
      <c r="D15" s="19" t="s">
        <v>106</v>
      </c>
      <c r="E15" s="19" t="s">
        <v>79</v>
      </c>
      <c r="F15" s="20">
        <v>44348</v>
      </c>
      <c r="G15" s="19" t="s">
        <v>71</v>
      </c>
      <c r="H15" s="19"/>
      <c r="I15" s="19" t="s">
        <v>72</v>
      </c>
      <c r="J15" s="19" t="s">
        <v>66</v>
      </c>
      <c r="K15" s="21"/>
      <c r="L15" s="21"/>
      <c r="M15" s="21"/>
      <c r="N15" s="22"/>
      <c r="O15" s="21"/>
      <c r="P15" s="21"/>
      <c r="Q15" s="21"/>
      <c r="R15" s="21"/>
      <c r="S15" s="21"/>
      <c r="T15" s="21"/>
    </row>
    <row r="16" spans="1:20" s="23" customFormat="1" ht="105" customHeight="1" x14ac:dyDescent="0.25">
      <c r="A16" s="28"/>
      <c r="B16" s="18" t="s">
        <v>107</v>
      </c>
      <c r="C16" s="19" t="s">
        <v>108</v>
      </c>
      <c r="D16" s="19" t="s">
        <v>109</v>
      </c>
      <c r="E16" s="19" t="s">
        <v>79</v>
      </c>
      <c r="F16" s="20">
        <v>44348</v>
      </c>
      <c r="G16" s="19" t="s">
        <v>71</v>
      </c>
      <c r="H16" s="19"/>
      <c r="I16" s="19" t="s">
        <v>72</v>
      </c>
      <c r="J16" s="19" t="s">
        <v>66</v>
      </c>
      <c r="K16" s="21"/>
      <c r="L16" s="21"/>
      <c r="M16" s="21"/>
      <c r="N16" s="22"/>
      <c r="O16" s="21"/>
      <c r="P16" s="21"/>
      <c r="Q16" s="21"/>
      <c r="R16" s="21"/>
      <c r="S16" s="21"/>
      <c r="T16" s="21"/>
    </row>
    <row r="17" spans="1:20" s="23" customFormat="1" ht="90" customHeight="1" x14ac:dyDescent="0.25">
      <c r="A17" s="28"/>
      <c r="B17" s="18" t="s">
        <v>110</v>
      </c>
      <c r="C17" s="19" t="s">
        <v>111</v>
      </c>
      <c r="D17" s="19" t="s">
        <v>112</v>
      </c>
      <c r="E17" s="19" t="s">
        <v>79</v>
      </c>
      <c r="F17" s="20">
        <v>44348</v>
      </c>
      <c r="G17" s="19" t="s">
        <v>71</v>
      </c>
      <c r="H17" s="19"/>
      <c r="I17" s="19" t="s">
        <v>72</v>
      </c>
      <c r="J17" s="19" t="s">
        <v>66</v>
      </c>
      <c r="K17" s="21"/>
      <c r="L17" s="21"/>
      <c r="M17" s="21"/>
      <c r="N17" s="22"/>
      <c r="O17" s="21"/>
      <c r="P17" s="21"/>
      <c r="Q17" s="21"/>
      <c r="R17" s="21"/>
      <c r="S17" s="21"/>
      <c r="T17" s="21"/>
    </row>
    <row r="18" spans="1:20" s="23" customFormat="1" ht="105" customHeight="1" x14ac:dyDescent="0.25">
      <c r="A18" s="28"/>
      <c r="B18" s="18" t="s">
        <v>113</v>
      </c>
      <c r="C18" s="19" t="s">
        <v>114</v>
      </c>
      <c r="D18" s="19" t="s">
        <v>115</v>
      </c>
      <c r="E18" s="19" t="s">
        <v>79</v>
      </c>
      <c r="F18" s="20">
        <v>44348</v>
      </c>
      <c r="G18" s="19" t="s">
        <v>71</v>
      </c>
      <c r="H18" s="19"/>
      <c r="I18" s="19" t="s">
        <v>72</v>
      </c>
      <c r="J18" s="19" t="s">
        <v>66</v>
      </c>
      <c r="K18" s="21"/>
      <c r="L18" s="21"/>
      <c r="M18" s="21"/>
      <c r="N18" s="22"/>
      <c r="O18" s="21"/>
      <c r="P18" s="21"/>
      <c r="Q18" s="21"/>
      <c r="R18" s="21"/>
      <c r="S18" s="21"/>
      <c r="T18" s="21"/>
    </row>
    <row r="19" spans="1:20" s="23" customFormat="1" ht="45" customHeight="1" x14ac:dyDescent="0.25">
      <c r="A19" s="28"/>
      <c r="B19" s="18" t="s">
        <v>116</v>
      </c>
      <c r="C19" s="19" t="s">
        <v>117</v>
      </c>
      <c r="D19" s="25" t="s">
        <v>118</v>
      </c>
      <c r="E19" s="19" t="s">
        <v>119</v>
      </c>
      <c r="F19" s="20">
        <v>44866</v>
      </c>
      <c r="G19" s="19" t="s">
        <v>120</v>
      </c>
      <c r="H19" s="19"/>
      <c r="I19" s="19" t="s">
        <v>121</v>
      </c>
      <c r="J19" s="19" t="s">
        <v>66</v>
      </c>
      <c r="K19" s="21"/>
      <c r="L19" s="21"/>
      <c r="M19" s="21"/>
      <c r="N19" s="22"/>
      <c r="O19" s="21"/>
      <c r="P19" s="21"/>
      <c r="Q19" s="21"/>
      <c r="R19" s="21"/>
      <c r="S19" s="21"/>
      <c r="T19" s="21"/>
    </row>
    <row r="20" spans="1:20" s="23" customFormat="1" ht="45" customHeight="1" x14ac:dyDescent="0.25">
      <c r="A20" s="28"/>
      <c r="B20" s="18" t="s">
        <v>122</v>
      </c>
      <c r="C20" s="19" t="s">
        <v>123</v>
      </c>
      <c r="D20" s="19" t="s">
        <v>124</v>
      </c>
      <c r="E20" s="19" t="s">
        <v>119</v>
      </c>
      <c r="F20" s="20">
        <v>44866</v>
      </c>
      <c r="G20" s="19" t="s">
        <v>120</v>
      </c>
      <c r="H20" s="19"/>
      <c r="I20" s="19" t="s">
        <v>121</v>
      </c>
      <c r="J20" s="19" t="s">
        <v>66</v>
      </c>
      <c r="K20" s="21"/>
      <c r="L20" s="21"/>
      <c r="M20" s="21"/>
      <c r="N20" s="22"/>
      <c r="O20" s="21"/>
      <c r="P20" s="21"/>
      <c r="Q20" s="21"/>
      <c r="R20" s="21"/>
      <c r="S20" s="21"/>
      <c r="T20" s="21"/>
    </row>
    <row r="21" spans="1:20" hidden="1" x14ac:dyDescent="0.25">
      <c r="B21" s="10" t="str">
        <f>"CROP-"&amp;TEXT(19,"000")</f>
        <v>CROP-019</v>
      </c>
      <c r="C21" s="11"/>
      <c r="D21" s="11"/>
      <c r="E21" s="11"/>
      <c r="F21" s="12"/>
      <c r="G21" s="11"/>
      <c r="H21" s="11"/>
      <c r="I21" s="11"/>
      <c r="J21" s="11"/>
      <c r="K21" s="11"/>
      <c r="L21" s="11"/>
      <c r="M21" s="11"/>
      <c r="N21" s="12"/>
      <c r="O21" s="11"/>
      <c r="P21" s="11"/>
      <c r="Q21" s="11"/>
      <c r="R21" s="11"/>
      <c r="S21" s="11"/>
      <c r="T21" s="11"/>
    </row>
    <row r="22" spans="1:20" hidden="1" x14ac:dyDescent="0.25">
      <c r="B22" s="10" t="str">
        <f>"CROP-"&amp;TEXT(20,"000")</f>
        <v>CROP-020</v>
      </c>
      <c r="C22" s="11"/>
      <c r="D22" s="11"/>
      <c r="E22" s="11"/>
      <c r="F22" s="12"/>
      <c r="G22" s="11"/>
      <c r="H22" s="11"/>
      <c r="I22" s="11"/>
      <c r="J22" s="11"/>
      <c r="K22" s="11"/>
      <c r="L22" s="11"/>
      <c r="M22" s="11"/>
      <c r="N22" s="12"/>
      <c r="O22" s="11"/>
      <c r="P22" s="11"/>
      <c r="Q22" s="11"/>
      <c r="R22" s="11"/>
      <c r="S22" s="11"/>
      <c r="T22" s="11"/>
    </row>
    <row r="23" spans="1:20" s="23" customFormat="1" ht="45" customHeight="1" x14ac:dyDescent="0.25">
      <c r="A23" s="28"/>
      <c r="B23" s="18" t="s">
        <v>125</v>
      </c>
      <c r="C23" s="19" t="s">
        <v>126</v>
      </c>
      <c r="D23" s="24" t="s">
        <v>127</v>
      </c>
      <c r="E23" s="19" t="s">
        <v>119</v>
      </c>
      <c r="F23" s="20">
        <v>44866</v>
      </c>
      <c r="G23" s="19" t="s">
        <v>120</v>
      </c>
      <c r="H23" s="19"/>
      <c r="I23" s="19" t="s">
        <v>121</v>
      </c>
      <c r="J23" s="19" t="s">
        <v>66</v>
      </c>
      <c r="K23" s="21"/>
      <c r="L23" s="21"/>
      <c r="M23" s="21"/>
      <c r="N23" s="22"/>
      <c r="O23" s="21"/>
      <c r="P23" s="21"/>
      <c r="Q23" s="21"/>
      <c r="R23" s="21"/>
      <c r="S23" s="21"/>
      <c r="T23" s="21"/>
    </row>
    <row r="24" spans="1:20" s="23" customFormat="1" ht="30" customHeight="1" x14ac:dyDescent="0.25">
      <c r="A24" s="28"/>
      <c r="B24" s="18" t="s">
        <v>565</v>
      </c>
      <c r="C24" s="18" t="s">
        <v>128</v>
      </c>
      <c r="D24" s="26" t="s">
        <v>129</v>
      </c>
      <c r="E24" s="24" t="s">
        <v>130</v>
      </c>
      <c r="F24" s="20">
        <v>44835</v>
      </c>
      <c r="G24" s="18" t="s">
        <v>131</v>
      </c>
      <c r="H24" s="19"/>
      <c r="I24" s="19" t="s">
        <v>121</v>
      </c>
      <c r="J24" s="19" t="s">
        <v>66</v>
      </c>
      <c r="K24" s="21"/>
      <c r="L24" s="21"/>
      <c r="M24" s="21"/>
      <c r="N24" s="22"/>
      <c r="O24" s="21"/>
      <c r="P24" s="21"/>
      <c r="Q24" s="21"/>
      <c r="R24" s="21"/>
      <c r="S24" s="21"/>
      <c r="T24" s="21"/>
    </row>
    <row r="25" spans="1:20" s="23" customFormat="1" ht="45" customHeight="1" x14ac:dyDescent="0.25">
      <c r="A25" s="28"/>
      <c r="B25" s="18" t="s">
        <v>132</v>
      </c>
      <c r="C25" s="19" t="s">
        <v>133</v>
      </c>
      <c r="D25" s="24" t="s">
        <v>134</v>
      </c>
      <c r="E25" s="24" t="s">
        <v>135</v>
      </c>
      <c r="F25" s="20">
        <v>44835</v>
      </c>
      <c r="G25" s="19" t="s">
        <v>136</v>
      </c>
      <c r="H25" s="19"/>
      <c r="I25" s="19" t="s">
        <v>121</v>
      </c>
      <c r="J25" s="19" t="s">
        <v>66</v>
      </c>
      <c r="K25" s="21"/>
      <c r="L25" s="21"/>
      <c r="M25" s="21"/>
      <c r="N25" s="22"/>
      <c r="O25" s="21"/>
      <c r="P25" s="21"/>
      <c r="Q25" s="21"/>
      <c r="R25" s="21"/>
      <c r="S25" s="21"/>
      <c r="T25" s="21"/>
    </row>
    <row r="26" spans="1:20" ht="25.5" x14ac:dyDescent="0.25">
      <c r="A26" s="72"/>
      <c r="B26" s="74" t="s">
        <v>2240</v>
      </c>
      <c r="C26" s="75" t="s">
        <v>2241</v>
      </c>
      <c r="D26" s="75" t="s">
        <v>2242</v>
      </c>
      <c r="E26" s="75" t="s">
        <v>2243</v>
      </c>
      <c r="F26" s="76" t="s">
        <v>2244</v>
      </c>
      <c r="G26" s="75" t="s">
        <v>2245</v>
      </c>
      <c r="H26" s="75" t="s">
        <v>2246</v>
      </c>
      <c r="I26" s="75" t="s">
        <v>65</v>
      </c>
      <c r="J26" s="75" t="s">
        <v>66</v>
      </c>
      <c r="K26" s="75" t="s">
        <v>2247</v>
      </c>
      <c r="L26" s="75" t="s">
        <v>2248</v>
      </c>
      <c r="M26" s="75" t="s">
        <v>2249</v>
      </c>
      <c r="N26" s="76" t="s">
        <v>2244</v>
      </c>
      <c r="O26" s="75" t="s">
        <v>2250</v>
      </c>
      <c r="P26" s="75" t="s">
        <v>2251</v>
      </c>
      <c r="Q26" s="75" t="s">
        <v>2252</v>
      </c>
      <c r="R26" s="75" t="s">
        <v>2253</v>
      </c>
      <c r="S26" s="75" t="s">
        <v>1149</v>
      </c>
      <c r="T26" s="75" t="s">
        <v>2254</v>
      </c>
    </row>
    <row r="27" spans="1:20" ht="30" x14ac:dyDescent="0.25">
      <c r="A27" s="72"/>
      <c r="B27" s="77" t="s">
        <v>2255</v>
      </c>
      <c r="C27" s="78" t="s">
        <v>2256</v>
      </c>
      <c r="D27" s="79" t="s">
        <v>2257</v>
      </c>
      <c r="E27" s="78" t="s">
        <v>2258</v>
      </c>
      <c r="F27" s="80"/>
      <c r="G27" s="78" t="s">
        <v>2259</v>
      </c>
      <c r="H27" s="78"/>
      <c r="I27" s="78" t="s">
        <v>2260</v>
      </c>
      <c r="J27" s="78" t="s">
        <v>66</v>
      </c>
      <c r="K27" s="78"/>
      <c r="L27" s="78" t="s">
        <v>2261</v>
      </c>
      <c r="M27" s="78"/>
      <c r="N27" s="80"/>
      <c r="O27" s="78"/>
      <c r="P27" s="78"/>
      <c r="Q27" s="78"/>
      <c r="R27" s="78"/>
      <c r="S27" s="78"/>
      <c r="T27" s="78"/>
    </row>
    <row r="28" spans="1:20" ht="45" x14ac:dyDescent="0.25">
      <c r="A28" s="72"/>
      <c r="B28" s="73" t="s">
        <v>2262</v>
      </c>
      <c r="C28" s="81" t="s">
        <v>2263</v>
      </c>
      <c r="D28" s="81" t="s">
        <v>2264</v>
      </c>
      <c r="E28" s="81" t="s">
        <v>2265</v>
      </c>
      <c r="F28" s="81" t="s">
        <v>2266</v>
      </c>
      <c r="G28" s="81" t="s">
        <v>2259</v>
      </c>
      <c r="H28" s="81" t="s">
        <v>2267</v>
      </c>
      <c r="I28" s="81" t="s">
        <v>2268</v>
      </c>
      <c r="J28" s="81" t="s">
        <v>66</v>
      </c>
      <c r="K28" s="81" t="s">
        <v>2269</v>
      </c>
      <c r="L28" s="81" t="s">
        <v>2270</v>
      </c>
      <c r="M28" s="82"/>
      <c r="N28" s="82"/>
      <c r="O28" s="82"/>
      <c r="P28" s="82"/>
      <c r="Q28" s="82"/>
      <c r="R28" s="82"/>
      <c r="S28" s="82"/>
      <c r="T28" s="82"/>
    </row>
    <row r="29" spans="1:20" ht="30" x14ac:dyDescent="0.25">
      <c r="A29" s="72"/>
      <c r="B29" s="73" t="s">
        <v>2271</v>
      </c>
      <c r="C29" s="81" t="s">
        <v>2272</v>
      </c>
      <c r="D29" s="81" t="s">
        <v>2273</v>
      </c>
      <c r="E29" s="81" t="s">
        <v>2274</v>
      </c>
      <c r="F29" s="81" t="s">
        <v>2266</v>
      </c>
      <c r="G29" s="81" t="s">
        <v>2259</v>
      </c>
      <c r="H29" s="81" t="s">
        <v>2275</v>
      </c>
      <c r="I29" s="81" t="s">
        <v>2268</v>
      </c>
      <c r="J29" s="81" t="s">
        <v>66</v>
      </c>
      <c r="K29" s="81" t="s">
        <v>2276</v>
      </c>
      <c r="L29" s="81" t="s">
        <v>2277</v>
      </c>
      <c r="M29" s="82"/>
      <c r="N29" s="82"/>
      <c r="O29" s="82"/>
      <c r="P29" s="82"/>
      <c r="Q29" s="82"/>
      <c r="R29" s="82"/>
      <c r="S29" s="82"/>
      <c r="T29" s="82"/>
    </row>
    <row r="30" spans="1:20" ht="45" x14ac:dyDescent="0.25">
      <c r="A30" s="72"/>
      <c r="B30" s="73" t="s">
        <v>2278</v>
      </c>
      <c r="C30" s="81" t="s">
        <v>2279</v>
      </c>
      <c r="D30" s="81" t="s">
        <v>2280</v>
      </c>
      <c r="E30" s="81" t="s">
        <v>2281</v>
      </c>
      <c r="F30" s="81" t="s">
        <v>2266</v>
      </c>
      <c r="G30" s="81" t="s">
        <v>2259</v>
      </c>
      <c r="H30" s="81" t="s">
        <v>2282</v>
      </c>
      <c r="I30" s="81" t="s">
        <v>2283</v>
      </c>
      <c r="J30" s="81" t="s">
        <v>2284</v>
      </c>
      <c r="K30" s="81" t="s">
        <v>2269</v>
      </c>
      <c r="L30" s="81" t="s">
        <v>2285</v>
      </c>
      <c r="M30" s="82"/>
      <c r="N30" s="82"/>
      <c r="O30" s="82"/>
      <c r="P30" s="82"/>
      <c r="Q30" s="82"/>
      <c r="R30" s="82"/>
      <c r="S30" s="82"/>
      <c r="T30" s="82"/>
    </row>
    <row r="31" spans="1:20" ht="30" x14ac:dyDescent="0.25">
      <c r="A31" s="72"/>
      <c r="B31" s="73" t="s">
        <v>2286</v>
      </c>
      <c r="C31" s="81" t="s">
        <v>2287</v>
      </c>
      <c r="D31" s="81" t="s">
        <v>2288</v>
      </c>
      <c r="E31" s="81" t="s">
        <v>2265</v>
      </c>
      <c r="F31" s="81" t="s">
        <v>2266</v>
      </c>
      <c r="G31" s="81" t="s">
        <v>2259</v>
      </c>
      <c r="H31" s="81" t="s">
        <v>2289</v>
      </c>
      <c r="I31" s="81" t="s">
        <v>2290</v>
      </c>
      <c r="J31" s="81" t="s">
        <v>2291</v>
      </c>
      <c r="K31" s="81" t="s">
        <v>2292</v>
      </c>
      <c r="L31" s="81" t="s">
        <v>2293</v>
      </c>
      <c r="M31" s="82"/>
      <c r="N31" s="82"/>
      <c r="O31" s="82"/>
      <c r="P31" s="82"/>
      <c r="Q31" s="82"/>
      <c r="R31" s="82"/>
      <c r="S31" s="82"/>
      <c r="T31" s="82"/>
    </row>
    <row r="32" spans="1:20" ht="31.5" x14ac:dyDescent="0.25">
      <c r="B32" s="97" t="s">
        <v>2240</v>
      </c>
      <c r="C32" s="98" t="s">
        <v>2241</v>
      </c>
      <c r="D32" s="98" t="s">
        <v>2242</v>
      </c>
      <c r="E32" s="98" t="s">
        <v>2243</v>
      </c>
      <c r="F32" s="99" t="s">
        <v>2244</v>
      </c>
      <c r="G32" s="98" t="s">
        <v>2245</v>
      </c>
      <c r="H32" s="98" t="s">
        <v>2246</v>
      </c>
      <c r="I32" s="98" t="s">
        <v>65</v>
      </c>
      <c r="J32" s="98" t="s">
        <v>66</v>
      </c>
      <c r="K32" s="98" t="s">
        <v>2247</v>
      </c>
      <c r="L32" s="98" t="s">
        <v>2248</v>
      </c>
      <c r="M32" s="98" t="s">
        <v>2249</v>
      </c>
      <c r="N32" s="99" t="s">
        <v>2244</v>
      </c>
      <c r="O32" s="98" t="s">
        <v>2250</v>
      </c>
      <c r="P32" s="98" t="s">
        <v>2251</v>
      </c>
      <c r="Q32" s="98" t="s">
        <v>2252</v>
      </c>
      <c r="R32" s="98" t="s">
        <v>2253</v>
      </c>
      <c r="S32" s="98" t="s">
        <v>1149</v>
      </c>
      <c r="T32" s="98" t="s">
        <v>2254</v>
      </c>
    </row>
    <row r="33" spans="2:20" ht="31.5" x14ac:dyDescent="0.25">
      <c r="B33" s="100" t="s">
        <v>2445</v>
      </c>
      <c r="C33" s="101" t="s">
        <v>2446</v>
      </c>
      <c r="D33" s="101"/>
      <c r="E33" s="101" t="s">
        <v>2258</v>
      </c>
      <c r="F33" s="102">
        <v>44287</v>
      </c>
      <c r="G33" s="101" t="s">
        <v>2245</v>
      </c>
      <c r="H33" s="101"/>
      <c r="I33" s="101" t="s">
        <v>2260</v>
      </c>
      <c r="J33" s="101" t="s">
        <v>66</v>
      </c>
      <c r="K33" s="101"/>
      <c r="L33" s="101" t="s">
        <v>2261</v>
      </c>
      <c r="M33" s="101"/>
      <c r="N33" s="102"/>
      <c r="O33" s="101"/>
      <c r="P33" s="101"/>
      <c r="Q33" s="101"/>
      <c r="R33" s="101"/>
      <c r="S33" s="101"/>
      <c r="T33" s="101"/>
    </row>
    <row r="34" spans="2:20" ht="15.75" x14ac:dyDescent="0.25">
      <c r="B34" s="100" t="s">
        <v>2447</v>
      </c>
      <c r="C34" s="101" t="s">
        <v>2448</v>
      </c>
      <c r="D34" s="101"/>
      <c r="E34" s="101" t="s">
        <v>2449</v>
      </c>
      <c r="F34" s="102"/>
      <c r="G34" s="101" t="s">
        <v>2245</v>
      </c>
      <c r="H34" s="101" t="s">
        <v>2450</v>
      </c>
      <c r="I34" s="101" t="s">
        <v>72</v>
      </c>
      <c r="J34" s="101" t="s">
        <v>66</v>
      </c>
      <c r="K34" s="101"/>
      <c r="L34" s="101" t="s">
        <v>2261</v>
      </c>
      <c r="M34" s="101"/>
      <c r="N34" s="102"/>
      <c r="O34" s="101"/>
      <c r="P34" s="101"/>
      <c r="Q34" s="101"/>
      <c r="R34" s="101"/>
      <c r="S34" s="101"/>
      <c r="T34" s="101"/>
    </row>
    <row r="35" spans="2:20" ht="31.5" x14ac:dyDescent="0.25">
      <c r="B35" s="100" t="s">
        <v>2451</v>
      </c>
      <c r="C35" s="101" t="s">
        <v>2452</v>
      </c>
      <c r="D35" s="101"/>
      <c r="E35" s="101" t="s">
        <v>2453</v>
      </c>
      <c r="F35" s="102"/>
      <c r="G35" s="101" t="s">
        <v>2245</v>
      </c>
      <c r="H35" s="101" t="s">
        <v>2450</v>
      </c>
      <c r="I35" s="101" t="s">
        <v>72</v>
      </c>
      <c r="J35" s="101" t="s">
        <v>66</v>
      </c>
      <c r="K35" s="101"/>
      <c r="L35" s="101" t="s">
        <v>2261</v>
      </c>
      <c r="M35" s="101"/>
      <c r="N35" s="102"/>
      <c r="O35" s="101"/>
      <c r="P35" s="101"/>
      <c r="Q35" s="101"/>
      <c r="R35" s="101"/>
      <c r="S35" s="101"/>
      <c r="T35" s="101"/>
    </row>
    <row r="36" spans="2:20" ht="31.5" x14ac:dyDescent="0.25">
      <c r="B36" s="100" t="s">
        <v>2454</v>
      </c>
      <c r="C36" s="101" t="s">
        <v>2455</v>
      </c>
      <c r="D36" s="101"/>
      <c r="E36" s="101" t="s">
        <v>2456</v>
      </c>
      <c r="F36" s="102"/>
      <c r="G36" s="101" t="s">
        <v>2245</v>
      </c>
      <c r="H36" s="101" t="s">
        <v>2450</v>
      </c>
      <c r="I36" s="101" t="s">
        <v>72</v>
      </c>
      <c r="J36" s="101" t="s">
        <v>66</v>
      </c>
      <c r="K36" s="101"/>
      <c r="L36" s="101" t="s">
        <v>2261</v>
      </c>
      <c r="M36" s="101"/>
      <c r="N36" s="102"/>
      <c r="O36" s="101"/>
      <c r="P36" s="101"/>
      <c r="Q36" s="101"/>
      <c r="R36" s="101"/>
      <c r="S36" s="101"/>
      <c r="T36" s="101"/>
    </row>
    <row r="37" spans="2:20" ht="15.75" x14ac:dyDescent="0.25">
      <c r="B37" s="100" t="s">
        <v>2457</v>
      </c>
      <c r="C37" s="101" t="s">
        <v>2458</v>
      </c>
      <c r="D37" s="101"/>
      <c r="E37" s="101" t="s">
        <v>2459</v>
      </c>
      <c r="F37" s="102"/>
      <c r="G37" s="101" t="s">
        <v>2245</v>
      </c>
      <c r="H37" s="101" t="s">
        <v>2450</v>
      </c>
      <c r="I37" s="101" t="s">
        <v>72</v>
      </c>
      <c r="J37" s="101" t="s">
        <v>66</v>
      </c>
      <c r="K37" s="101"/>
      <c r="L37" s="101" t="s">
        <v>2261</v>
      </c>
      <c r="M37" s="101"/>
      <c r="N37" s="102"/>
      <c r="O37" s="101"/>
      <c r="P37" s="101"/>
      <c r="Q37" s="101"/>
      <c r="R37" s="101"/>
      <c r="S37" s="101"/>
      <c r="T37" s="101"/>
    </row>
    <row r="38" spans="2:20" ht="31.5" x14ac:dyDescent="0.25">
      <c r="B38" s="100" t="s">
        <v>2460</v>
      </c>
      <c r="C38" s="101" t="s">
        <v>2461</v>
      </c>
      <c r="D38" s="101"/>
      <c r="E38" s="101" t="s">
        <v>2258</v>
      </c>
      <c r="F38" s="102">
        <v>42377</v>
      </c>
      <c r="G38" s="101" t="s">
        <v>2245</v>
      </c>
      <c r="H38" s="101"/>
      <c r="I38" s="101" t="s">
        <v>2260</v>
      </c>
      <c r="J38" s="101" t="s">
        <v>66</v>
      </c>
      <c r="K38" s="101"/>
      <c r="L38" s="101" t="s">
        <v>2261</v>
      </c>
      <c r="M38" s="101"/>
      <c r="N38" s="102"/>
      <c r="O38" s="101"/>
      <c r="P38" s="101"/>
      <c r="Q38" s="101"/>
      <c r="R38" s="101"/>
      <c r="S38" s="101"/>
      <c r="T38" s="101"/>
    </row>
    <row r="39" spans="2:20" ht="31.5" x14ac:dyDescent="0.25">
      <c r="B39" s="100" t="s">
        <v>2462</v>
      </c>
      <c r="C39" s="101" t="s">
        <v>2463</v>
      </c>
      <c r="D39" s="101"/>
      <c r="E39" s="101" t="s">
        <v>2464</v>
      </c>
      <c r="F39" s="102">
        <v>38795</v>
      </c>
      <c r="G39" s="101" t="s">
        <v>2245</v>
      </c>
      <c r="H39" s="101" t="s">
        <v>2450</v>
      </c>
      <c r="I39" s="101" t="s">
        <v>72</v>
      </c>
      <c r="J39" s="101" t="s">
        <v>66</v>
      </c>
      <c r="K39" s="101"/>
      <c r="L39" s="101" t="s">
        <v>2261</v>
      </c>
      <c r="M39" s="101"/>
      <c r="N39" s="102"/>
      <c r="O39" s="101"/>
      <c r="P39" s="101"/>
      <c r="Q39" s="101"/>
      <c r="R39" s="101"/>
      <c r="S39" s="101"/>
      <c r="T39" s="101"/>
    </row>
    <row r="40" spans="2:20" ht="47.25" x14ac:dyDescent="0.25">
      <c r="B40" s="100" t="s">
        <v>2465</v>
      </c>
      <c r="C40" s="101" t="s">
        <v>2466</v>
      </c>
      <c r="D40" s="101"/>
      <c r="E40" s="101" t="s">
        <v>2467</v>
      </c>
      <c r="F40" s="102">
        <v>42644</v>
      </c>
      <c r="G40" s="101" t="s">
        <v>2245</v>
      </c>
      <c r="H40" s="101"/>
      <c r="I40" s="101" t="s">
        <v>65</v>
      </c>
      <c r="J40" s="101" t="s">
        <v>66</v>
      </c>
      <c r="K40" s="101"/>
      <c r="L40" s="101" t="s">
        <v>2261</v>
      </c>
      <c r="M40" s="101"/>
      <c r="N40" s="102"/>
      <c r="O40" s="101"/>
      <c r="P40" s="101"/>
      <c r="Q40" s="101"/>
      <c r="R40" s="101"/>
      <c r="S40" s="101"/>
      <c r="T40" s="101"/>
    </row>
    <row r="41" spans="2:20" ht="31.5" x14ac:dyDescent="0.25">
      <c r="B41" s="100" t="s">
        <v>2468</v>
      </c>
      <c r="C41" s="101" t="s">
        <v>2469</v>
      </c>
      <c r="D41" s="101" t="s">
        <v>2470</v>
      </c>
      <c r="E41" s="101" t="s">
        <v>2258</v>
      </c>
      <c r="F41" s="102"/>
      <c r="G41" s="101" t="s">
        <v>2245</v>
      </c>
      <c r="H41" s="101"/>
      <c r="I41" s="101" t="s">
        <v>2260</v>
      </c>
      <c r="J41" s="101" t="s">
        <v>66</v>
      </c>
      <c r="K41" s="101"/>
      <c r="L41" s="101" t="s">
        <v>2261</v>
      </c>
      <c r="M41" s="101"/>
      <c r="N41" s="102"/>
      <c r="O41" s="101"/>
      <c r="P41" s="101"/>
      <c r="Q41" s="101"/>
      <c r="R41" s="101"/>
      <c r="S41" s="101"/>
      <c r="T41" s="101"/>
    </row>
    <row r="42" spans="2:20" ht="47.25" x14ac:dyDescent="0.25">
      <c r="B42" s="100" t="s">
        <v>2471</v>
      </c>
      <c r="C42" s="101" t="s">
        <v>2472</v>
      </c>
      <c r="D42" s="104" t="s">
        <v>2473</v>
      </c>
      <c r="E42" s="101" t="s">
        <v>2474</v>
      </c>
      <c r="F42" s="102"/>
      <c r="G42" s="101" t="s">
        <v>2245</v>
      </c>
      <c r="H42" s="101"/>
      <c r="I42" s="101" t="s">
        <v>2260</v>
      </c>
      <c r="J42" s="101" t="s">
        <v>66</v>
      </c>
      <c r="K42" s="101"/>
      <c r="L42" s="101" t="s">
        <v>2261</v>
      </c>
      <c r="M42" s="101"/>
      <c r="N42" s="102"/>
      <c r="O42" s="101"/>
      <c r="P42" s="101"/>
      <c r="Q42" s="101"/>
      <c r="R42" s="101"/>
      <c r="S42" s="101"/>
      <c r="T42" s="101"/>
    </row>
    <row r="43" spans="2:20" ht="47.25" x14ac:dyDescent="0.25">
      <c r="B43" s="100" t="s">
        <v>2475</v>
      </c>
      <c r="C43" s="101" t="s">
        <v>2472</v>
      </c>
      <c r="D43" s="104" t="s">
        <v>2476</v>
      </c>
      <c r="E43" s="101" t="s">
        <v>2258</v>
      </c>
      <c r="F43" s="102"/>
      <c r="G43" s="101" t="s">
        <v>2245</v>
      </c>
      <c r="H43" s="101"/>
      <c r="I43" s="101" t="s">
        <v>2260</v>
      </c>
      <c r="J43" s="101" t="s">
        <v>66</v>
      </c>
      <c r="K43" s="101"/>
      <c r="L43" s="101" t="s">
        <v>2261</v>
      </c>
      <c r="M43" s="101"/>
      <c r="N43" s="102"/>
      <c r="O43" s="101"/>
      <c r="P43" s="101"/>
      <c r="Q43" s="101"/>
      <c r="R43" s="101"/>
      <c r="S43" s="101"/>
      <c r="T43" s="101"/>
    </row>
    <row r="44" spans="2:20" ht="63" x14ac:dyDescent="0.25">
      <c r="B44" s="100" t="s">
        <v>2477</v>
      </c>
      <c r="C44" s="101" t="s">
        <v>2478</v>
      </c>
      <c r="D44" s="101" t="s">
        <v>2470</v>
      </c>
      <c r="E44" s="101" t="s">
        <v>2479</v>
      </c>
      <c r="F44" s="102"/>
      <c r="G44" s="101" t="s">
        <v>2245</v>
      </c>
      <c r="H44" s="101"/>
      <c r="I44" s="101" t="s">
        <v>2260</v>
      </c>
      <c r="J44" s="101" t="s">
        <v>66</v>
      </c>
      <c r="K44" s="101"/>
      <c r="L44" s="101" t="s">
        <v>2261</v>
      </c>
      <c r="M44" s="101"/>
      <c r="N44" s="102"/>
      <c r="O44" s="101"/>
      <c r="P44" s="101"/>
      <c r="Q44" s="101"/>
      <c r="R44" s="101"/>
      <c r="S44" s="101"/>
      <c r="T44" s="101"/>
    </row>
    <row r="45" spans="2:20" ht="31.5" x14ac:dyDescent="0.25">
      <c r="B45" s="100" t="s">
        <v>2480</v>
      </c>
      <c r="C45" s="101" t="s">
        <v>2481</v>
      </c>
      <c r="D45" s="101" t="s">
        <v>2470</v>
      </c>
      <c r="E45" s="101" t="s">
        <v>2258</v>
      </c>
      <c r="F45" s="102"/>
      <c r="G45" s="101" t="s">
        <v>2245</v>
      </c>
      <c r="H45" s="101"/>
      <c r="I45" s="101" t="s">
        <v>72</v>
      </c>
      <c r="J45" s="101" t="s">
        <v>66</v>
      </c>
      <c r="K45" s="101"/>
      <c r="L45" s="101" t="s">
        <v>2261</v>
      </c>
      <c r="M45" s="101"/>
      <c r="N45" s="102"/>
      <c r="O45" s="101"/>
      <c r="P45" s="101"/>
      <c r="Q45" s="101"/>
      <c r="R45" s="101"/>
      <c r="S45" s="101"/>
      <c r="T45" s="101"/>
    </row>
    <row r="46" spans="2:20" ht="63" x14ac:dyDescent="0.25">
      <c r="B46" s="105" t="s">
        <v>2482</v>
      </c>
      <c r="C46" s="106" t="s">
        <v>2483</v>
      </c>
      <c r="D46" s="107" t="s">
        <v>2264</v>
      </c>
      <c r="E46" s="108" t="s">
        <v>2265</v>
      </c>
      <c r="F46" s="108" t="s">
        <v>2266</v>
      </c>
      <c r="G46" s="108" t="s">
        <v>2245</v>
      </c>
      <c r="H46" s="108" t="s">
        <v>2484</v>
      </c>
      <c r="I46" s="108" t="s">
        <v>2268</v>
      </c>
      <c r="J46" s="108" t="s">
        <v>66</v>
      </c>
      <c r="K46" s="108" t="s">
        <v>2485</v>
      </c>
      <c r="L46" s="108" t="s">
        <v>2486</v>
      </c>
      <c r="M46" s="109"/>
      <c r="N46" s="102"/>
      <c r="O46" s="101"/>
      <c r="P46" s="101"/>
      <c r="Q46" s="101"/>
      <c r="R46" s="110"/>
      <c r="S46" s="111"/>
      <c r="T46" s="101"/>
    </row>
    <row r="47" spans="2:20" ht="63" x14ac:dyDescent="0.25">
      <c r="B47" s="112" t="s">
        <v>2487</v>
      </c>
      <c r="C47" s="108" t="s">
        <v>2488</v>
      </c>
      <c r="D47" s="108" t="s">
        <v>2489</v>
      </c>
      <c r="E47" s="108" t="s">
        <v>2490</v>
      </c>
      <c r="F47" s="108" t="s">
        <v>2491</v>
      </c>
      <c r="G47" s="108" t="s">
        <v>2245</v>
      </c>
      <c r="H47" s="108" t="s">
        <v>2492</v>
      </c>
      <c r="I47" s="108" t="s">
        <v>2493</v>
      </c>
      <c r="J47" s="108" t="s">
        <v>66</v>
      </c>
      <c r="K47" s="108" t="s">
        <v>2494</v>
      </c>
      <c r="L47" s="108" t="s">
        <v>2495</v>
      </c>
      <c r="M47" s="109"/>
      <c r="N47" s="102"/>
      <c r="O47" s="101"/>
      <c r="P47" s="101"/>
      <c r="Q47" s="101"/>
      <c r="R47" s="101"/>
      <c r="S47" s="101"/>
      <c r="T47" s="101"/>
    </row>
    <row r="48" spans="2:20" ht="31.5" x14ac:dyDescent="0.25">
      <c r="B48" s="112" t="s">
        <v>2496</v>
      </c>
      <c r="C48" s="108" t="s">
        <v>2497</v>
      </c>
      <c r="D48" s="108" t="s">
        <v>2498</v>
      </c>
      <c r="E48" s="108" t="s">
        <v>2499</v>
      </c>
      <c r="F48" s="108" t="s">
        <v>2500</v>
      </c>
      <c r="G48" s="108" t="s">
        <v>2245</v>
      </c>
      <c r="H48" s="108" t="s">
        <v>2501</v>
      </c>
      <c r="I48" s="108" t="s">
        <v>2502</v>
      </c>
      <c r="J48" s="108" t="s">
        <v>66</v>
      </c>
      <c r="K48" s="108" t="s">
        <v>2503</v>
      </c>
      <c r="L48" s="108" t="s">
        <v>2270</v>
      </c>
      <c r="M48" s="109"/>
      <c r="N48" s="102"/>
      <c r="O48" s="101"/>
      <c r="P48" s="101"/>
      <c r="Q48" s="101"/>
      <c r="R48" s="101"/>
      <c r="S48" s="101"/>
      <c r="T48" s="101"/>
    </row>
    <row r="49" spans="2:20" ht="63" x14ac:dyDescent="0.25">
      <c r="B49" s="112" t="s">
        <v>2504</v>
      </c>
      <c r="C49" s="108" t="s">
        <v>2478</v>
      </c>
      <c r="D49" s="108" t="s">
        <v>2505</v>
      </c>
      <c r="E49" s="108" t="s">
        <v>2506</v>
      </c>
      <c r="F49" s="108" t="s">
        <v>2491</v>
      </c>
      <c r="G49" s="108" t="s">
        <v>2245</v>
      </c>
      <c r="H49" s="108" t="s">
        <v>2507</v>
      </c>
      <c r="I49" s="108" t="s">
        <v>2508</v>
      </c>
      <c r="J49" s="108" t="s">
        <v>66</v>
      </c>
      <c r="K49" s="108" t="s">
        <v>2269</v>
      </c>
      <c r="L49" s="108" t="s">
        <v>2509</v>
      </c>
      <c r="M49" s="109"/>
      <c r="N49" s="102"/>
      <c r="O49" s="101"/>
      <c r="P49" s="101"/>
      <c r="Q49" s="101"/>
      <c r="R49" s="101"/>
      <c r="S49" s="101"/>
      <c r="T49" s="101"/>
    </row>
    <row r="50" spans="2:20" ht="31.5" x14ac:dyDescent="0.25">
      <c r="B50" s="112" t="s">
        <v>2510</v>
      </c>
      <c r="C50" s="108" t="s">
        <v>2511</v>
      </c>
      <c r="D50" s="108" t="s">
        <v>2512</v>
      </c>
      <c r="E50" s="108" t="s">
        <v>2513</v>
      </c>
      <c r="F50" s="108" t="s">
        <v>2514</v>
      </c>
      <c r="G50" s="108" t="s">
        <v>2245</v>
      </c>
      <c r="H50" s="108" t="s">
        <v>2515</v>
      </c>
      <c r="I50" s="108" t="s">
        <v>2516</v>
      </c>
      <c r="J50" s="108" t="s">
        <v>66</v>
      </c>
      <c r="K50" s="108" t="s">
        <v>2517</v>
      </c>
      <c r="L50" s="108" t="s">
        <v>2518</v>
      </c>
      <c r="M50" s="109"/>
      <c r="N50" s="102"/>
      <c r="O50" s="101"/>
      <c r="P50" s="101"/>
      <c r="Q50" s="101"/>
      <c r="R50" s="101"/>
      <c r="S50" s="101"/>
      <c r="T50" s="101"/>
    </row>
    <row r="51" spans="2:20" ht="31.5" x14ac:dyDescent="0.25">
      <c r="B51" s="113" t="s">
        <v>2519</v>
      </c>
      <c r="C51" s="114" t="s">
        <v>2520</v>
      </c>
      <c r="D51" s="108" t="s">
        <v>2512</v>
      </c>
      <c r="E51" s="108" t="s">
        <v>2513</v>
      </c>
      <c r="F51" s="108" t="s">
        <v>2514</v>
      </c>
      <c r="G51" s="108" t="s">
        <v>2245</v>
      </c>
      <c r="H51" s="108" t="s">
        <v>2521</v>
      </c>
      <c r="I51" s="108" t="s">
        <v>2522</v>
      </c>
      <c r="J51" s="108" t="s">
        <v>66</v>
      </c>
      <c r="K51" s="108" t="s">
        <v>2523</v>
      </c>
      <c r="L51" s="108" t="s">
        <v>2285</v>
      </c>
      <c r="M51" s="109"/>
      <c r="N51" s="102"/>
      <c r="O51" s="101"/>
      <c r="P51" s="101"/>
      <c r="Q51" s="101"/>
      <c r="R51" s="101"/>
      <c r="S51" s="101"/>
      <c r="T51" s="101"/>
    </row>
    <row r="52" spans="2:20" ht="47.25" x14ac:dyDescent="0.25">
      <c r="B52" s="115" t="s">
        <v>2524</v>
      </c>
      <c r="C52" s="116" t="s">
        <v>2525</v>
      </c>
      <c r="D52" s="117" t="s">
        <v>2526</v>
      </c>
      <c r="E52" s="108" t="s">
        <v>2281</v>
      </c>
      <c r="F52" s="108" t="s">
        <v>2266</v>
      </c>
      <c r="G52" s="108" t="s">
        <v>2245</v>
      </c>
      <c r="H52" s="108" t="s">
        <v>2527</v>
      </c>
      <c r="I52" s="108" t="s">
        <v>2283</v>
      </c>
      <c r="J52" s="108" t="s">
        <v>2284</v>
      </c>
      <c r="K52" s="108" t="s">
        <v>2503</v>
      </c>
      <c r="L52" s="108" t="s">
        <v>2528</v>
      </c>
      <c r="M52" s="109"/>
      <c r="N52" s="102"/>
      <c r="O52" s="101"/>
      <c r="P52" s="101"/>
      <c r="Q52" s="101"/>
      <c r="R52" s="101"/>
      <c r="S52" s="101"/>
      <c r="T52" s="101"/>
    </row>
    <row r="53" spans="2:20" ht="31.5" x14ac:dyDescent="0.25">
      <c r="B53" s="118" t="s">
        <v>2529</v>
      </c>
      <c r="C53" s="119" t="s">
        <v>2530</v>
      </c>
      <c r="D53" s="117" t="s">
        <v>2288</v>
      </c>
      <c r="E53" s="108" t="s">
        <v>2265</v>
      </c>
      <c r="F53" s="108" t="s">
        <v>2266</v>
      </c>
      <c r="G53" s="108" t="s">
        <v>2245</v>
      </c>
      <c r="H53" s="108" t="s">
        <v>2531</v>
      </c>
      <c r="I53" s="108" t="s">
        <v>2290</v>
      </c>
      <c r="J53" s="108" t="s">
        <v>2291</v>
      </c>
      <c r="K53" s="108" t="s">
        <v>2269</v>
      </c>
      <c r="L53" s="108" t="s">
        <v>2285</v>
      </c>
      <c r="M53" s="109"/>
      <c r="N53" s="102"/>
      <c r="O53" s="101"/>
      <c r="P53" s="101"/>
      <c r="Q53" s="101"/>
      <c r="R53" s="101"/>
      <c r="S53" s="101"/>
      <c r="T53" s="101"/>
    </row>
    <row r="54" spans="2:20" ht="47.25" x14ac:dyDescent="0.25">
      <c r="B54" s="96" t="s">
        <v>2532</v>
      </c>
      <c r="C54" s="108" t="s">
        <v>2533</v>
      </c>
      <c r="D54" s="108" t="s">
        <v>2534</v>
      </c>
      <c r="E54" s="108" t="s">
        <v>2513</v>
      </c>
      <c r="F54" s="108" t="s">
        <v>2535</v>
      </c>
      <c r="G54" s="108" t="s">
        <v>2245</v>
      </c>
      <c r="H54" s="108" t="s">
        <v>2536</v>
      </c>
      <c r="I54" s="108" t="s">
        <v>2537</v>
      </c>
      <c r="J54" s="108" t="s">
        <v>2538</v>
      </c>
      <c r="K54" s="108" t="s">
        <v>2539</v>
      </c>
      <c r="L54" s="108" t="s">
        <v>2540</v>
      </c>
      <c r="M54" s="103"/>
      <c r="N54" s="103"/>
      <c r="O54" s="103"/>
      <c r="P54" s="103"/>
      <c r="Q54" s="103"/>
      <c r="R54" s="103"/>
      <c r="S54" s="103"/>
      <c r="T54" s="103"/>
    </row>
    <row r="55" spans="2:20" ht="15.75" x14ac:dyDescent="0.25">
      <c r="B55" s="96"/>
      <c r="C55" s="96"/>
      <c r="D55" s="96"/>
      <c r="E55" s="96"/>
      <c r="F55" s="96"/>
      <c r="G55" s="96"/>
      <c r="H55" s="96"/>
      <c r="I55" s="96"/>
      <c r="J55" s="96"/>
      <c r="K55" s="96"/>
      <c r="L55" s="96"/>
      <c r="M55" s="96"/>
      <c r="N55" s="96"/>
      <c r="O55" s="96"/>
      <c r="P55" s="96"/>
      <c r="Q55" s="96"/>
      <c r="R55" s="96"/>
      <c r="S55" s="96"/>
      <c r="T55" s="96"/>
    </row>
    <row r="56" spans="2:20" ht="84" x14ac:dyDescent="0.25">
      <c r="B56" s="129" t="s">
        <v>2240</v>
      </c>
      <c r="C56" s="130" t="s">
        <v>2241</v>
      </c>
      <c r="D56" s="130" t="s">
        <v>2242</v>
      </c>
      <c r="E56" s="130" t="s">
        <v>2243</v>
      </c>
      <c r="F56" s="131" t="s">
        <v>2244</v>
      </c>
      <c r="G56" s="130" t="s">
        <v>2245</v>
      </c>
      <c r="H56" s="130" t="s">
        <v>2246</v>
      </c>
      <c r="I56" s="130" t="s">
        <v>65</v>
      </c>
      <c r="J56" s="130" t="s">
        <v>66</v>
      </c>
      <c r="K56" s="130" t="s">
        <v>2247</v>
      </c>
      <c r="L56" s="130" t="s">
        <v>2248</v>
      </c>
      <c r="M56" s="130" t="s">
        <v>2249</v>
      </c>
      <c r="N56" s="131" t="s">
        <v>2244</v>
      </c>
      <c r="O56" s="130" t="s">
        <v>2250</v>
      </c>
      <c r="P56" s="130" t="s">
        <v>2251</v>
      </c>
      <c r="Q56" s="130" t="s">
        <v>2252</v>
      </c>
      <c r="R56" s="130" t="s">
        <v>2253</v>
      </c>
      <c r="S56" s="130" t="s">
        <v>1149</v>
      </c>
      <c r="T56" s="130" t="s">
        <v>2254</v>
      </c>
    </row>
    <row r="57" spans="2:20" ht="105" x14ac:dyDescent="0.25">
      <c r="B57" s="132" t="s">
        <v>4562</v>
      </c>
      <c r="C57" s="133" t="s">
        <v>4563</v>
      </c>
      <c r="D57" s="134" t="s">
        <v>4564</v>
      </c>
      <c r="E57" s="135" t="s">
        <v>4565</v>
      </c>
      <c r="F57" s="135"/>
      <c r="G57" s="135" t="s">
        <v>4566</v>
      </c>
      <c r="H57" s="135"/>
      <c r="I57" s="136" t="s">
        <v>2260</v>
      </c>
      <c r="J57" s="135" t="s">
        <v>66</v>
      </c>
      <c r="K57" s="135"/>
      <c r="L57" s="135"/>
      <c r="M57" s="135"/>
      <c r="N57" s="136"/>
      <c r="O57" s="135"/>
      <c r="P57" s="128"/>
      <c r="Q57" s="128"/>
      <c r="R57" s="128"/>
      <c r="S57" s="128"/>
      <c r="T57" s="128"/>
    </row>
    <row r="58" spans="2:20" ht="84" x14ac:dyDescent="0.25">
      <c r="B58" s="151" t="s">
        <v>2240</v>
      </c>
      <c r="C58" s="152" t="s">
        <v>2241</v>
      </c>
      <c r="D58" s="152" t="s">
        <v>2242</v>
      </c>
      <c r="E58" s="152" t="s">
        <v>2243</v>
      </c>
      <c r="F58" s="153" t="s">
        <v>2244</v>
      </c>
      <c r="G58" s="152" t="s">
        <v>2245</v>
      </c>
      <c r="H58" s="152" t="s">
        <v>2246</v>
      </c>
      <c r="I58" s="152" t="s">
        <v>65</v>
      </c>
      <c r="J58" s="152" t="s">
        <v>66</v>
      </c>
      <c r="K58" s="152" t="s">
        <v>2247</v>
      </c>
      <c r="L58" s="152" t="s">
        <v>2248</v>
      </c>
      <c r="M58" s="152" t="s">
        <v>2249</v>
      </c>
      <c r="N58" s="153" t="s">
        <v>2244</v>
      </c>
      <c r="O58" s="152" t="s">
        <v>2250</v>
      </c>
      <c r="P58" s="152" t="s">
        <v>2251</v>
      </c>
      <c r="Q58" s="152" t="s">
        <v>2252</v>
      </c>
      <c r="R58" s="152" t="s">
        <v>2253</v>
      </c>
      <c r="S58" s="152" t="s">
        <v>1149</v>
      </c>
      <c r="T58" s="152" t="s">
        <v>2254</v>
      </c>
    </row>
    <row r="59" spans="2:20" ht="84" x14ac:dyDescent="0.25">
      <c r="B59" s="154" t="str">
        <f>"CROP-"&amp;TEXT(1,"000")</f>
        <v>CROP-001</v>
      </c>
      <c r="C59" s="155" t="s">
        <v>4887</v>
      </c>
      <c r="D59" s="156" t="s">
        <v>4888</v>
      </c>
      <c r="E59" s="157" t="s">
        <v>4889</v>
      </c>
      <c r="F59" s="158">
        <v>45575</v>
      </c>
      <c r="G59" s="155" t="s">
        <v>4890</v>
      </c>
      <c r="H59" s="155"/>
      <c r="I59" s="155" t="s">
        <v>72</v>
      </c>
      <c r="J59" s="155" t="s">
        <v>66</v>
      </c>
      <c r="K59" s="155"/>
      <c r="L59" s="157"/>
      <c r="M59" s="157"/>
      <c r="N59" s="159"/>
      <c r="O59" s="157"/>
      <c r="P59" s="155"/>
      <c r="Q59" s="155"/>
      <c r="R59" s="155"/>
      <c r="S59" s="155"/>
      <c r="T59" s="155"/>
    </row>
    <row r="60" spans="2:20" ht="63" x14ac:dyDescent="0.25">
      <c r="B60" s="154" t="str">
        <f>"CROP-"&amp;TEXT(2,"000")</f>
        <v>CROP-002</v>
      </c>
      <c r="C60" s="155" t="s">
        <v>4891</v>
      </c>
      <c r="D60" s="160" t="s">
        <v>4892</v>
      </c>
      <c r="E60" s="157" t="s">
        <v>4893</v>
      </c>
      <c r="F60" s="161">
        <v>45352</v>
      </c>
      <c r="G60" s="155" t="s">
        <v>4890</v>
      </c>
      <c r="H60" s="155"/>
      <c r="I60" s="155" t="s">
        <v>72</v>
      </c>
      <c r="J60" s="155" t="s">
        <v>66</v>
      </c>
      <c r="K60" s="155"/>
      <c r="L60" s="157"/>
      <c r="M60" s="157"/>
      <c r="N60" s="159"/>
      <c r="O60" s="157"/>
      <c r="P60" s="155"/>
      <c r="Q60" s="155"/>
      <c r="R60" s="155"/>
      <c r="S60" s="155"/>
      <c r="T60" s="155"/>
    </row>
    <row r="61" spans="2:20" ht="63" x14ac:dyDescent="0.25">
      <c r="B61" s="154" t="str">
        <f>"CROP-"&amp;TEXT(3,"000")</f>
        <v>CROP-003</v>
      </c>
      <c r="C61" s="155" t="s">
        <v>4894</v>
      </c>
      <c r="D61" s="156" t="s">
        <v>4895</v>
      </c>
      <c r="E61" s="157" t="s">
        <v>4893</v>
      </c>
      <c r="F61" s="161"/>
      <c r="G61" s="155" t="s">
        <v>4890</v>
      </c>
      <c r="H61" s="155"/>
      <c r="I61" s="155" t="s">
        <v>72</v>
      </c>
      <c r="J61" s="155" t="s">
        <v>66</v>
      </c>
      <c r="K61" s="155"/>
      <c r="L61" s="157"/>
      <c r="M61" s="157"/>
      <c r="N61" s="159"/>
      <c r="O61" s="157"/>
      <c r="P61" s="155"/>
      <c r="Q61" s="155"/>
      <c r="R61" s="155"/>
      <c r="S61" s="155"/>
      <c r="T61" s="155"/>
    </row>
    <row r="62" spans="2:20" ht="63" x14ac:dyDescent="0.25">
      <c r="B62" s="154" t="str">
        <f>"CROP-"&amp;TEXT(4,"000")</f>
        <v>CROP-004</v>
      </c>
      <c r="C62" s="155" t="s">
        <v>4896</v>
      </c>
      <c r="D62" s="160" t="s">
        <v>4897</v>
      </c>
      <c r="E62" s="157" t="s">
        <v>4893</v>
      </c>
      <c r="F62" s="161">
        <v>45444</v>
      </c>
      <c r="G62" s="155" t="s">
        <v>4890</v>
      </c>
      <c r="H62" s="155"/>
      <c r="I62" s="155" t="s">
        <v>72</v>
      </c>
      <c r="J62" s="155" t="s">
        <v>66</v>
      </c>
      <c r="K62" s="155"/>
      <c r="L62" s="162"/>
      <c r="M62" s="162"/>
      <c r="N62" s="163"/>
      <c r="O62" s="162"/>
      <c r="P62" s="155"/>
      <c r="Q62" s="155"/>
      <c r="R62" s="155"/>
      <c r="S62" s="155"/>
      <c r="T62" s="155"/>
    </row>
    <row r="63" spans="2:20" ht="63" x14ac:dyDescent="0.25">
      <c r="B63" s="154" t="str">
        <f>"CROP-"&amp;TEXT(5,"000")</f>
        <v>CROP-005</v>
      </c>
      <c r="C63" s="155" t="s">
        <v>4898</v>
      </c>
      <c r="D63" s="160" t="s">
        <v>4899</v>
      </c>
      <c r="E63" s="157" t="s">
        <v>4889</v>
      </c>
      <c r="F63" s="161">
        <v>45444</v>
      </c>
      <c r="G63" s="155" t="s">
        <v>4890</v>
      </c>
      <c r="H63" s="155"/>
      <c r="I63" s="155" t="s">
        <v>72</v>
      </c>
      <c r="J63" s="155" t="s">
        <v>66</v>
      </c>
      <c r="K63" s="155"/>
      <c r="L63" s="162"/>
      <c r="M63" s="162"/>
      <c r="N63" s="163"/>
      <c r="O63" s="162"/>
      <c r="P63" s="155"/>
      <c r="Q63" s="155"/>
      <c r="R63" s="155"/>
      <c r="S63" s="155"/>
      <c r="T63" s="155"/>
    </row>
    <row r="64" spans="2:20" ht="105" x14ac:dyDescent="0.25">
      <c r="B64" s="154" t="str">
        <f>"CROP-"&amp;TEXT(6,"000")</f>
        <v>CROP-006</v>
      </c>
      <c r="C64" s="155" t="s">
        <v>4900</v>
      </c>
      <c r="D64" s="156" t="s">
        <v>4901</v>
      </c>
      <c r="E64" s="157" t="s">
        <v>4902</v>
      </c>
      <c r="F64" s="161">
        <v>45444</v>
      </c>
      <c r="G64" s="155" t="s">
        <v>4890</v>
      </c>
      <c r="H64" s="155"/>
      <c r="I64" s="155" t="s">
        <v>72</v>
      </c>
      <c r="J64" s="155" t="s">
        <v>66</v>
      </c>
      <c r="K64" s="155"/>
      <c r="L64" s="157"/>
      <c r="M64" s="157"/>
      <c r="N64" s="159"/>
      <c r="O64" s="157"/>
      <c r="P64" s="155"/>
      <c r="Q64" s="155"/>
      <c r="R64" s="155"/>
      <c r="S64" s="155"/>
      <c r="T64" s="155"/>
    </row>
    <row r="65" spans="2:20" ht="105" x14ac:dyDescent="0.25">
      <c r="B65" s="154" t="str">
        <f>"CROP-"&amp;TEXT(7,"000")</f>
        <v>CROP-007</v>
      </c>
      <c r="C65" s="164" t="s">
        <v>4903</v>
      </c>
      <c r="D65" s="156" t="s">
        <v>4904</v>
      </c>
      <c r="E65" s="157" t="s">
        <v>4905</v>
      </c>
      <c r="F65" s="161"/>
      <c r="G65" s="155" t="s">
        <v>4890</v>
      </c>
      <c r="H65" s="155"/>
      <c r="I65" s="155" t="s">
        <v>2260</v>
      </c>
      <c r="J65" s="155" t="s">
        <v>66</v>
      </c>
      <c r="K65" s="155"/>
      <c r="L65" s="157"/>
      <c r="M65" s="157"/>
      <c r="N65" s="159"/>
      <c r="O65" s="157"/>
      <c r="P65" s="155"/>
      <c r="Q65" s="155"/>
      <c r="R65" s="155"/>
      <c r="S65" s="155"/>
      <c r="T65" s="155"/>
    </row>
    <row r="66" spans="2:20" ht="42" x14ac:dyDescent="0.25">
      <c r="B66" s="154" t="str">
        <f>"CROP-"&amp;TEXT(8,"000")</f>
        <v>CROP-008</v>
      </c>
      <c r="C66" s="155" t="s">
        <v>4906</v>
      </c>
      <c r="D66" s="160" t="s">
        <v>4907</v>
      </c>
      <c r="E66" s="157" t="s">
        <v>4893</v>
      </c>
      <c r="F66" s="161">
        <v>45352</v>
      </c>
      <c r="G66" s="155" t="s">
        <v>4890</v>
      </c>
      <c r="H66" s="155"/>
      <c r="I66" s="155" t="s">
        <v>2260</v>
      </c>
      <c r="J66" s="155" t="s">
        <v>66</v>
      </c>
      <c r="K66" s="155"/>
      <c r="L66" s="157"/>
      <c r="M66" s="157"/>
      <c r="N66" s="159"/>
      <c r="O66" s="157"/>
      <c r="P66" s="155"/>
      <c r="Q66" s="155"/>
      <c r="R66" s="155"/>
      <c r="S66" s="155"/>
      <c r="T66" s="155"/>
    </row>
    <row r="67" spans="2:20" ht="42" x14ac:dyDescent="0.25">
      <c r="B67" s="154" t="str">
        <f>"CROP-"&amp;TEXT(9,"000")</f>
        <v>CROP-009</v>
      </c>
      <c r="C67" s="155" t="s">
        <v>4908</v>
      </c>
      <c r="D67" s="156" t="s">
        <v>4909</v>
      </c>
      <c r="E67" s="157" t="s">
        <v>4910</v>
      </c>
      <c r="F67" s="161">
        <v>45352</v>
      </c>
      <c r="G67" s="155" t="s">
        <v>4890</v>
      </c>
      <c r="H67" s="155"/>
      <c r="I67" s="155" t="s">
        <v>2260</v>
      </c>
      <c r="J67" s="155" t="s">
        <v>66</v>
      </c>
      <c r="K67" s="155"/>
      <c r="L67" s="157"/>
      <c r="M67" s="157"/>
      <c r="N67" s="159"/>
      <c r="O67" s="157"/>
      <c r="P67" s="155"/>
      <c r="Q67" s="155"/>
      <c r="R67" s="155"/>
      <c r="S67" s="155"/>
      <c r="T67" s="155"/>
    </row>
    <row r="68" spans="2:20" ht="42" x14ac:dyDescent="0.25">
      <c r="B68" s="154" t="str">
        <f>"CROP-"&amp;TEXT(10,"000")</f>
        <v>CROP-010</v>
      </c>
      <c r="C68" s="155" t="s">
        <v>4911</v>
      </c>
      <c r="D68" s="156" t="s">
        <v>4912</v>
      </c>
      <c r="E68" s="157" t="s">
        <v>4910</v>
      </c>
      <c r="F68" s="161">
        <v>45352</v>
      </c>
      <c r="G68" s="155" t="s">
        <v>4890</v>
      </c>
      <c r="H68" s="155"/>
      <c r="I68" s="155" t="s">
        <v>2260</v>
      </c>
      <c r="J68" s="155" t="s">
        <v>66</v>
      </c>
      <c r="K68" s="155"/>
      <c r="L68" s="157"/>
      <c r="M68" s="157"/>
      <c r="N68" s="159"/>
      <c r="O68" s="157"/>
      <c r="P68" s="155"/>
      <c r="Q68" s="155"/>
      <c r="R68" s="155"/>
      <c r="S68" s="155"/>
      <c r="T68" s="155"/>
    </row>
    <row r="69" spans="2:20" ht="21" x14ac:dyDescent="0.25">
      <c r="B69" s="154" t="str">
        <f>"CROP-"&amp;TEXT(11,"000")</f>
        <v>CROP-011</v>
      </c>
      <c r="C69" s="155" t="s">
        <v>4913</v>
      </c>
      <c r="D69" s="156" t="s">
        <v>4914</v>
      </c>
      <c r="E69" s="157" t="s">
        <v>4902</v>
      </c>
      <c r="F69" s="161">
        <v>45352</v>
      </c>
      <c r="G69" s="155" t="s">
        <v>4890</v>
      </c>
      <c r="H69" s="155"/>
      <c r="I69" s="155" t="s">
        <v>2260</v>
      </c>
      <c r="J69" s="155" t="s">
        <v>66</v>
      </c>
      <c r="K69" s="155"/>
      <c r="L69" s="157"/>
      <c r="M69" s="157"/>
      <c r="N69" s="159"/>
      <c r="O69" s="157"/>
      <c r="P69" s="155"/>
      <c r="Q69" s="155"/>
      <c r="R69" s="155"/>
      <c r="S69" s="155"/>
      <c r="T69" s="155"/>
    </row>
    <row r="70" spans="2:20" ht="63" x14ac:dyDescent="0.25">
      <c r="B70" s="154" t="str">
        <f>"CROP-"&amp;TEXT(12,"000")</f>
        <v>CROP-012</v>
      </c>
      <c r="C70" s="155" t="s">
        <v>4915</v>
      </c>
      <c r="D70" s="156" t="s">
        <v>4916</v>
      </c>
      <c r="E70" s="157" t="s">
        <v>4917</v>
      </c>
      <c r="F70" s="161">
        <v>45352</v>
      </c>
      <c r="G70" s="155" t="s">
        <v>4890</v>
      </c>
      <c r="H70" s="155"/>
      <c r="I70" s="155" t="s">
        <v>2260</v>
      </c>
      <c r="J70" s="155" t="s">
        <v>66</v>
      </c>
      <c r="K70" s="155"/>
      <c r="L70" s="157"/>
      <c r="M70" s="157"/>
      <c r="N70" s="159"/>
      <c r="O70" s="157"/>
      <c r="P70" s="155"/>
      <c r="Q70" s="155"/>
      <c r="R70" s="155"/>
      <c r="S70" s="155"/>
      <c r="T70" s="155"/>
    </row>
    <row r="71" spans="2:20" ht="42" x14ac:dyDescent="0.25">
      <c r="B71" s="154" t="str">
        <f>"CROP-"&amp;TEXT(13,"000")</f>
        <v>CROP-013</v>
      </c>
      <c r="C71" s="155" t="s">
        <v>4918</v>
      </c>
      <c r="D71" s="160" t="s">
        <v>4919</v>
      </c>
      <c r="E71" s="157" t="s">
        <v>4920</v>
      </c>
      <c r="F71" s="161">
        <v>45352</v>
      </c>
      <c r="G71" s="155" t="s">
        <v>4890</v>
      </c>
      <c r="H71" s="155"/>
      <c r="I71" s="155" t="s">
        <v>2260</v>
      </c>
      <c r="J71" s="155" t="s">
        <v>66</v>
      </c>
      <c r="K71" s="155"/>
      <c r="L71" s="157"/>
      <c r="M71" s="157"/>
      <c r="N71" s="159"/>
      <c r="O71" s="157"/>
      <c r="P71" s="155"/>
      <c r="Q71" s="155"/>
      <c r="R71" s="155"/>
      <c r="S71" s="155"/>
      <c r="T71" s="155"/>
    </row>
    <row r="72" spans="2:20" ht="42" x14ac:dyDescent="0.25">
      <c r="B72" s="154" t="str">
        <f>"CROP-"&amp;TEXT(14,"000")</f>
        <v>CROP-014</v>
      </c>
      <c r="C72" s="155" t="s">
        <v>4921</v>
      </c>
      <c r="D72" s="156" t="s">
        <v>4922</v>
      </c>
      <c r="E72" s="157" t="s">
        <v>4920</v>
      </c>
      <c r="F72" s="161">
        <v>45352</v>
      </c>
      <c r="G72" s="155" t="s">
        <v>4890</v>
      </c>
      <c r="H72" s="155"/>
      <c r="I72" s="155" t="s">
        <v>2260</v>
      </c>
      <c r="J72" s="155" t="s">
        <v>66</v>
      </c>
      <c r="K72" s="155"/>
      <c r="L72" s="157"/>
      <c r="M72" s="157"/>
      <c r="N72" s="159"/>
      <c r="O72" s="157"/>
      <c r="P72" s="155"/>
      <c r="Q72" s="155"/>
      <c r="R72" s="155"/>
      <c r="S72" s="155"/>
      <c r="T72" s="155"/>
    </row>
    <row r="73" spans="2:20" ht="42" x14ac:dyDescent="0.25">
      <c r="B73" s="154" t="str">
        <f>"CROP-"&amp;TEXT(15,"000")</f>
        <v>CROP-015</v>
      </c>
      <c r="C73" s="155" t="s">
        <v>4923</v>
      </c>
      <c r="D73" s="156" t="s">
        <v>4924</v>
      </c>
      <c r="E73" s="157" t="s">
        <v>4925</v>
      </c>
      <c r="F73" s="161">
        <v>45352</v>
      </c>
      <c r="G73" s="155" t="s">
        <v>4890</v>
      </c>
      <c r="H73" s="155"/>
      <c r="I73" s="155" t="s">
        <v>2260</v>
      </c>
      <c r="J73" s="155" t="s">
        <v>66</v>
      </c>
      <c r="K73" s="155"/>
      <c r="L73" s="157"/>
      <c r="M73" s="157"/>
      <c r="N73" s="159"/>
      <c r="O73" s="157"/>
      <c r="P73" s="155"/>
      <c r="Q73" s="155"/>
      <c r="R73" s="155"/>
      <c r="S73" s="155"/>
      <c r="T73" s="155"/>
    </row>
    <row r="74" spans="2:20" ht="42" x14ac:dyDescent="0.25">
      <c r="B74" s="154" t="str">
        <f>"CROP-"&amp;TEXT(16,"000")</f>
        <v>CROP-016</v>
      </c>
      <c r="C74" s="155" t="s">
        <v>4926</v>
      </c>
      <c r="D74" s="156" t="s">
        <v>4927</v>
      </c>
      <c r="E74" s="157" t="s">
        <v>4928</v>
      </c>
      <c r="F74" s="161">
        <v>45352</v>
      </c>
      <c r="G74" s="155" t="s">
        <v>4890</v>
      </c>
      <c r="H74" s="155"/>
      <c r="I74" s="155" t="s">
        <v>2260</v>
      </c>
      <c r="J74" s="155" t="s">
        <v>66</v>
      </c>
      <c r="K74" s="155"/>
      <c r="L74" s="157"/>
      <c r="M74" s="157"/>
      <c r="N74" s="159"/>
      <c r="O74" s="157"/>
      <c r="P74" s="155"/>
      <c r="Q74" s="155"/>
      <c r="R74" s="155"/>
      <c r="S74" s="155"/>
      <c r="T74" s="155"/>
    </row>
    <row r="75" spans="2:20" ht="42" x14ac:dyDescent="0.25">
      <c r="B75" s="154" t="str">
        <f>"CROP-"&amp;TEXT(17,"000")</f>
        <v>CROP-017</v>
      </c>
      <c r="C75" s="155" t="s">
        <v>4929</v>
      </c>
      <c r="D75" s="156" t="s">
        <v>4930</v>
      </c>
      <c r="E75" s="157" t="s">
        <v>4931</v>
      </c>
      <c r="F75" s="161">
        <v>45352</v>
      </c>
      <c r="G75" s="155" t="s">
        <v>4890</v>
      </c>
      <c r="H75" s="155"/>
      <c r="I75" s="155" t="s">
        <v>2260</v>
      </c>
      <c r="J75" s="155" t="s">
        <v>66</v>
      </c>
      <c r="K75" s="155"/>
      <c r="L75" s="157"/>
      <c r="M75" s="157"/>
      <c r="N75" s="159"/>
      <c r="O75" s="157"/>
      <c r="P75" s="155"/>
      <c r="Q75" s="155"/>
      <c r="R75" s="155"/>
      <c r="S75" s="155"/>
      <c r="T75" s="155"/>
    </row>
    <row r="76" spans="2:20" ht="42" x14ac:dyDescent="0.25">
      <c r="B76" s="154" t="str">
        <f>"CROP-"&amp;TEXT(18,"000")</f>
        <v>CROP-018</v>
      </c>
      <c r="C76" s="155" t="s">
        <v>4932</v>
      </c>
      <c r="D76" s="156" t="s">
        <v>4933</v>
      </c>
      <c r="E76" s="157" t="s">
        <v>4889</v>
      </c>
      <c r="F76" s="161">
        <v>45352</v>
      </c>
      <c r="G76" s="155" t="s">
        <v>4890</v>
      </c>
      <c r="H76" s="155"/>
      <c r="I76" s="155" t="s">
        <v>2260</v>
      </c>
      <c r="J76" s="155" t="s">
        <v>66</v>
      </c>
      <c r="K76" s="155"/>
      <c r="L76" s="157"/>
      <c r="M76" s="157"/>
      <c r="N76" s="159"/>
      <c r="O76" s="157"/>
      <c r="P76" s="155"/>
      <c r="Q76" s="155"/>
      <c r="R76" s="155"/>
      <c r="S76" s="155"/>
      <c r="T76" s="155"/>
    </row>
    <row r="77" spans="2:20" ht="63" x14ac:dyDescent="0.25">
      <c r="B77" s="154" t="str">
        <f>"CROP-"&amp;TEXT(19,"000")</f>
        <v>CROP-019</v>
      </c>
      <c r="C77" s="155" t="s">
        <v>4934</v>
      </c>
      <c r="D77" s="156" t="s">
        <v>4935</v>
      </c>
      <c r="E77" s="157" t="s">
        <v>4889</v>
      </c>
      <c r="F77" s="161">
        <v>45352</v>
      </c>
      <c r="G77" s="155" t="s">
        <v>4890</v>
      </c>
      <c r="H77" s="155"/>
      <c r="I77" s="155" t="s">
        <v>2260</v>
      </c>
      <c r="J77" s="155" t="s">
        <v>66</v>
      </c>
      <c r="K77" s="155"/>
      <c r="L77" s="162"/>
      <c r="M77" s="162"/>
      <c r="N77" s="163"/>
      <c r="O77" s="162"/>
      <c r="P77" s="155"/>
      <c r="Q77" s="155"/>
      <c r="R77" s="155"/>
      <c r="S77" s="155"/>
      <c r="T77" s="155"/>
    </row>
    <row r="78" spans="2:20" ht="42" x14ac:dyDescent="0.25">
      <c r="B78" s="154" t="str">
        <f>"CROP-"&amp;TEXT(20,"000")</f>
        <v>CROP-020</v>
      </c>
      <c r="C78" s="155" t="s">
        <v>4936</v>
      </c>
      <c r="D78" s="160" t="s">
        <v>4937</v>
      </c>
      <c r="E78" s="157" t="s">
        <v>4938</v>
      </c>
      <c r="F78" s="161">
        <v>45352</v>
      </c>
      <c r="G78" s="155" t="s">
        <v>4890</v>
      </c>
      <c r="H78" s="155"/>
      <c r="I78" s="155" t="s">
        <v>2260</v>
      </c>
      <c r="J78" s="155" t="s">
        <v>66</v>
      </c>
      <c r="K78" s="155"/>
      <c r="L78" s="157"/>
      <c r="M78" s="157"/>
      <c r="N78" s="159"/>
      <c r="O78" s="157"/>
      <c r="P78" s="155"/>
      <c r="Q78" s="155"/>
      <c r="R78" s="155"/>
      <c r="S78" s="155"/>
      <c r="T78" s="155"/>
    </row>
    <row r="79" spans="2:20" ht="21" x14ac:dyDescent="0.25">
      <c r="B79" s="154" t="str">
        <f>"CROP-"&amp;TEXT(21,"000")</f>
        <v>CROP-021</v>
      </c>
      <c r="C79" s="155" t="s">
        <v>4939</v>
      </c>
      <c r="D79" s="156" t="s">
        <v>4940</v>
      </c>
      <c r="E79" s="157" t="s">
        <v>4905</v>
      </c>
      <c r="F79" s="161">
        <v>45352</v>
      </c>
      <c r="G79" s="155" t="s">
        <v>4890</v>
      </c>
      <c r="H79" s="155"/>
      <c r="I79" s="155" t="s">
        <v>2260</v>
      </c>
      <c r="J79" s="155" t="s">
        <v>66</v>
      </c>
      <c r="K79" s="155"/>
      <c r="L79" s="157"/>
      <c r="M79" s="157"/>
      <c r="N79" s="159"/>
      <c r="O79" s="157"/>
      <c r="P79" s="165"/>
      <c r="Q79" s="165"/>
      <c r="R79" s="165"/>
      <c r="S79" s="165"/>
      <c r="T79" s="165"/>
    </row>
    <row r="80" spans="2:20" ht="63" x14ac:dyDescent="0.25">
      <c r="B80" s="154" t="str">
        <f>"CROP-"&amp;TEXT(22,"000")</f>
        <v>CROP-022</v>
      </c>
      <c r="C80" s="155" t="s">
        <v>4941</v>
      </c>
      <c r="D80" s="160" t="s">
        <v>4942</v>
      </c>
      <c r="E80" s="157" t="s">
        <v>4943</v>
      </c>
      <c r="F80" s="161">
        <v>45352</v>
      </c>
      <c r="G80" s="155" t="s">
        <v>4890</v>
      </c>
      <c r="H80" s="155"/>
      <c r="I80" s="155" t="s">
        <v>2260</v>
      </c>
      <c r="J80" s="155" t="s">
        <v>66</v>
      </c>
      <c r="K80" s="155"/>
      <c r="L80" s="157"/>
      <c r="M80" s="157"/>
      <c r="N80" s="159"/>
      <c r="O80" s="157"/>
      <c r="P80" s="165"/>
      <c r="Q80" s="165"/>
      <c r="R80" s="165"/>
      <c r="S80" s="165"/>
      <c r="T80" s="165"/>
    </row>
    <row r="81" spans="2:20" ht="63" x14ac:dyDescent="0.25">
      <c r="B81" s="154" t="str">
        <f>"CROP-"&amp;TEXT(23,"000")</f>
        <v>CROP-023</v>
      </c>
      <c r="C81" s="155" t="s">
        <v>4944</v>
      </c>
      <c r="D81" s="160" t="s">
        <v>4945</v>
      </c>
      <c r="E81" s="157" t="s">
        <v>4889</v>
      </c>
      <c r="F81" s="161">
        <v>45352</v>
      </c>
      <c r="G81" s="155" t="s">
        <v>4890</v>
      </c>
      <c r="H81" s="155"/>
      <c r="I81" s="155" t="s">
        <v>2260</v>
      </c>
      <c r="J81" s="155" t="s">
        <v>66</v>
      </c>
      <c r="K81" s="155"/>
      <c r="L81" s="157"/>
      <c r="M81" s="157"/>
      <c r="N81" s="159"/>
      <c r="O81" s="157"/>
      <c r="P81" s="165"/>
      <c r="Q81" s="165"/>
      <c r="R81" s="165"/>
      <c r="S81" s="165"/>
      <c r="T81" s="165"/>
    </row>
    <row r="82" spans="2:20" ht="42" x14ac:dyDescent="0.25">
      <c r="B82" s="154" t="str">
        <f>"CROP-"&amp;TEXT(24,"000")</f>
        <v>CROP-024</v>
      </c>
      <c r="C82" s="155" t="s">
        <v>4946</v>
      </c>
      <c r="D82" s="156" t="s">
        <v>4947</v>
      </c>
      <c r="E82" s="157" t="s">
        <v>4889</v>
      </c>
      <c r="F82" s="161">
        <v>45352</v>
      </c>
      <c r="G82" s="155" t="s">
        <v>4890</v>
      </c>
      <c r="H82" s="155"/>
      <c r="I82" s="155" t="s">
        <v>2260</v>
      </c>
      <c r="J82" s="155" t="s">
        <v>66</v>
      </c>
      <c r="K82" s="155"/>
      <c r="L82" s="157"/>
      <c r="M82" s="157"/>
      <c r="N82" s="159"/>
      <c r="O82" s="157"/>
      <c r="P82" s="165"/>
      <c r="Q82" s="165"/>
      <c r="R82" s="165"/>
      <c r="S82" s="165"/>
      <c r="T82" s="165"/>
    </row>
    <row r="83" spans="2:20" ht="21" x14ac:dyDescent="0.25">
      <c r="B83" s="154" t="str">
        <f>"CROP-"&amp;TEXT(25,"000")</f>
        <v>CROP-025</v>
      </c>
      <c r="C83" s="155" t="s">
        <v>4948</v>
      </c>
      <c r="D83" s="160" t="s">
        <v>4949</v>
      </c>
      <c r="E83" s="157" t="s">
        <v>4889</v>
      </c>
      <c r="F83" s="161">
        <v>45352</v>
      </c>
      <c r="G83" s="155" t="s">
        <v>4890</v>
      </c>
      <c r="H83" s="155"/>
      <c r="I83" s="155" t="s">
        <v>2260</v>
      </c>
      <c r="J83" s="155" t="s">
        <v>66</v>
      </c>
      <c r="K83" s="155"/>
      <c r="L83" s="157"/>
      <c r="M83" s="157"/>
      <c r="N83" s="159"/>
      <c r="O83" s="157"/>
      <c r="P83" s="165"/>
      <c r="Q83" s="165"/>
      <c r="R83" s="165"/>
      <c r="S83" s="165"/>
      <c r="T83" s="165"/>
    </row>
    <row r="84" spans="2:20" ht="42" x14ac:dyDescent="0.25">
      <c r="B84" s="154" t="str">
        <f>"CROP-"&amp;TEXT(26,"000")</f>
        <v>CROP-026</v>
      </c>
      <c r="C84" s="155" t="s">
        <v>4950</v>
      </c>
      <c r="D84" s="156" t="s">
        <v>4951</v>
      </c>
      <c r="E84" s="157" t="s">
        <v>4910</v>
      </c>
      <c r="F84" s="161">
        <v>45352</v>
      </c>
      <c r="G84" s="155" t="s">
        <v>4890</v>
      </c>
      <c r="H84" s="155"/>
      <c r="I84" s="155" t="s">
        <v>2260</v>
      </c>
      <c r="J84" s="155" t="s">
        <v>66</v>
      </c>
      <c r="K84" s="155"/>
      <c r="L84" s="157"/>
      <c r="M84" s="157"/>
      <c r="N84" s="159"/>
      <c r="O84" s="157"/>
      <c r="P84" s="165"/>
      <c r="Q84" s="165"/>
      <c r="R84" s="165"/>
      <c r="S84" s="165"/>
      <c r="T84" s="165"/>
    </row>
    <row r="85" spans="2:20" ht="42" x14ac:dyDescent="0.25">
      <c r="B85" s="154" t="str">
        <f>"CROP-"&amp;TEXT(27,"000")</f>
        <v>CROP-027</v>
      </c>
      <c r="C85" s="155" t="s">
        <v>4952</v>
      </c>
      <c r="D85" s="156" t="s">
        <v>4953</v>
      </c>
      <c r="E85" s="157" t="s">
        <v>4910</v>
      </c>
      <c r="F85" s="161">
        <v>45352</v>
      </c>
      <c r="G85" s="155" t="s">
        <v>4890</v>
      </c>
      <c r="H85" s="155"/>
      <c r="I85" s="155" t="s">
        <v>2260</v>
      </c>
      <c r="J85" s="155" t="s">
        <v>66</v>
      </c>
      <c r="K85" s="155"/>
      <c r="L85" s="157"/>
      <c r="M85" s="157"/>
      <c r="N85" s="159"/>
      <c r="O85" s="157"/>
      <c r="P85" s="165"/>
      <c r="Q85" s="165"/>
      <c r="R85" s="165"/>
      <c r="S85" s="165"/>
      <c r="T85" s="165"/>
    </row>
    <row r="86" spans="2:20" ht="63" x14ac:dyDescent="0.25">
      <c r="B86" s="154" t="str">
        <f>"CROP-"&amp;TEXT(28,"000")</f>
        <v>CROP-028</v>
      </c>
      <c r="C86" s="155" t="s">
        <v>4954</v>
      </c>
      <c r="D86" s="156" t="s">
        <v>4955</v>
      </c>
      <c r="E86" s="157" t="s">
        <v>4943</v>
      </c>
      <c r="F86" s="161">
        <v>45352</v>
      </c>
      <c r="G86" s="155" t="s">
        <v>4890</v>
      </c>
      <c r="H86" s="155"/>
      <c r="I86" s="155" t="s">
        <v>2260</v>
      </c>
      <c r="J86" s="155" t="s">
        <v>66</v>
      </c>
      <c r="K86" s="155"/>
      <c r="L86" s="157"/>
      <c r="M86" s="157"/>
      <c r="N86" s="159"/>
      <c r="O86" s="157"/>
      <c r="P86" s="165"/>
      <c r="Q86" s="165"/>
      <c r="R86" s="165"/>
      <c r="S86" s="165"/>
      <c r="T86" s="165"/>
    </row>
    <row r="87" spans="2:20" ht="42" x14ac:dyDescent="0.25">
      <c r="B87" s="154" t="str">
        <f>"CROP-"&amp;TEXT(29,"000")</f>
        <v>CROP-029</v>
      </c>
      <c r="C87" s="155" t="s">
        <v>4956</v>
      </c>
      <c r="D87" s="156" t="s">
        <v>4957</v>
      </c>
      <c r="E87" s="157" t="s">
        <v>4910</v>
      </c>
      <c r="F87" s="161">
        <v>45352</v>
      </c>
      <c r="G87" s="155" t="s">
        <v>4890</v>
      </c>
      <c r="H87" s="155"/>
      <c r="I87" s="155" t="s">
        <v>2260</v>
      </c>
      <c r="J87" s="155" t="s">
        <v>66</v>
      </c>
      <c r="K87" s="155"/>
      <c r="L87" s="157"/>
      <c r="M87" s="157"/>
      <c r="N87" s="159"/>
      <c r="O87" s="157"/>
      <c r="P87" s="165"/>
      <c r="Q87" s="165"/>
      <c r="R87" s="165"/>
      <c r="S87" s="165"/>
      <c r="T87" s="165"/>
    </row>
    <row r="88" spans="2:20" ht="42" x14ac:dyDescent="0.25">
      <c r="B88" s="154" t="str">
        <f>"CROP-"&amp;TEXT(30,"000")</f>
        <v>CROP-030</v>
      </c>
      <c r="C88" s="155" t="s">
        <v>4958</v>
      </c>
      <c r="D88" s="156" t="s">
        <v>4959</v>
      </c>
      <c r="E88" s="157" t="s">
        <v>4889</v>
      </c>
      <c r="F88" s="161">
        <v>45352</v>
      </c>
      <c r="G88" s="155" t="s">
        <v>4890</v>
      </c>
      <c r="H88" s="155"/>
      <c r="I88" s="155" t="s">
        <v>2260</v>
      </c>
      <c r="J88" s="155" t="s">
        <v>66</v>
      </c>
      <c r="K88" s="155"/>
      <c r="L88" s="157"/>
      <c r="M88" s="157"/>
      <c r="N88" s="159"/>
      <c r="O88" s="157"/>
      <c r="P88" s="165"/>
      <c r="Q88" s="165"/>
      <c r="R88" s="165"/>
      <c r="S88" s="165"/>
      <c r="T88" s="165"/>
    </row>
    <row r="89" spans="2:20" ht="25.5" x14ac:dyDescent="0.25">
      <c r="B89" s="203" t="s">
        <v>2240</v>
      </c>
      <c r="C89" s="204" t="s">
        <v>2241</v>
      </c>
      <c r="D89" s="204" t="s">
        <v>2242</v>
      </c>
      <c r="E89" s="204" t="s">
        <v>2243</v>
      </c>
      <c r="F89" s="205" t="s">
        <v>2244</v>
      </c>
      <c r="G89" s="204" t="s">
        <v>2245</v>
      </c>
      <c r="H89" s="204" t="s">
        <v>2246</v>
      </c>
      <c r="I89" s="204" t="s">
        <v>65</v>
      </c>
      <c r="J89" s="204" t="s">
        <v>66</v>
      </c>
      <c r="K89" s="204" t="s">
        <v>2247</v>
      </c>
      <c r="L89" s="204" t="s">
        <v>2248</v>
      </c>
      <c r="M89" s="204" t="s">
        <v>2249</v>
      </c>
      <c r="N89" s="205" t="s">
        <v>2244</v>
      </c>
      <c r="O89" s="204" t="s">
        <v>2250</v>
      </c>
      <c r="P89" s="204" t="s">
        <v>2251</v>
      </c>
      <c r="Q89" s="204" t="s">
        <v>2252</v>
      </c>
      <c r="R89" s="204" t="s">
        <v>2253</v>
      </c>
      <c r="S89" s="204" t="s">
        <v>1149</v>
      </c>
      <c r="T89" s="204" t="s">
        <v>2254</v>
      </c>
    </row>
    <row r="90" spans="2:20" ht="102" x14ac:dyDescent="0.25">
      <c r="B90" s="206" t="s">
        <v>5786</v>
      </c>
      <c r="C90" s="207" t="s">
        <v>5787</v>
      </c>
      <c r="D90" s="207" t="s">
        <v>5788</v>
      </c>
      <c r="E90" s="207" t="s">
        <v>5789</v>
      </c>
      <c r="F90" s="207" t="s">
        <v>5790</v>
      </c>
      <c r="G90" s="207" t="s">
        <v>5791</v>
      </c>
      <c r="H90" s="207" t="s">
        <v>5792</v>
      </c>
      <c r="I90" s="207" t="s">
        <v>2260</v>
      </c>
      <c r="J90" s="207" t="s">
        <v>66</v>
      </c>
      <c r="K90" s="207" t="s">
        <v>5793</v>
      </c>
      <c r="L90" s="207" t="s">
        <v>5794</v>
      </c>
      <c r="M90" s="207" t="s">
        <v>5795</v>
      </c>
      <c r="N90" s="208">
        <v>46251</v>
      </c>
      <c r="O90" s="207" t="s">
        <v>1155</v>
      </c>
      <c r="P90" s="207" t="s">
        <v>1154</v>
      </c>
      <c r="Q90" s="207" t="s">
        <v>5796</v>
      </c>
      <c r="R90" s="207" t="s">
        <v>2253</v>
      </c>
      <c r="S90" s="207" t="s">
        <v>1155</v>
      </c>
      <c r="T90" s="207" t="s">
        <v>5797</v>
      </c>
    </row>
    <row r="91" spans="2:20" ht="127.5" x14ac:dyDescent="0.25">
      <c r="B91" s="206" t="s">
        <v>5798</v>
      </c>
      <c r="C91" s="207" t="s">
        <v>5799</v>
      </c>
      <c r="D91" s="207" t="s">
        <v>5800</v>
      </c>
      <c r="E91" s="207" t="s">
        <v>5801</v>
      </c>
      <c r="F91" s="207" t="s">
        <v>5802</v>
      </c>
      <c r="G91" s="207" t="s">
        <v>5791</v>
      </c>
      <c r="H91" s="207" t="s">
        <v>5803</v>
      </c>
      <c r="I91" s="207" t="s">
        <v>65</v>
      </c>
      <c r="J91" s="207" t="s">
        <v>66</v>
      </c>
      <c r="K91" s="207"/>
      <c r="L91" s="207"/>
      <c r="M91" s="207" t="s">
        <v>5804</v>
      </c>
      <c r="N91" s="207"/>
      <c r="O91" s="207" t="s">
        <v>1155</v>
      </c>
      <c r="P91" s="207" t="s">
        <v>1154</v>
      </c>
      <c r="Q91" s="207"/>
      <c r="R91" s="207" t="s">
        <v>5805</v>
      </c>
      <c r="S91" s="207" t="s">
        <v>1154</v>
      </c>
      <c r="T91" s="207" t="s">
        <v>5806</v>
      </c>
    </row>
    <row r="92" spans="2:20" ht="127.5" x14ac:dyDescent="0.25">
      <c r="B92" s="206" t="s">
        <v>5807</v>
      </c>
      <c r="C92" s="207" t="s">
        <v>5808</v>
      </c>
      <c r="D92" s="207" t="s">
        <v>5809</v>
      </c>
      <c r="E92" s="207" t="s">
        <v>5810</v>
      </c>
      <c r="F92" s="207" t="s">
        <v>2491</v>
      </c>
      <c r="G92" s="207" t="s">
        <v>5791</v>
      </c>
      <c r="H92" s="207" t="s">
        <v>5811</v>
      </c>
      <c r="I92" s="207" t="s">
        <v>121</v>
      </c>
      <c r="J92" s="207" t="s">
        <v>66</v>
      </c>
      <c r="K92" s="207"/>
      <c r="L92" s="207"/>
      <c r="M92" s="207" t="s">
        <v>5812</v>
      </c>
      <c r="N92" s="207"/>
      <c r="O92" s="207" t="s">
        <v>1155</v>
      </c>
      <c r="P92" s="207" t="s">
        <v>1154</v>
      </c>
      <c r="Q92" s="207"/>
      <c r="R92" s="207" t="s">
        <v>5813</v>
      </c>
      <c r="S92" s="207" t="s">
        <v>1154</v>
      </c>
      <c r="T92" s="207" t="s">
        <v>5814</v>
      </c>
    </row>
    <row r="93" spans="2:20" ht="76.5" x14ac:dyDescent="0.25">
      <c r="B93" s="206" t="s">
        <v>5815</v>
      </c>
      <c r="C93" s="207" t="s">
        <v>5816</v>
      </c>
      <c r="D93" s="207" t="s">
        <v>5817</v>
      </c>
      <c r="E93" s="207" t="s">
        <v>5818</v>
      </c>
      <c r="F93" s="207" t="s">
        <v>5819</v>
      </c>
      <c r="G93" s="207" t="s">
        <v>5791</v>
      </c>
      <c r="H93" s="207" t="s">
        <v>5820</v>
      </c>
      <c r="I93" s="207" t="s">
        <v>72</v>
      </c>
      <c r="J93" s="207" t="s">
        <v>121</v>
      </c>
      <c r="K93" s="207"/>
      <c r="L93" s="207"/>
      <c r="M93" s="207" t="s">
        <v>5821</v>
      </c>
      <c r="N93" s="207"/>
      <c r="O93" s="207" t="s">
        <v>5822</v>
      </c>
      <c r="P93" s="207" t="s">
        <v>1154</v>
      </c>
      <c r="Q93" s="207"/>
      <c r="R93" s="207" t="s">
        <v>2253</v>
      </c>
      <c r="S93" s="207" t="s">
        <v>1154</v>
      </c>
      <c r="T93" s="207" t="s">
        <v>5823</v>
      </c>
    </row>
    <row r="94" spans="2:20" ht="102" x14ac:dyDescent="0.25">
      <c r="B94" s="206" t="s">
        <v>5824</v>
      </c>
      <c r="C94" s="207" t="s">
        <v>5825</v>
      </c>
      <c r="D94" s="207" t="s">
        <v>5826</v>
      </c>
      <c r="E94" s="207" t="s">
        <v>5827</v>
      </c>
      <c r="F94" s="207" t="s">
        <v>5828</v>
      </c>
      <c r="G94" s="207" t="s">
        <v>5791</v>
      </c>
      <c r="H94" s="207" t="s">
        <v>5829</v>
      </c>
      <c r="I94" s="207" t="s">
        <v>121</v>
      </c>
      <c r="J94" s="207" t="s">
        <v>66</v>
      </c>
      <c r="K94" s="207"/>
      <c r="L94" s="207"/>
      <c r="M94" s="207" t="s">
        <v>5821</v>
      </c>
      <c r="N94" s="207"/>
      <c r="O94" s="207" t="s">
        <v>2250</v>
      </c>
      <c r="P94" s="207" t="s">
        <v>1154</v>
      </c>
      <c r="Q94" s="207"/>
      <c r="R94" s="207" t="s">
        <v>2253</v>
      </c>
      <c r="S94" s="207" t="s">
        <v>5830</v>
      </c>
      <c r="T94" s="207" t="s">
        <v>5831</v>
      </c>
    </row>
    <row r="95" spans="2:20" x14ac:dyDescent="0.25">
      <c r="B95" s="13"/>
      <c r="C95" s="13"/>
      <c r="D95" s="13"/>
      <c r="E95" s="13"/>
      <c r="F95" s="13"/>
      <c r="G95" s="13"/>
      <c r="H95" s="13"/>
      <c r="I95" s="13"/>
      <c r="J95" s="13"/>
      <c r="K95" s="13"/>
      <c r="L95" s="13"/>
      <c r="M95" s="13"/>
      <c r="N95" s="13"/>
      <c r="O95" s="13"/>
      <c r="P95" s="13"/>
      <c r="Q95" s="13"/>
      <c r="R95" s="13"/>
      <c r="S95" s="13"/>
      <c r="T95" s="13"/>
    </row>
    <row r="96" spans="2:20" x14ac:dyDescent="0.25">
      <c r="B96" s="13"/>
      <c r="C96" s="13"/>
      <c r="D96" s="13"/>
      <c r="E96" s="13"/>
      <c r="F96" s="13"/>
      <c r="G96" s="13"/>
      <c r="H96" s="13"/>
      <c r="I96" s="13"/>
      <c r="J96" s="13"/>
      <c r="K96" s="13"/>
      <c r="L96" s="13"/>
      <c r="M96" s="13"/>
      <c r="N96" s="13"/>
      <c r="O96" s="13"/>
      <c r="P96" s="13"/>
      <c r="Q96" s="13"/>
      <c r="R96" s="13"/>
      <c r="S96" s="13"/>
      <c r="T96" s="13"/>
    </row>
    <row r="97" spans="2:20" x14ac:dyDescent="0.25">
      <c r="B97" s="13"/>
      <c r="C97" s="13"/>
      <c r="D97" s="13"/>
      <c r="E97" s="13"/>
      <c r="F97" s="13"/>
      <c r="G97" s="13"/>
      <c r="H97" s="13"/>
      <c r="I97" s="13"/>
      <c r="J97" s="13"/>
      <c r="K97" s="13"/>
      <c r="L97" s="13"/>
      <c r="M97" s="13"/>
      <c r="N97" s="13"/>
      <c r="O97" s="13"/>
      <c r="P97" s="13"/>
      <c r="Q97" s="13"/>
      <c r="R97" s="13"/>
      <c r="S97" s="13"/>
      <c r="T97" s="13"/>
    </row>
    <row r="98" spans="2:20" x14ac:dyDescent="0.25">
      <c r="B98" s="13"/>
      <c r="C98" s="13"/>
      <c r="D98" s="13"/>
      <c r="E98" s="13"/>
      <c r="F98" s="13"/>
      <c r="G98" s="13"/>
      <c r="H98" s="13"/>
      <c r="I98" s="13"/>
      <c r="J98" s="13"/>
      <c r="K98" s="13"/>
      <c r="L98" s="13"/>
      <c r="M98" s="13"/>
      <c r="N98" s="13"/>
      <c r="O98" s="13"/>
      <c r="P98" s="13"/>
      <c r="Q98" s="13"/>
      <c r="R98" s="13"/>
      <c r="S98" s="13"/>
      <c r="T98" s="13"/>
    </row>
    <row r="99" spans="2:20" x14ac:dyDescent="0.25">
      <c r="B99" s="13"/>
      <c r="C99" s="13"/>
      <c r="D99" s="13"/>
      <c r="E99" s="13"/>
      <c r="F99" s="13"/>
      <c r="G99" s="13"/>
      <c r="H99" s="13"/>
      <c r="I99" s="13"/>
      <c r="J99" s="13"/>
      <c r="K99" s="13"/>
      <c r="L99" s="13"/>
      <c r="M99" s="13"/>
      <c r="N99" s="13"/>
      <c r="O99" s="13"/>
      <c r="P99" s="13"/>
      <c r="Q99" s="13"/>
      <c r="R99" s="13"/>
      <c r="S99" s="13"/>
      <c r="T99" s="13"/>
    </row>
    <row r="100" spans="2:20" x14ac:dyDescent="0.25">
      <c r="B100" s="13"/>
      <c r="C100" s="13"/>
      <c r="D100" s="13"/>
      <c r="E100" s="13"/>
      <c r="F100" s="13"/>
      <c r="G100" s="13"/>
      <c r="H100" s="13"/>
      <c r="I100" s="13"/>
      <c r="J100" s="13"/>
      <c r="K100" s="13"/>
      <c r="L100" s="13"/>
      <c r="M100" s="13"/>
      <c r="N100" s="13"/>
      <c r="O100" s="13"/>
      <c r="P100" s="13"/>
      <c r="Q100" s="13"/>
      <c r="R100" s="13"/>
      <c r="S100" s="13"/>
      <c r="T100" s="13"/>
    </row>
    <row r="101" spans="2:20" x14ac:dyDescent="0.25">
      <c r="B101" s="13"/>
      <c r="C101" s="13"/>
      <c r="D101" s="13"/>
      <c r="E101" s="13"/>
      <c r="F101" s="13"/>
      <c r="G101" s="13"/>
      <c r="H101" s="13"/>
      <c r="I101" s="13"/>
      <c r="J101" s="13"/>
      <c r="K101" s="13"/>
      <c r="L101" s="13"/>
      <c r="M101" s="13"/>
      <c r="N101" s="13"/>
      <c r="O101" s="13"/>
      <c r="P101" s="13"/>
      <c r="Q101" s="13"/>
      <c r="R101" s="13"/>
      <c r="S101" s="13"/>
      <c r="T101" s="13"/>
    </row>
    <row r="102" spans="2:20" x14ac:dyDescent="0.25">
      <c r="B102" s="13"/>
      <c r="C102" s="13"/>
      <c r="D102" s="13"/>
      <c r="E102" s="13"/>
      <c r="F102" s="13"/>
      <c r="G102" s="13"/>
      <c r="H102" s="13"/>
      <c r="I102" s="13"/>
      <c r="J102" s="13"/>
      <c r="K102" s="13"/>
      <c r="L102" s="13"/>
      <c r="M102" s="13"/>
      <c r="N102" s="13"/>
      <c r="O102" s="13"/>
      <c r="P102" s="13"/>
      <c r="Q102" s="13"/>
      <c r="R102" s="13"/>
      <c r="S102" s="13"/>
      <c r="T102" s="13"/>
    </row>
    <row r="103" spans="2:20" x14ac:dyDescent="0.25">
      <c r="B103" s="13"/>
      <c r="C103" s="13"/>
      <c r="D103" s="13"/>
      <c r="E103" s="13"/>
      <c r="F103" s="13"/>
      <c r="G103" s="13"/>
      <c r="H103" s="13"/>
      <c r="I103" s="13"/>
      <c r="J103" s="13"/>
      <c r="K103" s="13"/>
      <c r="L103" s="13"/>
      <c r="M103" s="13"/>
      <c r="N103" s="13"/>
      <c r="O103" s="13"/>
      <c r="P103" s="13"/>
      <c r="Q103" s="13"/>
      <c r="R103" s="13"/>
      <c r="S103" s="13"/>
      <c r="T103" s="13"/>
    </row>
    <row r="104" spans="2:20" x14ac:dyDescent="0.25">
      <c r="B104" s="13"/>
      <c r="C104" s="13"/>
      <c r="D104" s="13"/>
      <c r="E104" s="13"/>
      <c r="F104" s="13"/>
      <c r="G104" s="13"/>
      <c r="H104" s="13"/>
      <c r="I104" s="13"/>
      <c r="J104" s="13"/>
      <c r="K104" s="13"/>
      <c r="L104" s="13"/>
      <c r="M104" s="13"/>
      <c r="N104" s="13"/>
      <c r="O104" s="13"/>
      <c r="P104" s="13"/>
      <c r="Q104" s="13"/>
      <c r="R104" s="13"/>
      <c r="S104" s="13"/>
      <c r="T104" s="13"/>
    </row>
    <row r="105" spans="2:20" x14ac:dyDescent="0.25">
      <c r="B105" s="13"/>
      <c r="C105" s="13"/>
      <c r="D105" s="13"/>
      <c r="E105" s="13"/>
      <c r="F105" s="13"/>
      <c r="G105" s="13"/>
      <c r="H105" s="13"/>
      <c r="I105" s="13"/>
      <c r="J105" s="13"/>
      <c r="K105" s="13"/>
      <c r="L105" s="13"/>
      <c r="M105" s="13"/>
      <c r="N105" s="13"/>
      <c r="O105" s="13"/>
      <c r="P105" s="13"/>
      <c r="Q105" s="13"/>
      <c r="R105" s="13"/>
      <c r="S105" s="13"/>
      <c r="T105" s="13"/>
    </row>
    <row r="106" spans="2:20" x14ac:dyDescent="0.25">
      <c r="B106" s="13"/>
      <c r="C106" s="13"/>
      <c r="D106" s="13"/>
      <c r="E106" s="13"/>
      <c r="F106" s="13"/>
      <c r="G106" s="13"/>
      <c r="H106" s="13"/>
      <c r="I106" s="13"/>
      <c r="J106" s="13"/>
      <c r="K106" s="13"/>
      <c r="L106" s="13"/>
      <c r="M106" s="13"/>
      <c r="N106" s="13"/>
      <c r="O106" s="13"/>
      <c r="P106" s="13"/>
      <c r="Q106" s="13"/>
      <c r="R106" s="13"/>
      <c r="S106" s="13"/>
      <c r="T106" s="13"/>
    </row>
    <row r="107" spans="2:20" x14ac:dyDescent="0.25">
      <c r="B107" s="13"/>
      <c r="C107" s="13"/>
      <c r="D107" s="13"/>
      <c r="E107" s="13"/>
      <c r="F107" s="13"/>
      <c r="G107" s="13"/>
      <c r="H107" s="13"/>
      <c r="I107" s="13"/>
      <c r="J107" s="13"/>
      <c r="K107" s="13"/>
      <c r="L107" s="13"/>
      <c r="M107" s="13"/>
      <c r="N107" s="13"/>
      <c r="O107" s="13"/>
      <c r="P107" s="13"/>
      <c r="Q107" s="13"/>
      <c r="R107" s="13"/>
      <c r="S107" s="13"/>
      <c r="T107" s="13"/>
    </row>
    <row r="108" spans="2:20" x14ac:dyDescent="0.25">
      <c r="B108" s="13"/>
      <c r="C108" s="13"/>
      <c r="D108" s="13"/>
      <c r="E108" s="13"/>
      <c r="F108" s="13"/>
      <c r="G108" s="13"/>
      <c r="H108" s="13"/>
      <c r="I108" s="13"/>
      <c r="J108" s="13"/>
      <c r="K108" s="13"/>
      <c r="L108" s="13"/>
      <c r="M108" s="13"/>
      <c r="N108" s="13"/>
      <c r="O108" s="13"/>
      <c r="P108" s="13"/>
      <c r="Q108" s="13"/>
      <c r="R108" s="13"/>
      <c r="S108" s="13"/>
      <c r="T108" s="13"/>
    </row>
    <row r="109" spans="2:20" x14ac:dyDescent="0.25">
      <c r="B109" s="13"/>
      <c r="C109" s="13"/>
      <c r="D109" s="13"/>
      <c r="E109" s="13"/>
      <c r="F109" s="13"/>
      <c r="G109" s="13"/>
      <c r="H109" s="13"/>
      <c r="I109" s="13"/>
      <c r="J109" s="13"/>
      <c r="K109" s="13"/>
      <c r="L109" s="13"/>
      <c r="M109" s="13"/>
      <c r="N109" s="13"/>
      <c r="O109" s="13"/>
      <c r="P109" s="13"/>
      <c r="Q109" s="13"/>
      <c r="R109" s="13"/>
      <c r="S109" s="13"/>
      <c r="T109" s="13"/>
    </row>
    <row r="110" spans="2:20" x14ac:dyDescent="0.25">
      <c r="B110" s="13"/>
      <c r="C110" s="13"/>
      <c r="D110" s="13"/>
      <c r="E110" s="13"/>
      <c r="F110" s="13"/>
      <c r="G110" s="13"/>
      <c r="H110" s="13"/>
      <c r="I110" s="13"/>
      <c r="J110" s="13"/>
      <c r="K110" s="13"/>
      <c r="L110" s="13"/>
      <c r="M110" s="13"/>
      <c r="N110" s="13"/>
      <c r="O110" s="13"/>
      <c r="P110" s="13"/>
      <c r="Q110" s="13"/>
      <c r="R110" s="13"/>
      <c r="S110" s="13"/>
      <c r="T110" s="13"/>
    </row>
    <row r="111" spans="2:20" x14ac:dyDescent="0.25">
      <c r="B111" s="13"/>
      <c r="C111" s="13"/>
      <c r="D111" s="13"/>
      <c r="E111" s="13"/>
      <c r="F111" s="13"/>
      <c r="G111" s="13"/>
      <c r="H111" s="13"/>
      <c r="I111" s="13"/>
      <c r="J111" s="13"/>
      <c r="K111" s="13"/>
      <c r="L111" s="13"/>
      <c r="M111" s="13"/>
      <c r="N111" s="13"/>
      <c r="O111" s="13"/>
      <c r="P111" s="13"/>
      <c r="Q111" s="13"/>
      <c r="R111" s="13"/>
      <c r="S111" s="13"/>
      <c r="T111" s="13"/>
    </row>
    <row r="112" spans="2:20" x14ac:dyDescent="0.25">
      <c r="B112" s="13"/>
      <c r="C112" s="13"/>
      <c r="D112" s="13"/>
      <c r="E112" s="13"/>
      <c r="F112" s="13"/>
      <c r="G112" s="13"/>
      <c r="H112" s="13"/>
      <c r="I112" s="13"/>
      <c r="J112" s="13"/>
      <c r="K112" s="13"/>
      <c r="L112" s="13"/>
      <c r="M112" s="13"/>
      <c r="N112" s="13"/>
      <c r="O112" s="13"/>
      <c r="P112" s="13"/>
      <c r="Q112" s="13"/>
      <c r="R112" s="13"/>
      <c r="S112" s="13"/>
      <c r="T112" s="13"/>
    </row>
    <row r="113" spans="2:20" x14ac:dyDescent="0.25">
      <c r="B113" s="13"/>
      <c r="C113" s="13"/>
      <c r="D113" s="13"/>
      <c r="E113" s="13"/>
      <c r="F113" s="13"/>
      <c r="G113" s="13"/>
      <c r="H113" s="13"/>
      <c r="I113" s="13"/>
      <c r="J113" s="13"/>
      <c r="K113" s="13"/>
      <c r="L113" s="13"/>
      <c r="M113" s="13"/>
      <c r="N113" s="13"/>
      <c r="O113" s="13"/>
      <c r="P113" s="13"/>
      <c r="Q113" s="13"/>
      <c r="R113" s="13"/>
      <c r="S113" s="13"/>
      <c r="T113" s="13"/>
    </row>
    <row r="114" spans="2:20" x14ac:dyDescent="0.25">
      <c r="B114" s="13"/>
      <c r="C114" s="13"/>
      <c r="D114" s="13"/>
      <c r="E114" s="13"/>
      <c r="F114" s="13"/>
      <c r="G114" s="13"/>
      <c r="H114" s="13"/>
      <c r="I114" s="13"/>
      <c r="J114" s="13"/>
      <c r="K114" s="13"/>
      <c r="L114" s="13"/>
      <c r="M114" s="13"/>
      <c r="N114" s="13"/>
      <c r="O114" s="13"/>
      <c r="P114" s="13"/>
      <c r="Q114" s="13"/>
      <c r="R114" s="13"/>
      <c r="S114" s="13"/>
      <c r="T114" s="13"/>
    </row>
    <row r="115" spans="2:20" x14ac:dyDescent="0.25">
      <c r="B115" s="13"/>
      <c r="C115" s="13"/>
      <c r="D115" s="13"/>
      <c r="E115" s="13"/>
      <c r="F115" s="13"/>
      <c r="G115" s="13"/>
      <c r="H115" s="13"/>
      <c r="I115" s="13"/>
      <c r="J115" s="13"/>
      <c r="K115" s="13"/>
      <c r="L115" s="13"/>
      <c r="M115" s="13"/>
      <c r="N115" s="13"/>
      <c r="O115" s="13"/>
      <c r="P115" s="13"/>
      <c r="Q115" s="13"/>
      <c r="R115" s="13"/>
      <c r="S115" s="13"/>
      <c r="T115" s="13"/>
    </row>
    <row r="116" spans="2:20" x14ac:dyDescent="0.25">
      <c r="B116" s="13"/>
      <c r="C116" s="13"/>
      <c r="D116" s="13"/>
      <c r="E116" s="13"/>
      <c r="F116" s="13"/>
      <c r="G116" s="13"/>
      <c r="H116" s="13"/>
      <c r="I116" s="13"/>
      <c r="J116" s="13"/>
      <c r="K116" s="13"/>
      <c r="L116" s="13"/>
      <c r="M116" s="13"/>
      <c r="N116" s="13"/>
      <c r="O116" s="13"/>
      <c r="P116" s="13"/>
      <c r="Q116" s="13"/>
      <c r="R116" s="13"/>
      <c r="S116" s="13"/>
      <c r="T116" s="13"/>
    </row>
    <row r="117" spans="2:20" x14ac:dyDescent="0.25">
      <c r="B117" s="13"/>
      <c r="C117" s="13"/>
      <c r="D117" s="13"/>
      <c r="E117" s="13"/>
      <c r="F117" s="13"/>
      <c r="G117" s="13"/>
      <c r="H117" s="13"/>
      <c r="I117" s="13"/>
      <c r="J117" s="13"/>
      <c r="K117" s="13"/>
      <c r="L117" s="13"/>
      <c r="M117" s="13"/>
      <c r="N117" s="13"/>
      <c r="O117" s="13"/>
      <c r="P117" s="13"/>
      <c r="Q117" s="13"/>
      <c r="R117" s="13"/>
      <c r="S117" s="13"/>
      <c r="T117" s="13"/>
    </row>
    <row r="118" spans="2:20" x14ac:dyDescent="0.25">
      <c r="B118" s="13"/>
      <c r="C118" s="13"/>
      <c r="D118" s="13"/>
      <c r="E118" s="13"/>
      <c r="F118" s="13"/>
      <c r="G118" s="13"/>
      <c r="H118" s="13"/>
      <c r="I118" s="13"/>
      <c r="J118" s="13"/>
      <c r="K118" s="13"/>
      <c r="L118" s="13"/>
      <c r="M118" s="13"/>
      <c r="N118" s="13"/>
      <c r="O118" s="13"/>
      <c r="P118" s="13"/>
      <c r="Q118" s="13"/>
      <c r="R118" s="13"/>
      <c r="S118" s="13"/>
      <c r="T118" s="13"/>
    </row>
    <row r="119" spans="2:20" x14ac:dyDescent="0.25">
      <c r="B119" s="13"/>
      <c r="C119" s="13"/>
      <c r="D119" s="13"/>
      <c r="E119" s="13"/>
      <c r="F119" s="13"/>
      <c r="G119" s="13"/>
      <c r="H119" s="13"/>
      <c r="I119" s="13"/>
      <c r="J119" s="13"/>
      <c r="K119" s="13"/>
      <c r="L119" s="13"/>
      <c r="M119" s="13"/>
      <c r="N119" s="13"/>
      <c r="O119" s="13"/>
      <c r="P119" s="13"/>
      <c r="Q119" s="13"/>
      <c r="R119" s="13"/>
      <c r="S119" s="13"/>
      <c r="T119" s="13"/>
    </row>
    <row r="120" spans="2:20" x14ac:dyDescent="0.25">
      <c r="B120" s="13"/>
      <c r="C120" s="13"/>
      <c r="D120" s="13"/>
      <c r="E120" s="13"/>
      <c r="F120" s="13"/>
      <c r="G120" s="13"/>
      <c r="H120" s="13"/>
      <c r="I120" s="13"/>
      <c r="J120" s="13"/>
      <c r="K120" s="13"/>
      <c r="L120" s="13"/>
      <c r="M120" s="13"/>
      <c r="N120" s="13"/>
      <c r="O120" s="13"/>
      <c r="P120" s="13"/>
      <c r="Q120" s="13"/>
      <c r="R120" s="13"/>
      <c r="S120" s="13"/>
      <c r="T120" s="13"/>
    </row>
    <row r="121" spans="2:20" x14ac:dyDescent="0.25">
      <c r="B121" s="13"/>
      <c r="C121" s="13"/>
      <c r="D121" s="13"/>
      <c r="E121" s="13"/>
      <c r="F121" s="13"/>
      <c r="G121" s="13"/>
      <c r="H121" s="13"/>
      <c r="I121" s="13"/>
      <c r="J121" s="13"/>
      <c r="K121" s="13"/>
      <c r="L121" s="13"/>
      <c r="M121" s="13"/>
      <c r="N121" s="13"/>
      <c r="O121" s="13"/>
      <c r="P121" s="13"/>
      <c r="Q121" s="13"/>
      <c r="R121" s="13"/>
      <c r="S121" s="13"/>
      <c r="T121" s="13"/>
    </row>
    <row r="122" spans="2:20" x14ac:dyDescent="0.25">
      <c r="B122" s="13"/>
      <c r="C122" s="13"/>
      <c r="D122" s="13"/>
      <c r="E122" s="13"/>
      <c r="F122" s="13"/>
      <c r="G122" s="13"/>
      <c r="H122" s="13"/>
      <c r="I122" s="13"/>
      <c r="J122" s="13"/>
      <c r="K122" s="13"/>
      <c r="L122" s="13"/>
      <c r="M122" s="13"/>
      <c r="N122" s="13"/>
      <c r="O122" s="13"/>
      <c r="P122" s="13"/>
      <c r="Q122" s="13"/>
      <c r="R122" s="13"/>
      <c r="S122" s="13"/>
      <c r="T122" s="13"/>
    </row>
    <row r="123" spans="2:20" x14ac:dyDescent="0.25">
      <c r="B123" s="13"/>
      <c r="C123" s="13"/>
      <c r="D123" s="13"/>
      <c r="E123" s="13"/>
      <c r="F123" s="13"/>
      <c r="G123" s="13"/>
      <c r="H123" s="13"/>
      <c r="I123" s="13"/>
      <c r="J123" s="13"/>
      <c r="K123" s="13"/>
      <c r="L123" s="13"/>
      <c r="M123" s="13"/>
      <c r="N123" s="13"/>
      <c r="O123" s="13"/>
      <c r="P123" s="13"/>
      <c r="Q123" s="13"/>
      <c r="R123" s="13"/>
      <c r="S123" s="13"/>
      <c r="T123" s="13"/>
    </row>
    <row r="124" spans="2:20" x14ac:dyDescent="0.25">
      <c r="B124" s="13"/>
      <c r="C124" s="13"/>
      <c r="D124" s="13"/>
      <c r="E124" s="13"/>
      <c r="F124" s="13"/>
      <c r="G124" s="13"/>
      <c r="H124" s="13"/>
      <c r="I124" s="13"/>
      <c r="J124" s="13"/>
      <c r="K124" s="13"/>
      <c r="L124" s="13"/>
      <c r="M124" s="13"/>
      <c r="N124" s="13"/>
      <c r="O124" s="13"/>
      <c r="P124" s="13"/>
      <c r="Q124" s="13"/>
      <c r="R124" s="13"/>
      <c r="S124" s="13"/>
      <c r="T124" s="13"/>
    </row>
    <row r="125" spans="2:20" x14ac:dyDescent="0.25">
      <c r="B125" s="13"/>
      <c r="C125" s="13"/>
      <c r="D125" s="13"/>
      <c r="E125" s="13"/>
      <c r="F125" s="13"/>
      <c r="G125" s="13"/>
      <c r="H125" s="13"/>
      <c r="I125" s="13"/>
      <c r="J125" s="13"/>
      <c r="K125" s="13"/>
      <c r="L125" s="13"/>
      <c r="M125" s="13"/>
      <c r="N125" s="13"/>
      <c r="O125" s="13"/>
      <c r="P125" s="13"/>
      <c r="Q125" s="13"/>
      <c r="R125" s="13"/>
      <c r="S125" s="13"/>
      <c r="T125" s="13"/>
    </row>
    <row r="126" spans="2:20" x14ac:dyDescent="0.25">
      <c r="B126" s="13"/>
      <c r="C126" s="13"/>
      <c r="D126" s="13"/>
      <c r="E126" s="13"/>
      <c r="F126" s="13"/>
      <c r="G126" s="13"/>
      <c r="H126" s="13"/>
      <c r="I126" s="13"/>
      <c r="J126" s="13"/>
      <c r="K126" s="13"/>
      <c r="L126" s="13"/>
      <c r="M126" s="13"/>
      <c r="N126" s="13"/>
      <c r="O126" s="13"/>
      <c r="P126" s="13"/>
      <c r="Q126" s="13"/>
      <c r="R126" s="13"/>
      <c r="S126" s="13"/>
      <c r="T126" s="13"/>
    </row>
    <row r="127" spans="2:20" x14ac:dyDescent="0.25">
      <c r="B127" s="13"/>
      <c r="C127" s="13"/>
      <c r="D127" s="13"/>
      <c r="E127" s="13"/>
      <c r="F127" s="13"/>
      <c r="G127" s="13"/>
      <c r="H127" s="13"/>
      <c r="I127" s="13"/>
      <c r="J127" s="13"/>
      <c r="K127" s="13"/>
      <c r="L127" s="13"/>
      <c r="M127" s="13"/>
      <c r="N127" s="13"/>
      <c r="O127" s="13"/>
      <c r="P127" s="13"/>
      <c r="Q127" s="13"/>
      <c r="R127" s="13"/>
      <c r="S127" s="13"/>
      <c r="T127" s="13"/>
    </row>
    <row r="128" spans="2:20" x14ac:dyDescent="0.25">
      <c r="B128" s="13"/>
      <c r="C128" s="13"/>
      <c r="D128" s="13"/>
      <c r="E128" s="13"/>
      <c r="F128" s="13"/>
      <c r="G128" s="13"/>
      <c r="H128" s="13"/>
      <c r="I128" s="13"/>
      <c r="J128" s="13"/>
      <c r="K128" s="13"/>
      <c r="L128" s="13"/>
      <c r="M128" s="13"/>
      <c r="N128" s="13"/>
      <c r="O128" s="13"/>
      <c r="P128" s="13"/>
      <c r="Q128" s="13"/>
      <c r="R128" s="13"/>
      <c r="S128" s="13"/>
      <c r="T128" s="13"/>
    </row>
    <row r="129" spans="2:20" x14ac:dyDescent="0.25">
      <c r="B129" s="13"/>
      <c r="C129" s="13"/>
      <c r="D129" s="13"/>
      <c r="E129" s="13"/>
      <c r="F129" s="13"/>
      <c r="G129" s="13"/>
      <c r="H129" s="13"/>
      <c r="I129" s="13"/>
      <c r="J129" s="13"/>
      <c r="K129" s="13"/>
      <c r="L129" s="13"/>
      <c r="M129" s="13"/>
      <c r="N129" s="13"/>
      <c r="O129" s="13"/>
      <c r="P129" s="13"/>
      <c r="Q129" s="13"/>
      <c r="R129" s="13"/>
      <c r="S129" s="13"/>
      <c r="T129" s="13"/>
    </row>
    <row r="130" spans="2:20" x14ac:dyDescent="0.25">
      <c r="B130" s="13"/>
      <c r="C130" s="13"/>
      <c r="D130" s="13"/>
      <c r="E130" s="13"/>
      <c r="F130" s="13"/>
      <c r="G130" s="13"/>
      <c r="H130" s="13"/>
      <c r="I130" s="13"/>
      <c r="J130" s="13"/>
      <c r="K130" s="13"/>
      <c r="L130" s="13"/>
      <c r="M130" s="13"/>
      <c r="N130" s="13"/>
      <c r="O130" s="13"/>
      <c r="P130" s="13"/>
      <c r="Q130" s="13"/>
      <c r="R130" s="13"/>
      <c r="S130" s="13"/>
      <c r="T130" s="13"/>
    </row>
    <row r="131" spans="2:20" x14ac:dyDescent="0.25">
      <c r="B131" s="13"/>
      <c r="C131" s="13"/>
      <c r="D131" s="13"/>
      <c r="E131" s="13"/>
      <c r="F131" s="13"/>
      <c r="G131" s="13"/>
      <c r="H131" s="13"/>
      <c r="I131" s="13"/>
      <c r="J131" s="13"/>
      <c r="K131" s="13"/>
      <c r="L131" s="13"/>
      <c r="M131" s="13"/>
      <c r="N131" s="13"/>
      <c r="O131" s="13"/>
      <c r="P131" s="13"/>
      <c r="Q131" s="13"/>
      <c r="R131" s="13"/>
      <c r="S131" s="13"/>
      <c r="T131" s="13"/>
    </row>
    <row r="132" spans="2:20" x14ac:dyDescent="0.25">
      <c r="B132" s="13"/>
      <c r="C132" s="13"/>
      <c r="D132" s="13"/>
      <c r="E132" s="13"/>
      <c r="F132" s="13"/>
      <c r="G132" s="13"/>
      <c r="H132" s="13"/>
      <c r="I132" s="13"/>
      <c r="J132" s="13"/>
      <c r="K132" s="13"/>
      <c r="L132" s="13"/>
      <c r="M132" s="13"/>
      <c r="N132" s="13"/>
      <c r="O132" s="13"/>
      <c r="P132" s="13"/>
      <c r="Q132" s="13"/>
      <c r="R132" s="13"/>
      <c r="S132" s="13"/>
      <c r="T132" s="13"/>
    </row>
    <row r="133" spans="2:20" x14ac:dyDescent="0.25">
      <c r="B133" s="13"/>
      <c r="C133" s="13"/>
      <c r="D133" s="13"/>
      <c r="E133" s="13"/>
      <c r="F133" s="13"/>
      <c r="G133" s="13"/>
      <c r="H133" s="13"/>
      <c r="I133" s="13"/>
      <c r="J133" s="13"/>
      <c r="K133" s="13"/>
      <c r="L133" s="13"/>
      <c r="M133" s="13"/>
      <c r="N133" s="13"/>
      <c r="O133" s="13"/>
      <c r="P133" s="13"/>
      <c r="Q133" s="13"/>
      <c r="R133" s="13"/>
      <c r="S133" s="13"/>
      <c r="T133" s="13"/>
    </row>
    <row r="134" spans="2:20" x14ac:dyDescent="0.25">
      <c r="B134" s="13"/>
      <c r="C134" s="13"/>
      <c r="D134" s="13"/>
      <c r="E134" s="13"/>
      <c r="F134" s="13"/>
      <c r="G134" s="13"/>
      <c r="H134" s="13"/>
      <c r="I134" s="13"/>
      <c r="J134" s="13"/>
      <c r="K134" s="13"/>
      <c r="L134" s="13"/>
      <c r="M134" s="13"/>
      <c r="N134" s="13"/>
      <c r="O134" s="13"/>
      <c r="P134" s="13"/>
      <c r="Q134" s="13"/>
      <c r="R134" s="13"/>
      <c r="S134" s="13"/>
      <c r="T134" s="13"/>
    </row>
    <row r="135" spans="2:20" x14ac:dyDescent="0.25">
      <c r="B135" s="13"/>
      <c r="C135" s="13"/>
      <c r="D135" s="13"/>
      <c r="E135" s="13"/>
      <c r="F135" s="13"/>
      <c r="G135" s="13"/>
      <c r="H135" s="13"/>
      <c r="I135" s="13"/>
      <c r="J135" s="13"/>
      <c r="K135" s="13"/>
      <c r="L135" s="13"/>
      <c r="M135" s="13"/>
      <c r="N135" s="13"/>
      <c r="O135" s="13"/>
      <c r="P135" s="13"/>
      <c r="Q135" s="13"/>
      <c r="R135" s="13"/>
      <c r="S135" s="13"/>
      <c r="T135" s="13"/>
    </row>
    <row r="136" spans="2:20" x14ac:dyDescent="0.25">
      <c r="B136" s="13"/>
      <c r="C136" s="13"/>
      <c r="D136" s="13"/>
      <c r="E136" s="13"/>
      <c r="F136" s="13"/>
      <c r="G136" s="13"/>
      <c r="H136" s="13"/>
      <c r="I136" s="13"/>
      <c r="J136" s="13"/>
      <c r="K136" s="13"/>
      <c r="L136" s="13"/>
      <c r="M136" s="13"/>
      <c r="N136" s="13"/>
      <c r="O136" s="13"/>
      <c r="P136" s="13"/>
      <c r="Q136" s="13"/>
      <c r="R136" s="13"/>
      <c r="S136" s="13"/>
      <c r="T136" s="13"/>
    </row>
    <row r="137" spans="2:20" x14ac:dyDescent="0.25">
      <c r="B137" s="13"/>
      <c r="C137" s="13"/>
      <c r="D137" s="13"/>
      <c r="E137" s="13"/>
      <c r="F137" s="13"/>
      <c r="G137" s="13"/>
      <c r="H137" s="13"/>
      <c r="I137" s="13"/>
      <c r="J137" s="13"/>
      <c r="K137" s="13"/>
      <c r="L137" s="13"/>
      <c r="M137" s="13"/>
      <c r="N137" s="13"/>
      <c r="O137" s="13"/>
      <c r="P137" s="13"/>
      <c r="Q137" s="13"/>
      <c r="R137" s="13"/>
      <c r="S137" s="13"/>
      <c r="T137" s="13"/>
    </row>
    <row r="138" spans="2:20" x14ac:dyDescent="0.25">
      <c r="B138" s="13"/>
      <c r="C138" s="13"/>
      <c r="D138" s="13"/>
      <c r="E138" s="13"/>
      <c r="F138" s="13"/>
      <c r="G138" s="13"/>
      <c r="H138" s="13"/>
      <c r="I138" s="13"/>
      <c r="J138" s="13"/>
      <c r="K138" s="13"/>
      <c r="L138" s="13"/>
      <c r="M138" s="13"/>
      <c r="N138" s="13"/>
      <c r="O138" s="13"/>
      <c r="P138" s="13"/>
      <c r="Q138" s="13"/>
      <c r="R138" s="13"/>
      <c r="S138" s="13"/>
      <c r="T138" s="13"/>
    </row>
    <row r="139" spans="2:20" x14ac:dyDescent="0.25">
      <c r="B139" s="13"/>
      <c r="C139" s="13"/>
      <c r="D139" s="13"/>
      <c r="E139" s="13"/>
      <c r="F139" s="13"/>
      <c r="G139" s="13"/>
      <c r="H139" s="13"/>
      <c r="I139" s="13"/>
      <c r="J139" s="13"/>
      <c r="K139" s="13"/>
      <c r="L139" s="13"/>
      <c r="M139" s="13"/>
      <c r="N139" s="13"/>
      <c r="O139" s="13"/>
      <c r="P139" s="13"/>
      <c r="Q139" s="13"/>
      <c r="R139" s="13"/>
      <c r="S139" s="13"/>
      <c r="T139" s="13"/>
    </row>
    <row r="140" spans="2:20" x14ac:dyDescent="0.25">
      <c r="B140" s="13"/>
      <c r="C140" s="13"/>
      <c r="D140" s="13"/>
      <c r="E140" s="13"/>
      <c r="F140" s="13"/>
      <c r="G140" s="13"/>
      <c r="H140" s="13"/>
      <c r="I140" s="13"/>
      <c r="J140" s="13"/>
      <c r="K140" s="13"/>
      <c r="L140" s="13"/>
      <c r="M140" s="13"/>
      <c r="N140" s="13"/>
      <c r="O140" s="13"/>
      <c r="P140" s="13"/>
      <c r="Q140" s="13"/>
      <c r="R140" s="13"/>
      <c r="S140" s="13"/>
      <c r="T140" s="13"/>
    </row>
    <row r="141" spans="2:20" x14ac:dyDescent="0.25">
      <c r="B141" s="13"/>
      <c r="C141" s="13"/>
      <c r="D141" s="13"/>
      <c r="E141" s="13"/>
      <c r="F141" s="13"/>
      <c r="G141" s="13"/>
      <c r="H141" s="13"/>
      <c r="I141" s="13"/>
      <c r="J141" s="13"/>
      <c r="K141" s="13"/>
      <c r="L141" s="13"/>
      <c r="M141" s="13"/>
      <c r="N141" s="13"/>
      <c r="O141" s="13"/>
      <c r="P141" s="13"/>
      <c r="Q141" s="13"/>
      <c r="R141" s="13"/>
      <c r="S141" s="13"/>
      <c r="T141" s="13"/>
    </row>
    <row r="142" spans="2:20" x14ac:dyDescent="0.25">
      <c r="B142" s="13"/>
      <c r="C142" s="13"/>
      <c r="D142" s="13"/>
      <c r="E142" s="13"/>
      <c r="F142" s="13"/>
      <c r="G142" s="13"/>
      <c r="H142" s="13"/>
      <c r="I142" s="13"/>
      <c r="J142" s="13"/>
      <c r="K142" s="13"/>
      <c r="L142" s="13"/>
      <c r="M142" s="13"/>
      <c r="N142" s="13"/>
      <c r="O142" s="13"/>
      <c r="P142" s="13"/>
      <c r="Q142" s="13"/>
      <c r="R142" s="13"/>
      <c r="S142" s="13"/>
      <c r="T142" s="13"/>
    </row>
    <row r="143" spans="2:20" x14ac:dyDescent="0.25">
      <c r="B143" s="13"/>
      <c r="C143" s="13"/>
      <c r="D143" s="13"/>
      <c r="E143" s="13"/>
      <c r="F143" s="13"/>
      <c r="G143" s="13"/>
      <c r="H143" s="13"/>
      <c r="I143" s="13"/>
      <c r="J143" s="13"/>
      <c r="K143" s="13"/>
      <c r="L143" s="13"/>
      <c r="M143" s="13"/>
      <c r="N143" s="13"/>
      <c r="O143" s="13"/>
      <c r="P143" s="13"/>
      <c r="Q143" s="13"/>
      <c r="R143" s="13"/>
      <c r="S143" s="13"/>
      <c r="T143" s="13"/>
    </row>
    <row r="144" spans="2:20" x14ac:dyDescent="0.25">
      <c r="B144" s="13"/>
      <c r="C144" s="13"/>
      <c r="D144" s="13"/>
      <c r="E144" s="13"/>
      <c r="F144" s="13"/>
      <c r="G144" s="13"/>
      <c r="H144" s="13"/>
      <c r="I144" s="13"/>
      <c r="J144" s="13"/>
      <c r="K144" s="13"/>
      <c r="L144" s="13"/>
      <c r="M144" s="13"/>
      <c r="N144" s="13"/>
      <c r="O144" s="13"/>
      <c r="P144" s="13"/>
      <c r="Q144" s="13"/>
      <c r="R144" s="13"/>
      <c r="S144" s="13"/>
      <c r="T144" s="13"/>
    </row>
    <row r="145" spans="2:20" x14ac:dyDescent="0.25">
      <c r="B145" s="13"/>
      <c r="C145" s="13"/>
      <c r="D145" s="13"/>
      <c r="E145" s="13"/>
      <c r="F145" s="13"/>
      <c r="G145" s="13"/>
      <c r="H145" s="13"/>
      <c r="I145" s="13"/>
      <c r="J145" s="13"/>
      <c r="K145" s="13"/>
      <c r="L145" s="13"/>
      <c r="M145" s="13"/>
      <c r="N145" s="13"/>
      <c r="O145" s="13"/>
      <c r="P145" s="13"/>
      <c r="Q145" s="13"/>
      <c r="R145" s="13"/>
      <c r="S145" s="13"/>
      <c r="T145" s="13"/>
    </row>
    <row r="146" spans="2:20" x14ac:dyDescent="0.25">
      <c r="B146" s="13"/>
      <c r="C146" s="13"/>
      <c r="D146" s="13"/>
      <c r="E146" s="13"/>
      <c r="F146" s="13"/>
      <c r="G146" s="13"/>
      <c r="H146" s="13"/>
      <c r="I146" s="13"/>
      <c r="J146" s="13"/>
      <c r="K146" s="13"/>
      <c r="L146" s="13"/>
      <c r="M146" s="13"/>
      <c r="N146" s="13"/>
      <c r="O146" s="13"/>
      <c r="P146" s="13"/>
      <c r="Q146" s="13"/>
      <c r="R146" s="13"/>
      <c r="S146" s="13"/>
      <c r="T146" s="13"/>
    </row>
    <row r="147" spans="2:20" x14ac:dyDescent="0.25">
      <c r="B147" s="13"/>
      <c r="C147" s="13"/>
      <c r="D147" s="13"/>
      <c r="E147" s="13"/>
      <c r="F147" s="13"/>
      <c r="G147" s="13"/>
      <c r="H147" s="13"/>
      <c r="I147" s="13"/>
      <c r="J147" s="13"/>
      <c r="K147" s="13"/>
      <c r="L147" s="13"/>
      <c r="M147" s="13"/>
      <c r="N147" s="13"/>
      <c r="O147" s="13"/>
      <c r="P147" s="13"/>
      <c r="Q147" s="13"/>
      <c r="R147" s="13"/>
      <c r="S147" s="13"/>
      <c r="T147" s="13"/>
    </row>
    <row r="148" spans="2:20" x14ac:dyDescent="0.25">
      <c r="B148" s="13"/>
      <c r="C148" s="13"/>
      <c r="D148" s="13"/>
      <c r="E148" s="13"/>
      <c r="F148" s="13"/>
      <c r="G148" s="13"/>
      <c r="H148" s="13"/>
      <c r="I148" s="13"/>
      <c r="J148" s="13"/>
      <c r="K148" s="13"/>
      <c r="L148" s="13"/>
      <c r="M148" s="13"/>
      <c r="N148" s="13"/>
      <c r="O148" s="13"/>
      <c r="P148" s="13"/>
      <c r="Q148" s="13"/>
      <c r="R148" s="13"/>
      <c r="S148" s="13"/>
      <c r="T148" s="13"/>
    </row>
    <row r="149" spans="2:20" x14ac:dyDescent="0.25">
      <c r="B149" s="13"/>
      <c r="C149" s="13"/>
      <c r="D149" s="13"/>
      <c r="E149" s="13"/>
      <c r="F149" s="13"/>
      <c r="G149" s="13"/>
      <c r="H149" s="13"/>
      <c r="I149" s="13"/>
      <c r="J149" s="13"/>
      <c r="K149" s="13"/>
      <c r="L149" s="13"/>
      <c r="M149" s="13"/>
      <c r="N149" s="13"/>
      <c r="O149" s="13"/>
      <c r="P149" s="13"/>
      <c r="Q149" s="13"/>
      <c r="R149" s="13"/>
      <c r="S149" s="13"/>
      <c r="T149" s="13"/>
    </row>
    <row r="150" spans="2:20" x14ac:dyDescent="0.25">
      <c r="B150" s="13"/>
      <c r="C150" s="13"/>
      <c r="D150" s="13"/>
      <c r="E150" s="13"/>
      <c r="F150" s="13"/>
      <c r="G150" s="13"/>
      <c r="H150" s="13"/>
      <c r="I150" s="13"/>
      <c r="J150" s="13"/>
      <c r="K150" s="13"/>
      <c r="L150" s="13"/>
      <c r="M150" s="13"/>
      <c r="N150" s="13"/>
      <c r="O150" s="13"/>
      <c r="P150" s="13"/>
      <c r="Q150" s="13"/>
      <c r="R150" s="13"/>
      <c r="S150" s="13"/>
      <c r="T150" s="13"/>
    </row>
    <row r="151" spans="2:20" x14ac:dyDescent="0.25">
      <c r="B151" s="13"/>
      <c r="C151" s="13"/>
      <c r="D151" s="13"/>
      <c r="E151" s="13"/>
      <c r="F151" s="13"/>
      <c r="G151" s="13"/>
      <c r="H151" s="13"/>
      <c r="I151" s="13"/>
      <c r="J151" s="13"/>
      <c r="K151" s="13"/>
      <c r="L151" s="13"/>
      <c r="M151" s="13"/>
      <c r="N151" s="13"/>
      <c r="O151" s="13"/>
      <c r="P151" s="13"/>
      <c r="Q151" s="13"/>
      <c r="R151" s="13"/>
      <c r="S151" s="13"/>
      <c r="T151" s="13"/>
    </row>
    <row r="152" spans="2:20" x14ac:dyDescent="0.25">
      <c r="B152" s="13"/>
      <c r="C152" s="13"/>
      <c r="D152" s="13"/>
      <c r="E152" s="13"/>
      <c r="F152" s="13"/>
      <c r="G152" s="13"/>
      <c r="H152" s="13"/>
      <c r="I152" s="13"/>
      <c r="J152" s="13"/>
      <c r="K152" s="13"/>
      <c r="L152" s="13"/>
      <c r="M152" s="13"/>
      <c r="N152" s="13"/>
      <c r="O152" s="13"/>
      <c r="P152" s="13"/>
      <c r="Q152" s="13"/>
      <c r="R152" s="13"/>
      <c r="S152" s="13"/>
      <c r="T152" s="13"/>
    </row>
    <row r="153" spans="2:20" x14ac:dyDescent="0.25">
      <c r="B153" s="13"/>
      <c r="C153" s="13"/>
      <c r="D153" s="13"/>
      <c r="E153" s="13"/>
      <c r="F153" s="13"/>
      <c r="G153" s="13"/>
      <c r="H153" s="13"/>
      <c r="I153" s="13"/>
      <c r="J153" s="13"/>
      <c r="K153" s="13"/>
      <c r="L153" s="13"/>
      <c r="M153" s="13"/>
      <c r="N153" s="13"/>
      <c r="O153" s="13"/>
      <c r="P153" s="13"/>
      <c r="Q153" s="13"/>
      <c r="R153" s="13"/>
      <c r="S153" s="13"/>
      <c r="T153" s="13"/>
    </row>
    <row r="154" spans="2:20" x14ac:dyDescent="0.25">
      <c r="B154" s="13"/>
      <c r="C154" s="13"/>
      <c r="D154" s="13"/>
      <c r="E154" s="13"/>
      <c r="F154" s="13"/>
      <c r="G154" s="13"/>
      <c r="H154" s="13"/>
      <c r="I154" s="13"/>
      <c r="J154" s="13"/>
      <c r="K154" s="13"/>
      <c r="L154" s="13"/>
      <c r="M154" s="13"/>
      <c r="N154" s="13"/>
      <c r="O154" s="13"/>
      <c r="P154" s="13"/>
      <c r="Q154" s="13"/>
      <c r="R154" s="13"/>
      <c r="S154" s="13"/>
      <c r="T154" s="13"/>
    </row>
    <row r="155" spans="2:20" x14ac:dyDescent="0.25">
      <c r="B155" s="13"/>
      <c r="C155" s="13"/>
      <c r="D155" s="13"/>
      <c r="E155" s="13"/>
      <c r="F155" s="13"/>
      <c r="G155" s="13"/>
      <c r="H155" s="13"/>
      <c r="I155" s="13"/>
      <c r="J155" s="13"/>
      <c r="K155" s="13"/>
      <c r="L155" s="13"/>
      <c r="M155" s="13"/>
      <c r="N155" s="13"/>
      <c r="O155" s="13"/>
      <c r="P155" s="13"/>
      <c r="Q155" s="13"/>
      <c r="R155" s="13"/>
      <c r="S155" s="13"/>
      <c r="T155" s="13"/>
    </row>
    <row r="156" spans="2:20" x14ac:dyDescent="0.25">
      <c r="B156" s="13"/>
      <c r="C156" s="13"/>
      <c r="D156" s="13"/>
      <c r="E156" s="13"/>
      <c r="F156" s="13"/>
      <c r="G156" s="13"/>
      <c r="H156" s="13"/>
      <c r="I156" s="13"/>
      <c r="J156" s="13"/>
      <c r="K156" s="13"/>
      <c r="L156" s="13"/>
      <c r="M156" s="13"/>
      <c r="N156" s="13"/>
      <c r="O156" s="13"/>
      <c r="P156" s="13"/>
      <c r="Q156" s="13"/>
      <c r="R156" s="13"/>
      <c r="S156" s="13"/>
      <c r="T156" s="13"/>
    </row>
    <row r="157" spans="2:20" x14ac:dyDescent="0.25">
      <c r="B157" s="13"/>
      <c r="C157" s="13"/>
      <c r="D157" s="13"/>
      <c r="E157" s="13"/>
      <c r="F157" s="13"/>
      <c r="G157" s="13"/>
      <c r="H157" s="13"/>
      <c r="I157" s="13"/>
      <c r="J157" s="13"/>
      <c r="K157" s="13"/>
      <c r="L157" s="13"/>
      <c r="M157" s="13"/>
      <c r="N157" s="13"/>
      <c r="O157" s="13"/>
      <c r="P157" s="13"/>
      <c r="Q157" s="13"/>
      <c r="R157" s="13"/>
      <c r="S157" s="13"/>
      <c r="T157" s="13"/>
    </row>
    <row r="158" spans="2:20" x14ac:dyDescent="0.25">
      <c r="B158" s="13"/>
      <c r="C158" s="13"/>
      <c r="D158" s="13"/>
      <c r="E158" s="13"/>
      <c r="F158" s="13"/>
      <c r="G158" s="13"/>
      <c r="H158" s="13"/>
      <c r="I158" s="13"/>
      <c r="J158" s="13"/>
      <c r="K158" s="13"/>
      <c r="L158" s="13"/>
      <c r="M158" s="13"/>
      <c r="N158" s="13"/>
      <c r="O158" s="13"/>
      <c r="P158" s="13"/>
      <c r="Q158" s="13"/>
      <c r="R158" s="13"/>
      <c r="S158" s="13"/>
      <c r="T158" s="13"/>
    </row>
    <row r="159" spans="2:20" x14ac:dyDescent="0.25">
      <c r="B159" s="13"/>
      <c r="C159" s="13"/>
      <c r="D159" s="13"/>
      <c r="E159" s="13"/>
      <c r="F159" s="13"/>
      <c r="G159" s="13"/>
      <c r="H159" s="13"/>
      <c r="I159" s="13"/>
      <c r="J159" s="13"/>
      <c r="K159" s="13"/>
      <c r="L159" s="13"/>
      <c r="M159" s="13"/>
      <c r="N159" s="13"/>
      <c r="O159" s="13"/>
      <c r="P159" s="13"/>
      <c r="Q159" s="13"/>
      <c r="R159" s="13"/>
      <c r="S159" s="13"/>
      <c r="T159" s="13"/>
    </row>
    <row r="160" spans="2:20" x14ac:dyDescent="0.25">
      <c r="B160" s="13"/>
      <c r="C160" s="13"/>
      <c r="D160" s="13"/>
      <c r="E160" s="13"/>
      <c r="F160" s="13"/>
      <c r="G160" s="13"/>
      <c r="H160" s="13"/>
      <c r="I160" s="13"/>
      <c r="J160" s="13"/>
      <c r="K160" s="13"/>
      <c r="L160" s="13"/>
      <c r="M160" s="13"/>
      <c r="N160" s="13"/>
      <c r="O160" s="13"/>
      <c r="P160" s="13"/>
      <c r="Q160" s="13"/>
      <c r="R160" s="13"/>
      <c r="S160" s="13"/>
      <c r="T160" s="13"/>
    </row>
    <row r="161" spans="2:20" x14ac:dyDescent="0.25">
      <c r="B161" s="13"/>
      <c r="C161" s="13"/>
      <c r="D161" s="13"/>
      <c r="E161" s="13"/>
      <c r="F161" s="13"/>
      <c r="G161" s="13"/>
      <c r="H161" s="13"/>
      <c r="I161" s="13"/>
      <c r="J161" s="13"/>
      <c r="K161" s="13"/>
      <c r="L161" s="13"/>
      <c r="M161" s="13"/>
      <c r="N161" s="13"/>
      <c r="O161" s="13"/>
      <c r="P161" s="13"/>
      <c r="Q161" s="13"/>
      <c r="R161" s="13"/>
      <c r="S161" s="13"/>
      <c r="T161" s="13"/>
    </row>
    <row r="162" spans="2:20" x14ac:dyDescent="0.25">
      <c r="B162" s="13"/>
      <c r="C162" s="13"/>
      <c r="D162" s="13"/>
      <c r="E162" s="13"/>
      <c r="F162" s="13"/>
      <c r="G162" s="13"/>
      <c r="H162" s="13"/>
      <c r="I162" s="13"/>
      <c r="J162" s="13"/>
      <c r="K162" s="13"/>
      <c r="L162" s="13"/>
      <c r="M162" s="13"/>
      <c r="N162" s="13"/>
      <c r="O162" s="13"/>
      <c r="P162" s="13"/>
      <c r="Q162" s="13"/>
      <c r="R162" s="13"/>
      <c r="S162" s="13"/>
      <c r="T162" s="13"/>
    </row>
    <row r="163" spans="2:20" x14ac:dyDescent="0.25">
      <c r="B163" s="13"/>
      <c r="C163" s="13"/>
      <c r="D163" s="13"/>
      <c r="E163" s="13"/>
      <c r="F163" s="13"/>
      <c r="G163" s="13"/>
      <c r="H163" s="13"/>
      <c r="I163" s="13"/>
      <c r="J163" s="13"/>
      <c r="K163" s="13"/>
      <c r="L163" s="13"/>
      <c r="M163" s="13"/>
      <c r="N163" s="13"/>
      <c r="O163" s="13"/>
      <c r="P163" s="13"/>
      <c r="Q163" s="13"/>
      <c r="R163" s="13"/>
      <c r="S163" s="13"/>
      <c r="T163" s="13"/>
    </row>
    <row r="164" spans="2:20" x14ac:dyDescent="0.25">
      <c r="B164" s="13"/>
      <c r="C164" s="13"/>
      <c r="D164" s="13"/>
      <c r="E164" s="13"/>
      <c r="F164" s="13"/>
      <c r="G164" s="13"/>
      <c r="H164" s="13"/>
      <c r="I164" s="13"/>
      <c r="J164" s="13"/>
      <c r="K164" s="13"/>
      <c r="L164" s="13"/>
      <c r="M164" s="13"/>
      <c r="N164" s="13"/>
      <c r="O164" s="13"/>
      <c r="P164" s="13"/>
      <c r="Q164" s="13"/>
      <c r="R164" s="13"/>
      <c r="S164" s="13"/>
      <c r="T164" s="13"/>
    </row>
    <row r="165" spans="2:20" x14ac:dyDescent="0.25">
      <c r="B165" s="13"/>
      <c r="C165" s="13"/>
      <c r="D165" s="13"/>
      <c r="E165" s="13"/>
      <c r="F165" s="13"/>
      <c r="G165" s="13"/>
      <c r="H165" s="13"/>
      <c r="I165" s="13"/>
      <c r="J165" s="13"/>
      <c r="K165" s="13"/>
      <c r="L165" s="13"/>
      <c r="M165" s="13"/>
      <c r="N165" s="13"/>
      <c r="O165" s="13"/>
      <c r="P165" s="13"/>
      <c r="Q165" s="13"/>
      <c r="R165" s="13"/>
      <c r="S165" s="13"/>
      <c r="T165" s="13"/>
    </row>
    <row r="166" spans="2:20" x14ac:dyDescent="0.25">
      <c r="B166" s="13"/>
      <c r="C166" s="13"/>
      <c r="D166" s="13"/>
      <c r="E166" s="13"/>
      <c r="F166" s="13"/>
      <c r="G166" s="13"/>
      <c r="H166" s="13"/>
      <c r="I166" s="13"/>
      <c r="J166" s="13"/>
      <c r="K166" s="13"/>
      <c r="L166" s="13"/>
      <c r="M166" s="13"/>
      <c r="N166" s="13"/>
      <c r="O166" s="13"/>
      <c r="P166" s="13"/>
      <c r="Q166" s="13"/>
      <c r="R166" s="13"/>
      <c r="S166" s="13"/>
      <c r="T166" s="13"/>
    </row>
    <row r="167" spans="2:20" x14ac:dyDescent="0.25">
      <c r="B167" s="13"/>
      <c r="C167" s="13"/>
      <c r="D167" s="13"/>
      <c r="E167" s="13"/>
      <c r="F167" s="13"/>
      <c r="G167" s="13"/>
      <c r="H167" s="13"/>
      <c r="I167" s="13"/>
      <c r="J167" s="13"/>
      <c r="K167" s="13"/>
      <c r="L167" s="13"/>
      <c r="M167" s="13"/>
      <c r="N167" s="13"/>
      <c r="O167" s="13"/>
      <c r="P167" s="13"/>
      <c r="Q167" s="13"/>
      <c r="R167" s="13"/>
      <c r="S167" s="13"/>
      <c r="T167" s="13"/>
    </row>
    <row r="168" spans="2:20" x14ac:dyDescent="0.25">
      <c r="B168" s="13"/>
      <c r="C168" s="13"/>
      <c r="D168" s="13"/>
      <c r="E168" s="13"/>
      <c r="F168" s="13"/>
      <c r="G168" s="13"/>
      <c r="H168" s="13"/>
      <c r="I168" s="13"/>
      <c r="J168" s="13"/>
      <c r="K168" s="13"/>
      <c r="L168" s="13"/>
      <c r="M168" s="13"/>
      <c r="N168" s="13"/>
      <c r="O168" s="13"/>
      <c r="P168" s="13"/>
      <c r="Q168" s="13"/>
      <c r="R168" s="13"/>
      <c r="S168" s="13"/>
      <c r="T168" s="13"/>
    </row>
    <row r="169" spans="2:20" x14ac:dyDescent="0.25">
      <c r="B169" s="13"/>
      <c r="C169" s="13"/>
      <c r="D169" s="13"/>
      <c r="E169" s="13"/>
      <c r="F169" s="13"/>
      <c r="G169" s="13"/>
      <c r="H169" s="13"/>
      <c r="I169" s="13"/>
      <c r="J169" s="13"/>
      <c r="K169" s="13"/>
      <c r="L169" s="13"/>
      <c r="M169" s="13"/>
      <c r="N169" s="13"/>
      <c r="O169" s="13"/>
      <c r="P169" s="13"/>
      <c r="Q169" s="13"/>
      <c r="R169" s="13"/>
      <c r="S169" s="13"/>
      <c r="T169" s="13"/>
    </row>
    <row r="170" spans="2:20" x14ac:dyDescent="0.25">
      <c r="B170" s="13"/>
      <c r="C170" s="13"/>
      <c r="D170" s="13"/>
      <c r="E170" s="13"/>
      <c r="F170" s="13"/>
      <c r="G170" s="13"/>
      <c r="H170" s="13"/>
      <c r="I170" s="13"/>
      <c r="J170" s="13"/>
      <c r="K170" s="13"/>
      <c r="L170" s="13"/>
      <c r="M170" s="13"/>
      <c r="N170" s="13"/>
      <c r="O170" s="13"/>
      <c r="P170" s="13"/>
      <c r="Q170" s="13"/>
      <c r="R170" s="13"/>
      <c r="S170" s="13"/>
      <c r="T170" s="13"/>
    </row>
    <row r="171" spans="2:20" x14ac:dyDescent="0.25">
      <c r="B171" s="13"/>
      <c r="C171" s="13"/>
      <c r="D171" s="13"/>
      <c r="E171" s="13"/>
      <c r="F171" s="13"/>
      <c r="G171" s="13"/>
      <c r="H171" s="13"/>
      <c r="I171" s="13"/>
      <c r="J171" s="13"/>
      <c r="K171" s="13"/>
      <c r="L171" s="13"/>
      <c r="M171" s="13"/>
      <c r="N171" s="13"/>
      <c r="O171" s="13"/>
      <c r="P171" s="13"/>
      <c r="Q171" s="13"/>
      <c r="R171" s="13"/>
      <c r="S171" s="13"/>
      <c r="T171" s="13"/>
    </row>
    <row r="172" spans="2:20" x14ac:dyDescent="0.25">
      <c r="B172" s="13"/>
      <c r="C172" s="13"/>
      <c r="D172" s="13"/>
      <c r="E172" s="13"/>
      <c r="F172" s="13"/>
      <c r="G172" s="13"/>
      <c r="H172" s="13"/>
      <c r="I172" s="13"/>
      <c r="J172" s="13"/>
      <c r="K172" s="13"/>
      <c r="L172" s="13"/>
      <c r="M172" s="13"/>
      <c r="N172" s="13"/>
      <c r="O172" s="13"/>
      <c r="P172" s="13"/>
      <c r="Q172" s="13"/>
      <c r="R172" s="13"/>
      <c r="S172" s="13"/>
      <c r="T172" s="13"/>
    </row>
    <row r="173" spans="2:20" x14ac:dyDescent="0.25">
      <c r="B173" s="13"/>
      <c r="C173" s="13"/>
      <c r="D173" s="13"/>
      <c r="E173" s="13"/>
      <c r="F173" s="13"/>
      <c r="G173" s="13"/>
      <c r="H173" s="13"/>
      <c r="I173" s="13"/>
      <c r="J173" s="13"/>
      <c r="K173" s="13"/>
      <c r="L173" s="13"/>
      <c r="M173" s="13"/>
      <c r="N173" s="13"/>
      <c r="O173" s="13"/>
      <c r="P173" s="13"/>
      <c r="Q173" s="13"/>
      <c r="R173" s="13"/>
      <c r="S173" s="13"/>
      <c r="T173" s="13"/>
    </row>
    <row r="174" spans="2:20" x14ac:dyDescent="0.25">
      <c r="B174" s="13"/>
      <c r="C174" s="13"/>
      <c r="D174" s="13"/>
      <c r="E174" s="13"/>
      <c r="F174" s="13"/>
      <c r="G174" s="13"/>
      <c r="H174" s="13"/>
      <c r="I174" s="13"/>
      <c r="J174" s="13"/>
      <c r="K174" s="13"/>
      <c r="L174" s="13"/>
      <c r="M174" s="13"/>
      <c r="N174" s="13"/>
      <c r="O174" s="13"/>
      <c r="P174" s="13"/>
      <c r="Q174" s="13"/>
      <c r="R174" s="13"/>
      <c r="S174" s="13"/>
      <c r="T174" s="13"/>
    </row>
    <row r="175" spans="2:20" x14ac:dyDescent="0.25">
      <c r="B175" s="13"/>
      <c r="C175" s="13"/>
      <c r="D175" s="13"/>
      <c r="E175" s="13"/>
      <c r="F175" s="13"/>
      <c r="G175" s="13"/>
      <c r="H175" s="13"/>
      <c r="I175" s="13"/>
      <c r="J175" s="13"/>
      <c r="K175" s="13"/>
      <c r="L175" s="13"/>
      <c r="M175" s="13"/>
      <c r="N175" s="13"/>
      <c r="O175" s="13"/>
      <c r="P175" s="13"/>
      <c r="Q175" s="13"/>
      <c r="R175" s="13"/>
      <c r="S175" s="13"/>
      <c r="T175" s="13"/>
    </row>
    <row r="176" spans="2:20" x14ac:dyDescent="0.25">
      <c r="B176" s="13"/>
      <c r="C176" s="13"/>
      <c r="D176" s="13"/>
      <c r="E176" s="13"/>
      <c r="F176" s="13"/>
      <c r="G176" s="13"/>
      <c r="H176" s="13"/>
      <c r="I176" s="13"/>
      <c r="J176" s="13"/>
      <c r="K176" s="13"/>
      <c r="L176" s="13"/>
      <c r="M176" s="13"/>
      <c r="N176" s="13"/>
      <c r="O176" s="13"/>
      <c r="P176" s="13"/>
      <c r="Q176" s="13"/>
      <c r="R176" s="13"/>
      <c r="S176" s="13"/>
      <c r="T176" s="13"/>
    </row>
    <row r="177" spans="2:20" x14ac:dyDescent="0.25">
      <c r="B177" s="13"/>
      <c r="C177" s="13"/>
      <c r="D177" s="13"/>
      <c r="E177" s="13"/>
      <c r="F177" s="13"/>
      <c r="G177" s="13"/>
      <c r="H177" s="13"/>
      <c r="I177" s="13"/>
      <c r="J177" s="13"/>
      <c r="K177" s="13"/>
      <c r="L177" s="13"/>
      <c r="M177" s="13"/>
      <c r="N177" s="13"/>
      <c r="O177" s="13"/>
      <c r="P177" s="13"/>
      <c r="Q177" s="13"/>
      <c r="R177" s="13"/>
      <c r="S177" s="13"/>
      <c r="T177" s="13"/>
    </row>
    <row r="178" spans="2:20" x14ac:dyDescent="0.25">
      <c r="B178" s="13"/>
      <c r="C178" s="13"/>
      <c r="D178" s="13"/>
      <c r="E178" s="13"/>
      <c r="F178" s="13"/>
      <c r="G178" s="13"/>
      <c r="H178" s="13"/>
      <c r="I178" s="13"/>
      <c r="J178" s="13"/>
      <c r="K178" s="13"/>
      <c r="L178" s="13"/>
      <c r="M178" s="13"/>
      <c r="N178" s="13"/>
      <c r="O178" s="13"/>
      <c r="P178" s="13"/>
      <c r="Q178" s="13"/>
      <c r="R178" s="13"/>
      <c r="S178" s="13"/>
      <c r="T178" s="13"/>
    </row>
    <row r="179" spans="2:20" x14ac:dyDescent="0.25">
      <c r="B179" s="13"/>
      <c r="C179" s="13"/>
      <c r="D179" s="13"/>
      <c r="E179" s="13"/>
      <c r="F179" s="13"/>
      <c r="G179" s="13"/>
      <c r="H179" s="13"/>
      <c r="I179" s="13"/>
      <c r="J179" s="13"/>
      <c r="K179" s="13"/>
      <c r="L179" s="13"/>
      <c r="M179" s="13"/>
      <c r="N179" s="13"/>
      <c r="O179" s="13"/>
      <c r="P179" s="13"/>
      <c r="Q179" s="13"/>
      <c r="R179" s="13"/>
      <c r="S179" s="13"/>
      <c r="T179" s="13"/>
    </row>
    <row r="180" spans="2:20" x14ac:dyDescent="0.25">
      <c r="B180" s="13"/>
      <c r="C180" s="13"/>
      <c r="D180" s="13"/>
      <c r="E180" s="13"/>
      <c r="F180" s="13"/>
      <c r="G180" s="13"/>
      <c r="H180" s="13"/>
      <c r="I180" s="13"/>
      <c r="J180" s="13"/>
      <c r="K180" s="13"/>
      <c r="L180" s="13"/>
      <c r="M180" s="13"/>
      <c r="N180" s="13"/>
      <c r="O180" s="13"/>
      <c r="P180" s="13"/>
      <c r="Q180" s="13"/>
      <c r="R180" s="13"/>
      <c r="S180" s="13"/>
      <c r="T180" s="13"/>
    </row>
    <row r="181" spans="2:20" x14ac:dyDescent="0.25">
      <c r="B181" s="13"/>
      <c r="C181" s="13"/>
      <c r="D181" s="13"/>
      <c r="E181" s="13"/>
      <c r="F181" s="13"/>
      <c r="G181" s="13"/>
      <c r="H181" s="13"/>
      <c r="I181" s="13"/>
      <c r="J181" s="13"/>
      <c r="K181" s="13"/>
      <c r="L181" s="13"/>
      <c r="M181" s="13"/>
      <c r="N181" s="13"/>
      <c r="O181" s="13"/>
      <c r="P181" s="13"/>
      <c r="Q181" s="13"/>
      <c r="R181" s="13"/>
      <c r="S181" s="13"/>
      <c r="T181" s="13"/>
    </row>
    <row r="182" spans="2:20" x14ac:dyDescent="0.25">
      <c r="B182" s="13"/>
      <c r="C182" s="13"/>
      <c r="D182" s="13"/>
      <c r="E182" s="13"/>
      <c r="F182" s="13"/>
      <c r="G182" s="13"/>
      <c r="H182" s="13"/>
      <c r="I182" s="13"/>
      <c r="J182" s="13"/>
      <c r="K182" s="13"/>
      <c r="L182" s="13"/>
      <c r="M182" s="13"/>
      <c r="N182" s="13"/>
      <c r="O182" s="13"/>
      <c r="P182" s="13"/>
      <c r="Q182" s="13"/>
      <c r="R182" s="13"/>
      <c r="S182" s="13"/>
      <c r="T182" s="13"/>
    </row>
    <row r="183" spans="2:20" x14ac:dyDescent="0.25">
      <c r="B183" s="13"/>
      <c r="C183" s="13"/>
      <c r="D183" s="13"/>
      <c r="E183" s="13"/>
      <c r="F183" s="13"/>
      <c r="G183" s="13"/>
      <c r="H183" s="13"/>
      <c r="I183" s="13"/>
      <c r="J183" s="13"/>
      <c r="K183" s="13"/>
      <c r="L183" s="13"/>
      <c r="M183" s="13"/>
      <c r="N183" s="13"/>
      <c r="O183" s="13"/>
      <c r="P183" s="13"/>
      <c r="Q183" s="13"/>
      <c r="R183" s="13"/>
      <c r="S183" s="13"/>
      <c r="T183" s="13"/>
    </row>
    <row r="184" spans="2:20" x14ac:dyDescent="0.25">
      <c r="B184" s="13"/>
      <c r="C184" s="13"/>
      <c r="D184" s="13"/>
      <c r="E184" s="13"/>
      <c r="F184" s="13"/>
      <c r="G184" s="13"/>
      <c r="H184" s="13"/>
      <c r="I184" s="13"/>
      <c r="J184" s="13"/>
      <c r="K184" s="13"/>
      <c r="L184" s="13"/>
      <c r="M184" s="13"/>
      <c r="N184" s="13"/>
      <c r="O184" s="13"/>
      <c r="P184" s="13"/>
      <c r="Q184" s="13"/>
      <c r="R184" s="13"/>
      <c r="S184" s="13"/>
      <c r="T184" s="13"/>
    </row>
    <row r="185" spans="2:20" x14ac:dyDescent="0.25">
      <c r="B185" s="13"/>
      <c r="C185" s="13"/>
      <c r="D185" s="13"/>
      <c r="E185" s="13"/>
      <c r="F185" s="13"/>
      <c r="G185" s="13"/>
      <c r="H185" s="13"/>
      <c r="I185" s="13"/>
      <c r="J185" s="13"/>
      <c r="K185" s="13"/>
      <c r="L185" s="13"/>
      <c r="M185" s="13"/>
      <c r="N185" s="13"/>
      <c r="O185" s="13"/>
      <c r="P185" s="13"/>
      <c r="Q185" s="13"/>
      <c r="R185" s="13"/>
      <c r="S185" s="13"/>
      <c r="T185" s="13"/>
    </row>
    <row r="186" spans="2:20" x14ac:dyDescent="0.25">
      <c r="B186" s="13"/>
      <c r="C186" s="13"/>
      <c r="D186" s="13"/>
      <c r="E186" s="13"/>
      <c r="F186" s="13"/>
      <c r="G186" s="13"/>
      <c r="H186" s="13"/>
      <c r="I186" s="13"/>
      <c r="J186" s="13"/>
      <c r="K186" s="13"/>
      <c r="L186" s="13"/>
      <c r="M186" s="13"/>
      <c r="N186" s="13"/>
      <c r="O186" s="13"/>
      <c r="P186" s="13"/>
      <c r="Q186" s="13"/>
      <c r="R186" s="13"/>
      <c r="S186" s="13"/>
      <c r="T186" s="13"/>
    </row>
    <row r="187" spans="2:20" x14ac:dyDescent="0.25">
      <c r="B187" s="13"/>
      <c r="C187" s="13"/>
      <c r="D187" s="13"/>
      <c r="E187" s="13"/>
      <c r="F187" s="13"/>
      <c r="G187" s="13"/>
      <c r="H187" s="13"/>
      <c r="I187" s="13"/>
      <c r="J187" s="13"/>
      <c r="K187" s="13"/>
      <c r="L187" s="13"/>
      <c r="M187" s="13"/>
      <c r="N187" s="13"/>
      <c r="O187" s="13"/>
      <c r="P187" s="13"/>
      <c r="Q187" s="13"/>
      <c r="R187" s="13"/>
      <c r="S187" s="13"/>
      <c r="T187" s="13"/>
    </row>
    <row r="188" spans="2:20" x14ac:dyDescent="0.25">
      <c r="B188" s="13"/>
      <c r="C188" s="13"/>
      <c r="D188" s="13"/>
      <c r="E188" s="13"/>
      <c r="F188" s="13"/>
      <c r="G188" s="13"/>
      <c r="H188" s="13"/>
      <c r="I188" s="13"/>
      <c r="J188" s="13"/>
      <c r="K188" s="13"/>
      <c r="L188" s="13"/>
      <c r="M188" s="13"/>
      <c r="N188" s="13"/>
      <c r="O188" s="13"/>
      <c r="P188" s="13"/>
      <c r="Q188" s="13"/>
      <c r="R188" s="13"/>
      <c r="S188" s="13"/>
      <c r="T188" s="13"/>
    </row>
    <row r="189" spans="2:20" x14ac:dyDescent="0.25">
      <c r="B189" s="13"/>
      <c r="C189" s="13"/>
      <c r="D189" s="13"/>
      <c r="E189" s="13"/>
      <c r="F189" s="13"/>
      <c r="G189" s="13"/>
      <c r="H189" s="13"/>
      <c r="I189" s="13"/>
      <c r="J189" s="13"/>
      <c r="K189" s="13"/>
      <c r="L189" s="13"/>
      <c r="M189" s="13"/>
      <c r="N189" s="13"/>
      <c r="O189" s="13"/>
      <c r="P189" s="13"/>
      <c r="Q189" s="13"/>
      <c r="R189" s="13"/>
      <c r="S189" s="13"/>
      <c r="T189" s="13"/>
    </row>
    <row r="190" spans="2:20" x14ac:dyDescent="0.25">
      <c r="B190" s="13"/>
      <c r="C190" s="13"/>
      <c r="D190" s="13"/>
      <c r="E190" s="13"/>
      <c r="F190" s="13"/>
      <c r="G190" s="13"/>
      <c r="H190" s="13"/>
      <c r="I190" s="13"/>
      <c r="J190" s="13"/>
      <c r="K190" s="13"/>
      <c r="L190" s="13"/>
      <c r="M190" s="13"/>
      <c r="N190" s="13"/>
      <c r="O190" s="13"/>
      <c r="P190" s="13"/>
      <c r="Q190" s="13"/>
      <c r="R190" s="13"/>
      <c r="S190" s="13"/>
      <c r="T190" s="13"/>
    </row>
    <row r="191" spans="2:20" x14ac:dyDescent="0.25">
      <c r="B191" s="13"/>
      <c r="C191" s="13"/>
      <c r="D191" s="13"/>
      <c r="E191" s="13"/>
      <c r="F191" s="13"/>
      <c r="G191" s="13"/>
      <c r="H191" s="13"/>
      <c r="I191" s="13"/>
      <c r="J191" s="13"/>
      <c r="K191" s="13"/>
      <c r="L191" s="13"/>
      <c r="M191" s="13"/>
      <c r="N191" s="13"/>
      <c r="O191" s="13"/>
      <c r="P191" s="13"/>
      <c r="Q191" s="13"/>
      <c r="R191" s="13"/>
      <c r="S191" s="13"/>
      <c r="T191" s="13"/>
    </row>
    <row r="192" spans="2:20" x14ac:dyDescent="0.25">
      <c r="B192" s="13"/>
      <c r="C192" s="13"/>
      <c r="D192" s="13"/>
      <c r="E192" s="13"/>
      <c r="F192" s="13"/>
      <c r="G192" s="13"/>
      <c r="H192" s="13"/>
      <c r="I192" s="13"/>
      <c r="J192" s="13"/>
      <c r="K192" s="13"/>
      <c r="L192" s="13"/>
      <c r="M192" s="13"/>
      <c r="N192" s="13"/>
      <c r="O192" s="13"/>
      <c r="P192" s="13"/>
      <c r="Q192" s="13"/>
      <c r="R192" s="13"/>
      <c r="S192" s="13"/>
      <c r="T192" s="13"/>
    </row>
    <row r="193" spans="2:20" x14ac:dyDescent="0.25">
      <c r="B193" s="13"/>
      <c r="C193" s="13"/>
      <c r="D193" s="13"/>
      <c r="E193" s="13"/>
      <c r="F193" s="13"/>
      <c r="G193" s="13"/>
      <c r="H193" s="13"/>
      <c r="I193" s="13"/>
      <c r="J193" s="13"/>
      <c r="K193" s="13"/>
      <c r="L193" s="13"/>
      <c r="M193" s="13"/>
      <c r="N193" s="13"/>
      <c r="O193" s="13"/>
      <c r="P193" s="13"/>
      <c r="Q193" s="13"/>
      <c r="R193" s="13"/>
      <c r="S193" s="13"/>
      <c r="T193" s="13"/>
    </row>
    <row r="194" spans="2:20" x14ac:dyDescent="0.25">
      <c r="B194" s="13"/>
      <c r="C194" s="13"/>
      <c r="D194" s="13"/>
      <c r="E194" s="13"/>
      <c r="F194" s="13"/>
      <c r="G194" s="13"/>
      <c r="H194" s="13"/>
      <c r="I194" s="13"/>
      <c r="J194" s="13"/>
      <c r="K194" s="13"/>
      <c r="L194" s="13"/>
      <c r="M194" s="13"/>
      <c r="N194" s="13"/>
      <c r="O194" s="13"/>
      <c r="P194" s="13"/>
      <c r="Q194" s="13"/>
      <c r="R194" s="13"/>
      <c r="S194" s="13"/>
      <c r="T194" s="13"/>
    </row>
    <row r="195" spans="2:20" x14ac:dyDescent="0.25">
      <c r="B195" s="13"/>
      <c r="C195" s="13"/>
      <c r="D195" s="13"/>
      <c r="E195" s="13"/>
      <c r="F195" s="13"/>
      <c r="G195" s="13"/>
      <c r="H195" s="13"/>
      <c r="I195" s="13"/>
      <c r="J195" s="13"/>
      <c r="K195" s="13"/>
      <c r="L195" s="13"/>
      <c r="M195" s="13"/>
      <c r="N195" s="13"/>
      <c r="O195" s="13"/>
      <c r="P195" s="13"/>
      <c r="Q195" s="13"/>
      <c r="R195" s="13"/>
      <c r="S195" s="13"/>
      <c r="T195" s="13"/>
    </row>
    <row r="196" spans="2:20" x14ac:dyDescent="0.25">
      <c r="B196" s="13"/>
      <c r="C196" s="13"/>
      <c r="D196" s="13"/>
      <c r="E196" s="13"/>
      <c r="F196" s="13"/>
      <c r="G196" s="13"/>
      <c r="H196" s="13"/>
      <c r="I196" s="13"/>
      <c r="J196" s="13"/>
      <c r="K196" s="13"/>
      <c r="L196" s="13"/>
      <c r="M196" s="13"/>
      <c r="N196" s="13"/>
      <c r="O196" s="13"/>
      <c r="P196" s="13"/>
      <c r="Q196" s="13"/>
      <c r="R196" s="13"/>
      <c r="S196" s="13"/>
      <c r="T196" s="13"/>
    </row>
    <row r="197" spans="2:20" x14ac:dyDescent="0.25">
      <c r="B197" s="13"/>
      <c r="C197" s="13"/>
      <c r="D197" s="13"/>
      <c r="E197" s="13"/>
      <c r="F197" s="13"/>
      <c r="G197" s="13"/>
      <c r="H197" s="13"/>
      <c r="I197" s="13"/>
      <c r="J197" s="13"/>
      <c r="K197" s="13"/>
      <c r="L197" s="13"/>
      <c r="M197" s="13"/>
      <c r="N197" s="13"/>
      <c r="O197" s="13"/>
      <c r="P197" s="13"/>
      <c r="Q197" s="13"/>
      <c r="R197" s="13"/>
      <c r="S197" s="13"/>
      <c r="T197" s="13"/>
    </row>
    <row r="198" spans="2:20" x14ac:dyDescent="0.25">
      <c r="B198" s="13"/>
      <c r="C198" s="13"/>
      <c r="D198" s="13"/>
      <c r="E198" s="13"/>
      <c r="F198" s="13"/>
      <c r="G198" s="13"/>
      <c r="H198" s="13"/>
      <c r="I198" s="13"/>
      <c r="J198" s="13"/>
      <c r="K198" s="13"/>
      <c r="L198" s="13"/>
      <c r="M198" s="13"/>
      <c r="N198" s="13"/>
      <c r="O198" s="13"/>
      <c r="P198" s="13"/>
      <c r="Q198" s="13"/>
      <c r="R198" s="13"/>
      <c r="S198" s="13"/>
      <c r="T198" s="13"/>
    </row>
    <row r="199" spans="2:20" x14ac:dyDescent="0.25">
      <c r="B199" s="13"/>
      <c r="C199" s="13"/>
      <c r="D199" s="13"/>
      <c r="E199" s="13"/>
      <c r="F199" s="13"/>
      <c r="G199" s="13"/>
      <c r="H199" s="13"/>
      <c r="I199" s="13"/>
      <c r="J199" s="13"/>
      <c r="K199" s="13"/>
      <c r="L199" s="13"/>
      <c r="M199" s="13"/>
      <c r="N199" s="13"/>
      <c r="O199" s="13"/>
      <c r="P199" s="13"/>
      <c r="Q199" s="13"/>
      <c r="R199" s="13"/>
      <c r="S199" s="13"/>
      <c r="T199" s="13"/>
    </row>
    <row r="200" spans="2:20" x14ac:dyDescent="0.25">
      <c r="B200" s="13"/>
      <c r="C200" s="13"/>
      <c r="D200" s="13"/>
      <c r="E200" s="13"/>
      <c r="F200" s="13"/>
      <c r="G200" s="13"/>
      <c r="H200" s="13"/>
      <c r="I200" s="13"/>
      <c r="J200" s="13"/>
      <c r="K200" s="13"/>
      <c r="L200" s="13"/>
      <c r="M200" s="13"/>
      <c r="N200" s="13"/>
      <c r="O200" s="13"/>
      <c r="P200" s="13"/>
      <c r="Q200" s="13"/>
      <c r="R200" s="13"/>
      <c r="S200" s="13"/>
      <c r="T200" s="13"/>
    </row>
    <row r="201" spans="2:20" x14ac:dyDescent="0.25">
      <c r="B201" s="13"/>
      <c r="C201" s="13"/>
      <c r="D201" s="13"/>
      <c r="E201" s="13"/>
      <c r="F201" s="13"/>
      <c r="G201" s="13"/>
      <c r="H201" s="13"/>
      <c r="I201" s="13"/>
      <c r="J201" s="13"/>
      <c r="K201" s="13"/>
      <c r="L201" s="13"/>
      <c r="M201" s="13"/>
      <c r="N201" s="13"/>
      <c r="O201" s="13"/>
      <c r="P201" s="13"/>
      <c r="Q201" s="13"/>
      <c r="R201" s="13"/>
      <c r="S201" s="13"/>
      <c r="T201" s="13"/>
    </row>
    <row r="202" spans="2:20" x14ac:dyDescent="0.25">
      <c r="B202" s="13"/>
      <c r="C202" s="13"/>
      <c r="D202" s="13"/>
      <c r="E202" s="13"/>
      <c r="F202" s="13"/>
      <c r="G202" s="13"/>
      <c r="H202" s="13"/>
      <c r="I202" s="13"/>
      <c r="J202" s="13"/>
      <c r="K202" s="13"/>
      <c r="L202" s="13"/>
      <c r="M202" s="13"/>
      <c r="N202" s="13"/>
      <c r="O202" s="13"/>
      <c r="P202" s="13"/>
      <c r="Q202" s="13"/>
      <c r="R202" s="13"/>
      <c r="S202" s="13"/>
      <c r="T202" s="13"/>
    </row>
    <row r="203" spans="2:20" x14ac:dyDescent="0.25">
      <c r="B203" s="13"/>
      <c r="C203" s="13"/>
      <c r="D203" s="13"/>
      <c r="E203" s="13"/>
      <c r="F203" s="13"/>
      <c r="G203" s="13"/>
      <c r="H203" s="13"/>
      <c r="I203" s="13"/>
      <c r="J203" s="13"/>
      <c r="K203" s="13"/>
      <c r="L203" s="13"/>
      <c r="M203" s="13"/>
      <c r="N203" s="13"/>
      <c r="O203" s="13"/>
      <c r="P203" s="13"/>
      <c r="Q203" s="13"/>
      <c r="R203" s="13"/>
      <c r="S203" s="13"/>
      <c r="T203" s="13"/>
    </row>
    <row r="204" spans="2:20" x14ac:dyDescent="0.25">
      <c r="B204" s="13"/>
      <c r="C204" s="13"/>
      <c r="D204" s="13"/>
      <c r="E204" s="13"/>
      <c r="F204" s="13"/>
      <c r="G204" s="13"/>
      <c r="H204" s="13"/>
      <c r="I204" s="13"/>
      <c r="J204" s="13"/>
      <c r="K204" s="13"/>
      <c r="L204" s="13"/>
      <c r="M204" s="13"/>
      <c r="N204" s="13"/>
      <c r="O204" s="13"/>
      <c r="P204" s="13"/>
      <c r="Q204" s="13"/>
      <c r="R204" s="13"/>
      <c r="S204" s="13"/>
      <c r="T204" s="13"/>
    </row>
    <row r="205" spans="2:20" x14ac:dyDescent="0.25">
      <c r="B205" s="13"/>
      <c r="C205" s="13"/>
      <c r="D205" s="13"/>
      <c r="E205" s="13"/>
      <c r="F205" s="13"/>
      <c r="G205" s="13"/>
      <c r="H205" s="13"/>
      <c r="I205" s="13"/>
      <c r="J205" s="13"/>
      <c r="K205" s="13"/>
      <c r="L205" s="13"/>
      <c r="M205" s="13"/>
      <c r="N205" s="13"/>
      <c r="O205" s="13"/>
      <c r="P205" s="13"/>
      <c r="Q205" s="13"/>
      <c r="R205" s="13"/>
      <c r="S205" s="13"/>
      <c r="T205" s="13"/>
    </row>
    <row r="206" spans="2:20" x14ac:dyDescent="0.25">
      <c r="B206" s="13"/>
      <c r="C206" s="13"/>
      <c r="D206" s="13"/>
      <c r="E206" s="13"/>
      <c r="F206" s="13"/>
      <c r="G206" s="13"/>
      <c r="H206" s="13"/>
      <c r="I206" s="13"/>
      <c r="J206" s="13"/>
      <c r="K206" s="13"/>
      <c r="L206" s="13"/>
      <c r="M206" s="13"/>
      <c r="N206" s="13"/>
      <c r="O206" s="13"/>
      <c r="P206" s="13"/>
      <c r="Q206" s="13"/>
      <c r="R206" s="13"/>
      <c r="S206" s="13"/>
      <c r="T206" s="13"/>
    </row>
    <row r="207" spans="2:20" x14ac:dyDescent="0.25">
      <c r="B207" s="13"/>
      <c r="C207" s="13"/>
      <c r="D207" s="13"/>
      <c r="E207" s="13"/>
      <c r="F207" s="13"/>
      <c r="G207" s="13"/>
      <c r="H207" s="13"/>
      <c r="I207" s="13"/>
      <c r="J207" s="13"/>
      <c r="K207" s="13"/>
      <c r="L207" s="13"/>
      <c r="M207" s="13"/>
      <c r="N207" s="13"/>
      <c r="O207" s="13"/>
      <c r="P207" s="13"/>
      <c r="Q207" s="13"/>
      <c r="R207" s="13"/>
      <c r="S207" s="13"/>
      <c r="T207" s="13"/>
    </row>
    <row r="208" spans="2:20" x14ac:dyDescent="0.25">
      <c r="B208" s="13"/>
      <c r="C208" s="13"/>
      <c r="D208" s="13"/>
      <c r="E208" s="13"/>
      <c r="F208" s="13"/>
      <c r="G208" s="13"/>
      <c r="H208" s="13"/>
      <c r="I208" s="13"/>
      <c r="J208" s="13"/>
      <c r="K208" s="13"/>
      <c r="L208" s="13"/>
      <c r="M208" s="13"/>
      <c r="N208" s="13"/>
      <c r="O208" s="13"/>
      <c r="P208" s="13"/>
      <c r="Q208" s="13"/>
      <c r="R208" s="13"/>
      <c r="S208" s="13"/>
      <c r="T208" s="13"/>
    </row>
    <row r="209" spans="2:20" x14ac:dyDescent="0.25">
      <c r="B209" s="13"/>
      <c r="C209" s="13"/>
      <c r="D209" s="13"/>
      <c r="E209" s="13"/>
      <c r="F209" s="13"/>
      <c r="G209" s="13"/>
      <c r="H209" s="13"/>
      <c r="I209" s="13"/>
      <c r="J209" s="13"/>
      <c r="K209" s="13"/>
      <c r="L209" s="13"/>
      <c r="M209" s="13"/>
      <c r="N209" s="13"/>
      <c r="O209" s="13"/>
      <c r="P209" s="13"/>
      <c r="Q209" s="13"/>
      <c r="R209" s="13"/>
      <c r="S209" s="13"/>
      <c r="T209" s="13"/>
    </row>
    <row r="210" spans="2:20" x14ac:dyDescent="0.25">
      <c r="B210" s="13"/>
      <c r="C210" s="13"/>
      <c r="D210" s="13"/>
      <c r="E210" s="13"/>
      <c r="F210" s="13"/>
      <c r="G210" s="13"/>
      <c r="H210" s="13"/>
      <c r="I210" s="13"/>
      <c r="J210" s="13"/>
      <c r="K210" s="13"/>
      <c r="L210" s="13"/>
      <c r="M210" s="13"/>
      <c r="N210" s="13"/>
      <c r="O210" s="13"/>
      <c r="P210" s="13"/>
      <c r="Q210" s="13"/>
      <c r="R210" s="13"/>
      <c r="S210" s="13"/>
      <c r="T210" s="13"/>
    </row>
    <row r="211" spans="2:20" x14ac:dyDescent="0.25">
      <c r="B211" s="13"/>
      <c r="C211" s="13"/>
      <c r="D211" s="13"/>
      <c r="E211" s="13"/>
      <c r="F211" s="13"/>
      <c r="G211" s="13"/>
      <c r="H211" s="13"/>
      <c r="I211" s="13"/>
      <c r="J211" s="13"/>
      <c r="K211" s="13"/>
      <c r="L211" s="13"/>
      <c r="M211" s="13"/>
      <c r="N211" s="13"/>
      <c r="O211" s="13"/>
      <c r="P211" s="13"/>
      <c r="Q211" s="13"/>
      <c r="R211" s="13"/>
      <c r="S211" s="13"/>
      <c r="T211" s="13"/>
    </row>
    <row r="212" spans="2:20" x14ac:dyDescent="0.25">
      <c r="B212" s="13"/>
      <c r="C212" s="13"/>
      <c r="D212" s="13"/>
      <c r="E212" s="13"/>
      <c r="F212" s="13"/>
      <c r="G212" s="13"/>
      <c r="H212" s="13"/>
      <c r="I212" s="13"/>
      <c r="J212" s="13"/>
      <c r="K212" s="13"/>
      <c r="L212" s="13"/>
      <c r="M212" s="13"/>
      <c r="N212" s="13"/>
      <c r="O212" s="13"/>
      <c r="P212" s="13"/>
      <c r="Q212" s="13"/>
      <c r="R212" s="13"/>
      <c r="S212" s="13"/>
      <c r="T212" s="13"/>
    </row>
    <row r="213" spans="2:20" x14ac:dyDescent="0.25">
      <c r="B213" s="13"/>
      <c r="C213" s="13"/>
      <c r="D213" s="13"/>
      <c r="E213" s="13"/>
      <c r="F213" s="13"/>
      <c r="G213" s="13"/>
      <c r="H213" s="13"/>
      <c r="I213" s="13"/>
      <c r="J213" s="13"/>
      <c r="K213" s="13"/>
      <c r="L213" s="13"/>
      <c r="M213" s="13"/>
      <c r="N213" s="13"/>
      <c r="O213" s="13"/>
      <c r="P213" s="13"/>
      <c r="Q213" s="13"/>
      <c r="R213" s="13"/>
      <c r="S213" s="13"/>
      <c r="T213" s="13"/>
    </row>
    <row r="214" spans="2:20" x14ac:dyDescent="0.25">
      <c r="B214" s="13"/>
      <c r="C214" s="13"/>
      <c r="D214" s="13"/>
      <c r="E214" s="13"/>
      <c r="F214" s="13"/>
      <c r="G214" s="13"/>
      <c r="H214" s="13"/>
      <c r="I214" s="13"/>
      <c r="J214" s="13"/>
      <c r="K214" s="13"/>
      <c r="L214" s="13"/>
      <c r="M214" s="13"/>
      <c r="N214" s="13"/>
      <c r="O214" s="13"/>
      <c r="P214" s="13"/>
      <c r="Q214" s="13"/>
      <c r="R214" s="13"/>
      <c r="S214" s="13"/>
      <c r="T214" s="13"/>
    </row>
    <row r="215" spans="2:20" x14ac:dyDescent="0.25">
      <c r="B215" s="13"/>
      <c r="C215" s="13"/>
      <c r="D215" s="13"/>
      <c r="E215" s="13"/>
      <c r="F215" s="13"/>
      <c r="G215" s="13"/>
      <c r="H215" s="13"/>
      <c r="I215" s="13"/>
      <c r="J215" s="13"/>
      <c r="K215" s="13"/>
      <c r="L215" s="13"/>
      <c r="M215" s="13"/>
      <c r="N215" s="13"/>
      <c r="O215" s="13"/>
      <c r="P215" s="13"/>
      <c r="Q215" s="13"/>
      <c r="R215" s="13"/>
      <c r="S215" s="13"/>
      <c r="T215" s="13"/>
    </row>
    <row r="216" spans="2:20" x14ac:dyDescent="0.25">
      <c r="B216" s="13"/>
      <c r="C216" s="13"/>
      <c r="D216" s="13"/>
      <c r="E216" s="13"/>
      <c r="F216" s="13"/>
      <c r="G216" s="13"/>
      <c r="H216" s="13"/>
      <c r="I216" s="13"/>
      <c r="J216" s="13"/>
      <c r="K216" s="13"/>
      <c r="L216" s="13"/>
      <c r="M216" s="13"/>
      <c r="N216" s="13"/>
      <c r="O216" s="13"/>
      <c r="P216" s="13"/>
      <c r="Q216" s="13"/>
      <c r="R216" s="13"/>
      <c r="S216" s="13"/>
      <c r="T216" s="13"/>
    </row>
    <row r="217" spans="2:20" x14ac:dyDescent="0.25">
      <c r="B217" s="13"/>
      <c r="C217" s="13"/>
      <c r="D217" s="13"/>
      <c r="E217" s="13"/>
      <c r="F217" s="13"/>
      <c r="G217" s="13"/>
      <c r="H217" s="13"/>
      <c r="I217" s="13"/>
      <c r="J217" s="13"/>
      <c r="K217" s="13"/>
      <c r="L217" s="13"/>
      <c r="M217" s="13"/>
      <c r="N217" s="13"/>
      <c r="O217" s="13"/>
      <c r="P217" s="13"/>
      <c r="Q217" s="13"/>
      <c r="R217" s="13"/>
      <c r="S217" s="13"/>
      <c r="T217" s="13"/>
    </row>
    <row r="218" spans="2:20" x14ac:dyDescent="0.25">
      <c r="B218" s="13"/>
      <c r="C218" s="13"/>
      <c r="D218" s="13"/>
      <c r="E218" s="13"/>
      <c r="F218" s="13"/>
      <c r="G218" s="13"/>
      <c r="H218" s="13"/>
      <c r="I218" s="13"/>
      <c r="J218" s="13"/>
      <c r="K218" s="13"/>
      <c r="L218" s="13"/>
      <c r="M218" s="13"/>
      <c r="N218" s="13"/>
      <c r="O218" s="13"/>
      <c r="P218" s="13"/>
      <c r="Q218" s="13"/>
      <c r="R218" s="13"/>
      <c r="S218" s="13"/>
      <c r="T218" s="13"/>
    </row>
    <row r="219" spans="2:20" x14ac:dyDescent="0.25">
      <c r="B219" s="13"/>
      <c r="C219" s="13"/>
      <c r="D219" s="13"/>
      <c r="E219" s="13"/>
      <c r="F219" s="13"/>
      <c r="G219" s="13"/>
      <c r="H219" s="13"/>
      <c r="I219" s="13"/>
      <c r="J219" s="13"/>
      <c r="K219" s="13"/>
      <c r="L219" s="13"/>
      <c r="M219" s="13"/>
      <c r="N219" s="13"/>
      <c r="O219" s="13"/>
      <c r="P219" s="13"/>
      <c r="Q219" s="13"/>
      <c r="R219" s="13"/>
      <c r="S219" s="13"/>
      <c r="T219" s="13"/>
    </row>
    <row r="220" spans="2:20" x14ac:dyDescent="0.25">
      <c r="B220" s="13"/>
      <c r="C220" s="13"/>
      <c r="D220" s="13"/>
      <c r="E220" s="13"/>
      <c r="F220" s="13"/>
      <c r="G220" s="13"/>
      <c r="H220" s="13"/>
      <c r="I220" s="13"/>
      <c r="J220" s="13"/>
      <c r="K220" s="13"/>
      <c r="L220" s="13"/>
      <c r="M220" s="13"/>
      <c r="N220" s="13"/>
      <c r="O220" s="13"/>
      <c r="P220" s="13"/>
      <c r="Q220" s="13"/>
      <c r="R220" s="13"/>
      <c r="S220" s="13"/>
      <c r="T220" s="13"/>
    </row>
    <row r="221" spans="2:20" x14ac:dyDescent="0.25">
      <c r="B221" s="13"/>
      <c r="C221" s="13"/>
      <c r="D221" s="13"/>
      <c r="E221" s="13"/>
      <c r="F221" s="13"/>
      <c r="G221" s="13"/>
      <c r="H221" s="13"/>
      <c r="I221" s="13"/>
      <c r="J221" s="13"/>
      <c r="K221" s="13"/>
      <c r="L221" s="13"/>
      <c r="M221" s="13"/>
      <c r="N221" s="13"/>
      <c r="O221" s="13"/>
      <c r="P221" s="13"/>
      <c r="Q221" s="13"/>
      <c r="R221" s="13"/>
      <c r="S221" s="13"/>
      <c r="T221" s="13"/>
    </row>
    <row r="222" spans="2:20" x14ac:dyDescent="0.25">
      <c r="B222" s="13"/>
      <c r="C222" s="13"/>
      <c r="D222" s="13"/>
      <c r="E222" s="13"/>
      <c r="F222" s="13"/>
      <c r="G222" s="13"/>
      <c r="H222" s="13"/>
      <c r="I222" s="13"/>
      <c r="J222" s="13"/>
      <c r="K222" s="13"/>
      <c r="L222" s="13"/>
      <c r="M222" s="13"/>
      <c r="N222" s="13"/>
      <c r="O222" s="13"/>
      <c r="P222" s="13"/>
      <c r="Q222" s="13"/>
      <c r="R222" s="13"/>
      <c r="S222" s="13"/>
      <c r="T222" s="13"/>
    </row>
    <row r="223" spans="2:20" x14ac:dyDescent="0.25">
      <c r="B223" s="13"/>
      <c r="C223" s="13"/>
      <c r="D223" s="13"/>
      <c r="E223" s="13"/>
      <c r="F223" s="13"/>
      <c r="G223" s="13"/>
      <c r="H223" s="13"/>
      <c r="I223" s="13"/>
      <c r="J223" s="13"/>
      <c r="K223" s="13"/>
      <c r="L223" s="13"/>
      <c r="M223" s="13"/>
      <c r="N223" s="13"/>
      <c r="O223" s="13"/>
      <c r="P223" s="13"/>
      <c r="Q223" s="13"/>
      <c r="R223" s="13"/>
      <c r="S223" s="13"/>
      <c r="T223" s="13"/>
    </row>
    <row r="224" spans="2:20" x14ac:dyDescent="0.25">
      <c r="B224" s="13"/>
      <c r="C224" s="13"/>
      <c r="D224" s="13"/>
      <c r="E224" s="13"/>
      <c r="F224" s="13"/>
      <c r="G224" s="13"/>
      <c r="H224" s="13"/>
      <c r="I224" s="13"/>
      <c r="J224" s="13"/>
      <c r="K224" s="13"/>
      <c r="L224" s="13"/>
      <c r="M224" s="13"/>
      <c r="N224" s="13"/>
      <c r="O224" s="13"/>
      <c r="P224" s="13"/>
      <c r="Q224" s="13"/>
      <c r="R224" s="13"/>
      <c r="S224" s="13"/>
      <c r="T224" s="13"/>
    </row>
    <row r="225" spans="2:20" x14ac:dyDescent="0.25">
      <c r="B225" s="13"/>
      <c r="C225" s="13"/>
      <c r="D225" s="13"/>
      <c r="E225" s="13"/>
      <c r="F225" s="13"/>
      <c r="G225" s="13"/>
      <c r="H225" s="13"/>
      <c r="I225" s="13"/>
      <c r="J225" s="13"/>
      <c r="K225" s="13"/>
      <c r="L225" s="13"/>
      <c r="M225" s="13"/>
      <c r="N225" s="13"/>
      <c r="O225" s="13"/>
      <c r="P225" s="13"/>
      <c r="Q225" s="13"/>
      <c r="R225" s="13"/>
      <c r="S225" s="13"/>
      <c r="T225" s="13"/>
    </row>
    <row r="226" spans="2:20" x14ac:dyDescent="0.25">
      <c r="B226" s="13"/>
      <c r="C226" s="13"/>
      <c r="D226" s="13"/>
      <c r="E226" s="13"/>
      <c r="F226" s="13"/>
      <c r="G226" s="13"/>
      <c r="H226" s="13"/>
      <c r="I226" s="13"/>
      <c r="J226" s="13"/>
      <c r="K226" s="13"/>
      <c r="L226" s="13"/>
      <c r="M226" s="13"/>
      <c r="N226" s="13"/>
      <c r="O226" s="13"/>
      <c r="P226" s="13"/>
      <c r="Q226" s="13"/>
      <c r="R226" s="13"/>
      <c r="S226" s="13"/>
      <c r="T226" s="13"/>
    </row>
    <row r="227" spans="2:20" x14ac:dyDescent="0.25">
      <c r="B227" s="13"/>
      <c r="C227" s="13"/>
      <c r="D227" s="13"/>
      <c r="E227" s="13"/>
      <c r="F227" s="13"/>
      <c r="G227" s="13"/>
      <c r="H227" s="13"/>
      <c r="I227" s="13"/>
      <c r="J227" s="13"/>
      <c r="K227" s="13"/>
      <c r="L227" s="13"/>
      <c r="M227" s="13"/>
      <c r="N227" s="13"/>
      <c r="O227" s="13"/>
      <c r="P227" s="13"/>
      <c r="Q227" s="13"/>
      <c r="R227" s="13"/>
      <c r="S227" s="13"/>
      <c r="T227" s="13"/>
    </row>
    <row r="228" spans="2:20" x14ac:dyDescent="0.25">
      <c r="B228" s="13"/>
      <c r="C228" s="13"/>
      <c r="D228" s="13"/>
      <c r="E228" s="13"/>
      <c r="F228" s="13"/>
      <c r="G228" s="13"/>
      <c r="H228" s="13"/>
      <c r="I228" s="13"/>
      <c r="J228" s="13"/>
      <c r="K228" s="13"/>
      <c r="L228" s="13"/>
      <c r="M228" s="13"/>
      <c r="N228" s="13"/>
      <c r="O228" s="13"/>
      <c r="P228" s="13"/>
      <c r="Q228" s="13"/>
      <c r="R228" s="13"/>
      <c r="S228" s="13"/>
      <c r="T228" s="13"/>
    </row>
    <row r="229" spans="2:20" x14ac:dyDescent="0.25">
      <c r="B229" s="13"/>
      <c r="C229" s="13"/>
      <c r="D229" s="13"/>
      <c r="E229" s="13"/>
      <c r="F229" s="13"/>
      <c r="G229" s="13"/>
      <c r="H229" s="13"/>
      <c r="I229" s="13"/>
      <c r="J229" s="13"/>
      <c r="K229" s="13"/>
      <c r="L229" s="13"/>
      <c r="M229" s="13"/>
      <c r="N229" s="13"/>
      <c r="O229" s="13"/>
      <c r="P229" s="13"/>
      <c r="Q229" s="13"/>
      <c r="R229" s="13"/>
      <c r="S229" s="13"/>
      <c r="T229" s="13"/>
    </row>
    <row r="230" spans="2:20" x14ac:dyDescent="0.25">
      <c r="B230" s="13"/>
      <c r="C230" s="13"/>
      <c r="D230" s="13"/>
      <c r="E230" s="13"/>
      <c r="F230" s="13"/>
      <c r="G230" s="13"/>
      <c r="H230" s="13"/>
      <c r="I230" s="13"/>
      <c r="J230" s="13"/>
      <c r="K230" s="13"/>
      <c r="L230" s="13"/>
      <c r="M230" s="13"/>
      <c r="N230" s="13"/>
      <c r="O230" s="13"/>
      <c r="P230" s="13"/>
      <c r="Q230" s="13"/>
      <c r="R230" s="13"/>
      <c r="S230" s="13"/>
      <c r="T230" s="13"/>
    </row>
    <row r="231" spans="2:20" x14ac:dyDescent="0.25">
      <c r="B231" s="13"/>
      <c r="C231" s="13"/>
      <c r="D231" s="13"/>
      <c r="E231" s="13"/>
      <c r="F231" s="13"/>
      <c r="G231" s="13"/>
      <c r="H231" s="13"/>
      <c r="I231" s="13"/>
      <c r="J231" s="13"/>
      <c r="K231" s="13"/>
      <c r="L231" s="13"/>
      <c r="M231" s="13"/>
      <c r="N231" s="13"/>
      <c r="O231" s="13"/>
      <c r="P231" s="13"/>
      <c r="Q231" s="13"/>
      <c r="R231" s="13"/>
      <c r="S231" s="13"/>
      <c r="T231" s="13"/>
    </row>
    <row r="232" spans="2:20" x14ac:dyDescent="0.25">
      <c r="B232" s="13"/>
      <c r="C232" s="13"/>
      <c r="D232" s="13"/>
      <c r="E232" s="13"/>
      <c r="F232" s="13"/>
      <c r="G232" s="13"/>
      <c r="H232" s="13"/>
      <c r="I232" s="13"/>
      <c r="J232" s="13"/>
      <c r="K232" s="13"/>
      <c r="L232" s="13"/>
      <c r="M232" s="13"/>
      <c r="N232" s="13"/>
      <c r="O232" s="13"/>
      <c r="P232" s="13"/>
      <c r="Q232" s="13"/>
      <c r="R232" s="13"/>
      <c r="S232" s="13"/>
      <c r="T232" s="13"/>
    </row>
    <row r="233" spans="2:20" x14ac:dyDescent="0.25">
      <c r="B233" s="13"/>
      <c r="C233" s="13"/>
      <c r="D233" s="13"/>
      <c r="E233" s="13"/>
      <c r="F233" s="13"/>
      <c r="G233" s="13"/>
      <c r="H233" s="13"/>
      <c r="I233" s="13"/>
      <c r="J233" s="13"/>
      <c r="K233" s="13"/>
      <c r="L233" s="13"/>
      <c r="M233" s="13"/>
      <c r="N233" s="13"/>
      <c r="O233" s="13"/>
      <c r="P233" s="13"/>
      <c r="Q233" s="13"/>
      <c r="R233" s="13"/>
      <c r="S233" s="13"/>
      <c r="T233" s="13"/>
    </row>
    <row r="234" spans="2:20" x14ac:dyDescent="0.25">
      <c r="B234" s="13"/>
      <c r="C234" s="13"/>
      <c r="D234" s="13"/>
      <c r="E234" s="13"/>
      <c r="F234" s="13"/>
      <c r="G234" s="13"/>
      <c r="H234" s="13"/>
      <c r="I234" s="13"/>
      <c r="J234" s="13"/>
      <c r="K234" s="13"/>
      <c r="L234" s="13"/>
      <c r="M234" s="13"/>
      <c r="N234" s="13"/>
      <c r="O234" s="13"/>
      <c r="P234" s="13"/>
      <c r="Q234" s="13"/>
      <c r="R234" s="13"/>
      <c r="S234" s="13"/>
      <c r="T234" s="13"/>
    </row>
    <row r="235" spans="2:20" x14ac:dyDescent="0.25">
      <c r="B235" s="13"/>
      <c r="C235" s="13"/>
      <c r="D235" s="13"/>
      <c r="E235" s="13"/>
      <c r="F235" s="13"/>
      <c r="G235" s="13"/>
      <c r="H235" s="13"/>
      <c r="I235" s="13"/>
      <c r="J235" s="13"/>
      <c r="K235" s="13"/>
      <c r="L235" s="13"/>
      <c r="M235" s="13"/>
      <c r="N235" s="13"/>
      <c r="O235" s="13"/>
      <c r="P235" s="13"/>
      <c r="Q235" s="13"/>
      <c r="R235" s="13"/>
      <c r="S235" s="13"/>
      <c r="T235" s="13"/>
    </row>
    <row r="236" spans="2:20" x14ac:dyDescent="0.25">
      <c r="B236" s="13"/>
      <c r="C236" s="13"/>
      <c r="D236" s="13"/>
      <c r="E236" s="13"/>
      <c r="F236" s="13"/>
      <c r="G236" s="13"/>
      <c r="H236" s="13"/>
      <c r="I236" s="13"/>
      <c r="J236" s="13"/>
      <c r="K236" s="13"/>
      <c r="L236" s="13"/>
      <c r="M236" s="13"/>
      <c r="N236" s="13"/>
      <c r="O236" s="13"/>
      <c r="P236" s="13"/>
      <c r="Q236" s="13"/>
      <c r="R236" s="13"/>
      <c r="S236" s="13"/>
      <c r="T236" s="13"/>
    </row>
    <row r="237" spans="2:20" x14ac:dyDescent="0.25">
      <c r="B237" s="13"/>
      <c r="C237" s="13"/>
      <c r="D237" s="13"/>
      <c r="E237" s="13"/>
      <c r="F237" s="13"/>
      <c r="G237" s="13"/>
      <c r="H237" s="13"/>
      <c r="I237" s="13"/>
      <c r="J237" s="13"/>
      <c r="K237" s="13"/>
      <c r="L237" s="13"/>
      <c r="M237" s="13"/>
      <c r="N237" s="13"/>
      <c r="O237" s="13"/>
      <c r="P237" s="13"/>
      <c r="Q237" s="13"/>
      <c r="R237" s="13"/>
      <c r="S237" s="13"/>
      <c r="T237" s="13"/>
    </row>
    <row r="238" spans="2:20" x14ac:dyDescent="0.25">
      <c r="B238" s="13"/>
      <c r="C238" s="13"/>
      <c r="D238" s="13"/>
      <c r="E238" s="13"/>
      <c r="F238" s="13"/>
      <c r="G238" s="13"/>
      <c r="H238" s="13"/>
      <c r="I238" s="13"/>
      <c r="J238" s="13"/>
      <c r="K238" s="13"/>
      <c r="L238" s="13"/>
      <c r="M238" s="13"/>
      <c r="N238" s="13"/>
      <c r="O238" s="13"/>
      <c r="P238" s="13"/>
      <c r="Q238" s="13"/>
      <c r="R238" s="13"/>
      <c r="S238" s="13"/>
      <c r="T238" s="13"/>
    </row>
    <row r="239" spans="2:20" x14ac:dyDescent="0.25">
      <c r="B239" s="13"/>
      <c r="C239" s="13"/>
      <c r="D239" s="13"/>
      <c r="E239" s="13"/>
      <c r="F239" s="13"/>
      <c r="G239" s="13"/>
      <c r="H239" s="13"/>
      <c r="I239" s="13"/>
      <c r="J239" s="13"/>
      <c r="K239" s="13"/>
      <c r="L239" s="13"/>
      <c r="M239" s="13"/>
      <c r="N239" s="13"/>
      <c r="O239" s="13"/>
      <c r="P239" s="13"/>
      <c r="Q239" s="13"/>
      <c r="R239" s="13"/>
      <c r="S239" s="13"/>
      <c r="T239" s="13"/>
    </row>
    <row r="240" spans="2:20" x14ac:dyDescent="0.25">
      <c r="B240" s="13"/>
      <c r="C240" s="13"/>
      <c r="D240" s="13"/>
      <c r="E240" s="13"/>
      <c r="F240" s="13"/>
      <c r="G240" s="13"/>
      <c r="H240" s="13"/>
      <c r="I240" s="13"/>
      <c r="J240" s="13"/>
      <c r="K240" s="13"/>
      <c r="L240" s="13"/>
      <c r="M240" s="13"/>
      <c r="N240" s="13"/>
      <c r="O240" s="13"/>
      <c r="P240" s="13"/>
      <c r="Q240" s="13"/>
      <c r="R240" s="13"/>
      <c r="S240" s="13"/>
      <c r="T240" s="13"/>
    </row>
    <row r="241" spans="2:20" x14ac:dyDescent="0.25">
      <c r="B241" s="13"/>
      <c r="C241" s="13"/>
      <c r="D241" s="13"/>
      <c r="E241" s="13"/>
      <c r="F241" s="13"/>
      <c r="G241" s="13"/>
      <c r="H241" s="13"/>
      <c r="I241" s="13"/>
      <c r="J241" s="13"/>
      <c r="K241" s="13"/>
      <c r="L241" s="13"/>
      <c r="M241" s="13"/>
      <c r="N241" s="13"/>
      <c r="O241" s="13"/>
      <c r="P241" s="13"/>
      <c r="Q241" s="13"/>
      <c r="R241" s="13"/>
      <c r="S241" s="13"/>
      <c r="T241" s="13"/>
    </row>
    <row r="242" spans="2:20" x14ac:dyDescent="0.25">
      <c r="B242" s="13"/>
      <c r="C242" s="13"/>
      <c r="D242" s="13"/>
      <c r="E242" s="13"/>
      <c r="F242" s="13"/>
      <c r="G242" s="13"/>
      <c r="H242" s="13"/>
      <c r="I242" s="13"/>
      <c r="J242" s="13"/>
      <c r="K242" s="13"/>
      <c r="L242" s="13"/>
      <c r="M242" s="13"/>
      <c r="N242" s="13"/>
      <c r="O242" s="13"/>
      <c r="P242" s="13"/>
      <c r="Q242" s="13"/>
      <c r="R242" s="13"/>
      <c r="S242" s="13"/>
      <c r="T242" s="13"/>
    </row>
    <row r="243" spans="2:20" x14ac:dyDescent="0.25">
      <c r="B243" s="13"/>
      <c r="C243" s="13"/>
      <c r="D243" s="13"/>
      <c r="E243" s="13"/>
      <c r="F243" s="13"/>
      <c r="G243" s="13"/>
      <c r="H243" s="13"/>
      <c r="I243" s="13"/>
      <c r="J243" s="13"/>
      <c r="K243" s="13"/>
      <c r="L243" s="13"/>
      <c r="M243" s="13"/>
      <c r="N243" s="13"/>
      <c r="O243" s="13"/>
      <c r="P243" s="13"/>
      <c r="Q243" s="13"/>
      <c r="R243" s="13"/>
      <c r="S243" s="13"/>
      <c r="T243" s="13"/>
    </row>
    <row r="244" spans="2:20" x14ac:dyDescent="0.25">
      <c r="B244" s="13"/>
      <c r="C244" s="13"/>
      <c r="D244" s="13"/>
      <c r="E244" s="13"/>
      <c r="F244" s="13"/>
      <c r="G244" s="13"/>
      <c r="H244" s="13"/>
      <c r="I244" s="13"/>
      <c r="J244" s="13"/>
      <c r="K244" s="13"/>
      <c r="L244" s="13"/>
      <c r="M244" s="13"/>
      <c r="N244" s="13"/>
      <c r="O244" s="13"/>
      <c r="P244" s="13"/>
      <c r="Q244" s="13"/>
      <c r="R244" s="13"/>
      <c r="S244" s="13"/>
      <c r="T244" s="13"/>
    </row>
    <row r="245" spans="2:20" x14ac:dyDescent="0.25">
      <c r="B245" s="13"/>
      <c r="C245" s="13"/>
      <c r="D245" s="13"/>
      <c r="E245" s="13"/>
      <c r="F245" s="13"/>
      <c r="G245" s="13"/>
      <c r="H245" s="13"/>
      <c r="I245" s="13"/>
      <c r="J245" s="13"/>
      <c r="K245" s="13"/>
      <c r="L245" s="13"/>
      <c r="M245" s="13"/>
      <c r="N245" s="13"/>
      <c r="O245" s="13"/>
      <c r="P245" s="13"/>
      <c r="Q245" s="13"/>
      <c r="R245" s="13"/>
      <c r="S245" s="13"/>
      <c r="T245" s="13"/>
    </row>
    <row r="246" spans="2:20" x14ac:dyDescent="0.25">
      <c r="B246" s="13"/>
      <c r="C246" s="13"/>
      <c r="D246" s="13"/>
      <c r="E246" s="13"/>
      <c r="F246" s="13"/>
      <c r="G246" s="13"/>
      <c r="H246" s="13"/>
      <c r="I246" s="13"/>
      <c r="J246" s="13"/>
      <c r="K246" s="13"/>
      <c r="L246" s="13"/>
      <c r="M246" s="13"/>
      <c r="N246" s="13"/>
      <c r="O246" s="13"/>
      <c r="P246" s="13"/>
      <c r="Q246" s="13"/>
      <c r="R246" s="13"/>
      <c r="S246" s="13"/>
      <c r="T246" s="13"/>
    </row>
    <row r="247" spans="2:20" x14ac:dyDescent="0.25">
      <c r="B247" s="13"/>
      <c r="C247" s="13"/>
      <c r="D247" s="13"/>
      <c r="E247" s="13"/>
      <c r="F247" s="13"/>
      <c r="G247" s="13"/>
      <c r="H247" s="13"/>
      <c r="I247" s="13"/>
      <c r="J247" s="13"/>
      <c r="K247" s="13"/>
      <c r="L247" s="13"/>
      <c r="M247" s="13"/>
      <c r="N247" s="13"/>
      <c r="O247" s="13"/>
      <c r="P247" s="13"/>
      <c r="Q247" s="13"/>
      <c r="R247" s="13"/>
      <c r="S247" s="13"/>
      <c r="T247" s="13"/>
    </row>
    <row r="248" spans="2:20" x14ac:dyDescent="0.25">
      <c r="B248" s="13"/>
      <c r="C248" s="13"/>
      <c r="D248" s="13"/>
      <c r="E248" s="13"/>
      <c r="F248" s="13"/>
      <c r="G248" s="13"/>
      <c r="H248" s="13"/>
      <c r="I248" s="13"/>
      <c r="J248" s="13"/>
      <c r="K248" s="13"/>
      <c r="L248" s="13"/>
      <c r="M248" s="13"/>
      <c r="N248" s="13"/>
      <c r="O248" s="13"/>
      <c r="P248" s="13"/>
      <c r="Q248" s="13"/>
      <c r="R248" s="13"/>
      <c r="S248" s="13"/>
      <c r="T248" s="13"/>
    </row>
    <row r="249" spans="2:20" x14ac:dyDescent="0.25">
      <c r="B249" s="13"/>
      <c r="C249" s="13"/>
      <c r="D249" s="13"/>
      <c r="E249" s="13"/>
      <c r="F249" s="13"/>
      <c r="G249" s="13"/>
      <c r="H249" s="13"/>
      <c r="I249" s="13"/>
      <c r="J249" s="13"/>
      <c r="K249" s="13"/>
      <c r="L249" s="13"/>
      <c r="M249" s="13"/>
      <c r="N249" s="13"/>
      <c r="O249" s="13"/>
      <c r="P249" s="13"/>
      <c r="Q249" s="13"/>
      <c r="R249" s="13"/>
      <c r="S249" s="13"/>
      <c r="T249" s="13"/>
    </row>
    <row r="250" spans="2:20" x14ac:dyDescent="0.25">
      <c r="B250" s="13"/>
      <c r="C250" s="13"/>
      <c r="D250" s="13"/>
      <c r="E250" s="13"/>
      <c r="F250" s="13"/>
      <c r="G250" s="13"/>
      <c r="H250" s="13"/>
      <c r="I250" s="13"/>
      <c r="J250" s="13"/>
      <c r="K250" s="13"/>
      <c r="L250" s="13"/>
      <c r="M250" s="13"/>
      <c r="N250" s="13"/>
      <c r="O250" s="13"/>
      <c r="P250" s="13"/>
      <c r="Q250" s="13"/>
      <c r="R250" s="13"/>
      <c r="S250" s="13"/>
      <c r="T250" s="13"/>
    </row>
    <row r="251" spans="2:20" x14ac:dyDescent="0.25">
      <c r="B251" s="13"/>
      <c r="C251" s="13"/>
      <c r="D251" s="13"/>
      <c r="E251" s="13"/>
      <c r="F251" s="13"/>
      <c r="G251" s="13"/>
      <c r="H251" s="13"/>
      <c r="I251" s="13"/>
      <c r="J251" s="13"/>
      <c r="K251" s="13"/>
      <c r="L251" s="13"/>
      <c r="M251" s="13"/>
      <c r="N251" s="13"/>
      <c r="O251" s="13"/>
      <c r="P251" s="13"/>
      <c r="Q251" s="13"/>
      <c r="R251" s="13"/>
      <c r="S251" s="13"/>
      <c r="T251" s="13"/>
    </row>
    <row r="252" spans="2:20" x14ac:dyDescent="0.25">
      <c r="B252" s="13"/>
      <c r="C252" s="13"/>
      <c r="D252" s="13"/>
      <c r="E252" s="13"/>
      <c r="F252" s="13"/>
      <c r="G252" s="13"/>
      <c r="H252" s="13"/>
      <c r="I252" s="13"/>
      <c r="J252" s="13"/>
      <c r="K252" s="13"/>
      <c r="L252" s="13"/>
      <c r="M252" s="13"/>
      <c r="N252" s="13"/>
      <c r="O252" s="13"/>
      <c r="P252" s="13"/>
      <c r="Q252" s="13"/>
      <c r="R252" s="13"/>
      <c r="S252" s="13"/>
      <c r="T252" s="13"/>
    </row>
    <row r="253" spans="2:20" x14ac:dyDescent="0.25">
      <c r="B253" s="13"/>
      <c r="C253" s="13"/>
      <c r="D253" s="13"/>
      <c r="E253" s="13"/>
      <c r="F253" s="13"/>
      <c r="G253" s="13"/>
      <c r="H253" s="13"/>
      <c r="I253" s="13"/>
      <c r="J253" s="13"/>
      <c r="K253" s="13"/>
      <c r="L253" s="13"/>
      <c r="M253" s="13"/>
      <c r="N253" s="13"/>
      <c r="O253" s="13"/>
      <c r="P253" s="13"/>
      <c r="Q253" s="13"/>
      <c r="R253" s="13"/>
      <c r="S253" s="13"/>
      <c r="T253" s="13"/>
    </row>
    <row r="254" spans="2:20" x14ac:dyDescent="0.25">
      <c r="B254" s="13"/>
      <c r="C254" s="13"/>
      <c r="D254" s="13"/>
      <c r="E254" s="13"/>
      <c r="F254" s="13"/>
      <c r="G254" s="13"/>
      <c r="H254" s="13"/>
      <c r="I254" s="13"/>
      <c r="J254" s="13"/>
      <c r="K254" s="13"/>
      <c r="L254" s="13"/>
      <c r="M254" s="13"/>
      <c r="N254" s="13"/>
      <c r="O254" s="13"/>
      <c r="P254" s="13"/>
      <c r="Q254" s="13"/>
      <c r="R254" s="13"/>
      <c r="S254" s="13"/>
      <c r="T254" s="13"/>
    </row>
    <row r="255" spans="2:20" x14ac:dyDescent="0.25">
      <c r="B255" s="13"/>
      <c r="C255" s="13"/>
      <c r="D255" s="13"/>
      <c r="E255" s="13"/>
      <c r="F255" s="13"/>
      <c r="G255" s="13"/>
      <c r="H255" s="13"/>
      <c r="I255" s="13"/>
      <c r="J255" s="13"/>
      <c r="K255" s="13"/>
      <c r="L255" s="13"/>
      <c r="M255" s="13"/>
      <c r="N255" s="13"/>
      <c r="O255" s="13"/>
      <c r="P255" s="13"/>
      <c r="Q255" s="13"/>
      <c r="R255" s="13"/>
      <c r="S255" s="13"/>
      <c r="T255" s="13"/>
    </row>
    <row r="256" spans="2:20" x14ac:dyDescent="0.25">
      <c r="B256" s="13"/>
      <c r="C256" s="13"/>
      <c r="D256" s="13"/>
      <c r="E256" s="13"/>
      <c r="F256" s="13"/>
      <c r="G256" s="13"/>
      <c r="H256" s="13"/>
      <c r="I256" s="13"/>
      <c r="J256" s="13"/>
      <c r="K256" s="13"/>
      <c r="L256" s="13"/>
      <c r="M256" s="13"/>
      <c r="N256" s="13"/>
      <c r="O256" s="13"/>
      <c r="P256" s="13"/>
      <c r="Q256" s="13"/>
      <c r="R256" s="13"/>
      <c r="S256" s="13"/>
      <c r="T256" s="13"/>
    </row>
    <row r="257" spans="2:20" x14ac:dyDescent="0.25">
      <c r="B257" s="13"/>
      <c r="C257" s="13"/>
      <c r="D257" s="13"/>
      <c r="E257" s="13"/>
      <c r="F257" s="13"/>
      <c r="G257" s="13"/>
      <c r="H257" s="13"/>
      <c r="I257" s="13"/>
      <c r="J257" s="13"/>
      <c r="K257" s="13"/>
      <c r="L257" s="13"/>
      <c r="M257" s="13"/>
      <c r="N257" s="13"/>
      <c r="O257" s="13"/>
      <c r="P257" s="13"/>
      <c r="Q257" s="13"/>
      <c r="R257" s="13"/>
      <c r="S257" s="13"/>
      <c r="T257" s="13"/>
    </row>
    <row r="258" spans="2:20" x14ac:dyDescent="0.25">
      <c r="B258" s="13"/>
      <c r="C258" s="13"/>
      <c r="D258" s="13"/>
      <c r="E258" s="13"/>
      <c r="F258" s="13"/>
      <c r="G258" s="13"/>
      <c r="H258" s="13"/>
      <c r="I258" s="13"/>
      <c r="J258" s="13"/>
      <c r="K258" s="13"/>
      <c r="L258" s="13"/>
      <c r="M258" s="13"/>
      <c r="N258" s="13"/>
      <c r="O258" s="13"/>
      <c r="P258" s="13"/>
      <c r="Q258" s="13"/>
      <c r="R258" s="13"/>
      <c r="S258" s="13"/>
      <c r="T258" s="13"/>
    </row>
    <row r="259" spans="2:20" x14ac:dyDescent="0.25">
      <c r="B259" s="13"/>
      <c r="C259" s="13"/>
      <c r="D259" s="13"/>
      <c r="E259" s="13"/>
      <c r="F259" s="13"/>
      <c r="G259" s="13"/>
      <c r="H259" s="13"/>
      <c r="I259" s="13"/>
      <c r="J259" s="13"/>
      <c r="K259" s="13"/>
      <c r="L259" s="13"/>
      <c r="M259" s="13"/>
      <c r="N259" s="13"/>
      <c r="O259" s="13"/>
      <c r="P259" s="13"/>
      <c r="Q259" s="13"/>
      <c r="R259" s="13"/>
      <c r="S259" s="13"/>
      <c r="T259" s="13"/>
    </row>
    <row r="260" spans="2:20" x14ac:dyDescent="0.25">
      <c r="B260" s="13"/>
      <c r="C260" s="13"/>
      <c r="D260" s="13"/>
      <c r="E260" s="13"/>
      <c r="F260" s="13"/>
      <c r="G260" s="13"/>
      <c r="H260" s="13"/>
      <c r="I260" s="13"/>
      <c r="J260" s="13"/>
      <c r="K260" s="13"/>
      <c r="L260" s="13"/>
      <c r="M260" s="13"/>
      <c r="N260" s="13"/>
      <c r="O260" s="13"/>
      <c r="P260" s="13"/>
      <c r="Q260" s="13"/>
      <c r="R260" s="13"/>
      <c r="S260" s="13"/>
      <c r="T260" s="13"/>
    </row>
    <row r="261" spans="2:20" x14ac:dyDescent="0.25">
      <c r="B261" s="13"/>
      <c r="C261" s="13"/>
      <c r="D261" s="13"/>
      <c r="E261" s="13"/>
      <c r="F261" s="13"/>
      <c r="G261" s="13"/>
      <c r="H261" s="13"/>
      <c r="I261" s="13"/>
      <c r="J261" s="13"/>
      <c r="K261" s="13"/>
      <c r="L261" s="13"/>
      <c r="M261" s="13"/>
      <c r="N261" s="13"/>
      <c r="O261" s="13"/>
      <c r="P261" s="13"/>
      <c r="Q261" s="13"/>
      <c r="R261" s="13"/>
      <c r="S261" s="13"/>
      <c r="T261" s="13"/>
    </row>
    <row r="262" spans="2:20" x14ac:dyDescent="0.25">
      <c r="B262" s="13"/>
      <c r="C262" s="13"/>
      <c r="D262" s="13"/>
      <c r="E262" s="13"/>
      <c r="F262" s="13"/>
      <c r="G262" s="13"/>
      <c r="H262" s="13"/>
      <c r="I262" s="13"/>
      <c r="J262" s="13"/>
      <c r="K262" s="13"/>
      <c r="L262" s="13"/>
      <c r="M262" s="13"/>
      <c r="N262" s="13"/>
      <c r="O262" s="13"/>
      <c r="P262" s="13"/>
      <c r="Q262" s="13"/>
      <c r="R262" s="13"/>
      <c r="S262" s="13"/>
      <c r="T262" s="13"/>
    </row>
    <row r="263" spans="2:20" x14ac:dyDescent="0.25">
      <c r="B263" s="13"/>
      <c r="C263" s="13"/>
      <c r="D263" s="13"/>
      <c r="E263" s="13"/>
      <c r="F263" s="13"/>
      <c r="G263" s="13"/>
      <c r="H263" s="13"/>
      <c r="I263" s="13"/>
      <c r="J263" s="13"/>
      <c r="K263" s="13"/>
      <c r="L263" s="13"/>
      <c r="M263" s="13"/>
      <c r="N263" s="13"/>
      <c r="O263" s="13"/>
      <c r="P263" s="13"/>
      <c r="Q263" s="13"/>
      <c r="R263" s="13"/>
      <c r="S263" s="13"/>
      <c r="T263" s="13"/>
    </row>
    <row r="264" spans="2:20" x14ac:dyDescent="0.25">
      <c r="B264" s="13"/>
      <c r="C264" s="13"/>
      <c r="D264" s="13"/>
      <c r="E264" s="13"/>
      <c r="F264" s="13"/>
      <c r="G264" s="13"/>
      <c r="H264" s="13"/>
      <c r="I264" s="13"/>
      <c r="J264" s="13"/>
      <c r="K264" s="13"/>
      <c r="L264" s="13"/>
      <c r="M264" s="13"/>
      <c r="N264" s="13"/>
      <c r="O264" s="13"/>
      <c r="P264" s="13"/>
      <c r="Q264" s="13"/>
      <c r="R264" s="13"/>
      <c r="S264" s="13"/>
      <c r="T264" s="13"/>
    </row>
    <row r="265" spans="2:20" x14ac:dyDescent="0.25">
      <c r="B265" s="13"/>
      <c r="C265" s="13"/>
      <c r="D265" s="13"/>
      <c r="E265" s="13"/>
      <c r="F265" s="13"/>
      <c r="G265" s="13"/>
      <c r="H265" s="13"/>
      <c r="I265" s="13"/>
      <c r="J265" s="13"/>
      <c r="K265" s="13"/>
      <c r="L265" s="13"/>
      <c r="M265" s="13"/>
      <c r="N265" s="13"/>
      <c r="O265" s="13"/>
      <c r="P265" s="13"/>
      <c r="Q265" s="13"/>
      <c r="R265" s="13"/>
      <c r="S265" s="13"/>
      <c r="T265" s="13"/>
    </row>
    <row r="266" spans="2:20" x14ac:dyDescent="0.25">
      <c r="B266" s="13"/>
      <c r="C266" s="13"/>
      <c r="D266" s="13"/>
      <c r="E266" s="13"/>
      <c r="F266" s="13"/>
      <c r="G266" s="13"/>
      <c r="H266" s="13"/>
      <c r="I266" s="13"/>
      <c r="J266" s="13"/>
      <c r="K266" s="13"/>
      <c r="L266" s="13"/>
      <c r="M266" s="13"/>
      <c r="N266" s="13"/>
      <c r="O266" s="13"/>
      <c r="P266" s="13"/>
      <c r="Q266" s="13"/>
      <c r="R266" s="13"/>
      <c r="S266" s="13"/>
      <c r="T266" s="13"/>
    </row>
    <row r="267" spans="2:20" x14ac:dyDescent="0.25">
      <c r="B267" s="13"/>
      <c r="C267" s="13"/>
      <c r="D267" s="13"/>
      <c r="E267" s="13"/>
      <c r="F267" s="13"/>
      <c r="G267" s="13"/>
      <c r="H267" s="13"/>
      <c r="I267" s="13"/>
      <c r="J267" s="13"/>
      <c r="K267" s="13"/>
      <c r="L267" s="13"/>
      <c r="M267" s="13"/>
      <c r="N267" s="13"/>
      <c r="O267" s="13"/>
      <c r="P267" s="13"/>
      <c r="Q267" s="13"/>
      <c r="R267" s="13"/>
      <c r="S267" s="13"/>
      <c r="T267" s="13"/>
    </row>
    <row r="268" spans="2:20" x14ac:dyDescent="0.25">
      <c r="B268" s="13"/>
      <c r="C268" s="13"/>
      <c r="D268" s="13"/>
      <c r="E268" s="13"/>
      <c r="F268" s="13"/>
      <c r="G268" s="13"/>
      <c r="H268" s="13"/>
      <c r="I268" s="13"/>
      <c r="J268" s="13"/>
      <c r="K268" s="13"/>
      <c r="L268" s="13"/>
      <c r="M268" s="13"/>
      <c r="N268" s="13"/>
      <c r="O268" s="13"/>
      <c r="P268" s="13"/>
      <c r="Q268" s="13"/>
      <c r="R268" s="13"/>
      <c r="S268" s="13"/>
      <c r="T268" s="13"/>
    </row>
    <row r="269" spans="2:20" x14ac:dyDescent="0.25">
      <c r="B269" s="13"/>
      <c r="C269" s="13"/>
      <c r="D269" s="13"/>
      <c r="E269" s="13"/>
      <c r="F269" s="13"/>
      <c r="G269" s="13"/>
      <c r="H269" s="13"/>
      <c r="I269" s="13"/>
      <c r="J269" s="13"/>
      <c r="K269" s="13"/>
      <c r="L269" s="13"/>
      <c r="M269" s="13"/>
      <c r="N269" s="13"/>
      <c r="O269" s="13"/>
      <c r="P269" s="13"/>
      <c r="Q269" s="13"/>
      <c r="R269" s="13"/>
      <c r="S269" s="13"/>
      <c r="T269" s="13"/>
    </row>
    <row r="270" spans="2:20" x14ac:dyDescent="0.25">
      <c r="B270" s="13"/>
      <c r="C270" s="13"/>
      <c r="D270" s="13"/>
      <c r="E270" s="13"/>
      <c r="F270" s="13"/>
      <c r="G270" s="13"/>
      <c r="H270" s="13"/>
      <c r="I270" s="13"/>
      <c r="J270" s="13"/>
      <c r="K270" s="13"/>
      <c r="L270" s="13"/>
      <c r="M270" s="13"/>
      <c r="N270" s="13"/>
      <c r="O270" s="13"/>
      <c r="P270" s="13"/>
      <c r="Q270" s="13"/>
      <c r="R270" s="13"/>
      <c r="S270" s="13"/>
      <c r="T270" s="13"/>
    </row>
    <row r="271" spans="2:20" x14ac:dyDescent="0.25">
      <c r="B271" s="13"/>
      <c r="C271" s="13"/>
      <c r="D271" s="13"/>
      <c r="E271" s="13"/>
      <c r="F271" s="13"/>
      <c r="G271" s="13"/>
      <c r="H271" s="13"/>
      <c r="I271" s="13"/>
      <c r="J271" s="13"/>
      <c r="K271" s="13"/>
      <c r="L271" s="13"/>
      <c r="M271" s="13"/>
      <c r="N271" s="13"/>
      <c r="O271" s="13"/>
      <c r="P271" s="13"/>
      <c r="Q271" s="13"/>
      <c r="R271" s="13"/>
      <c r="S271" s="13"/>
      <c r="T271" s="13"/>
    </row>
    <row r="272" spans="2:20" x14ac:dyDescent="0.25">
      <c r="B272" s="13"/>
      <c r="C272" s="13"/>
      <c r="D272" s="13"/>
      <c r="E272" s="13"/>
      <c r="F272" s="13"/>
      <c r="G272" s="13"/>
      <c r="H272" s="13"/>
      <c r="I272" s="13"/>
      <c r="J272" s="13"/>
      <c r="K272" s="13"/>
      <c r="L272" s="13"/>
      <c r="M272" s="13"/>
      <c r="N272" s="13"/>
      <c r="O272" s="13"/>
      <c r="P272" s="13"/>
      <c r="Q272" s="13"/>
      <c r="R272" s="13"/>
      <c r="S272" s="13"/>
      <c r="T272" s="13"/>
    </row>
    <row r="273" spans="2:20" x14ac:dyDescent="0.25">
      <c r="B273" s="13"/>
      <c r="C273" s="13"/>
      <c r="D273" s="13"/>
      <c r="E273" s="13"/>
      <c r="F273" s="13"/>
      <c r="G273" s="13"/>
      <c r="H273" s="13"/>
      <c r="I273" s="13"/>
      <c r="J273" s="13"/>
      <c r="K273" s="13"/>
      <c r="L273" s="13"/>
      <c r="M273" s="13"/>
      <c r="N273" s="13"/>
      <c r="O273" s="13"/>
      <c r="P273" s="13"/>
      <c r="Q273" s="13"/>
      <c r="R273" s="13"/>
      <c r="S273" s="13"/>
      <c r="T273" s="13"/>
    </row>
    <row r="274" spans="2:20" x14ac:dyDescent="0.25">
      <c r="B274" s="13"/>
      <c r="C274" s="13"/>
      <c r="D274" s="13"/>
      <c r="E274" s="13"/>
      <c r="F274" s="13"/>
      <c r="G274" s="13"/>
      <c r="H274" s="13"/>
      <c r="I274" s="13"/>
      <c r="J274" s="13"/>
      <c r="K274" s="13"/>
      <c r="L274" s="13"/>
      <c r="M274" s="13"/>
      <c r="N274" s="13"/>
      <c r="O274" s="13"/>
      <c r="P274" s="13"/>
      <c r="Q274" s="13"/>
      <c r="R274" s="13"/>
      <c r="S274" s="13"/>
      <c r="T274" s="13"/>
    </row>
    <row r="275" spans="2:20" x14ac:dyDescent="0.25">
      <c r="B275" s="13"/>
      <c r="C275" s="13"/>
      <c r="D275" s="13"/>
      <c r="E275" s="13"/>
      <c r="F275" s="13"/>
      <c r="G275" s="13"/>
      <c r="H275" s="13"/>
      <c r="I275" s="13"/>
      <c r="J275" s="13"/>
      <c r="K275" s="13"/>
      <c r="L275" s="13"/>
      <c r="M275" s="13"/>
      <c r="N275" s="13"/>
      <c r="O275" s="13"/>
      <c r="P275" s="13"/>
      <c r="Q275" s="13"/>
      <c r="R275" s="13"/>
      <c r="S275" s="13"/>
      <c r="T275" s="13"/>
    </row>
    <row r="276" spans="2:20" x14ac:dyDescent="0.25">
      <c r="B276" s="13"/>
      <c r="C276" s="13"/>
      <c r="D276" s="13"/>
      <c r="E276" s="13"/>
      <c r="F276" s="13"/>
      <c r="G276" s="13"/>
      <c r="H276" s="13"/>
      <c r="I276" s="13"/>
      <c r="J276" s="13"/>
      <c r="K276" s="13"/>
      <c r="L276" s="13"/>
      <c r="M276" s="13"/>
      <c r="N276" s="13"/>
      <c r="O276" s="13"/>
      <c r="P276" s="13"/>
      <c r="Q276" s="13"/>
      <c r="R276" s="13"/>
      <c r="S276" s="13"/>
      <c r="T276" s="13"/>
    </row>
    <row r="277" spans="2:20" x14ac:dyDescent="0.25">
      <c r="B277" s="13"/>
      <c r="C277" s="13"/>
      <c r="D277" s="13"/>
      <c r="E277" s="13"/>
      <c r="F277" s="13"/>
      <c r="G277" s="13"/>
      <c r="H277" s="13"/>
      <c r="I277" s="13"/>
      <c r="J277" s="13"/>
      <c r="K277" s="13"/>
      <c r="L277" s="13"/>
      <c r="M277" s="13"/>
      <c r="N277" s="13"/>
      <c r="O277" s="13"/>
      <c r="P277" s="13"/>
      <c r="Q277" s="13"/>
      <c r="R277" s="13"/>
      <c r="S277" s="13"/>
      <c r="T277" s="13"/>
    </row>
    <row r="278" spans="2:20" x14ac:dyDescent="0.25">
      <c r="B278" s="13"/>
      <c r="C278" s="13"/>
      <c r="D278" s="13"/>
      <c r="E278" s="13"/>
      <c r="F278" s="13"/>
      <c r="G278" s="13"/>
      <c r="H278" s="13"/>
      <c r="I278" s="13"/>
      <c r="J278" s="13"/>
      <c r="K278" s="13"/>
      <c r="L278" s="13"/>
      <c r="M278" s="13"/>
      <c r="N278" s="13"/>
      <c r="O278" s="13"/>
      <c r="P278" s="13"/>
      <c r="Q278" s="13"/>
      <c r="R278" s="13"/>
      <c r="S278" s="13"/>
      <c r="T278" s="13"/>
    </row>
    <row r="279" spans="2:20" x14ac:dyDescent="0.25">
      <c r="B279" s="13"/>
      <c r="C279" s="13"/>
      <c r="D279" s="13"/>
      <c r="E279" s="13"/>
      <c r="F279" s="13"/>
      <c r="G279" s="13"/>
      <c r="H279" s="13"/>
      <c r="I279" s="13"/>
      <c r="J279" s="13"/>
      <c r="K279" s="13"/>
      <c r="L279" s="13"/>
      <c r="M279" s="13"/>
      <c r="N279" s="13"/>
      <c r="O279" s="13"/>
      <c r="P279" s="13"/>
      <c r="Q279" s="13"/>
      <c r="R279" s="13"/>
      <c r="S279" s="13"/>
      <c r="T279" s="13"/>
    </row>
    <row r="280" spans="2:20" x14ac:dyDescent="0.25">
      <c r="B280" s="13"/>
      <c r="C280" s="13"/>
      <c r="D280" s="13"/>
      <c r="E280" s="13"/>
      <c r="F280" s="13"/>
      <c r="G280" s="13"/>
      <c r="H280" s="13"/>
      <c r="I280" s="13"/>
      <c r="J280" s="13"/>
      <c r="K280" s="13"/>
      <c r="L280" s="13"/>
      <c r="M280" s="13"/>
      <c r="N280" s="13"/>
      <c r="O280" s="13"/>
      <c r="P280" s="13"/>
      <c r="Q280" s="13"/>
      <c r="R280" s="13"/>
      <c r="S280" s="13"/>
      <c r="T280" s="13"/>
    </row>
    <row r="281" spans="2:20" x14ac:dyDescent="0.25">
      <c r="B281" s="13"/>
      <c r="C281" s="13"/>
      <c r="D281" s="13"/>
      <c r="E281" s="13"/>
      <c r="F281" s="13"/>
      <c r="G281" s="13"/>
      <c r="H281" s="13"/>
      <c r="I281" s="13"/>
      <c r="J281" s="13"/>
      <c r="K281" s="13"/>
      <c r="L281" s="13"/>
      <c r="M281" s="13"/>
      <c r="N281" s="13"/>
      <c r="O281" s="13"/>
      <c r="P281" s="13"/>
      <c r="Q281" s="13"/>
      <c r="R281" s="13"/>
      <c r="S281" s="13"/>
      <c r="T281" s="13"/>
    </row>
    <row r="282" spans="2:20" x14ac:dyDescent="0.25">
      <c r="B282" s="13"/>
      <c r="C282" s="13"/>
      <c r="D282" s="13"/>
      <c r="E282" s="13"/>
      <c r="F282" s="13"/>
      <c r="G282" s="13"/>
      <c r="H282" s="13"/>
      <c r="I282" s="13"/>
      <c r="J282" s="13"/>
      <c r="K282" s="13"/>
      <c r="L282" s="13"/>
      <c r="M282" s="13"/>
      <c r="N282" s="13"/>
      <c r="O282" s="13"/>
      <c r="P282" s="13"/>
      <c r="Q282" s="13"/>
      <c r="R282" s="13"/>
      <c r="S282" s="13"/>
      <c r="T282" s="13"/>
    </row>
    <row r="283" spans="2:20" x14ac:dyDescent="0.25">
      <c r="B283" s="13"/>
      <c r="C283" s="13"/>
      <c r="D283" s="13"/>
      <c r="E283" s="13"/>
      <c r="F283" s="13"/>
      <c r="G283" s="13"/>
      <c r="H283" s="13"/>
      <c r="I283" s="13"/>
      <c r="J283" s="13"/>
      <c r="K283" s="13"/>
      <c r="L283" s="13"/>
      <c r="M283" s="13"/>
      <c r="N283" s="13"/>
      <c r="O283" s="13"/>
      <c r="P283" s="13"/>
      <c r="Q283" s="13"/>
      <c r="R283" s="13"/>
      <c r="S283" s="13"/>
      <c r="T283" s="13"/>
    </row>
    <row r="284" spans="2:20" x14ac:dyDescent="0.25">
      <c r="B284" s="13"/>
      <c r="C284" s="13"/>
      <c r="D284" s="13"/>
      <c r="E284" s="13"/>
      <c r="F284" s="13"/>
      <c r="G284" s="13"/>
      <c r="H284" s="13"/>
      <c r="I284" s="13"/>
      <c r="J284" s="13"/>
      <c r="K284" s="13"/>
      <c r="L284" s="13"/>
      <c r="M284" s="13"/>
      <c r="N284" s="13"/>
      <c r="O284" s="13"/>
      <c r="P284" s="13"/>
      <c r="Q284" s="13"/>
      <c r="R284" s="13"/>
      <c r="S284" s="13"/>
      <c r="T284" s="13"/>
    </row>
    <row r="285" spans="2:20" x14ac:dyDescent="0.25">
      <c r="B285" s="13"/>
      <c r="C285" s="13"/>
      <c r="D285" s="13"/>
      <c r="E285" s="13"/>
      <c r="F285" s="13"/>
      <c r="G285" s="13"/>
      <c r="H285" s="13"/>
      <c r="I285" s="13"/>
      <c r="J285" s="13"/>
      <c r="K285" s="13"/>
      <c r="L285" s="13"/>
      <c r="M285" s="13"/>
      <c r="N285" s="13"/>
      <c r="O285" s="13"/>
      <c r="P285" s="13"/>
      <c r="Q285" s="13"/>
      <c r="R285" s="13"/>
      <c r="S285" s="13"/>
      <c r="T285" s="13"/>
    </row>
    <row r="286" spans="2:20" x14ac:dyDescent="0.25">
      <c r="B286" s="13"/>
      <c r="C286" s="13"/>
      <c r="D286" s="13"/>
      <c r="E286" s="13"/>
      <c r="F286" s="13"/>
      <c r="G286" s="13"/>
      <c r="H286" s="13"/>
      <c r="I286" s="13"/>
      <c r="J286" s="13"/>
      <c r="K286" s="13"/>
      <c r="L286" s="13"/>
      <c r="M286" s="13"/>
      <c r="N286" s="13"/>
      <c r="O286" s="13"/>
      <c r="P286" s="13"/>
      <c r="Q286" s="13"/>
      <c r="R286" s="13"/>
      <c r="S286" s="13"/>
      <c r="T286" s="13"/>
    </row>
    <row r="287" spans="2:20" x14ac:dyDescent="0.25">
      <c r="B287" s="13"/>
      <c r="C287" s="13"/>
      <c r="D287" s="13"/>
      <c r="E287" s="13"/>
      <c r="F287" s="13"/>
      <c r="G287" s="13"/>
      <c r="H287" s="13"/>
      <c r="I287" s="13"/>
      <c r="J287" s="13"/>
      <c r="K287" s="13"/>
      <c r="L287" s="13"/>
      <c r="M287" s="13"/>
      <c r="N287" s="13"/>
      <c r="O287" s="13"/>
      <c r="P287" s="13"/>
      <c r="Q287" s="13"/>
      <c r="R287" s="13"/>
      <c r="S287" s="13"/>
      <c r="T287" s="13"/>
    </row>
    <row r="288" spans="2:20" x14ac:dyDescent="0.25">
      <c r="B288" s="13"/>
      <c r="C288" s="13"/>
      <c r="D288" s="13"/>
      <c r="E288" s="13"/>
      <c r="F288" s="13"/>
      <c r="G288" s="13"/>
      <c r="H288" s="13"/>
      <c r="I288" s="13"/>
      <c r="J288" s="13"/>
      <c r="K288" s="13"/>
      <c r="L288" s="13"/>
      <c r="M288" s="13"/>
      <c r="N288" s="13"/>
      <c r="O288" s="13"/>
      <c r="P288" s="13"/>
      <c r="Q288" s="13"/>
      <c r="R288" s="13"/>
      <c r="S288" s="13"/>
      <c r="T288" s="13"/>
    </row>
    <row r="289" spans="2:20" x14ac:dyDescent="0.25">
      <c r="B289" s="13"/>
      <c r="C289" s="13"/>
      <c r="D289" s="13"/>
      <c r="E289" s="13"/>
      <c r="F289" s="13"/>
      <c r="G289" s="13"/>
      <c r="H289" s="13"/>
      <c r="I289" s="13"/>
      <c r="J289" s="13"/>
      <c r="K289" s="13"/>
      <c r="L289" s="13"/>
      <c r="M289" s="13"/>
      <c r="N289" s="13"/>
      <c r="O289" s="13"/>
      <c r="P289" s="13"/>
      <c r="Q289" s="13"/>
      <c r="R289" s="13"/>
      <c r="S289" s="13"/>
      <c r="T289" s="13"/>
    </row>
    <row r="290" spans="2:20" x14ac:dyDescent="0.25">
      <c r="B290" s="13"/>
      <c r="C290" s="13"/>
      <c r="D290" s="13"/>
      <c r="E290" s="13"/>
      <c r="F290" s="13"/>
      <c r="G290" s="13"/>
      <c r="H290" s="13"/>
      <c r="I290" s="13"/>
      <c r="J290" s="13"/>
      <c r="K290" s="13"/>
      <c r="L290" s="13"/>
      <c r="M290" s="13"/>
      <c r="N290" s="13"/>
      <c r="O290" s="13"/>
      <c r="P290" s="13"/>
      <c r="Q290" s="13"/>
      <c r="R290" s="13"/>
      <c r="S290" s="13"/>
      <c r="T290" s="13"/>
    </row>
    <row r="291" spans="2:20" x14ac:dyDescent="0.25">
      <c r="B291" s="13"/>
      <c r="C291" s="13"/>
      <c r="D291" s="13"/>
      <c r="E291" s="13"/>
      <c r="F291" s="13"/>
      <c r="G291" s="13"/>
      <c r="H291" s="13"/>
      <c r="I291" s="13"/>
      <c r="J291" s="13"/>
      <c r="K291" s="13"/>
      <c r="L291" s="13"/>
      <c r="M291" s="13"/>
      <c r="N291" s="13"/>
      <c r="O291" s="13"/>
      <c r="P291" s="13"/>
      <c r="Q291" s="13"/>
      <c r="R291" s="13"/>
      <c r="S291" s="13"/>
      <c r="T291" s="13"/>
    </row>
    <row r="292" spans="2:20" x14ac:dyDescent="0.25">
      <c r="B292" s="13"/>
      <c r="C292" s="13"/>
      <c r="D292" s="13"/>
      <c r="E292" s="13"/>
      <c r="F292" s="13"/>
      <c r="G292" s="13"/>
      <c r="H292" s="13"/>
      <c r="I292" s="13"/>
      <c r="J292" s="13"/>
      <c r="K292" s="13"/>
      <c r="L292" s="13"/>
      <c r="M292" s="13"/>
      <c r="N292" s="13"/>
      <c r="O292" s="13"/>
      <c r="P292" s="13"/>
      <c r="Q292" s="13"/>
      <c r="R292" s="13"/>
      <c r="S292" s="13"/>
      <c r="T292" s="13"/>
    </row>
    <row r="293" spans="2:20" x14ac:dyDescent="0.25">
      <c r="B293" s="13"/>
      <c r="C293" s="13"/>
      <c r="D293" s="13"/>
      <c r="E293" s="13"/>
      <c r="F293" s="13"/>
      <c r="G293" s="13"/>
      <c r="H293" s="13"/>
      <c r="I293" s="13"/>
      <c r="J293" s="13"/>
      <c r="K293" s="13"/>
      <c r="L293" s="13"/>
      <c r="M293" s="13"/>
      <c r="N293" s="13"/>
      <c r="O293" s="13"/>
      <c r="P293" s="13"/>
      <c r="Q293" s="13"/>
      <c r="R293" s="13"/>
      <c r="S293" s="13"/>
      <c r="T293" s="13"/>
    </row>
    <row r="294" spans="2:20" x14ac:dyDescent="0.25">
      <c r="B294" s="13"/>
      <c r="C294" s="13"/>
      <c r="D294" s="13"/>
      <c r="E294" s="13"/>
      <c r="F294" s="13"/>
      <c r="G294" s="13"/>
      <c r="H294" s="13"/>
      <c r="I294" s="13"/>
      <c r="J294" s="13"/>
      <c r="K294" s="13"/>
      <c r="L294" s="13"/>
      <c r="M294" s="13"/>
      <c r="N294" s="13"/>
      <c r="O294" s="13"/>
      <c r="P294" s="13"/>
      <c r="Q294" s="13"/>
      <c r="R294" s="13"/>
      <c r="S294" s="13"/>
      <c r="T294" s="13"/>
    </row>
    <row r="295" spans="2:20" x14ac:dyDescent="0.25">
      <c r="B295" s="13"/>
      <c r="C295" s="13"/>
      <c r="D295" s="13"/>
      <c r="E295" s="13"/>
      <c r="F295" s="13"/>
      <c r="G295" s="13"/>
      <c r="H295" s="13"/>
      <c r="I295" s="13"/>
      <c r="J295" s="13"/>
      <c r="K295" s="13"/>
      <c r="L295" s="13"/>
      <c r="M295" s="13"/>
      <c r="N295" s="13"/>
      <c r="O295" s="13"/>
      <c r="P295" s="13"/>
      <c r="Q295" s="13"/>
      <c r="R295" s="13"/>
      <c r="S295" s="13"/>
      <c r="T295" s="13"/>
    </row>
    <row r="296" spans="2:20" x14ac:dyDescent="0.25">
      <c r="B296" s="13"/>
      <c r="C296" s="13"/>
      <c r="D296" s="13"/>
      <c r="E296" s="13"/>
      <c r="F296" s="13"/>
      <c r="G296" s="13"/>
      <c r="H296" s="13"/>
      <c r="I296" s="13"/>
      <c r="J296" s="13"/>
      <c r="K296" s="13"/>
      <c r="L296" s="13"/>
      <c r="M296" s="13"/>
      <c r="N296" s="13"/>
      <c r="O296" s="13"/>
      <c r="P296" s="13"/>
      <c r="Q296" s="13"/>
      <c r="R296" s="13"/>
      <c r="S296" s="13"/>
      <c r="T296" s="13"/>
    </row>
    <row r="297" spans="2:20" x14ac:dyDescent="0.25">
      <c r="B297" s="13"/>
      <c r="C297" s="13"/>
      <c r="D297" s="13"/>
      <c r="E297" s="13"/>
      <c r="F297" s="13"/>
      <c r="G297" s="13"/>
      <c r="H297" s="13"/>
      <c r="I297" s="13"/>
      <c r="J297" s="13"/>
      <c r="K297" s="13"/>
      <c r="L297" s="13"/>
      <c r="M297" s="13"/>
      <c r="N297" s="13"/>
      <c r="O297" s="13"/>
      <c r="P297" s="13"/>
      <c r="Q297" s="13"/>
      <c r="R297" s="13"/>
      <c r="S297" s="13"/>
      <c r="T297" s="13"/>
    </row>
    <row r="298" spans="2:20" x14ac:dyDescent="0.25">
      <c r="B298" s="13"/>
      <c r="C298" s="13"/>
      <c r="D298" s="13"/>
      <c r="E298" s="13"/>
      <c r="F298" s="13"/>
      <c r="G298" s="13"/>
      <c r="H298" s="13"/>
      <c r="I298" s="13"/>
      <c r="J298" s="13"/>
      <c r="K298" s="13"/>
      <c r="L298" s="13"/>
      <c r="M298" s="13"/>
      <c r="N298" s="13"/>
      <c r="O298" s="13"/>
      <c r="P298" s="13"/>
      <c r="Q298" s="13"/>
      <c r="R298" s="13"/>
      <c r="S298" s="13"/>
      <c r="T298" s="13"/>
    </row>
    <row r="299" spans="2:20" x14ac:dyDescent="0.25">
      <c r="B299" s="13"/>
      <c r="C299" s="13"/>
      <c r="D299" s="13"/>
      <c r="E299" s="13"/>
      <c r="F299" s="13"/>
      <c r="G299" s="13"/>
      <c r="H299" s="13"/>
      <c r="I299" s="13"/>
      <c r="J299" s="13"/>
      <c r="K299" s="13"/>
      <c r="L299" s="13"/>
      <c r="M299" s="13"/>
      <c r="N299" s="13"/>
      <c r="O299" s="13"/>
      <c r="P299" s="13"/>
      <c r="Q299" s="13"/>
      <c r="R299" s="13"/>
      <c r="S299" s="13"/>
      <c r="T299" s="13"/>
    </row>
    <row r="300" spans="2:20" x14ac:dyDescent="0.25">
      <c r="B300" s="13"/>
      <c r="C300" s="13"/>
      <c r="D300" s="13"/>
      <c r="E300" s="13"/>
      <c r="F300" s="13"/>
      <c r="G300" s="13"/>
      <c r="H300" s="13"/>
      <c r="I300" s="13"/>
      <c r="J300" s="13"/>
      <c r="K300" s="13"/>
      <c r="L300" s="13"/>
      <c r="M300" s="13"/>
      <c r="N300" s="13"/>
      <c r="O300" s="13"/>
      <c r="P300" s="13"/>
      <c r="Q300" s="13"/>
      <c r="R300" s="13"/>
      <c r="S300" s="13"/>
      <c r="T300" s="13"/>
    </row>
    <row r="301" spans="2:20" x14ac:dyDescent="0.25">
      <c r="B301" s="13"/>
      <c r="C301" s="13"/>
      <c r="D301" s="13"/>
      <c r="E301" s="13"/>
      <c r="F301" s="13"/>
      <c r="G301" s="13"/>
      <c r="H301" s="13"/>
      <c r="I301" s="13"/>
      <c r="J301" s="13"/>
      <c r="K301" s="13"/>
      <c r="L301" s="13"/>
      <c r="M301" s="13"/>
      <c r="N301" s="13"/>
      <c r="O301" s="13"/>
      <c r="P301" s="13"/>
      <c r="Q301" s="13"/>
      <c r="R301" s="13"/>
      <c r="S301" s="13"/>
      <c r="T301" s="13"/>
    </row>
    <row r="302" spans="2:20" x14ac:dyDescent="0.25">
      <c r="B302" s="13"/>
      <c r="C302" s="13"/>
      <c r="D302" s="13"/>
      <c r="E302" s="13"/>
      <c r="F302" s="13"/>
      <c r="G302" s="13"/>
      <c r="H302" s="13"/>
      <c r="I302" s="13"/>
      <c r="J302" s="13"/>
      <c r="K302" s="13"/>
      <c r="L302" s="13"/>
      <c r="M302" s="13"/>
      <c r="N302" s="13"/>
      <c r="O302" s="13"/>
      <c r="P302" s="13"/>
      <c r="Q302" s="13"/>
      <c r="R302" s="13"/>
      <c r="S302" s="13"/>
      <c r="T302" s="13"/>
    </row>
    <row r="303" spans="2:20" x14ac:dyDescent="0.25">
      <c r="B303" s="13"/>
      <c r="C303" s="13"/>
      <c r="D303" s="13"/>
      <c r="E303" s="13"/>
      <c r="F303" s="13"/>
      <c r="G303" s="13"/>
      <c r="H303" s="13"/>
      <c r="I303" s="13"/>
      <c r="J303" s="13"/>
      <c r="K303" s="13"/>
      <c r="L303" s="13"/>
      <c r="M303" s="13"/>
      <c r="N303" s="13"/>
      <c r="O303" s="13"/>
      <c r="P303" s="13"/>
      <c r="Q303" s="13"/>
      <c r="R303" s="13"/>
      <c r="S303" s="13"/>
      <c r="T303" s="13"/>
    </row>
    <row r="304" spans="2:20" x14ac:dyDescent="0.25">
      <c r="B304" s="13"/>
      <c r="C304" s="13"/>
      <c r="D304" s="13"/>
      <c r="E304" s="13"/>
      <c r="F304" s="13"/>
      <c r="G304" s="13"/>
      <c r="H304" s="13"/>
      <c r="I304" s="13"/>
      <c r="J304" s="13"/>
      <c r="K304" s="13"/>
      <c r="L304" s="13"/>
      <c r="M304" s="13"/>
      <c r="N304" s="13"/>
      <c r="O304" s="13"/>
      <c r="P304" s="13"/>
      <c r="Q304" s="13"/>
      <c r="R304" s="13"/>
      <c r="S304" s="13"/>
      <c r="T304" s="13"/>
    </row>
    <row r="305" spans="2:20" x14ac:dyDescent="0.25">
      <c r="B305" s="13"/>
      <c r="C305" s="13"/>
      <c r="D305" s="13"/>
      <c r="E305" s="13"/>
      <c r="F305" s="13"/>
      <c r="G305" s="13"/>
      <c r="H305" s="13"/>
      <c r="I305" s="13"/>
      <c r="J305" s="13"/>
      <c r="K305" s="13"/>
      <c r="L305" s="13"/>
      <c r="M305" s="13"/>
      <c r="N305" s="13"/>
      <c r="O305" s="13"/>
      <c r="P305" s="13"/>
      <c r="Q305" s="13"/>
      <c r="R305" s="13"/>
      <c r="S305" s="13"/>
      <c r="T305" s="13"/>
    </row>
    <row r="306" spans="2:20" x14ac:dyDescent="0.25">
      <c r="B306" s="13"/>
      <c r="C306" s="13"/>
      <c r="D306" s="13"/>
      <c r="E306" s="13"/>
      <c r="F306" s="13"/>
      <c r="G306" s="13"/>
      <c r="H306" s="13"/>
      <c r="I306" s="13"/>
      <c r="J306" s="13"/>
      <c r="K306" s="13"/>
      <c r="L306" s="13"/>
      <c r="M306" s="13"/>
      <c r="N306" s="13"/>
      <c r="O306" s="13"/>
      <c r="P306" s="13"/>
      <c r="Q306" s="13"/>
      <c r="R306" s="13"/>
      <c r="S306" s="13"/>
      <c r="T306" s="13"/>
    </row>
    <row r="307" spans="2:20" x14ac:dyDescent="0.25">
      <c r="B307" s="13"/>
      <c r="C307" s="13"/>
      <c r="D307" s="13"/>
      <c r="E307" s="13"/>
      <c r="F307" s="13"/>
      <c r="G307" s="13"/>
      <c r="H307" s="13"/>
      <c r="I307" s="13"/>
      <c r="J307" s="13"/>
      <c r="K307" s="13"/>
      <c r="L307" s="13"/>
      <c r="M307" s="13"/>
      <c r="N307" s="13"/>
      <c r="O307" s="13"/>
      <c r="P307" s="13"/>
      <c r="Q307" s="13"/>
      <c r="R307" s="13"/>
      <c r="S307" s="13"/>
      <c r="T307" s="13"/>
    </row>
    <row r="308" spans="2:20" x14ac:dyDescent="0.25">
      <c r="B308" s="13"/>
      <c r="C308" s="13"/>
      <c r="D308" s="13"/>
      <c r="E308" s="13"/>
      <c r="F308" s="13"/>
      <c r="G308" s="13"/>
      <c r="H308" s="13"/>
      <c r="I308" s="13"/>
      <c r="J308" s="13"/>
      <c r="K308" s="13"/>
      <c r="L308" s="13"/>
      <c r="M308" s="13"/>
      <c r="N308" s="13"/>
      <c r="O308" s="13"/>
      <c r="P308" s="13"/>
      <c r="Q308" s="13"/>
      <c r="R308" s="13"/>
      <c r="S308" s="13"/>
      <c r="T308" s="13"/>
    </row>
    <row r="309" spans="2:20" x14ac:dyDescent="0.25">
      <c r="B309" s="13"/>
      <c r="C309" s="13"/>
      <c r="D309" s="13"/>
      <c r="E309" s="13"/>
      <c r="F309" s="13"/>
      <c r="G309" s="13"/>
      <c r="H309" s="13"/>
      <c r="I309" s="13"/>
      <c r="J309" s="13"/>
      <c r="K309" s="13"/>
      <c r="L309" s="13"/>
      <c r="M309" s="13"/>
      <c r="N309" s="13"/>
      <c r="O309" s="13"/>
      <c r="P309" s="13"/>
      <c r="Q309" s="13"/>
      <c r="R309" s="13"/>
      <c r="S309" s="13"/>
      <c r="T309" s="13"/>
    </row>
    <row r="310" spans="2:20" x14ac:dyDescent="0.25">
      <c r="B310" s="13"/>
      <c r="C310" s="13"/>
      <c r="D310" s="13"/>
      <c r="E310" s="13"/>
      <c r="F310" s="13"/>
      <c r="G310" s="13"/>
      <c r="H310" s="13"/>
      <c r="I310" s="13"/>
      <c r="J310" s="13"/>
      <c r="K310" s="13"/>
      <c r="L310" s="13"/>
      <c r="M310" s="13"/>
      <c r="N310" s="13"/>
      <c r="O310" s="13"/>
      <c r="P310" s="13"/>
      <c r="Q310" s="13"/>
      <c r="R310" s="13"/>
      <c r="S310" s="13"/>
      <c r="T310" s="13"/>
    </row>
    <row r="311" spans="2:20" x14ac:dyDescent="0.25">
      <c r="B311" s="13"/>
      <c r="C311" s="13"/>
      <c r="D311" s="13"/>
      <c r="E311" s="13"/>
      <c r="F311" s="13"/>
      <c r="G311" s="13"/>
      <c r="H311" s="13"/>
      <c r="I311" s="13"/>
      <c r="J311" s="13"/>
      <c r="K311" s="13"/>
      <c r="L311" s="13"/>
      <c r="M311" s="13"/>
      <c r="N311" s="13"/>
      <c r="O311" s="13"/>
      <c r="P311" s="13"/>
      <c r="Q311" s="13"/>
      <c r="R311" s="13"/>
      <c r="S311" s="13"/>
      <c r="T311" s="13"/>
    </row>
    <row r="312" spans="2:20" x14ac:dyDescent="0.25">
      <c r="B312" s="13"/>
      <c r="C312" s="13"/>
      <c r="D312" s="13"/>
      <c r="E312" s="13"/>
      <c r="F312" s="13"/>
      <c r="G312" s="13"/>
      <c r="H312" s="13"/>
      <c r="I312" s="13"/>
      <c r="J312" s="13"/>
      <c r="K312" s="13"/>
      <c r="L312" s="13"/>
      <c r="M312" s="13"/>
      <c r="N312" s="13"/>
      <c r="O312" s="13"/>
      <c r="P312" s="13"/>
      <c r="Q312" s="13"/>
      <c r="R312" s="13"/>
      <c r="S312" s="13"/>
      <c r="T312" s="13"/>
    </row>
    <row r="313" spans="2:20" x14ac:dyDescent="0.25">
      <c r="B313" s="13"/>
      <c r="C313" s="13"/>
      <c r="D313" s="13"/>
      <c r="E313" s="13"/>
      <c r="F313" s="13"/>
      <c r="G313" s="13"/>
      <c r="H313" s="13"/>
      <c r="I313" s="13"/>
      <c r="J313" s="13"/>
      <c r="K313" s="13"/>
      <c r="L313" s="13"/>
      <c r="M313" s="13"/>
      <c r="N313" s="13"/>
      <c r="O313" s="13"/>
      <c r="P313" s="13"/>
      <c r="Q313" s="13"/>
      <c r="R313" s="13"/>
      <c r="S313" s="13"/>
      <c r="T313" s="13"/>
    </row>
    <row r="314" spans="2:20" x14ac:dyDescent="0.25">
      <c r="B314" s="13"/>
      <c r="C314" s="13"/>
      <c r="D314" s="13"/>
      <c r="E314" s="13"/>
      <c r="F314" s="13"/>
      <c r="G314" s="13"/>
      <c r="H314" s="13"/>
      <c r="I314" s="13"/>
      <c r="J314" s="13"/>
      <c r="K314" s="13"/>
      <c r="L314" s="13"/>
      <c r="M314" s="13"/>
      <c r="N314" s="13"/>
      <c r="O314" s="13"/>
      <c r="P314" s="13"/>
      <c r="Q314" s="13"/>
      <c r="R314" s="13"/>
      <c r="S314" s="13"/>
      <c r="T314" s="13"/>
    </row>
    <row r="315" spans="2:20" x14ac:dyDescent="0.25">
      <c r="B315" s="13"/>
      <c r="C315" s="13"/>
      <c r="D315" s="13"/>
      <c r="E315" s="13"/>
      <c r="F315" s="13"/>
      <c r="G315" s="13"/>
      <c r="H315" s="13"/>
      <c r="I315" s="13"/>
      <c r="J315" s="13"/>
      <c r="K315" s="13"/>
      <c r="L315" s="13"/>
      <c r="M315" s="13"/>
      <c r="N315" s="13"/>
      <c r="O315" s="13"/>
      <c r="P315" s="13"/>
      <c r="Q315" s="13"/>
      <c r="R315" s="13"/>
      <c r="S315" s="13"/>
      <c r="T315" s="13"/>
    </row>
    <row r="316" spans="2:20" x14ac:dyDescent="0.25">
      <c r="B316" s="13"/>
      <c r="C316" s="13"/>
      <c r="D316" s="13"/>
      <c r="E316" s="13"/>
      <c r="F316" s="13"/>
      <c r="G316" s="13"/>
      <c r="H316" s="13"/>
      <c r="I316" s="13"/>
      <c r="J316" s="13"/>
      <c r="K316" s="13"/>
      <c r="L316" s="13"/>
      <c r="M316" s="13"/>
      <c r="N316" s="13"/>
      <c r="O316" s="13"/>
      <c r="P316" s="13"/>
      <c r="Q316" s="13"/>
      <c r="R316" s="13"/>
      <c r="S316" s="13"/>
      <c r="T316" s="13"/>
    </row>
    <row r="317" spans="2:20" x14ac:dyDescent="0.25">
      <c r="B317" s="13"/>
      <c r="C317" s="13"/>
      <c r="D317" s="13"/>
      <c r="E317" s="13"/>
      <c r="F317" s="13"/>
      <c r="G317" s="13"/>
      <c r="H317" s="13"/>
      <c r="I317" s="13"/>
      <c r="J317" s="13"/>
      <c r="K317" s="13"/>
      <c r="L317" s="13"/>
      <c r="M317" s="13"/>
      <c r="N317" s="13"/>
      <c r="O317" s="13"/>
      <c r="P317" s="13"/>
      <c r="Q317" s="13"/>
      <c r="R317" s="13"/>
      <c r="S317" s="13"/>
      <c r="T317" s="13"/>
    </row>
    <row r="318" spans="2:20" x14ac:dyDescent="0.25">
      <c r="B318" s="13"/>
      <c r="C318" s="13"/>
      <c r="D318" s="13"/>
      <c r="E318" s="13"/>
      <c r="F318" s="13"/>
      <c r="G318" s="13"/>
      <c r="H318" s="13"/>
      <c r="I318" s="13"/>
      <c r="J318" s="13"/>
      <c r="K318" s="13"/>
      <c r="L318" s="13"/>
      <c r="M318" s="13"/>
      <c r="N318" s="13"/>
      <c r="O318" s="13"/>
      <c r="P318" s="13"/>
      <c r="Q318" s="13"/>
      <c r="R318" s="13"/>
      <c r="S318" s="13"/>
      <c r="T318" s="13"/>
    </row>
    <row r="319" spans="2:20" x14ac:dyDescent="0.25">
      <c r="B319" s="13"/>
      <c r="C319" s="13"/>
      <c r="D319" s="13"/>
      <c r="E319" s="13"/>
      <c r="F319" s="13"/>
      <c r="G319" s="13"/>
      <c r="H319" s="13"/>
      <c r="I319" s="13"/>
      <c r="J319" s="13"/>
      <c r="K319" s="13"/>
      <c r="L319" s="13"/>
      <c r="M319" s="13"/>
      <c r="N319" s="13"/>
      <c r="O319" s="13"/>
      <c r="P319" s="13"/>
      <c r="Q319" s="13"/>
      <c r="R319" s="13"/>
      <c r="S319" s="13"/>
      <c r="T319" s="13"/>
    </row>
    <row r="320" spans="2:20" x14ac:dyDescent="0.25">
      <c r="B320" s="13"/>
      <c r="C320" s="13"/>
      <c r="D320" s="13"/>
      <c r="E320" s="13"/>
      <c r="F320" s="13"/>
      <c r="G320" s="13"/>
      <c r="H320" s="13"/>
      <c r="I320" s="13"/>
      <c r="J320" s="13"/>
      <c r="K320" s="13"/>
      <c r="L320" s="13"/>
      <c r="M320" s="13"/>
      <c r="N320" s="13"/>
      <c r="O320" s="13"/>
      <c r="P320" s="13"/>
      <c r="Q320" s="13"/>
      <c r="R320" s="13"/>
      <c r="S320" s="13"/>
      <c r="T320" s="13"/>
    </row>
    <row r="321" spans="2:20" x14ac:dyDescent="0.25">
      <c r="B321" s="13"/>
      <c r="C321" s="13"/>
      <c r="D321" s="13"/>
      <c r="E321" s="13"/>
      <c r="F321" s="13"/>
      <c r="G321" s="13"/>
      <c r="H321" s="13"/>
      <c r="I321" s="13"/>
      <c r="J321" s="13"/>
      <c r="K321" s="13"/>
      <c r="L321" s="13"/>
      <c r="M321" s="13"/>
      <c r="N321" s="13"/>
      <c r="O321" s="13"/>
      <c r="P321" s="13"/>
      <c r="Q321" s="13"/>
      <c r="R321" s="13"/>
      <c r="S321" s="13"/>
      <c r="T321" s="13"/>
    </row>
    <row r="322" spans="2:20" x14ac:dyDescent="0.25">
      <c r="B322" s="13"/>
      <c r="C322" s="13"/>
      <c r="D322" s="13"/>
      <c r="E322" s="13"/>
      <c r="F322" s="13"/>
      <c r="G322" s="13"/>
      <c r="H322" s="13"/>
      <c r="I322" s="13"/>
      <c r="J322" s="13"/>
      <c r="K322" s="13"/>
      <c r="L322" s="13"/>
      <c r="M322" s="13"/>
      <c r="N322" s="13"/>
      <c r="O322" s="13"/>
      <c r="P322" s="13"/>
      <c r="Q322" s="13"/>
      <c r="R322" s="13"/>
      <c r="S322" s="13"/>
      <c r="T322" s="13"/>
    </row>
    <row r="323" spans="2:20" x14ac:dyDescent="0.25">
      <c r="B323" s="13"/>
      <c r="C323" s="13"/>
      <c r="D323" s="13"/>
      <c r="E323" s="13"/>
      <c r="F323" s="13"/>
      <c r="G323" s="13"/>
      <c r="H323" s="13"/>
      <c r="I323" s="13"/>
      <c r="J323" s="13"/>
      <c r="K323" s="13"/>
      <c r="L323" s="13"/>
      <c r="M323" s="13"/>
      <c r="N323" s="13"/>
      <c r="O323" s="13"/>
      <c r="P323" s="13"/>
      <c r="Q323" s="13"/>
      <c r="R323" s="13"/>
      <c r="S323" s="13"/>
      <c r="T323" s="13"/>
    </row>
    <row r="324" spans="2:20" x14ac:dyDescent="0.25">
      <c r="B324" s="13"/>
      <c r="C324" s="13"/>
      <c r="D324" s="13"/>
      <c r="E324" s="13"/>
      <c r="F324" s="13"/>
      <c r="G324" s="13"/>
      <c r="H324" s="13"/>
      <c r="I324" s="13"/>
      <c r="J324" s="13"/>
      <c r="K324" s="13"/>
      <c r="L324" s="13"/>
      <c r="M324" s="13"/>
      <c r="N324" s="13"/>
      <c r="O324" s="13"/>
      <c r="P324" s="13"/>
      <c r="Q324" s="13"/>
      <c r="R324" s="13"/>
      <c r="S324" s="13"/>
      <c r="T324" s="13"/>
    </row>
    <row r="325" spans="2:20" x14ac:dyDescent="0.25">
      <c r="B325" s="13"/>
      <c r="C325" s="13"/>
      <c r="D325" s="13"/>
      <c r="E325" s="13"/>
      <c r="F325" s="13"/>
      <c r="G325" s="13"/>
      <c r="H325" s="13"/>
      <c r="I325" s="13"/>
      <c r="J325" s="13"/>
      <c r="K325" s="13"/>
      <c r="L325" s="13"/>
      <c r="M325" s="13"/>
      <c r="N325" s="13"/>
      <c r="O325" s="13"/>
      <c r="P325" s="13"/>
      <c r="Q325" s="13"/>
      <c r="R325" s="13"/>
      <c r="S325" s="13"/>
      <c r="T325" s="13"/>
    </row>
    <row r="326" spans="2:20" x14ac:dyDescent="0.25">
      <c r="B326" s="13"/>
      <c r="C326" s="13"/>
      <c r="D326" s="13"/>
      <c r="E326" s="13"/>
      <c r="F326" s="13"/>
      <c r="G326" s="13"/>
      <c r="H326" s="13"/>
      <c r="I326" s="13"/>
      <c r="J326" s="13"/>
      <c r="K326" s="13"/>
      <c r="L326" s="13"/>
      <c r="M326" s="13"/>
      <c r="N326" s="13"/>
      <c r="O326" s="13"/>
      <c r="P326" s="13"/>
      <c r="Q326" s="13"/>
      <c r="R326" s="13"/>
      <c r="S326" s="13"/>
      <c r="T326" s="13"/>
    </row>
    <row r="327" spans="2:20" x14ac:dyDescent="0.25">
      <c r="B327" s="13"/>
      <c r="C327" s="13"/>
      <c r="D327" s="13"/>
      <c r="E327" s="13"/>
      <c r="F327" s="13"/>
      <c r="G327" s="13"/>
      <c r="H327" s="13"/>
      <c r="I327" s="13"/>
      <c r="J327" s="13"/>
      <c r="K327" s="13"/>
      <c r="L327" s="13"/>
      <c r="M327" s="13"/>
      <c r="N327" s="13"/>
      <c r="O327" s="13"/>
      <c r="P327" s="13"/>
      <c r="Q327" s="13"/>
      <c r="R327" s="13"/>
      <c r="S327" s="13"/>
      <c r="T327" s="13"/>
    </row>
    <row r="328" spans="2:20" x14ac:dyDescent="0.25">
      <c r="B328" s="13"/>
      <c r="C328" s="13"/>
      <c r="D328" s="13"/>
      <c r="E328" s="13"/>
      <c r="F328" s="13"/>
      <c r="G328" s="13"/>
      <c r="H328" s="13"/>
      <c r="I328" s="13"/>
      <c r="J328" s="13"/>
      <c r="K328" s="13"/>
      <c r="L328" s="13"/>
      <c r="M328" s="13"/>
      <c r="N328" s="13"/>
      <c r="O328" s="13"/>
      <c r="P328" s="13"/>
      <c r="Q328" s="13"/>
      <c r="R328" s="13"/>
      <c r="S328" s="13"/>
      <c r="T328" s="13"/>
    </row>
    <row r="329" spans="2:20" x14ac:dyDescent="0.25">
      <c r="B329" s="13"/>
      <c r="C329" s="13"/>
      <c r="D329" s="13"/>
      <c r="E329" s="13"/>
      <c r="F329" s="13"/>
      <c r="G329" s="13"/>
      <c r="H329" s="13"/>
      <c r="I329" s="13"/>
      <c r="J329" s="13"/>
      <c r="K329" s="13"/>
      <c r="L329" s="13"/>
      <c r="M329" s="13"/>
      <c r="N329" s="13"/>
      <c r="O329" s="13"/>
      <c r="P329" s="13"/>
      <c r="Q329" s="13"/>
      <c r="R329" s="13"/>
      <c r="S329" s="13"/>
      <c r="T329" s="13"/>
    </row>
    <row r="330" spans="2:20" x14ac:dyDescent="0.25">
      <c r="B330" s="13"/>
      <c r="C330" s="13"/>
      <c r="D330" s="13"/>
      <c r="E330" s="13"/>
      <c r="F330" s="13"/>
      <c r="G330" s="13"/>
      <c r="H330" s="13"/>
      <c r="I330" s="13"/>
      <c r="J330" s="13"/>
      <c r="K330" s="13"/>
      <c r="L330" s="13"/>
      <c r="M330" s="13"/>
      <c r="N330" s="13"/>
      <c r="O330" s="13"/>
      <c r="P330" s="13"/>
      <c r="Q330" s="13"/>
      <c r="R330" s="13"/>
      <c r="S330" s="13"/>
      <c r="T330" s="13"/>
    </row>
    <row r="331" spans="2:20" x14ac:dyDescent="0.25">
      <c r="B331" s="13"/>
      <c r="C331" s="13"/>
      <c r="D331" s="13"/>
      <c r="E331" s="13"/>
      <c r="F331" s="13"/>
      <c r="G331" s="13"/>
      <c r="H331" s="13"/>
      <c r="I331" s="13"/>
      <c r="J331" s="13"/>
      <c r="K331" s="13"/>
      <c r="L331" s="13"/>
      <c r="M331" s="13"/>
      <c r="N331" s="13"/>
      <c r="O331" s="13"/>
      <c r="P331" s="13"/>
      <c r="Q331" s="13"/>
      <c r="R331" s="13"/>
      <c r="S331" s="13"/>
      <c r="T331" s="13"/>
    </row>
    <row r="332" spans="2:20" x14ac:dyDescent="0.25">
      <c r="B332" s="13"/>
      <c r="C332" s="13"/>
      <c r="D332" s="13"/>
      <c r="E332" s="13"/>
      <c r="F332" s="13"/>
      <c r="G332" s="13"/>
      <c r="H332" s="13"/>
      <c r="I332" s="13"/>
      <c r="J332" s="13"/>
      <c r="K332" s="13"/>
      <c r="L332" s="13"/>
      <c r="M332" s="13"/>
      <c r="N332" s="13"/>
      <c r="O332" s="13"/>
      <c r="P332" s="13"/>
      <c r="Q332" s="13"/>
      <c r="R332" s="13"/>
      <c r="S332" s="13"/>
      <c r="T332" s="13"/>
    </row>
    <row r="333" spans="2:20" x14ac:dyDescent="0.25">
      <c r="B333" s="13"/>
      <c r="C333" s="13"/>
      <c r="D333" s="13"/>
      <c r="E333" s="13"/>
      <c r="F333" s="13"/>
      <c r="G333" s="13"/>
      <c r="H333" s="13"/>
      <c r="I333" s="13"/>
      <c r="J333" s="13"/>
      <c r="K333" s="13"/>
      <c r="L333" s="13"/>
      <c r="M333" s="13"/>
      <c r="N333" s="13"/>
      <c r="O333" s="13"/>
      <c r="P333" s="13"/>
      <c r="Q333" s="13"/>
      <c r="R333" s="13"/>
      <c r="S333" s="13"/>
      <c r="T333" s="13"/>
    </row>
    <row r="334" spans="2:20" x14ac:dyDescent="0.25">
      <c r="B334" s="13"/>
      <c r="C334" s="13"/>
      <c r="D334" s="13"/>
      <c r="E334" s="13"/>
      <c r="F334" s="13"/>
      <c r="G334" s="13"/>
      <c r="H334" s="13"/>
      <c r="I334" s="13"/>
      <c r="J334" s="13"/>
      <c r="K334" s="13"/>
      <c r="L334" s="13"/>
      <c r="M334" s="13"/>
      <c r="N334" s="13"/>
      <c r="O334" s="13"/>
      <c r="P334" s="13"/>
      <c r="Q334" s="13"/>
      <c r="R334" s="13"/>
      <c r="S334" s="13"/>
      <c r="T334" s="13"/>
    </row>
    <row r="335" spans="2:20" x14ac:dyDescent="0.25">
      <c r="B335" s="13"/>
      <c r="C335" s="13"/>
      <c r="D335" s="13"/>
      <c r="E335" s="13"/>
      <c r="F335" s="13"/>
      <c r="G335" s="13"/>
      <c r="H335" s="13"/>
      <c r="I335" s="13"/>
      <c r="J335" s="13"/>
      <c r="K335" s="13"/>
      <c r="L335" s="13"/>
      <c r="M335" s="13"/>
      <c r="N335" s="13"/>
      <c r="O335" s="13"/>
      <c r="P335" s="13"/>
      <c r="Q335" s="13"/>
      <c r="R335" s="13"/>
      <c r="S335" s="13"/>
      <c r="T335" s="13"/>
    </row>
    <row r="336" spans="2:20" x14ac:dyDescent="0.25">
      <c r="B336" s="13"/>
      <c r="C336" s="13"/>
      <c r="D336" s="13"/>
      <c r="E336" s="13"/>
      <c r="F336" s="13"/>
      <c r="G336" s="13"/>
      <c r="H336" s="13"/>
      <c r="I336" s="13"/>
      <c r="J336" s="13"/>
      <c r="K336" s="13"/>
      <c r="L336" s="13"/>
      <c r="M336" s="13"/>
      <c r="N336" s="13"/>
      <c r="O336" s="13"/>
      <c r="P336" s="13"/>
      <c r="Q336" s="13"/>
      <c r="R336" s="13"/>
      <c r="S336" s="13"/>
      <c r="T336" s="13"/>
    </row>
    <row r="337" spans="2:20" x14ac:dyDescent="0.25">
      <c r="B337" s="13"/>
      <c r="C337" s="13"/>
      <c r="D337" s="13"/>
      <c r="E337" s="13"/>
      <c r="F337" s="13"/>
      <c r="G337" s="13"/>
      <c r="H337" s="13"/>
      <c r="I337" s="13"/>
      <c r="J337" s="13"/>
      <c r="K337" s="13"/>
      <c r="L337" s="13"/>
      <c r="M337" s="13"/>
      <c r="N337" s="13"/>
      <c r="O337" s="13"/>
      <c r="P337" s="13"/>
      <c r="Q337" s="13"/>
      <c r="R337" s="13"/>
      <c r="S337" s="13"/>
      <c r="T337" s="13"/>
    </row>
    <row r="338" spans="2:20" x14ac:dyDescent="0.25">
      <c r="B338" s="13"/>
      <c r="C338" s="13"/>
      <c r="D338" s="13"/>
      <c r="E338" s="13"/>
      <c r="F338" s="13"/>
      <c r="G338" s="13"/>
      <c r="H338" s="13"/>
      <c r="I338" s="13"/>
      <c r="J338" s="13"/>
      <c r="K338" s="13"/>
      <c r="L338" s="13"/>
      <c r="M338" s="13"/>
      <c r="N338" s="13"/>
      <c r="O338" s="13"/>
      <c r="P338" s="13"/>
      <c r="Q338" s="13"/>
      <c r="R338" s="13"/>
      <c r="S338" s="13"/>
      <c r="T338" s="13"/>
    </row>
    <row r="339" spans="2:20" x14ac:dyDescent="0.25">
      <c r="B339" s="13"/>
      <c r="C339" s="13"/>
      <c r="D339" s="13"/>
      <c r="E339" s="13"/>
      <c r="F339" s="13"/>
      <c r="G339" s="13"/>
      <c r="H339" s="13"/>
      <c r="I339" s="13"/>
      <c r="J339" s="13"/>
      <c r="K339" s="13"/>
      <c r="L339" s="13"/>
      <c r="M339" s="13"/>
      <c r="N339" s="13"/>
      <c r="O339" s="13"/>
      <c r="P339" s="13"/>
      <c r="Q339" s="13"/>
      <c r="R339" s="13"/>
      <c r="S339" s="13"/>
      <c r="T339" s="13"/>
    </row>
    <row r="340" spans="2:20" x14ac:dyDescent="0.25">
      <c r="B340" s="13"/>
      <c r="C340" s="13"/>
      <c r="D340" s="13"/>
      <c r="E340" s="13"/>
      <c r="F340" s="13"/>
      <c r="G340" s="13"/>
      <c r="H340" s="13"/>
      <c r="I340" s="13"/>
      <c r="J340" s="13"/>
      <c r="K340" s="13"/>
      <c r="L340" s="13"/>
      <c r="M340" s="13"/>
      <c r="N340" s="13"/>
      <c r="O340" s="13"/>
      <c r="P340" s="13"/>
      <c r="Q340" s="13"/>
      <c r="R340" s="13"/>
      <c r="S340" s="13"/>
      <c r="T340" s="13"/>
    </row>
    <row r="341" spans="2:20" x14ac:dyDescent="0.25">
      <c r="B341" s="13"/>
      <c r="C341" s="13"/>
      <c r="D341" s="13"/>
      <c r="E341" s="13"/>
      <c r="F341" s="13"/>
      <c r="G341" s="13"/>
      <c r="H341" s="13"/>
      <c r="I341" s="13"/>
      <c r="J341" s="13"/>
      <c r="K341" s="13"/>
      <c r="L341" s="13"/>
      <c r="M341" s="13"/>
      <c r="N341" s="13"/>
      <c r="O341" s="13"/>
      <c r="P341" s="13"/>
      <c r="Q341" s="13"/>
      <c r="R341" s="13"/>
      <c r="S341" s="13"/>
      <c r="T341" s="13"/>
    </row>
    <row r="342" spans="2:20" x14ac:dyDescent="0.25">
      <c r="B342" s="13"/>
      <c r="C342" s="13"/>
      <c r="D342" s="13"/>
      <c r="E342" s="13"/>
      <c r="F342" s="13"/>
      <c r="G342" s="13"/>
      <c r="H342" s="13"/>
      <c r="I342" s="13"/>
      <c r="J342" s="13"/>
      <c r="K342" s="13"/>
      <c r="L342" s="13"/>
      <c r="M342" s="13"/>
      <c r="N342" s="13"/>
      <c r="O342" s="13"/>
      <c r="P342" s="13"/>
      <c r="Q342" s="13"/>
      <c r="R342" s="13"/>
      <c r="S342" s="13"/>
      <c r="T342" s="13"/>
    </row>
    <row r="343" spans="2:20" x14ac:dyDescent="0.25">
      <c r="B343" s="13"/>
      <c r="C343" s="13"/>
      <c r="D343" s="13"/>
      <c r="E343" s="13"/>
      <c r="F343" s="13"/>
      <c r="G343" s="13"/>
      <c r="H343" s="13"/>
      <c r="I343" s="13"/>
      <c r="J343" s="13"/>
      <c r="K343" s="13"/>
      <c r="L343" s="13"/>
      <c r="M343" s="13"/>
      <c r="N343" s="13"/>
      <c r="O343" s="13"/>
      <c r="P343" s="13"/>
      <c r="Q343" s="13"/>
      <c r="R343" s="13"/>
      <c r="S343" s="13"/>
      <c r="T343" s="13"/>
    </row>
    <row r="344" spans="2:20" x14ac:dyDescent="0.25">
      <c r="B344" s="13"/>
      <c r="C344" s="13"/>
      <c r="D344" s="13"/>
      <c r="E344" s="13"/>
      <c r="F344" s="13"/>
      <c r="G344" s="13"/>
      <c r="H344" s="13"/>
      <c r="I344" s="13"/>
      <c r="J344" s="13"/>
      <c r="K344" s="13"/>
      <c r="L344" s="13"/>
      <c r="M344" s="13"/>
      <c r="N344" s="13"/>
      <c r="O344" s="13"/>
      <c r="P344" s="13"/>
      <c r="Q344" s="13"/>
      <c r="R344" s="13"/>
      <c r="S344" s="13"/>
      <c r="T344" s="13"/>
    </row>
    <row r="345" spans="2:20" x14ac:dyDescent="0.25">
      <c r="B345" s="13"/>
      <c r="C345" s="13"/>
      <c r="D345" s="13"/>
      <c r="E345" s="13"/>
      <c r="F345" s="13"/>
      <c r="G345" s="13"/>
      <c r="H345" s="13"/>
      <c r="I345" s="13"/>
      <c r="J345" s="13"/>
      <c r="K345" s="13"/>
      <c r="L345" s="13"/>
      <c r="M345" s="13"/>
      <c r="N345" s="13"/>
      <c r="O345" s="13"/>
      <c r="P345" s="13"/>
      <c r="Q345" s="13"/>
      <c r="R345" s="13"/>
      <c r="S345" s="13"/>
      <c r="T345" s="13"/>
    </row>
    <row r="346" spans="2:20" x14ac:dyDescent="0.25">
      <c r="B346" s="13"/>
      <c r="C346" s="13"/>
      <c r="D346" s="13"/>
      <c r="E346" s="13"/>
      <c r="F346" s="13"/>
      <c r="G346" s="13"/>
      <c r="H346" s="13"/>
      <c r="I346" s="13"/>
      <c r="J346" s="13"/>
      <c r="K346" s="13"/>
      <c r="L346" s="13"/>
      <c r="M346" s="13"/>
      <c r="N346" s="13"/>
      <c r="O346" s="13"/>
      <c r="P346" s="13"/>
      <c r="Q346" s="13"/>
      <c r="R346" s="13"/>
      <c r="S346" s="13"/>
      <c r="T346" s="13"/>
    </row>
    <row r="347" spans="2:20" x14ac:dyDescent="0.25">
      <c r="B347" s="13"/>
      <c r="C347" s="13"/>
      <c r="D347" s="13"/>
      <c r="E347" s="13"/>
      <c r="F347" s="13"/>
      <c r="G347" s="13"/>
      <c r="H347" s="13"/>
      <c r="I347" s="13"/>
      <c r="J347" s="13"/>
      <c r="K347" s="13"/>
      <c r="L347" s="13"/>
      <c r="M347" s="13"/>
      <c r="N347" s="13"/>
      <c r="O347" s="13"/>
      <c r="P347" s="13"/>
      <c r="Q347" s="13"/>
      <c r="R347" s="13"/>
      <c r="S347" s="13"/>
      <c r="T347" s="13"/>
    </row>
    <row r="348" spans="2:20" x14ac:dyDescent="0.25">
      <c r="B348" s="13"/>
      <c r="C348" s="13"/>
      <c r="D348" s="13"/>
      <c r="E348" s="13"/>
      <c r="F348" s="13"/>
      <c r="G348" s="13"/>
      <c r="H348" s="13"/>
      <c r="I348" s="13"/>
      <c r="J348" s="13"/>
      <c r="K348" s="13"/>
      <c r="L348" s="13"/>
      <c r="M348" s="13"/>
      <c r="N348" s="13"/>
      <c r="O348" s="13"/>
      <c r="P348" s="13"/>
      <c r="Q348" s="13"/>
      <c r="R348" s="13"/>
      <c r="S348" s="13"/>
      <c r="T348" s="13"/>
    </row>
    <row r="349" spans="2:20" x14ac:dyDescent="0.25">
      <c r="B349" s="13"/>
      <c r="C349" s="13"/>
      <c r="D349" s="13"/>
      <c r="E349" s="13"/>
      <c r="F349" s="13"/>
      <c r="G349" s="13"/>
      <c r="H349" s="13"/>
      <c r="I349" s="13"/>
      <c r="J349" s="13"/>
      <c r="K349" s="13"/>
      <c r="L349" s="13"/>
      <c r="M349" s="13"/>
      <c r="N349" s="13"/>
      <c r="O349" s="13"/>
      <c r="P349" s="13"/>
      <c r="Q349" s="13"/>
      <c r="R349" s="13"/>
      <c r="S349" s="13"/>
      <c r="T349" s="13"/>
    </row>
    <row r="350" spans="2:20" x14ac:dyDescent="0.25">
      <c r="B350" s="13"/>
      <c r="C350" s="13"/>
      <c r="D350" s="13"/>
      <c r="E350" s="13"/>
      <c r="F350" s="13"/>
      <c r="G350" s="13"/>
      <c r="H350" s="13"/>
      <c r="I350" s="13"/>
      <c r="J350" s="13"/>
      <c r="K350" s="13"/>
      <c r="L350" s="13"/>
      <c r="M350" s="13"/>
      <c r="N350" s="13"/>
      <c r="O350" s="13"/>
      <c r="P350" s="13"/>
      <c r="Q350" s="13"/>
      <c r="R350" s="13"/>
      <c r="S350" s="13"/>
      <c r="T350" s="13"/>
    </row>
    <row r="351" spans="2:20" x14ac:dyDescent="0.25">
      <c r="B351" s="13"/>
      <c r="C351" s="13"/>
      <c r="D351" s="13"/>
      <c r="E351" s="13"/>
      <c r="F351" s="13"/>
      <c r="G351" s="13"/>
      <c r="H351" s="13"/>
      <c r="I351" s="13"/>
      <c r="J351" s="13"/>
      <c r="K351" s="13"/>
      <c r="L351" s="13"/>
      <c r="M351" s="13"/>
      <c r="N351" s="13"/>
      <c r="O351" s="13"/>
      <c r="P351" s="13"/>
      <c r="Q351" s="13"/>
      <c r="R351" s="13"/>
      <c r="S351" s="13"/>
      <c r="T351" s="13"/>
    </row>
    <row r="352" spans="2:20" x14ac:dyDescent="0.25">
      <c r="B352" s="13"/>
      <c r="C352" s="13"/>
      <c r="D352" s="13"/>
      <c r="E352" s="13"/>
      <c r="F352" s="13"/>
      <c r="G352" s="13"/>
      <c r="H352" s="13"/>
      <c r="I352" s="13"/>
      <c r="J352" s="13"/>
      <c r="K352" s="13"/>
      <c r="L352" s="13"/>
      <c r="M352" s="13"/>
      <c r="N352" s="13"/>
      <c r="O352" s="13"/>
      <c r="P352" s="13"/>
      <c r="Q352" s="13"/>
      <c r="R352" s="13"/>
      <c r="S352" s="13"/>
      <c r="T352" s="13"/>
    </row>
    <row r="353" spans="2:20" x14ac:dyDescent="0.25">
      <c r="B353" s="13"/>
      <c r="C353" s="13"/>
      <c r="D353" s="13"/>
      <c r="E353" s="13"/>
      <c r="F353" s="13"/>
      <c r="G353" s="13"/>
      <c r="H353" s="13"/>
      <c r="I353" s="13"/>
      <c r="J353" s="13"/>
      <c r="K353" s="13"/>
      <c r="L353" s="13"/>
      <c r="M353" s="13"/>
      <c r="N353" s="13"/>
      <c r="O353" s="13"/>
      <c r="P353" s="13"/>
      <c r="Q353" s="13"/>
      <c r="R353" s="13"/>
      <c r="S353" s="13"/>
      <c r="T353" s="13"/>
    </row>
    <row r="354" spans="2:20" x14ac:dyDescent="0.25">
      <c r="B354" s="13"/>
      <c r="C354" s="13"/>
      <c r="D354" s="13"/>
      <c r="E354" s="13"/>
      <c r="F354" s="13"/>
      <c r="G354" s="13"/>
      <c r="H354" s="13"/>
      <c r="I354" s="13"/>
      <c r="J354" s="13"/>
      <c r="K354" s="13"/>
      <c r="L354" s="13"/>
      <c r="M354" s="13"/>
      <c r="N354" s="13"/>
      <c r="O354" s="13"/>
      <c r="P354" s="13"/>
      <c r="Q354" s="13"/>
      <c r="R354" s="13"/>
      <c r="S354" s="13"/>
      <c r="T354" s="13"/>
    </row>
    <row r="355" spans="2:20" x14ac:dyDescent="0.25">
      <c r="B355" s="13"/>
      <c r="C355" s="13"/>
      <c r="D355" s="13"/>
      <c r="E355" s="13"/>
      <c r="F355" s="13"/>
      <c r="G355" s="13"/>
      <c r="H355" s="13"/>
      <c r="I355" s="13"/>
      <c r="J355" s="13"/>
      <c r="K355" s="13"/>
      <c r="L355" s="13"/>
      <c r="M355" s="13"/>
      <c r="N355" s="13"/>
      <c r="O355" s="13"/>
      <c r="P355" s="13"/>
      <c r="Q355" s="13"/>
      <c r="R355" s="13"/>
      <c r="S355" s="13"/>
      <c r="T355" s="13"/>
    </row>
    <row r="356" spans="2:20" x14ac:dyDescent="0.25">
      <c r="B356" s="13"/>
      <c r="C356" s="13"/>
      <c r="D356" s="13"/>
      <c r="E356" s="13"/>
      <c r="F356" s="13"/>
      <c r="G356" s="13"/>
      <c r="H356" s="13"/>
      <c r="I356" s="13"/>
      <c r="J356" s="13"/>
      <c r="K356" s="13"/>
      <c r="L356" s="13"/>
      <c r="M356" s="13"/>
      <c r="N356" s="13"/>
      <c r="O356" s="13"/>
      <c r="P356" s="13"/>
      <c r="Q356" s="13"/>
      <c r="R356" s="13"/>
      <c r="S356" s="13"/>
      <c r="T356" s="13"/>
    </row>
    <row r="357" spans="2:20" x14ac:dyDescent="0.25">
      <c r="B357" s="13"/>
      <c r="C357" s="13"/>
      <c r="D357" s="13"/>
      <c r="E357" s="13"/>
      <c r="F357" s="13"/>
      <c r="G357" s="13"/>
      <c r="H357" s="13"/>
      <c r="I357" s="13"/>
      <c r="J357" s="13"/>
      <c r="K357" s="13"/>
      <c r="L357" s="13"/>
      <c r="M357" s="13"/>
      <c r="N357" s="13"/>
      <c r="O357" s="13"/>
      <c r="P357" s="13"/>
      <c r="Q357" s="13"/>
      <c r="R357" s="13"/>
      <c r="S357" s="13"/>
      <c r="T357" s="13"/>
    </row>
    <row r="358" spans="2:20" x14ac:dyDescent="0.25">
      <c r="B358" s="13"/>
      <c r="C358" s="13"/>
      <c r="D358" s="13"/>
      <c r="E358" s="13"/>
      <c r="F358" s="13"/>
      <c r="G358" s="13"/>
      <c r="H358" s="13"/>
      <c r="I358" s="13"/>
      <c r="J358" s="13"/>
      <c r="K358" s="13"/>
      <c r="L358" s="13"/>
      <c r="M358" s="13"/>
      <c r="N358" s="13"/>
      <c r="O358" s="13"/>
      <c r="P358" s="13"/>
      <c r="Q358" s="13"/>
      <c r="R358" s="13"/>
      <c r="S358" s="13"/>
      <c r="T358" s="13"/>
    </row>
    <row r="359" spans="2:20" x14ac:dyDescent="0.25">
      <c r="B359" s="13"/>
      <c r="C359" s="13"/>
      <c r="D359" s="13"/>
      <c r="E359" s="13"/>
      <c r="F359" s="13"/>
      <c r="G359" s="13"/>
      <c r="H359" s="13"/>
      <c r="I359" s="13"/>
      <c r="J359" s="13"/>
      <c r="K359" s="13"/>
      <c r="L359" s="13"/>
      <c r="M359" s="13"/>
      <c r="N359" s="13"/>
      <c r="O359" s="13"/>
      <c r="P359" s="13"/>
      <c r="Q359" s="13"/>
      <c r="R359" s="13"/>
      <c r="S359" s="13"/>
      <c r="T359" s="13"/>
    </row>
    <row r="360" spans="2:20" x14ac:dyDescent="0.25">
      <c r="B360" s="13"/>
      <c r="C360" s="13"/>
      <c r="D360" s="13"/>
      <c r="E360" s="13"/>
      <c r="F360" s="13"/>
      <c r="G360" s="13"/>
      <c r="H360" s="13"/>
      <c r="I360" s="13"/>
      <c r="J360" s="13"/>
      <c r="K360" s="13"/>
      <c r="L360" s="13"/>
      <c r="M360" s="13"/>
      <c r="N360" s="13"/>
      <c r="O360" s="13"/>
      <c r="P360" s="13"/>
      <c r="Q360" s="13"/>
      <c r="R360" s="13"/>
      <c r="S360" s="13"/>
      <c r="T360" s="13"/>
    </row>
    <row r="361" spans="2:20" x14ac:dyDescent="0.25">
      <c r="B361" s="13"/>
      <c r="C361" s="13"/>
      <c r="D361" s="13"/>
      <c r="E361" s="13"/>
      <c r="F361" s="13"/>
      <c r="G361" s="13"/>
      <c r="H361" s="13"/>
      <c r="I361" s="13"/>
      <c r="J361" s="13"/>
      <c r="K361" s="13"/>
      <c r="L361" s="13"/>
      <c r="M361" s="13"/>
      <c r="N361" s="13"/>
      <c r="O361" s="13"/>
      <c r="P361" s="13"/>
      <c r="Q361" s="13"/>
      <c r="R361" s="13"/>
      <c r="S361" s="13"/>
      <c r="T361" s="13"/>
    </row>
    <row r="362" spans="2:20" x14ac:dyDescent="0.25">
      <c r="B362" s="13"/>
      <c r="C362" s="13"/>
      <c r="D362" s="13"/>
      <c r="E362" s="13"/>
      <c r="F362" s="13"/>
      <c r="G362" s="13"/>
      <c r="H362" s="13"/>
      <c r="I362" s="13"/>
      <c r="J362" s="13"/>
      <c r="K362" s="13"/>
      <c r="L362" s="13"/>
      <c r="M362" s="13"/>
      <c r="N362" s="13"/>
      <c r="O362" s="13"/>
      <c r="P362" s="13"/>
      <c r="Q362" s="13"/>
      <c r="R362" s="13"/>
      <c r="S362" s="13"/>
      <c r="T362" s="13"/>
    </row>
    <row r="363" spans="2:20" x14ac:dyDescent="0.25">
      <c r="B363" s="13"/>
      <c r="C363" s="13"/>
      <c r="D363" s="13"/>
      <c r="E363" s="13"/>
      <c r="F363" s="13"/>
      <c r="G363" s="13"/>
      <c r="H363" s="13"/>
      <c r="I363" s="13"/>
      <c r="J363" s="13"/>
      <c r="K363" s="13"/>
      <c r="L363" s="13"/>
      <c r="M363" s="13"/>
      <c r="N363" s="13"/>
      <c r="O363" s="13"/>
      <c r="P363" s="13"/>
      <c r="Q363" s="13"/>
      <c r="R363" s="13"/>
      <c r="S363" s="13"/>
      <c r="T363" s="13"/>
    </row>
    <row r="364" spans="2:20" x14ac:dyDescent="0.25">
      <c r="B364" s="13"/>
      <c r="C364" s="13"/>
      <c r="D364" s="13"/>
      <c r="E364" s="13"/>
      <c r="F364" s="13"/>
      <c r="G364" s="13"/>
      <c r="H364" s="13"/>
      <c r="I364" s="13"/>
      <c r="J364" s="13"/>
      <c r="K364" s="13"/>
      <c r="L364" s="13"/>
      <c r="M364" s="13"/>
      <c r="N364" s="13"/>
      <c r="O364" s="13"/>
      <c r="P364" s="13"/>
      <c r="Q364" s="13"/>
      <c r="R364" s="13"/>
      <c r="S364" s="13"/>
      <c r="T364" s="13"/>
    </row>
    <row r="365" spans="2:20" x14ac:dyDescent="0.25">
      <c r="B365" s="13"/>
      <c r="C365" s="13"/>
      <c r="D365" s="13"/>
      <c r="E365" s="13"/>
      <c r="F365" s="13"/>
      <c r="G365" s="13"/>
      <c r="H365" s="13"/>
      <c r="I365" s="13"/>
      <c r="J365" s="13"/>
      <c r="K365" s="13"/>
      <c r="L365" s="13"/>
      <c r="M365" s="13"/>
      <c r="N365" s="13"/>
      <c r="O365" s="13"/>
      <c r="P365" s="13"/>
      <c r="Q365" s="13"/>
      <c r="R365" s="13"/>
      <c r="S365" s="13"/>
      <c r="T365" s="13"/>
    </row>
    <row r="366" spans="2:20" x14ac:dyDescent="0.25">
      <c r="B366" s="13"/>
      <c r="C366" s="13"/>
      <c r="D366" s="13"/>
      <c r="E366" s="13"/>
      <c r="F366" s="13"/>
      <c r="G366" s="13"/>
      <c r="H366" s="13"/>
      <c r="I366" s="13"/>
      <c r="J366" s="13"/>
      <c r="K366" s="13"/>
      <c r="L366" s="13"/>
      <c r="M366" s="13"/>
      <c r="N366" s="13"/>
      <c r="O366" s="13"/>
      <c r="P366" s="13"/>
      <c r="Q366" s="13"/>
      <c r="R366" s="13"/>
      <c r="S366" s="13"/>
      <c r="T366" s="13"/>
    </row>
    <row r="367" spans="2:20" x14ac:dyDescent="0.25">
      <c r="B367" s="13"/>
      <c r="C367" s="13"/>
      <c r="D367" s="13"/>
      <c r="E367" s="13"/>
      <c r="F367" s="13"/>
      <c r="G367" s="13"/>
      <c r="H367" s="13"/>
      <c r="I367" s="13"/>
      <c r="J367" s="13"/>
      <c r="K367" s="13"/>
      <c r="L367" s="13"/>
      <c r="M367" s="13"/>
      <c r="N367" s="13"/>
      <c r="O367" s="13"/>
      <c r="P367" s="13"/>
      <c r="Q367" s="13"/>
      <c r="R367" s="13"/>
      <c r="S367" s="13"/>
      <c r="T367" s="13"/>
    </row>
    <row r="368" spans="2:20" x14ac:dyDescent="0.25">
      <c r="B368" s="13"/>
      <c r="C368" s="13"/>
      <c r="D368" s="13"/>
      <c r="E368" s="13"/>
      <c r="F368" s="13"/>
      <c r="G368" s="13"/>
      <c r="H368" s="13"/>
      <c r="I368" s="13"/>
      <c r="J368" s="13"/>
      <c r="K368" s="13"/>
      <c r="L368" s="13"/>
      <c r="M368" s="13"/>
      <c r="N368" s="13"/>
      <c r="O368" s="13"/>
      <c r="P368" s="13"/>
      <c r="Q368" s="13"/>
      <c r="R368" s="13"/>
      <c r="S368" s="13"/>
      <c r="T368" s="13"/>
    </row>
    <row r="369" spans="2:20" x14ac:dyDescent="0.25">
      <c r="B369" s="13"/>
      <c r="C369" s="13"/>
      <c r="D369" s="13"/>
      <c r="E369" s="13"/>
      <c r="F369" s="13"/>
      <c r="G369" s="13"/>
      <c r="H369" s="13"/>
      <c r="I369" s="13"/>
      <c r="J369" s="13"/>
      <c r="K369" s="13"/>
      <c r="L369" s="13"/>
      <c r="M369" s="13"/>
      <c r="N369" s="13"/>
      <c r="O369" s="13"/>
      <c r="P369" s="13"/>
      <c r="Q369" s="13"/>
      <c r="R369" s="13"/>
      <c r="S369" s="13"/>
      <c r="T369" s="13"/>
    </row>
    <row r="370" spans="2:20" x14ac:dyDescent="0.25">
      <c r="B370" s="13"/>
      <c r="C370" s="13"/>
      <c r="D370" s="13"/>
      <c r="E370" s="13"/>
      <c r="F370" s="13"/>
      <c r="G370" s="13"/>
      <c r="H370" s="13"/>
      <c r="I370" s="13"/>
      <c r="J370" s="13"/>
      <c r="K370" s="13"/>
      <c r="L370" s="13"/>
      <c r="M370" s="13"/>
      <c r="N370" s="13"/>
      <c r="O370" s="13"/>
      <c r="P370" s="13"/>
      <c r="Q370" s="13"/>
      <c r="R370" s="13"/>
      <c r="S370" s="13"/>
      <c r="T370" s="13"/>
    </row>
    <row r="371" spans="2:20" x14ac:dyDescent="0.25">
      <c r="B371" s="13"/>
      <c r="C371" s="13"/>
      <c r="D371" s="13"/>
      <c r="E371" s="13"/>
      <c r="F371" s="13"/>
      <c r="G371" s="13"/>
      <c r="H371" s="13"/>
      <c r="I371" s="13"/>
      <c r="J371" s="13"/>
      <c r="K371" s="13"/>
      <c r="L371" s="13"/>
      <c r="M371" s="13"/>
      <c r="N371" s="13"/>
      <c r="O371" s="13"/>
      <c r="P371" s="13"/>
      <c r="Q371" s="13"/>
      <c r="R371" s="13"/>
      <c r="S371" s="13"/>
      <c r="T371" s="13"/>
    </row>
    <row r="372" spans="2:20" x14ac:dyDescent="0.25">
      <c r="B372" s="13"/>
      <c r="C372" s="13"/>
      <c r="D372" s="13"/>
      <c r="E372" s="13"/>
      <c r="F372" s="13"/>
      <c r="G372" s="13"/>
      <c r="H372" s="13"/>
      <c r="I372" s="13"/>
      <c r="J372" s="13"/>
      <c r="K372" s="13"/>
      <c r="L372" s="13"/>
      <c r="M372" s="13"/>
      <c r="N372" s="13"/>
      <c r="O372" s="13"/>
      <c r="P372" s="13"/>
      <c r="Q372" s="13"/>
      <c r="R372" s="13"/>
      <c r="S372" s="13"/>
      <c r="T372" s="13"/>
    </row>
    <row r="373" spans="2:20" x14ac:dyDescent="0.25">
      <c r="B373" s="13"/>
      <c r="C373" s="13"/>
      <c r="D373" s="13"/>
      <c r="E373" s="13"/>
      <c r="F373" s="13"/>
      <c r="G373" s="13"/>
      <c r="H373" s="13"/>
      <c r="I373" s="13"/>
      <c r="J373" s="13"/>
      <c r="K373" s="13"/>
      <c r="L373" s="13"/>
      <c r="M373" s="13"/>
      <c r="N373" s="13"/>
      <c r="O373" s="13"/>
      <c r="P373" s="13"/>
      <c r="Q373" s="13"/>
      <c r="R373" s="13"/>
      <c r="S373" s="13"/>
      <c r="T373" s="13"/>
    </row>
    <row r="374" spans="2:20" x14ac:dyDescent="0.25">
      <c r="B374" s="13"/>
      <c r="C374" s="13"/>
      <c r="D374" s="13"/>
      <c r="E374" s="13"/>
      <c r="F374" s="13"/>
      <c r="G374" s="13"/>
      <c r="H374" s="13"/>
      <c r="I374" s="13"/>
      <c r="J374" s="13"/>
      <c r="K374" s="13"/>
      <c r="L374" s="13"/>
      <c r="M374" s="13"/>
      <c r="N374" s="13"/>
      <c r="O374" s="13"/>
      <c r="P374" s="13"/>
      <c r="Q374" s="13"/>
      <c r="R374" s="13"/>
      <c r="S374" s="13"/>
      <c r="T374" s="13"/>
    </row>
    <row r="375" spans="2:20" x14ac:dyDescent="0.25">
      <c r="B375" s="13"/>
      <c r="C375" s="13"/>
      <c r="D375" s="13"/>
      <c r="E375" s="13"/>
      <c r="F375" s="13"/>
      <c r="G375" s="13"/>
      <c r="H375" s="13"/>
      <c r="I375" s="13"/>
      <c r="J375" s="13"/>
      <c r="K375" s="13"/>
      <c r="L375" s="13"/>
      <c r="M375" s="13"/>
      <c r="N375" s="13"/>
      <c r="O375" s="13"/>
      <c r="P375" s="13"/>
      <c r="Q375" s="13"/>
      <c r="R375" s="13"/>
      <c r="S375" s="13"/>
      <c r="T375" s="13"/>
    </row>
    <row r="376" spans="2:20" x14ac:dyDescent="0.25">
      <c r="B376" s="13"/>
      <c r="C376" s="13"/>
      <c r="D376" s="13"/>
      <c r="E376" s="13"/>
      <c r="F376" s="13"/>
      <c r="G376" s="13"/>
      <c r="H376" s="13"/>
      <c r="I376" s="13"/>
      <c r="J376" s="13"/>
      <c r="K376" s="13"/>
      <c r="L376" s="13"/>
      <c r="M376" s="13"/>
      <c r="N376" s="13"/>
      <c r="O376" s="13"/>
      <c r="P376" s="13"/>
      <c r="Q376" s="13"/>
      <c r="R376" s="13"/>
      <c r="S376" s="13"/>
      <c r="T376" s="13"/>
    </row>
    <row r="377" spans="2:20" x14ac:dyDescent="0.25">
      <c r="B377" s="13"/>
      <c r="C377" s="13"/>
      <c r="D377" s="13"/>
      <c r="E377" s="13"/>
      <c r="F377" s="13"/>
      <c r="G377" s="13"/>
      <c r="H377" s="13"/>
      <c r="I377" s="13"/>
      <c r="J377" s="13"/>
      <c r="K377" s="13"/>
      <c r="L377" s="13"/>
      <c r="M377" s="13"/>
      <c r="N377" s="13"/>
      <c r="O377" s="13"/>
      <c r="P377" s="13"/>
      <c r="Q377" s="13"/>
      <c r="R377" s="13"/>
      <c r="S377" s="13"/>
      <c r="T377" s="13"/>
    </row>
    <row r="378" spans="2:20" x14ac:dyDescent="0.25">
      <c r="B378" s="13"/>
      <c r="C378" s="13"/>
      <c r="D378" s="13"/>
      <c r="E378" s="13"/>
      <c r="F378" s="13"/>
      <c r="G378" s="13"/>
      <c r="H378" s="13"/>
      <c r="I378" s="13"/>
      <c r="J378" s="13"/>
      <c r="K378" s="13"/>
      <c r="L378" s="13"/>
      <c r="M378" s="13"/>
      <c r="N378" s="13"/>
      <c r="O378" s="13"/>
      <c r="P378" s="13"/>
      <c r="Q378" s="13"/>
      <c r="R378" s="13"/>
      <c r="S378" s="13"/>
      <c r="T378" s="13"/>
    </row>
    <row r="379" spans="2:20" x14ac:dyDescent="0.25">
      <c r="B379" s="13"/>
      <c r="C379" s="13"/>
      <c r="D379" s="13"/>
      <c r="E379" s="13"/>
      <c r="F379" s="13"/>
      <c r="G379" s="13"/>
      <c r="H379" s="13"/>
      <c r="I379" s="13"/>
      <c r="J379" s="13"/>
      <c r="K379" s="13"/>
      <c r="L379" s="13"/>
      <c r="M379" s="13"/>
      <c r="N379" s="13"/>
      <c r="O379" s="13"/>
      <c r="P379" s="13"/>
      <c r="Q379" s="13"/>
      <c r="R379" s="13"/>
      <c r="S379" s="13"/>
      <c r="T379" s="13"/>
    </row>
    <row r="380" spans="2:20" x14ac:dyDescent="0.25">
      <c r="B380" s="13"/>
      <c r="C380" s="13"/>
      <c r="D380" s="13"/>
      <c r="E380" s="13"/>
      <c r="F380" s="13"/>
      <c r="G380" s="13"/>
      <c r="H380" s="13"/>
      <c r="I380" s="13"/>
      <c r="J380" s="13"/>
      <c r="K380" s="13"/>
      <c r="L380" s="13"/>
      <c r="M380" s="13"/>
      <c r="N380" s="13"/>
      <c r="O380" s="13"/>
      <c r="P380" s="13"/>
      <c r="Q380" s="13"/>
      <c r="R380" s="13"/>
      <c r="S380" s="13"/>
      <c r="T380" s="13"/>
    </row>
    <row r="381" spans="2:20" x14ac:dyDescent="0.25">
      <c r="B381" s="13"/>
      <c r="C381" s="13"/>
      <c r="D381" s="13"/>
      <c r="E381" s="13"/>
      <c r="F381" s="13"/>
      <c r="G381" s="13"/>
      <c r="H381" s="13"/>
      <c r="I381" s="13"/>
      <c r="J381" s="13"/>
      <c r="K381" s="13"/>
      <c r="L381" s="13"/>
      <c r="M381" s="13"/>
      <c r="N381" s="13"/>
      <c r="O381" s="13"/>
      <c r="P381" s="13"/>
      <c r="Q381" s="13"/>
      <c r="R381" s="13"/>
      <c r="S381" s="13"/>
      <c r="T381" s="13"/>
    </row>
    <row r="382" spans="2:20" x14ac:dyDescent="0.25">
      <c r="B382" s="13"/>
      <c r="C382" s="13"/>
      <c r="D382" s="13"/>
      <c r="E382" s="13"/>
      <c r="F382" s="13"/>
      <c r="G382" s="13"/>
      <c r="H382" s="13"/>
      <c r="I382" s="13"/>
      <c r="J382" s="13"/>
      <c r="K382" s="13"/>
      <c r="L382" s="13"/>
      <c r="M382" s="13"/>
      <c r="N382" s="13"/>
      <c r="O382" s="13"/>
      <c r="P382" s="13"/>
      <c r="Q382" s="13"/>
      <c r="R382" s="13"/>
      <c r="S382" s="13"/>
      <c r="T382" s="13"/>
    </row>
    <row r="383" spans="2:20" x14ac:dyDescent="0.25">
      <c r="B383" s="13"/>
      <c r="C383" s="13"/>
      <c r="D383" s="13"/>
      <c r="E383" s="13"/>
      <c r="F383" s="13"/>
      <c r="G383" s="13"/>
      <c r="H383" s="13"/>
      <c r="I383" s="13"/>
      <c r="J383" s="13"/>
      <c r="K383" s="13"/>
      <c r="L383" s="13"/>
      <c r="M383" s="13"/>
      <c r="N383" s="13"/>
      <c r="O383" s="13"/>
      <c r="P383" s="13"/>
      <c r="Q383" s="13"/>
      <c r="R383" s="13"/>
      <c r="S383" s="13"/>
      <c r="T383" s="13"/>
    </row>
    <row r="384" spans="2:20" x14ac:dyDescent="0.25">
      <c r="B384" s="13"/>
      <c r="C384" s="13"/>
      <c r="D384" s="13"/>
      <c r="E384" s="13"/>
      <c r="F384" s="13"/>
      <c r="G384" s="13"/>
      <c r="H384" s="13"/>
      <c r="I384" s="13"/>
      <c r="J384" s="13"/>
      <c r="K384" s="13"/>
      <c r="L384" s="13"/>
      <c r="M384" s="13"/>
      <c r="N384" s="13"/>
      <c r="O384" s="13"/>
      <c r="P384" s="13"/>
      <c r="Q384" s="13"/>
      <c r="R384" s="13"/>
      <c r="S384" s="13"/>
      <c r="T384" s="13"/>
    </row>
    <row r="385" spans="2:20" x14ac:dyDescent="0.25">
      <c r="B385" s="13"/>
      <c r="C385" s="13"/>
      <c r="D385" s="13"/>
      <c r="E385" s="13"/>
      <c r="F385" s="13"/>
      <c r="G385" s="13"/>
      <c r="H385" s="13"/>
      <c r="I385" s="13"/>
      <c r="J385" s="13"/>
      <c r="K385" s="13"/>
      <c r="L385" s="13"/>
      <c r="M385" s="13"/>
      <c r="N385" s="13"/>
      <c r="O385" s="13"/>
      <c r="P385" s="13"/>
      <c r="Q385" s="13"/>
      <c r="R385" s="13"/>
      <c r="S385" s="13"/>
      <c r="T385" s="13"/>
    </row>
    <row r="386" spans="2:20" x14ac:dyDescent="0.25">
      <c r="B386" s="13"/>
      <c r="C386" s="13"/>
      <c r="D386" s="13"/>
      <c r="E386" s="13"/>
      <c r="F386" s="13"/>
      <c r="G386" s="13"/>
      <c r="H386" s="13"/>
      <c r="I386" s="13"/>
      <c r="J386" s="13"/>
      <c r="K386" s="13"/>
      <c r="L386" s="13"/>
      <c r="M386" s="13"/>
      <c r="N386" s="13"/>
      <c r="O386" s="13"/>
      <c r="P386" s="13"/>
      <c r="Q386" s="13"/>
      <c r="R386" s="13"/>
      <c r="S386" s="13"/>
      <c r="T386" s="13"/>
    </row>
    <row r="387" spans="2:20" x14ac:dyDescent="0.25">
      <c r="B387" s="13"/>
      <c r="C387" s="13"/>
      <c r="D387" s="13"/>
      <c r="E387" s="13"/>
      <c r="F387" s="13"/>
      <c r="G387" s="13"/>
      <c r="H387" s="13"/>
      <c r="I387" s="13"/>
      <c r="J387" s="13"/>
      <c r="K387" s="13"/>
      <c r="L387" s="13"/>
      <c r="M387" s="13"/>
      <c r="N387" s="13"/>
      <c r="O387" s="13"/>
      <c r="P387" s="13"/>
      <c r="Q387" s="13"/>
      <c r="R387" s="13"/>
      <c r="S387" s="13"/>
      <c r="T387" s="13"/>
    </row>
    <row r="388" spans="2:20" x14ac:dyDescent="0.25">
      <c r="B388" s="13"/>
      <c r="C388" s="13"/>
      <c r="D388" s="13"/>
      <c r="E388" s="13"/>
      <c r="F388" s="13"/>
      <c r="G388" s="13"/>
      <c r="H388" s="13"/>
      <c r="I388" s="13"/>
      <c r="J388" s="13"/>
      <c r="K388" s="13"/>
      <c r="L388" s="13"/>
      <c r="M388" s="13"/>
      <c r="N388" s="13"/>
      <c r="O388" s="13"/>
      <c r="P388" s="13"/>
      <c r="Q388" s="13"/>
      <c r="R388" s="13"/>
      <c r="S388" s="13"/>
      <c r="T388" s="13"/>
    </row>
    <row r="389" spans="2:20" x14ac:dyDescent="0.25">
      <c r="B389" s="13"/>
      <c r="C389" s="13"/>
      <c r="D389" s="13"/>
      <c r="E389" s="13"/>
      <c r="F389" s="13"/>
      <c r="G389" s="13"/>
      <c r="H389" s="13"/>
      <c r="I389" s="13"/>
      <c r="J389" s="13"/>
      <c r="K389" s="13"/>
      <c r="L389" s="13"/>
      <c r="M389" s="13"/>
      <c r="N389" s="13"/>
      <c r="O389" s="13"/>
      <c r="P389" s="13"/>
      <c r="Q389" s="13"/>
      <c r="R389" s="13"/>
      <c r="S389" s="13"/>
      <c r="T389" s="13"/>
    </row>
    <row r="390" spans="2:20" x14ac:dyDescent="0.25">
      <c r="B390" s="13"/>
      <c r="C390" s="13"/>
      <c r="D390" s="13"/>
      <c r="E390" s="13"/>
      <c r="F390" s="13"/>
      <c r="G390" s="13"/>
      <c r="H390" s="13"/>
      <c r="I390" s="13"/>
      <c r="J390" s="13"/>
      <c r="K390" s="13"/>
      <c r="L390" s="13"/>
      <c r="M390" s="13"/>
      <c r="N390" s="13"/>
      <c r="O390" s="13"/>
      <c r="P390" s="13"/>
      <c r="Q390" s="13"/>
      <c r="R390" s="13"/>
      <c r="S390" s="13"/>
      <c r="T390" s="13"/>
    </row>
    <row r="391" spans="2:20" x14ac:dyDescent="0.25">
      <c r="B391" s="13"/>
      <c r="C391" s="13"/>
      <c r="D391" s="13"/>
      <c r="E391" s="13"/>
      <c r="F391" s="13"/>
      <c r="G391" s="13"/>
      <c r="H391" s="13"/>
      <c r="I391" s="13"/>
      <c r="J391" s="13"/>
      <c r="K391" s="13"/>
      <c r="L391" s="13"/>
      <c r="M391" s="13"/>
      <c r="N391" s="13"/>
      <c r="O391" s="13"/>
      <c r="P391" s="13"/>
      <c r="Q391" s="13"/>
      <c r="R391" s="13"/>
      <c r="S391" s="13"/>
      <c r="T391" s="13"/>
    </row>
    <row r="392" spans="2:20" x14ac:dyDescent="0.25">
      <c r="B392" s="13"/>
      <c r="C392" s="13"/>
      <c r="D392" s="13"/>
      <c r="E392" s="13"/>
      <c r="F392" s="13"/>
      <c r="G392" s="13"/>
      <c r="H392" s="13"/>
      <c r="I392" s="13"/>
      <c r="J392" s="13"/>
      <c r="K392" s="13"/>
      <c r="L392" s="13"/>
      <c r="M392" s="13"/>
      <c r="N392" s="13"/>
      <c r="O392" s="13"/>
      <c r="P392" s="13"/>
      <c r="Q392" s="13"/>
      <c r="R392" s="13"/>
      <c r="S392" s="13"/>
      <c r="T392" s="13"/>
    </row>
    <row r="393" spans="2:20" x14ac:dyDescent="0.25">
      <c r="B393" s="13"/>
      <c r="C393" s="13"/>
      <c r="D393" s="13"/>
      <c r="E393" s="13"/>
      <c r="F393" s="13"/>
      <c r="G393" s="13"/>
      <c r="H393" s="13"/>
      <c r="I393" s="13"/>
      <c r="J393" s="13"/>
      <c r="K393" s="13"/>
      <c r="L393" s="13"/>
      <c r="M393" s="13"/>
      <c r="N393" s="13"/>
      <c r="O393" s="13"/>
      <c r="P393" s="13"/>
      <c r="Q393" s="13"/>
      <c r="R393" s="13"/>
      <c r="S393" s="13"/>
      <c r="T393" s="13"/>
    </row>
    <row r="394" spans="2:20" x14ac:dyDescent="0.25">
      <c r="B394" s="13"/>
      <c r="C394" s="13"/>
      <c r="D394" s="13"/>
      <c r="E394" s="13"/>
      <c r="F394" s="13"/>
      <c r="G394" s="13"/>
      <c r="H394" s="13"/>
      <c r="I394" s="13"/>
      <c r="J394" s="13"/>
      <c r="K394" s="13"/>
      <c r="L394" s="13"/>
      <c r="M394" s="13"/>
      <c r="N394" s="13"/>
      <c r="O394" s="13"/>
      <c r="P394" s="13"/>
      <c r="Q394" s="13"/>
      <c r="R394" s="13"/>
      <c r="S394" s="13"/>
      <c r="T394" s="13"/>
    </row>
    <row r="395" spans="2:20" x14ac:dyDescent="0.25">
      <c r="B395" s="13"/>
      <c r="C395" s="13"/>
      <c r="D395" s="13"/>
      <c r="E395" s="13"/>
      <c r="F395" s="13"/>
      <c r="G395" s="13"/>
      <c r="H395" s="13"/>
      <c r="I395" s="13"/>
      <c r="J395" s="13"/>
      <c r="K395" s="13"/>
      <c r="L395" s="13"/>
      <c r="M395" s="13"/>
      <c r="N395" s="13"/>
      <c r="O395" s="13"/>
      <c r="P395" s="13"/>
      <c r="Q395" s="13"/>
      <c r="R395" s="13"/>
      <c r="S395" s="13"/>
      <c r="T395" s="13"/>
    </row>
    <row r="396" spans="2:20" x14ac:dyDescent="0.25">
      <c r="B396" s="13"/>
      <c r="C396" s="13"/>
      <c r="D396" s="13"/>
      <c r="E396" s="13"/>
      <c r="F396" s="13"/>
      <c r="G396" s="13"/>
      <c r="H396" s="13"/>
      <c r="I396" s="13"/>
      <c r="J396" s="13"/>
      <c r="K396" s="13"/>
      <c r="L396" s="13"/>
      <c r="M396" s="13"/>
      <c r="N396" s="13"/>
      <c r="O396" s="13"/>
      <c r="P396" s="13"/>
      <c r="Q396" s="13"/>
      <c r="R396" s="13"/>
      <c r="S396" s="13"/>
      <c r="T396" s="13"/>
    </row>
    <row r="397" spans="2:20" x14ac:dyDescent="0.25">
      <c r="B397" s="13"/>
      <c r="C397" s="13"/>
      <c r="D397" s="13"/>
      <c r="E397" s="13"/>
      <c r="F397" s="13"/>
      <c r="G397" s="13"/>
      <c r="H397" s="13"/>
      <c r="I397" s="13"/>
      <c r="J397" s="13"/>
      <c r="K397" s="13"/>
      <c r="L397" s="13"/>
      <c r="M397" s="13"/>
      <c r="N397" s="13"/>
      <c r="O397" s="13"/>
      <c r="P397" s="13"/>
      <c r="Q397" s="13"/>
      <c r="R397" s="13"/>
      <c r="S397" s="13"/>
      <c r="T397" s="13"/>
    </row>
    <row r="398" spans="2:20" x14ac:dyDescent="0.25">
      <c r="B398" s="13"/>
      <c r="C398" s="13"/>
      <c r="D398" s="13"/>
      <c r="E398" s="13"/>
      <c r="F398" s="13"/>
      <c r="G398" s="13"/>
      <c r="H398" s="13"/>
      <c r="I398" s="13"/>
      <c r="J398" s="13"/>
      <c r="K398" s="13"/>
      <c r="L398" s="13"/>
      <c r="M398" s="13"/>
      <c r="N398" s="13"/>
      <c r="O398" s="13"/>
      <c r="P398" s="13"/>
      <c r="Q398" s="13"/>
      <c r="R398" s="13"/>
      <c r="S398" s="13"/>
      <c r="T398" s="13"/>
    </row>
    <row r="399" spans="2:20" x14ac:dyDescent="0.25">
      <c r="B399" s="13"/>
      <c r="C399" s="13"/>
      <c r="D399" s="13"/>
      <c r="E399" s="13"/>
      <c r="F399" s="13"/>
      <c r="G399" s="13"/>
      <c r="H399" s="13"/>
      <c r="I399" s="13"/>
      <c r="J399" s="13"/>
      <c r="K399" s="13"/>
      <c r="L399" s="13"/>
      <c r="M399" s="13"/>
      <c r="N399" s="13"/>
      <c r="O399" s="13"/>
      <c r="P399" s="13"/>
      <c r="Q399" s="13"/>
      <c r="R399" s="13"/>
      <c r="S399" s="13"/>
      <c r="T399" s="13"/>
    </row>
    <row r="400" spans="2:20" x14ac:dyDescent="0.25">
      <c r="B400" s="13"/>
      <c r="C400" s="13"/>
      <c r="D400" s="13"/>
      <c r="E400" s="13"/>
      <c r="F400" s="13"/>
      <c r="G400" s="13"/>
      <c r="H400" s="13"/>
      <c r="I400" s="13"/>
      <c r="J400" s="13"/>
      <c r="K400" s="13"/>
      <c r="L400" s="13"/>
      <c r="M400" s="13"/>
      <c r="N400" s="13"/>
      <c r="O400" s="13"/>
      <c r="P400" s="13"/>
      <c r="Q400" s="13"/>
      <c r="R400" s="13"/>
      <c r="S400" s="13"/>
      <c r="T400" s="13"/>
    </row>
    <row r="401" spans="2:20" x14ac:dyDescent="0.25">
      <c r="B401" s="13"/>
      <c r="C401" s="13"/>
      <c r="D401" s="13"/>
      <c r="E401" s="13"/>
      <c r="F401" s="13"/>
      <c r="G401" s="13"/>
      <c r="H401" s="13"/>
      <c r="I401" s="13"/>
      <c r="J401" s="13"/>
      <c r="K401" s="13"/>
      <c r="L401" s="13"/>
      <c r="M401" s="13"/>
      <c r="N401" s="13"/>
      <c r="O401" s="13"/>
      <c r="P401" s="13"/>
      <c r="Q401" s="13"/>
      <c r="R401" s="13"/>
      <c r="S401" s="13"/>
      <c r="T401" s="13"/>
    </row>
    <row r="402" spans="2:20" x14ac:dyDescent="0.25">
      <c r="B402" s="13"/>
      <c r="C402" s="13"/>
      <c r="D402" s="13"/>
      <c r="E402" s="13"/>
      <c r="F402" s="13"/>
      <c r="G402" s="13"/>
      <c r="H402" s="13"/>
      <c r="I402" s="13"/>
      <c r="J402" s="13"/>
      <c r="K402" s="13"/>
      <c r="L402" s="13"/>
      <c r="M402" s="13"/>
      <c r="N402" s="13"/>
      <c r="O402" s="13"/>
      <c r="P402" s="13"/>
      <c r="Q402" s="13"/>
      <c r="R402" s="13"/>
      <c r="S402" s="13"/>
      <c r="T402" s="13"/>
    </row>
    <row r="403" spans="2:20" x14ac:dyDescent="0.25">
      <c r="B403" s="13"/>
      <c r="C403" s="13"/>
      <c r="D403" s="13"/>
      <c r="E403" s="13"/>
      <c r="F403" s="13"/>
      <c r="G403" s="13"/>
      <c r="H403" s="13"/>
      <c r="I403" s="13"/>
      <c r="J403" s="13"/>
      <c r="K403" s="13"/>
      <c r="L403" s="13"/>
      <c r="M403" s="13"/>
      <c r="N403" s="13"/>
      <c r="O403" s="13"/>
      <c r="P403" s="13"/>
      <c r="Q403" s="13"/>
      <c r="R403" s="13"/>
      <c r="S403" s="13"/>
      <c r="T403" s="13"/>
    </row>
    <row r="404" spans="2:20" x14ac:dyDescent="0.25">
      <c r="B404" s="13"/>
      <c r="C404" s="13"/>
      <c r="D404" s="13"/>
      <c r="E404" s="13"/>
      <c r="F404" s="13"/>
      <c r="G404" s="13"/>
      <c r="H404" s="13"/>
      <c r="I404" s="13"/>
      <c r="J404" s="13"/>
      <c r="K404" s="13"/>
      <c r="L404" s="13"/>
      <c r="M404" s="13"/>
      <c r="N404" s="13"/>
      <c r="O404" s="13"/>
      <c r="P404" s="13"/>
      <c r="Q404" s="13"/>
      <c r="R404" s="13"/>
      <c r="S404" s="13"/>
      <c r="T404" s="13"/>
    </row>
    <row r="405" spans="2:20" x14ac:dyDescent="0.25">
      <c r="B405" s="13"/>
      <c r="C405" s="13"/>
      <c r="D405" s="13"/>
      <c r="E405" s="13"/>
      <c r="F405" s="13"/>
      <c r="G405" s="13"/>
      <c r="H405" s="13"/>
      <c r="I405" s="13"/>
      <c r="J405" s="13"/>
      <c r="K405" s="13"/>
      <c r="L405" s="13"/>
      <c r="M405" s="13"/>
      <c r="N405" s="13"/>
      <c r="O405" s="13"/>
      <c r="P405" s="13"/>
      <c r="Q405" s="13"/>
      <c r="R405" s="13"/>
      <c r="S405" s="13"/>
      <c r="T405" s="13"/>
    </row>
    <row r="406" spans="2:20" x14ac:dyDescent="0.25">
      <c r="B406" s="13"/>
      <c r="C406" s="13"/>
      <c r="D406" s="13"/>
      <c r="E406" s="13"/>
      <c r="F406" s="13"/>
      <c r="G406" s="13"/>
      <c r="H406" s="13"/>
      <c r="I406" s="13"/>
      <c r="J406" s="13"/>
      <c r="K406" s="13"/>
      <c r="L406" s="13"/>
      <c r="M406" s="13"/>
      <c r="N406" s="13"/>
      <c r="O406" s="13"/>
      <c r="P406" s="13"/>
      <c r="Q406" s="13"/>
      <c r="R406" s="13"/>
      <c r="S406" s="13"/>
      <c r="T406" s="13"/>
    </row>
    <row r="407" spans="2:20" x14ac:dyDescent="0.25">
      <c r="B407" s="13"/>
      <c r="C407" s="13"/>
      <c r="D407" s="13"/>
      <c r="E407" s="13"/>
      <c r="F407" s="13"/>
      <c r="G407" s="13"/>
      <c r="H407" s="13"/>
      <c r="I407" s="13"/>
      <c r="J407" s="13"/>
      <c r="K407" s="13"/>
      <c r="L407" s="13"/>
      <c r="M407" s="13"/>
      <c r="N407" s="13"/>
      <c r="O407" s="13"/>
      <c r="P407" s="13"/>
      <c r="Q407" s="13"/>
      <c r="R407" s="13"/>
      <c r="S407" s="13"/>
      <c r="T407" s="13"/>
    </row>
    <row r="408" spans="2:20" x14ac:dyDescent="0.25">
      <c r="B408" s="13"/>
      <c r="C408" s="13"/>
      <c r="D408" s="13"/>
      <c r="E408" s="13"/>
      <c r="F408" s="13"/>
      <c r="G408" s="13"/>
      <c r="H408" s="13"/>
      <c r="I408" s="13"/>
      <c r="J408" s="13"/>
      <c r="K408" s="13"/>
      <c r="L408" s="13"/>
      <c r="M408" s="13"/>
      <c r="N408" s="13"/>
      <c r="O408" s="13"/>
      <c r="P408" s="13"/>
      <c r="Q408" s="13"/>
      <c r="R408" s="13"/>
      <c r="S408" s="13"/>
      <c r="T408" s="13"/>
    </row>
    <row r="409" spans="2:20" x14ac:dyDescent="0.25">
      <c r="B409" s="13"/>
      <c r="C409" s="13"/>
      <c r="D409" s="13"/>
      <c r="E409" s="13"/>
      <c r="F409" s="13"/>
      <c r="G409" s="13"/>
      <c r="H409" s="13"/>
      <c r="I409" s="13"/>
      <c r="J409" s="13"/>
      <c r="K409" s="13"/>
      <c r="L409" s="13"/>
      <c r="M409" s="13"/>
      <c r="N409" s="13"/>
      <c r="O409" s="13"/>
      <c r="P409" s="13"/>
      <c r="Q409" s="13"/>
      <c r="R409" s="13"/>
      <c r="S409" s="13"/>
      <c r="T409" s="13"/>
    </row>
    <row r="410" spans="2:20" x14ac:dyDescent="0.25">
      <c r="B410" s="13"/>
      <c r="C410" s="13"/>
      <c r="D410" s="13"/>
      <c r="E410" s="13"/>
      <c r="F410" s="13"/>
      <c r="G410" s="13"/>
      <c r="H410" s="13"/>
      <c r="I410" s="13"/>
      <c r="J410" s="13"/>
      <c r="K410" s="13"/>
      <c r="L410" s="13"/>
      <c r="M410" s="13"/>
      <c r="N410" s="13"/>
      <c r="O410" s="13"/>
      <c r="P410" s="13"/>
      <c r="Q410" s="13"/>
      <c r="R410" s="13"/>
      <c r="S410" s="13"/>
      <c r="T410" s="13"/>
    </row>
    <row r="411" spans="2:20" x14ac:dyDescent="0.25">
      <c r="B411" s="13"/>
      <c r="C411" s="13"/>
      <c r="D411" s="13"/>
      <c r="E411" s="13"/>
      <c r="F411" s="13"/>
      <c r="G411" s="13"/>
      <c r="H411" s="13"/>
      <c r="I411" s="13"/>
      <c r="J411" s="13"/>
      <c r="K411" s="13"/>
      <c r="L411" s="13"/>
      <c r="M411" s="13"/>
      <c r="N411" s="13"/>
      <c r="O411" s="13"/>
      <c r="P411" s="13"/>
      <c r="Q411" s="13"/>
      <c r="R411" s="13"/>
      <c r="S411" s="13"/>
      <c r="T411" s="13"/>
    </row>
    <row r="412" spans="2:20" x14ac:dyDescent="0.25">
      <c r="B412" s="13"/>
      <c r="C412" s="13"/>
      <c r="D412" s="13"/>
      <c r="E412" s="13"/>
      <c r="F412" s="13"/>
      <c r="G412" s="13"/>
      <c r="H412" s="13"/>
      <c r="I412" s="13"/>
      <c r="J412" s="13"/>
      <c r="K412" s="13"/>
      <c r="L412" s="13"/>
      <c r="M412" s="13"/>
      <c r="N412" s="13"/>
      <c r="O412" s="13"/>
      <c r="P412" s="13"/>
      <c r="Q412" s="13"/>
      <c r="R412" s="13"/>
      <c r="S412" s="13"/>
      <c r="T412" s="13"/>
    </row>
    <row r="413" spans="2:20" x14ac:dyDescent="0.25">
      <c r="B413" s="13"/>
      <c r="C413" s="13"/>
      <c r="D413" s="13"/>
      <c r="E413" s="13"/>
      <c r="F413" s="13"/>
      <c r="G413" s="13"/>
      <c r="H413" s="13"/>
      <c r="I413" s="13"/>
      <c r="J413" s="13"/>
      <c r="K413" s="13"/>
      <c r="L413" s="13"/>
      <c r="M413" s="13"/>
      <c r="N413" s="13"/>
      <c r="O413" s="13"/>
      <c r="P413" s="13"/>
      <c r="Q413" s="13"/>
      <c r="R413" s="13"/>
      <c r="S413" s="13"/>
      <c r="T413" s="13"/>
    </row>
    <row r="414" spans="2:20" x14ac:dyDescent="0.25">
      <c r="B414" s="13"/>
      <c r="C414" s="13"/>
      <c r="D414" s="13"/>
      <c r="E414" s="13"/>
      <c r="F414" s="13"/>
      <c r="G414" s="13"/>
      <c r="H414" s="13"/>
      <c r="I414" s="13"/>
      <c r="J414" s="13"/>
      <c r="K414" s="13"/>
      <c r="L414" s="13"/>
      <c r="M414" s="13"/>
      <c r="N414" s="13"/>
      <c r="O414" s="13"/>
      <c r="P414" s="13"/>
      <c r="Q414" s="13"/>
      <c r="R414" s="13"/>
      <c r="S414" s="13"/>
      <c r="T414" s="13"/>
    </row>
    <row r="415" spans="2:20" x14ac:dyDescent="0.25">
      <c r="B415" s="13"/>
      <c r="C415" s="13"/>
      <c r="D415" s="13"/>
      <c r="E415" s="13"/>
      <c r="F415" s="13"/>
      <c r="G415" s="13"/>
      <c r="H415" s="13"/>
      <c r="I415" s="13"/>
      <c r="J415" s="13"/>
      <c r="K415" s="13"/>
      <c r="L415" s="13"/>
      <c r="M415" s="13"/>
      <c r="N415" s="13"/>
      <c r="O415" s="13"/>
      <c r="P415" s="13"/>
      <c r="Q415" s="13"/>
      <c r="R415" s="13"/>
      <c r="S415" s="13"/>
      <c r="T415" s="13"/>
    </row>
    <row r="416" spans="2:20" x14ac:dyDescent="0.25">
      <c r="B416" s="13"/>
      <c r="C416" s="13"/>
      <c r="D416" s="13"/>
      <c r="E416" s="13"/>
      <c r="F416" s="13"/>
      <c r="G416" s="13"/>
      <c r="H416" s="13"/>
      <c r="I416" s="13"/>
      <c r="J416" s="13"/>
      <c r="K416" s="13"/>
      <c r="L416" s="13"/>
      <c r="M416" s="13"/>
      <c r="N416" s="13"/>
      <c r="O416" s="13"/>
      <c r="P416" s="13"/>
      <c r="Q416" s="13"/>
      <c r="R416" s="13"/>
      <c r="S416" s="13"/>
      <c r="T416" s="13"/>
    </row>
    <row r="417" spans="2:20" x14ac:dyDescent="0.25">
      <c r="B417" s="13"/>
      <c r="C417" s="13"/>
      <c r="D417" s="13"/>
      <c r="E417" s="13"/>
      <c r="F417" s="13"/>
      <c r="G417" s="13"/>
      <c r="H417" s="13"/>
      <c r="I417" s="13"/>
      <c r="J417" s="13"/>
      <c r="K417" s="13"/>
      <c r="L417" s="13"/>
      <c r="M417" s="13"/>
      <c r="N417" s="13"/>
      <c r="O417" s="13"/>
      <c r="P417" s="13"/>
      <c r="Q417" s="13"/>
      <c r="R417" s="13"/>
      <c r="S417" s="13"/>
      <c r="T417" s="13"/>
    </row>
    <row r="418" spans="2:20" x14ac:dyDescent="0.25">
      <c r="B418" s="13"/>
      <c r="C418" s="13"/>
      <c r="D418" s="13"/>
      <c r="E418" s="13"/>
      <c r="F418" s="13"/>
      <c r="G418" s="13"/>
      <c r="H418" s="13"/>
      <c r="I418" s="13"/>
      <c r="J418" s="13"/>
      <c r="K418" s="13"/>
      <c r="L418" s="13"/>
      <c r="M418" s="13"/>
      <c r="N418" s="13"/>
      <c r="O418" s="13"/>
      <c r="P418" s="13"/>
      <c r="Q418" s="13"/>
      <c r="R418" s="13"/>
      <c r="S418" s="13"/>
      <c r="T418" s="13"/>
    </row>
    <row r="419" spans="2:20" x14ac:dyDescent="0.25">
      <c r="B419" s="13"/>
      <c r="C419" s="13"/>
      <c r="D419" s="13"/>
      <c r="E419" s="13"/>
      <c r="F419" s="13"/>
      <c r="G419" s="13"/>
      <c r="H419" s="13"/>
      <c r="I419" s="13"/>
      <c r="J419" s="13"/>
      <c r="K419" s="13"/>
      <c r="L419" s="13"/>
      <c r="M419" s="13"/>
      <c r="N419" s="13"/>
      <c r="O419" s="13"/>
      <c r="P419" s="13"/>
      <c r="Q419" s="13"/>
      <c r="R419" s="13"/>
      <c r="S419" s="13"/>
      <c r="T419" s="13"/>
    </row>
    <row r="420" spans="2:20" x14ac:dyDescent="0.25">
      <c r="B420" s="13"/>
      <c r="C420" s="13"/>
      <c r="D420" s="13"/>
      <c r="E420" s="13"/>
      <c r="F420" s="13"/>
      <c r="G420" s="13"/>
      <c r="H420" s="13"/>
      <c r="I420" s="13"/>
      <c r="J420" s="13"/>
      <c r="K420" s="13"/>
      <c r="L420" s="13"/>
      <c r="M420" s="13"/>
      <c r="N420" s="13"/>
      <c r="O420" s="13"/>
      <c r="P420" s="13"/>
      <c r="Q420" s="13"/>
      <c r="R420" s="13"/>
      <c r="S420" s="13"/>
      <c r="T420" s="13"/>
    </row>
    <row r="421" spans="2:20" x14ac:dyDescent="0.25">
      <c r="B421" s="13"/>
      <c r="C421" s="13"/>
      <c r="D421" s="13"/>
      <c r="E421" s="13"/>
      <c r="F421" s="13"/>
      <c r="G421" s="13"/>
      <c r="H421" s="13"/>
      <c r="I421" s="13"/>
      <c r="J421" s="13"/>
      <c r="K421" s="13"/>
      <c r="L421" s="13"/>
      <c r="M421" s="13"/>
      <c r="N421" s="13"/>
      <c r="O421" s="13"/>
      <c r="P421" s="13"/>
      <c r="Q421" s="13"/>
      <c r="R421" s="13"/>
      <c r="S421" s="13"/>
      <c r="T421" s="13"/>
    </row>
    <row r="422" spans="2:20" x14ac:dyDescent="0.25">
      <c r="B422" s="13"/>
      <c r="C422" s="13"/>
      <c r="D422" s="13"/>
      <c r="E422" s="13"/>
      <c r="F422" s="13"/>
      <c r="G422" s="13"/>
      <c r="H422" s="13"/>
      <c r="I422" s="13"/>
      <c r="J422" s="13"/>
      <c r="K422" s="13"/>
      <c r="L422" s="13"/>
      <c r="M422" s="13"/>
      <c r="N422" s="13"/>
      <c r="O422" s="13"/>
      <c r="P422" s="13"/>
      <c r="Q422" s="13"/>
      <c r="R422" s="13"/>
      <c r="S422" s="13"/>
      <c r="T422" s="13"/>
    </row>
    <row r="423" spans="2:20" x14ac:dyDescent="0.25">
      <c r="B423" s="13"/>
      <c r="C423" s="13"/>
      <c r="D423" s="13"/>
      <c r="E423" s="13"/>
      <c r="F423" s="13"/>
      <c r="G423" s="13"/>
      <c r="H423" s="13"/>
      <c r="I423" s="13"/>
      <c r="J423" s="13"/>
      <c r="K423" s="13"/>
      <c r="L423" s="13"/>
      <c r="M423" s="13"/>
      <c r="N423" s="13"/>
      <c r="O423" s="13"/>
      <c r="P423" s="13"/>
      <c r="Q423" s="13"/>
      <c r="R423" s="13"/>
      <c r="S423" s="13"/>
      <c r="T423" s="13"/>
    </row>
    <row r="424" spans="2:20" x14ac:dyDescent="0.25">
      <c r="B424" s="13"/>
      <c r="C424" s="13"/>
      <c r="D424" s="13"/>
      <c r="E424" s="13"/>
      <c r="F424" s="13"/>
      <c r="G424" s="13"/>
      <c r="H424" s="13"/>
      <c r="I424" s="13"/>
      <c r="J424" s="13"/>
      <c r="K424" s="13"/>
      <c r="L424" s="13"/>
      <c r="M424" s="13"/>
      <c r="N424" s="13"/>
      <c r="O424" s="13"/>
      <c r="P424" s="13"/>
      <c r="Q424" s="13"/>
      <c r="R424" s="13"/>
      <c r="S424" s="13"/>
      <c r="T424" s="13"/>
    </row>
    <row r="425" spans="2:20" x14ac:dyDescent="0.25">
      <c r="B425" s="13"/>
      <c r="C425" s="13"/>
      <c r="D425" s="13"/>
      <c r="E425" s="13"/>
      <c r="F425" s="13"/>
      <c r="G425" s="13"/>
      <c r="H425" s="13"/>
      <c r="I425" s="13"/>
      <c r="J425" s="13"/>
      <c r="K425" s="13"/>
      <c r="L425" s="13"/>
      <c r="M425" s="13"/>
      <c r="N425" s="13"/>
      <c r="O425" s="13"/>
      <c r="P425" s="13"/>
      <c r="Q425" s="13"/>
      <c r="R425" s="13"/>
      <c r="S425" s="13"/>
      <c r="T425" s="13"/>
    </row>
    <row r="426" spans="2:20" x14ac:dyDescent="0.25">
      <c r="B426" s="13"/>
      <c r="C426" s="13"/>
      <c r="D426" s="13"/>
      <c r="E426" s="13"/>
      <c r="F426" s="13"/>
      <c r="G426" s="13"/>
      <c r="H426" s="13"/>
      <c r="I426" s="13"/>
      <c r="J426" s="13"/>
      <c r="K426" s="13"/>
      <c r="L426" s="13"/>
      <c r="M426" s="13"/>
      <c r="N426" s="13"/>
      <c r="O426" s="13"/>
      <c r="P426" s="13"/>
      <c r="Q426" s="13"/>
      <c r="R426" s="13"/>
      <c r="S426" s="13"/>
      <c r="T426" s="13"/>
    </row>
    <row r="427" spans="2:20" x14ac:dyDescent="0.25">
      <c r="B427" s="13"/>
      <c r="C427" s="13"/>
      <c r="D427" s="13"/>
      <c r="E427" s="13"/>
      <c r="F427" s="13"/>
      <c r="G427" s="13"/>
      <c r="H427" s="13"/>
      <c r="I427" s="13"/>
      <c r="J427" s="13"/>
      <c r="K427" s="13"/>
      <c r="L427" s="13"/>
      <c r="M427" s="13"/>
      <c r="N427" s="13"/>
      <c r="O427" s="13"/>
      <c r="P427" s="13"/>
      <c r="Q427" s="13"/>
      <c r="R427" s="13"/>
      <c r="S427" s="13"/>
      <c r="T427" s="13"/>
    </row>
    <row r="428" spans="2:20" x14ac:dyDescent="0.25">
      <c r="B428" s="13"/>
      <c r="C428" s="13"/>
      <c r="D428" s="13"/>
      <c r="E428" s="13"/>
      <c r="F428" s="13"/>
      <c r="G428" s="13"/>
      <c r="H428" s="13"/>
      <c r="I428" s="13"/>
      <c r="J428" s="13"/>
      <c r="K428" s="13"/>
      <c r="L428" s="13"/>
      <c r="M428" s="13"/>
      <c r="N428" s="13"/>
      <c r="O428" s="13"/>
      <c r="P428" s="13"/>
      <c r="Q428" s="13"/>
      <c r="R428" s="13"/>
      <c r="S428" s="13"/>
      <c r="T428" s="13"/>
    </row>
    <row r="429" spans="2:20" x14ac:dyDescent="0.25">
      <c r="B429" s="13"/>
      <c r="C429" s="13"/>
      <c r="D429" s="13"/>
      <c r="E429" s="13"/>
      <c r="F429" s="13"/>
      <c r="G429" s="13"/>
      <c r="H429" s="13"/>
      <c r="I429" s="13"/>
      <c r="J429" s="13"/>
      <c r="K429" s="13"/>
      <c r="L429" s="13"/>
      <c r="M429" s="13"/>
      <c r="N429" s="13"/>
      <c r="O429" s="13"/>
      <c r="P429" s="13"/>
      <c r="Q429" s="13"/>
      <c r="R429" s="13"/>
      <c r="S429" s="13"/>
      <c r="T429" s="13"/>
    </row>
    <row r="430" spans="2:20" x14ac:dyDescent="0.25">
      <c r="B430" s="13"/>
      <c r="C430" s="13"/>
      <c r="D430" s="13"/>
      <c r="E430" s="13"/>
      <c r="F430" s="13"/>
      <c r="G430" s="13"/>
      <c r="H430" s="13"/>
      <c r="I430" s="13"/>
      <c r="J430" s="13"/>
      <c r="K430" s="13"/>
      <c r="L430" s="13"/>
      <c r="M430" s="13"/>
      <c r="N430" s="13"/>
      <c r="O430" s="13"/>
      <c r="P430" s="13"/>
      <c r="Q430" s="13"/>
      <c r="R430" s="13"/>
      <c r="S430" s="13"/>
      <c r="T430" s="13"/>
    </row>
    <row r="431" spans="2:20" x14ac:dyDescent="0.25">
      <c r="B431" s="13"/>
      <c r="C431" s="13"/>
      <c r="D431" s="13"/>
      <c r="E431" s="13"/>
      <c r="F431" s="13"/>
      <c r="G431" s="13"/>
      <c r="H431" s="13"/>
      <c r="I431" s="13"/>
      <c r="J431" s="13"/>
      <c r="K431" s="13"/>
      <c r="L431" s="13"/>
      <c r="M431" s="13"/>
      <c r="N431" s="13"/>
      <c r="O431" s="13"/>
      <c r="P431" s="13"/>
      <c r="Q431" s="13"/>
      <c r="R431" s="13"/>
      <c r="S431" s="13"/>
      <c r="T431" s="13"/>
    </row>
    <row r="432" spans="2:20" x14ac:dyDescent="0.25">
      <c r="B432" s="13"/>
      <c r="C432" s="13"/>
      <c r="D432" s="13"/>
      <c r="E432" s="13"/>
      <c r="F432" s="13"/>
      <c r="G432" s="13"/>
      <c r="H432" s="13"/>
      <c r="I432" s="13"/>
      <c r="J432" s="13"/>
      <c r="K432" s="13"/>
      <c r="L432" s="13"/>
      <c r="M432" s="13"/>
      <c r="N432" s="13"/>
      <c r="O432" s="13"/>
      <c r="P432" s="13"/>
      <c r="Q432" s="13"/>
      <c r="R432" s="13"/>
      <c r="S432" s="13"/>
      <c r="T432" s="13"/>
    </row>
    <row r="433" spans="2:20" x14ac:dyDescent="0.25">
      <c r="B433" s="13"/>
      <c r="C433" s="13"/>
      <c r="D433" s="13"/>
      <c r="E433" s="13"/>
      <c r="F433" s="13"/>
      <c r="G433" s="13"/>
      <c r="H433" s="13"/>
      <c r="I433" s="13"/>
      <c r="J433" s="13"/>
      <c r="K433" s="13"/>
      <c r="L433" s="13"/>
      <c r="M433" s="13"/>
      <c r="N433" s="13"/>
      <c r="O433" s="13"/>
      <c r="P433" s="13"/>
      <c r="Q433" s="13"/>
      <c r="R433" s="13"/>
      <c r="S433" s="13"/>
      <c r="T433" s="13"/>
    </row>
    <row r="434" spans="2:20" x14ac:dyDescent="0.25">
      <c r="B434" s="13"/>
      <c r="C434" s="13"/>
      <c r="D434" s="13"/>
      <c r="E434" s="13"/>
      <c r="F434" s="13"/>
      <c r="G434" s="13"/>
      <c r="H434" s="13"/>
      <c r="I434" s="13"/>
      <c r="J434" s="13"/>
      <c r="K434" s="13"/>
      <c r="L434" s="13"/>
      <c r="M434" s="13"/>
      <c r="N434" s="13"/>
      <c r="O434" s="13"/>
      <c r="P434" s="13"/>
      <c r="Q434" s="13"/>
      <c r="R434" s="13"/>
      <c r="S434" s="13"/>
      <c r="T434" s="13"/>
    </row>
    <row r="435" spans="2:20" x14ac:dyDescent="0.25">
      <c r="B435" s="13"/>
      <c r="C435" s="13"/>
      <c r="D435" s="13"/>
      <c r="E435" s="13"/>
      <c r="F435" s="13"/>
      <c r="G435" s="13"/>
      <c r="H435" s="13"/>
      <c r="I435" s="13"/>
      <c r="J435" s="13"/>
      <c r="K435" s="13"/>
      <c r="L435" s="13"/>
      <c r="M435" s="13"/>
      <c r="N435" s="13"/>
      <c r="O435" s="13"/>
      <c r="P435" s="13"/>
      <c r="Q435" s="13"/>
      <c r="R435" s="13"/>
      <c r="S435" s="13"/>
      <c r="T435" s="13"/>
    </row>
    <row r="436" spans="2:20" x14ac:dyDescent="0.25">
      <c r="B436" s="13"/>
      <c r="C436" s="13"/>
      <c r="D436" s="13"/>
      <c r="E436" s="13"/>
      <c r="F436" s="13"/>
      <c r="G436" s="13"/>
      <c r="H436" s="13"/>
      <c r="I436" s="13"/>
      <c r="J436" s="13"/>
      <c r="K436" s="13"/>
      <c r="L436" s="13"/>
      <c r="M436" s="13"/>
      <c r="N436" s="13"/>
      <c r="O436" s="13"/>
      <c r="P436" s="13"/>
      <c r="Q436" s="13"/>
      <c r="R436" s="13"/>
      <c r="S436" s="13"/>
      <c r="T436" s="13"/>
    </row>
    <row r="437" spans="2:20" x14ac:dyDescent="0.25">
      <c r="B437" s="13"/>
      <c r="C437" s="13"/>
      <c r="D437" s="13"/>
      <c r="E437" s="13"/>
      <c r="F437" s="13"/>
      <c r="G437" s="13"/>
      <c r="H437" s="13"/>
      <c r="I437" s="13"/>
      <c r="J437" s="13"/>
      <c r="K437" s="13"/>
      <c r="L437" s="13"/>
      <c r="M437" s="13"/>
      <c r="N437" s="13"/>
      <c r="O437" s="13"/>
      <c r="P437" s="13"/>
      <c r="Q437" s="13"/>
      <c r="R437" s="13"/>
      <c r="S437" s="13"/>
      <c r="T437" s="13"/>
    </row>
    <row r="438" spans="2:20" x14ac:dyDescent="0.25">
      <c r="B438" s="13"/>
      <c r="C438" s="13"/>
      <c r="D438" s="13"/>
      <c r="E438" s="13"/>
      <c r="F438" s="13"/>
      <c r="G438" s="13"/>
      <c r="H438" s="13"/>
      <c r="I438" s="13"/>
      <c r="J438" s="13"/>
      <c r="K438" s="13"/>
      <c r="L438" s="13"/>
      <c r="M438" s="13"/>
      <c r="N438" s="13"/>
      <c r="O438" s="13"/>
      <c r="P438" s="13"/>
      <c r="Q438" s="13"/>
      <c r="R438" s="13"/>
      <c r="S438" s="13"/>
      <c r="T438" s="13"/>
    </row>
    <row r="439" spans="2:20" x14ac:dyDescent="0.25">
      <c r="B439" s="13"/>
      <c r="C439" s="13"/>
      <c r="D439" s="13"/>
      <c r="E439" s="13"/>
      <c r="F439" s="13"/>
      <c r="G439" s="13"/>
      <c r="H439" s="13"/>
      <c r="I439" s="13"/>
      <c r="J439" s="13"/>
      <c r="K439" s="13"/>
      <c r="L439" s="13"/>
      <c r="M439" s="13"/>
      <c r="N439" s="13"/>
      <c r="O439" s="13"/>
      <c r="P439" s="13"/>
      <c r="Q439" s="13"/>
      <c r="R439" s="13"/>
      <c r="S439" s="13"/>
      <c r="T439" s="13"/>
    </row>
    <row r="440" spans="2:20" x14ac:dyDescent="0.25">
      <c r="B440" s="13"/>
      <c r="C440" s="13"/>
      <c r="D440" s="13"/>
      <c r="E440" s="13"/>
      <c r="F440" s="13"/>
      <c r="G440" s="13"/>
      <c r="H440" s="13"/>
      <c r="I440" s="13"/>
      <c r="J440" s="13"/>
      <c r="K440" s="13"/>
      <c r="L440" s="13"/>
      <c r="M440" s="13"/>
      <c r="N440" s="13"/>
      <c r="O440" s="13"/>
      <c r="P440" s="13"/>
      <c r="Q440" s="13"/>
      <c r="R440" s="13"/>
      <c r="S440" s="13"/>
      <c r="T440" s="13"/>
    </row>
    <row r="441" spans="2:20" x14ac:dyDescent="0.25">
      <c r="B441" s="13"/>
      <c r="C441" s="13"/>
      <c r="D441" s="13"/>
      <c r="E441" s="13"/>
      <c r="F441" s="13"/>
      <c r="G441" s="13"/>
      <c r="H441" s="13"/>
      <c r="I441" s="13"/>
      <c r="J441" s="13"/>
      <c r="K441" s="13"/>
      <c r="L441" s="13"/>
      <c r="M441" s="13"/>
      <c r="N441" s="13"/>
      <c r="O441" s="13"/>
      <c r="P441" s="13"/>
      <c r="Q441" s="13"/>
      <c r="R441" s="13"/>
      <c r="S441" s="13"/>
      <c r="T441" s="13"/>
    </row>
    <row r="442" spans="2:20" x14ac:dyDescent="0.25">
      <c r="B442" s="13"/>
      <c r="C442" s="13"/>
      <c r="D442" s="13"/>
      <c r="E442" s="13"/>
      <c r="F442" s="13"/>
      <c r="G442" s="13"/>
      <c r="H442" s="13"/>
      <c r="I442" s="13"/>
      <c r="J442" s="13"/>
      <c r="K442" s="13"/>
      <c r="L442" s="13"/>
      <c r="M442" s="13"/>
      <c r="N442" s="13"/>
      <c r="O442" s="13"/>
      <c r="P442" s="13"/>
      <c r="Q442" s="13"/>
      <c r="R442" s="13"/>
      <c r="S442" s="13"/>
      <c r="T442" s="13"/>
    </row>
    <row r="443" spans="2:20" x14ac:dyDescent="0.25">
      <c r="B443" s="13"/>
      <c r="C443" s="13"/>
      <c r="D443" s="13"/>
      <c r="E443" s="13"/>
      <c r="F443" s="13"/>
      <c r="G443" s="13"/>
      <c r="H443" s="13"/>
      <c r="I443" s="13"/>
      <c r="J443" s="13"/>
      <c r="K443" s="13"/>
      <c r="L443" s="13"/>
      <c r="M443" s="13"/>
      <c r="N443" s="13"/>
      <c r="O443" s="13"/>
      <c r="P443" s="13"/>
      <c r="Q443" s="13"/>
      <c r="R443" s="13"/>
      <c r="S443" s="13"/>
      <c r="T443" s="13"/>
    </row>
    <row r="444" spans="2:20" x14ac:dyDescent="0.25">
      <c r="B444" s="13"/>
      <c r="C444" s="13"/>
      <c r="D444" s="13"/>
      <c r="E444" s="13"/>
      <c r="F444" s="13"/>
      <c r="G444" s="13"/>
      <c r="H444" s="13"/>
      <c r="I444" s="13"/>
      <c r="J444" s="13"/>
      <c r="K444" s="13"/>
      <c r="L444" s="13"/>
      <c r="M444" s="13"/>
      <c r="N444" s="13"/>
      <c r="O444" s="13"/>
      <c r="P444" s="13"/>
      <c r="Q444" s="13"/>
      <c r="R444" s="13"/>
      <c r="S444" s="13"/>
      <c r="T444" s="13"/>
    </row>
    <row r="445" spans="2:20" x14ac:dyDescent="0.25">
      <c r="B445" s="13"/>
      <c r="C445" s="13"/>
      <c r="D445" s="13"/>
      <c r="E445" s="13"/>
      <c r="F445" s="13"/>
      <c r="G445" s="13"/>
      <c r="H445" s="13"/>
      <c r="I445" s="13"/>
      <c r="J445" s="13"/>
      <c r="K445" s="13"/>
      <c r="L445" s="13"/>
      <c r="M445" s="13"/>
      <c r="N445" s="13"/>
      <c r="O445" s="13"/>
      <c r="P445" s="13"/>
      <c r="Q445" s="13"/>
      <c r="R445" s="13"/>
      <c r="S445" s="13"/>
      <c r="T445" s="13"/>
    </row>
    <row r="446" spans="2:20" x14ac:dyDescent="0.25">
      <c r="B446" s="13"/>
      <c r="C446" s="13"/>
      <c r="D446" s="13"/>
      <c r="E446" s="13"/>
      <c r="F446" s="13"/>
      <c r="G446" s="13"/>
      <c r="H446" s="13"/>
      <c r="I446" s="13"/>
      <c r="J446" s="13"/>
      <c r="K446" s="13"/>
      <c r="L446" s="13"/>
      <c r="M446" s="13"/>
      <c r="N446" s="13"/>
      <c r="O446" s="13"/>
      <c r="P446" s="13"/>
      <c r="Q446" s="13"/>
      <c r="R446" s="13"/>
      <c r="S446" s="13"/>
      <c r="T446" s="13"/>
    </row>
    <row r="447" spans="2:20" x14ac:dyDescent="0.25">
      <c r="B447" s="13"/>
      <c r="C447" s="13"/>
      <c r="D447" s="13"/>
      <c r="E447" s="13"/>
      <c r="F447" s="13"/>
      <c r="G447" s="13"/>
      <c r="H447" s="13"/>
      <c r="I447" s="13"/>
      <c r="J447" s="13"/>
      <c r="K447" s="13"/>
      <c r="L447" s="13"/>
      <c r="M447" s="13"/>
      <c r="N447" s="13"/>
      <c r="O447" s="13"/>
      <c r="P447" s="13"/>
      <c r="Q447" s="13"/>
      <c r="R447" s="13"/>
      <c r="S447" s="13"/>
      <c r="T447" s="13"/>
    </row>
    <row r="448" spans="2:20" x14ac:dyDescent="0.25">
      <c r="B448" s="13"/>
      <c r="C448" s="13"/>
      <c r="D448" s="13"/>
      <c r="E448" s="13"/>
      <c r="F448" s="13"/>
      <c r="G448" s="13"/>
      <c r="H448" s="13"/>
      <c r="I448" s="13"/>
      <c r="J448" s="13"/>
      <c r="K448" s="13"/>
      <c r="L448" s="13"/>
      <c r="M448" s="13"/>
      <c r="N448" s="13"/>
      <c r="O448" s="13"/>
      <c r="P448" s="13"/>
      <c r="Q448" s="13"/>
      <c r="R448" s="13"/>
      <c r="S448" s="13"/>
      <c r="T448" s="13"/>
    </row>
    <row r="449" spans="2:20" x14ac:dyDescent="0.25">
      <c r="B449" s="13"/>
      <c r="C449" s="13"/>
      <c r="D449" s="13"/>
      <c r="E449" s="13"/>
      <c r="F449" s="13"/>
      <c r="G449" s="13"/>
      <c r="H449" s="13"/>
      <c r="I449" s="13"/>
      <c r="J449" s="13"/>
      <c r="K449" s="13"/>
      <c r="L449" s="13"/>
      <c r="M449" s="13"/>
      <c r="N449" s="13"/>
      <c r="O449" s="13"/>
      <c r="P449" s="13"/>
      <c r="Q449" s="13"/>
      <c r="R449" s="13"/>
      <c r="S449" s="13"/>
      <c r="T449" s="13"/>
    </row>
    <row r="450" spans="2:20" x14ac:dyDescent="0.25">
      <c r="B450" s="13"/>
      <c r="C450" s="13"/>
      <c r="D450" s="13"/>
      <c r="E450" s="13"/>
      <c r="F450" s="13"/>
      <c r="G450" s="13"/>
      <c r="H450" s="13"/>
      <c r="I450" s="13"/>
      <c r="J450" s="13"/>
      <c r="K450" s="13"/>
      <c r="L450" s="13"/>
      <c r="M450" s="13"/>
      <c r="N450" s="13"/>
      <c r="O450" s="13"/>
      <c r="P450" s="13"/>
      <c r="Q450" s="13"/>
      <c r="R450" s="13"/>
      <c r="S450" s="13"/>
      <c r="T450" s="13"/>
    </row>
    <row r="451" spans="2:20" x14ac:dyDescent="0.25">
      <c r="B451" s="13"/>
      <c r="C451" s="13"/>
      <c r="D451" s="13"/>
      <c r="E451" s="13"/>
      <c r="F451" s="13"/>
      <c r="G451" s="13"/>
      <c r="H451" s="13"/>
      <c r="I451" s="13"/>
      <c r="J451" s="13"/>
      <c r="K451" s="13"/>
      <c r="L451" s="13"/>
      <c r="M451" s="13"/>
      <c r="N451" s="13"/>
      <c r="O451" s="13"/>
      <c r="P451" s="13"/>
      <c r="Q451" s="13"/>
      <c r="R451" s="13"/>
      <c r="S451" s="13"/>
      <c r="T451" s="13"/>
    </row>
    <row r="452" spans="2:20" x14ac:dyDescent="0.25">
      <c r="B452" s="13"/>
      <c r="C452" s="13"/>
      <c r="D452" s="13"/>
      <c r="E452" s="13"/>
      <c r="F452" s="13"/>
      <c r="G452" s="13"/>
      <c r="H452" s="13"/>
      <c r="I452" s="13"/>
      <c r="J452" s="13"/>
      <c r="K452" s="13"/>
      <c r="L452" s="13"/>
      <c r="M452" s="13"/>
      <c r="N452" s="13"/>
      <c r="O452" s="13"/>
      <c r="P452" s="13"/>
      <c r="Q452" s="13"/>
      <c r="R452" s="13"/>
      <c r="S452" s="13"/>
      <c r="T452" s="13"/>
    </row>
    <row r="453" spans="2:20" x14ac:dyDescent="0.25">
      <c r="B453" s="13"/>
      <c r="C453" s="13"/>
      <c r="D453" s="13"/>
      <c r="E453" s="13"/>
      <c r="F453" s="13"/>
      <c r="G453" s="13"/>
      <c r="H453" s="13"/>
      <c r="I453" s="13"/>
      <c r="J453" s="13"/>
      <c r="K453" s="13"/>
      <c r="L453" s="13"/>
      <c r="M453" s="13"/>
      <c r="N453" s="13"/>
      <c r="O453" s="13"/>
      <c r="P453" s="13"/>
      <c r="Q453" s="13"/>
      <c r="R453" s="13"/>
      <c r="S453" s="13"/>
      <c r="T453" s="13"/>
    </row>
    <row r="454" spans="2:20" x14ac:dyDescent="0.25">
      <c r="B454" s="13"/>
      <c r="C454" s="13"/>
      <c r="D454" s="13"/>
      <c r="E454" s="13"/>
      <c r="F454" s="13"/>
      <c r="G454" s="13"/>
      <c r="H454" s="13"/>
      <c r="I454" s="13"/>
      <c r="J454" s="13"/>
      <c r="K454" s="13"/>
      <c r="L454" s="13"/>
      <c r="M454" s="13"/>
      <c r="N454" s="13"/>
      <c r="O454" s="13"/>
      <c r="P454" s="13"/>
      <c r="Q454" s="13"/>
      <c r="R454" s="13"/>
      <c r="S454" s="13"/>
      <c r="T454" s="13"/>
    </row>
    <row r="455" spans="2:20" x14ac:dyDescent="0.25">
      <c r="B455" s="13"/>
      <c r="C455" s="13"/>
      <c r="D455" s="13"/>
      <c r="E455" s="13"/>
      <c r="F455" s="13"/>
      <c r="G455" s="13"/>
      <c r="H455" s="13"/>
      <c r="I455" s="13"/>
      <c r="J455" s="13"/>
      <c r="K455" s="13"/>
      <c r="L455" s="13"/>
      <c r="M455" s="13"/>
      <c r="N455" s="13"/>
      <c r="O455" s="13"/>
      <c r="P455" s="13"/>
      <c r="Q455" s="13"/>
      <c r="R455" s="13"/>
      <c r="S455" s="13"/>
      <c r="T455" s="13"/>
    </row>
    <row r="456" spans="2:20" x14ac:dyDescent="0.25">
      <c r="B456" s="13"/>
      <c r="C456" s="13"/>
      <c r="D456" s="13"/>
      <c r="E456" s="13"/>
      <c r="F456" s="13"/>
      <c r="G456" s="13"/>
      <c r="H456" s="13"/>
      <c r="I456" s="13"/>
      <c r="J456" s="13"/>
      <c r="K456" s="13"/>
      <c r="L456" s="13"/>
      <c r="M456" s="13"/>
      <c r="N456" s="13"/>
      <c r="O456" s="13"/>
      <c r="P456" s="13"/>
      <c r="Q456" s="13"/>
      <c r="R456" s="13"/>
      <c r="S456" s="13"/>
      <c r="T456" s="13"/>
    </row>
    <row r="457" spans="2:20" x14ac:dyDescent="0.25">
      <c r="B457" s="13"/>
      <c r="C457" s="13"/>
      <c r="D457" s="13"/>
      <c r="E457" s="13"/>
      <c r="F457" s="13"/>
      <c r="G457" s="13"/>
      <c r="H457" s="13"/>
      <c r="I457" s="13"/>
      <c r="J457" s="13"/>
      <c r="K457" s="13"/>
      <c r="L457" s="13"/>
      <c r="M457" s="13"/>
      <c r="N457" s="13"/>
      <c r="O457" s="13"/>
      <c r="P457" s="13"/>
      <c r="Q457" s="13"/>
      <c r="R457" s="13"/>
      <c r="S457" s="13"/>
      <c r="T457" s="13"/>
    </row>
    <row r="458" spans="2:20" x14ac:dyDescent="0.25">
      <c r="B458" s="13"/>
      <c r="C458" s="13"/>
      <c r="D458" s="13"/>
      <c r="E458" s="13"/>
      <c r="F458" s="13"/>
      <c r="G458" s="13"/>
      <c r="H458" s="13"/>
      <c r="I458" s="13"/>
      <c r="J458" s="13"/>
      <c r="K458" s="13"/>
      <c r="L458" s="13"/>
      <c r="M458" s="13"/>
      <c r="N458" s="13"/>
      <c r="O458" s="13"/>
      <c r="P458" s="13"/>
      <c r="Q458" s="13"/>
      <c r="R458" s="13"/>
      <c r="S458" s="13"/>
      <c r="T458" s="13"/>
    </row>
    <row r="459" spans="2:20" x14ac:dyDescent="0.25">
      <c r="B459" s="13"/>
      <c r="C459" s="13"/>
      <c r="D459" s="13"/>
      <c r="E459" s="13"/>
      <c r="F459" s="13"/>
      <c r="G459" s="13"/>
      <c r="H459" s="13"/>
      <c r="I459" s="13"/>
      <c r="J459" s="13"/>
      <c r="K459" s="13"/>
      <c r="L459" s="13"/>
      <c r="M459" s="13"/>
      <c r="N459" s="13"/>
      <c r="O459" s="13"/>
      <c r="P459" s="13"/>
      <c r="Q459" s="13"/>
      <c r="R459" s="13"/>
      <c r="S459" s="13"/>
      <c r="T459" s="13"/>
    </row>
    <row r="460" spans="2:20" x14ac:dyDescent="0.25">
      <c r="B460" s="13"/>
      <c r="C460" s="13"/>
      <c r="D460" s="13"/>
      <c r="E460" s="13"/>
      <c r="F460" s="13"/>
      <c r="G460" s="13"/>
      <c r="H460" s="13"/>
      <c r="I460" s="13"/>
      <c r="J460" s="13"/>
      <c r="K460" s="13"/>
      <c r="L460" s="13"/>
      <c r="M460" s="13"/>
      <c r="N460" s="13"/>
      <c r="O460" s="13"/>
      <c r="P460" s="13"/>
      <c r="Q460" s="13"/>
      <c r="R460" s="13"/>
      <c r="S460" s="13"/>
      <c r="T460" s="13"/>
    </row>
    <row r="461" spans="2:20" x14ac:dyDescent="0.25">
      <c r="B461" s="13"/>
      <c r="C461" s="13"/>
      <c r="D461" s="13"/>
      <c r="E461" s="13"/>
      <c r="F461" s="13"/>
      <c r="G461" s="13"/>
      <c r="H461" s="13"/>
      <c r="I461" s="13"/>
      <c r="J461" s="13"/>
      <c r="K461" s="13"/>
      <c r="L461" s="13"/>
      <c r="M461" s="13"/>
      <c r="N461" s="13"/>
      <c r="O461" s="13"/>
      <c r="P461" s="13"/>
      <c r="Q461" s="13"/>
      <c r="R461" s="13"/>
      <c r="S461" s="13"/>
      <c r="T461" s="13"/>
    </row>
    <row r="462" spans="2:20" x14ac:dyDescent="0.25">
      <c r="B462" s="13"/>
      <c r="C462" s="13"/>
      <c r="D462" s="13"/>
      <c r="E462" s="13"/>
      <c r="F462" s="13"/>
      <c r="G462" s="13"/>
      <c r="H462" s="13"/>
      <c r="I462" s="13"/>
      <c r="J462" s="13"/>
      <c r="K462" s="13"/>
      <c r="L462" s="13"/>
      <c r="M462" s="13"/>
      <c r="N462" s="13"/>
      <c r="O462" s="13"/>
      <c r="P462" s="13"/>
      <c r="Q462" s="13"/>
      <c r="R462" s="13"/>
      <c r="S462" s="13"/>
      <c r="T462" s="13"/>
    </row>
    <row r="463" spans="2:20" x14ac:dyDescent="0.25">
      <c r="B463" s="13"/>
      <c r="C463" s="13"/>
      <c r="D463" s="13"/>
      <c r="E463" s="13"/>
      <c r="F463" s="13"/>
      <c r="G463" s="13"/>
      <c r="H463" s="13"/>
      <c r="I463" s="13"/>
      <c r="J463" s="13"/>
      <c r="K463" s="13"/>
      <c r="L463" s="13"/>
      <c r="M463" s="13"/>
      <c r="N463" s="13"/>
      <c r="O463" s="13"/>
      <c r="P463" s="13"/>
      <c r="Q463" s="13"/>
      <c r="R463" s="13"/>
      <c r="S463" s="13"/>
      <c r="T463" s="13"/>
    </row>
    <row r="464" spans="2:20" x14ac:dyDescent="0.25">
      <c r="B464" s="13"/>
      <c r="C464" s="13"/>
      <c r="D464" s="13"/>
      <c r="E464" s="13"/>
      <c r="F464" s="13"/>
      <c r="G464" s="13"/>
      <c r="H464" s="13"/>
      <c r="I464" s="13"/>
      <c r="J464" s="13"/>
      <c r="K464" s="13"/>
      <c r="L464" s="13"/>
      <c r="M464" s="13"/>
      <c r="N464" s="13"/>
      <c r="O464" s="13"/>
      <c r="P464" s="13"/>
      <c r="Q464" s="13"/>
      <c r="R464" s="13"/>
      <c r="S464" s="13"/>
      <c r="T464" s="13"/>
    </row>
    <row r="465" spans="2:20" x14ac:dyDescent="0.25">
      <c r="B465" s="13"/>
      <c r="C465" s="13"/>
      <c r="D465" s="13"/>
      <c r="E465" s="13"/>
      <c r="F465" s="13"/>
      <c r="G465" s="13"/>
      <c r="H465" s="13"/>
      <c r="I465" s="13"/>
      <c r="J465" s="13"/>
      <c r="K465" s="13"/>
      <c r="L465" s="13"/>
      <c r="M465" s="13"/>
      <c r="N465" s="13"/>
      <c r="O465" s="13"/>
      <c r="P465" s="13"/>
      <c r="Q465" s="13"/>
      <c r="R465" s="13"/>
      <c r="S465" s="13"/>
      <c r="T465" s="13"/>
    </row>
    <row r="466" spans="2:20" x14ac:dyDescent="0.25">
      <c r="B466" s="13"/>
      <c r="C466" s="13"/>
      <c r="D466" s="13"/>
      <c r="E466" s="13"/>
      <c r="F466" s="13"/>
      <c r="G466" s="13"/>
      <c r="H466" s="13"/>
      <c r="I466" s="13"/>
      <c r="J466" s="13"/>
      <c r="K466" s="13"/>
      <c r="L466" s="13"/>
      <c r="M466" s="13"/>
      <c r="N466" s="13"/>
      <c r="O466" s="13"/>
      <c r="P466" s="13"/>
      <c r="Q466" s="13"/>
      <c r="R466" s="13"/>
      <c r="S466" s="13"/>
      <c r="T466" s="13"/>
    </row>
    <row r="467" spans="2:20" x14ac:dyDescent="0.25">
      <c r="B467" s="13"/>
      <c r="C467" s="13"/>
      <c r="D467" s="13"/>
      <c r="E467" s="13"/>
      <c r="F467" s="13"/>
      <c r="G467" s="13"/>
      <c r="H467" s="13"/>
      <c r="I467" s="13"/>
      <c r="J467" s="13"/>
      <c r="K467" s="13"/>
      <c r="L467" s="13"/>
      <c r="M467" s="13"/>
      <c r="N467" s="13"/>
      <c r="O467" s="13"/>
      <c r="P467" s="13"/>
      <c r="Q467" s="13"/>
      <c r="R467" s="13"/>
      <c r="S467" s="13"/>
      <c r="T467" s="13"/>
    </row>
    <row r="468" spans="2:20" x14ac:dyDescent="0.25">
      <c r="B468" s="13"/>
      <c r="C468" s="13"/>
      <c r="D468" s="13"/>
      <c r="E468" s="13"/>
      <c r="F468" s="13"/>
      <c r="G468" s="13"/>
      <c r="H468" s="13"/>
      <c r="I468" s="13"/>
      <c r="J468" s="13"/>
      <c r="K468" s="13"/>
      <c r="L468" s="13"/>
      <c r="M468" s="13"/>
      <c r="N468" s="13"/>
      <c r="O468" s="13"/>
      <c r="P468" s="13"/>
      <c r="Q468" s="13"/>
      <c r="R468" s="13"/>
      <c r="S468" s="13"/>
      <c r="T468" s="13"/>
    </row>
    <row r="469" spans="2:20" x14ac:dyDescent="0.25">
      <c r="B469" s="13"/>
      <c r="C469" s="13"/>
      <c r="D469" s="13"/>
      <c r="E469" s="13"/>
      <c r="F469" s="13"/>
      <c r="G469" s="13"/>
      <c r="H469" s="13"/>
      <c r="I469" s="13"/>
      <c r="J469" s="13"/>
      <c r="K469" s="13"/>
      <c r="L469" s="13"/>
      <c r="M469" s="13"/>
      <c r="N469" s="13"/>
      <c r="O469" s="13"/>
      <c r="P469" s="13"/>
      <c r="Q469" s="13"/>
      <c r="R469" s="13"/>
      <c r="S469" s="13"/>
      <c r="T469" s="13"/>
    </row>
    <row r="470" spans="2:20" x14ac:dyDescent="0.25">
      <c r="B470" s="13"/>
      <c r="C470" s="13"/>
      <c r="D470" s="13"/>
      <c r="E470" s="13"/>
      <c r="F470" s="13"/>
      <c r="G470" s="13"/>
      <c r="H470" s="13"/>
      <c r="I470" s="13"/>
      <c r="J470" s="13"/>
      <c r="K470" s="13"/>
      <c r="L470" s="13"/>
      <c r="M470" s="13"/>
      <c r="N470" s="13"/>
      <c r="O470" s="13"/>
      <c r="P470" s="13"/>
      <c r="Q470" s="13"/>
      <c r="R470" s="13"/>
      <c r="S470" s="13"/>
      <c r="T470" s="13"/>
    </row>
    <row r="471" spans="2:20" x14ac:dyDescent="0.25">
      <c r="B471" s="13"/>
      <c r="C471" s="13"/>
      <c r="D471" s="13"/>
      <c r="E471" s="13"/>
      <c r="F471" s="13"/>
      <c r="G471" s="13"/>
      <c r="H471" s="13"/>
      <c r="I471" s="13"/>
      <c r="J471" s="13"/>
      <c r="K471" s="13"/>
      <c r="L471" s="13"/>
      <c r="M471" s="13"/>
      <c r="N471" s="13"/>
      <c r="O471" s="13"/>
      <c r="P471" s="13"/>
      <c r="Q471" s="13"/>
      <c r="R471" s="13"/>
      <c r="S471" s="13"/>
      <c r="T471" s="13"/>
    </row>
    <row r="472" spans="2:20" x14ac:dyDescent="0.25">
      <c r="B472" s="13"/>
      <c r="C472" s="13"/>
      <c r="D472" s="13"/>
      <c r="E472" s="13"/>
      <c r="F472" s="13"/>
      <c r="G472" s="13"/>
      <c r="H472" s="13"/>
      <c r="I472" s="13"/>
      <c r="J472" s="13"/>
      <c r="K472" s="13"/>
      <c r="L472" s="13"/>
      <c r="M472" s="13"/>
      <c r="N472" s="13"/>
      <c r="O472" s="13"/>
      <c r="P472" s="13"/>
      <c r="Q472" s="13"/>
      <c r="R472" s="13"/>
      <c r="S472" s="13"/>
      <c r="T472" s="13"/>
    </row>
    <row r="473" spans="2:20" x14ac:dyDescent="0.25">
      <c r="B473" s="13"/>
      <c r="C473" s="13"/>
      <c r="D473" s="13"/>
      <c r="E473" s="13"/>
      <c r="F473" s="13"/>
      <c r="G473" s="13"/>
      <c r="H473" s="13"/>
      <c r="I473" s="13"/>
      <c r="J473" s="13"/>
      <c r="K473" s="13"/>
      <c r="L473" s="13"/>
      <c r="M473" s="13"/>
      <c r="N473" s="13"/>
      <c r="O473" s="13"/>
      <c r="P473" s="13"/>
      <c r="Q473" s="13"/>
      <c r="R473" s="13"/>
      <c r="S473" s="13"/>
      <c r="T473" s="13"/>
    </row>
    <row r="474" spans="2:20" x14ac:dyDescent="0.25">
      <c r="B474" s="13"/>
      <c r="C474" s="13"/>
      <c r="D474" s="13"/>
      <c r="E474" s="13"/>
      <c r="F474" s="13"/>
      <c r="G474" s="13"/>
      <c r="H474" s="13"/>
      <c r="I474" s="13"/>
      <c r="J474" s="13"/>
      <c r="K474" s="13"/>
      <c r="L474" s="13"/>
      <c r="M474" s="13"/>
      <c r="N474" s="13"/>
      <c r="O474" s="13"/>
      <c r="P474" s="13"/>
      <c r="Q474" s="13"/>
      <c r="R474" s="13"/>
      <c r="S474" s="13"/>
      <c r="T474" s="13"/>
    </row>
    <row r="475" spans="2:20" x14ac:dyDescent="0.25">
      <c r="B475" s="13"/>
      <c r="C475" s="13"/>
      <c r="D475" s="13"/>
      <c r="E475" s="13"/>
      <c r="F475" s="13"/>
      <c r="G475" s="13"/>
      <c r="H475" s="13"/>
      <c r="I475" s="13"/>
      <c r="J475" s="13"/>
      <c r="K475" s="13"/>
      <c r="L475" s="13"/>
      <c r="M475" s="13"/>
      <c r="N475" s="13"/>
      <c r="O475" s="13"/>
      <c r="P475" s="13"/>
      <c r="Q475" s="13"/>
      <c r="R475" s="13"/>
      <c r="S475" s="13"/>
      <c r="T475" s="13"/>
    </row>
    <row r="476" spans="2:20" x14ac:dyDescent="0.25">
      <c r="B476" s="13"/>
      <c r="C476" s="13"/>
      <c r="D476" s="13"/>
      <c r="E476" s="13"/>
      <c r="F476" s="13"/>
      <c r="G476" s="13"/>
      <c r="H476" s="13"/>
      <c r="I476" s="13"/>
      <c r="J476" s="13"/>
      <c r="K476" s="13"/>
      <c r="L476" s="13"/>
      <c r="M476" s="13"/>
      <c r="N476" s="13"/>
      <c r="O476" s="13"/>
      <c r="P476" s="13"/>
      <c r="Q476" s="13"/>
      <c r="R476" s="13"/>
      <c r="S476" s="13"/>
      <c r="T476" s="13"/>
    </row>
    <row r="477" spans="2:20" x14ac:dyDescent="0.25">
      <c r="B477" s="13"/>
      <c r="C477" s="13"/>
      <c r="D477" s="13"/>
      <c r="E477" s="13"/>
      <c r="F477" s="13"/>
      <c r="G477" s="13"/>
      <c r="H477" s="13"/>
      <c r="I477" s="13"/>
      <c r="J477" s="13"/>
      <c r="K477" s="13"/>
      <c r="L477" s="13"/>
      <c r="M477" s="13"/>
      <c r="N477" s="13"/>
      <c r="O477" s="13"/>
      <c r="P477" s="13"/>
      <c r="Q477" s="13"/>
      <c r="R477" s="13"/>
      <c r="S477" s="13"/>
      <c r="T477" s="13"/>
    </row>
    <row r="478" spans="2:20" x14ac:dyDescent="0.25">
      <c r="B478" s="13"/>
      <c r="C478" s="13"/>
      <c r="D478" s="13"/>
      <c r="E478" s="13"/>
      <c r="F478" s="13"/>
      <c r="G478" s="13"/>
      <c r="H478" s="13"/>
      <c r="I478" s="13"/>
      <c r="J478" s="13"/>
      <c r="K478" s="13"/>
      <c r="L478" s="13"/>
      <c r="M478" s="13"/>
      <c r="N478" s="13"/>
      <c r="O478" s="13"/>
      <c r="P478" s="13"/>
      <c r="Q478" s="13"/>
      <c r="R478" s="13"/>
      <c r="S478" s="13"/>
      <c r="T478" s="13"/>
    </row>
    <row r="479" spans="2:20" x14ac:dyDescent="0.25">
      <c r="B479" s="13"/>
      <c r="C479" s="13"/>
      <c r="D479" s="13"/>
      <c r="E479" s="13"/>
      <c r="F479" s="13"/>
      <c r="G479" s="13"/>
      <c r="H479" s="13"/>
      <c r="I479" s="13"/>
      <c r="J479" s="13"/>
      <c r="K479" s="13"/>
      <c r="L479" s="13"/>
      <c r="M479" s="13"/>
      <c r="N479" s="13"/>
      <c r="O479" s="13"/>
      <c r="P479" s="13"/>
      <c r="Q479" s="13"/>
      <c r="R479" s="13"/>
      <c r="S479" s="13"/>
      <c r="T479" s="13"/>
    </row>
    <row r="480" spans="2:20" x14ac:dyDescent="0.25">
      <c r="B480" s="13"/>
      <c r="C480" s="13"/>
      <c r="D480" s="13"/>
      <c r="E480" s="13"/>
      <c r="F480" s="13"/>
      <c r="G480" s="13"/>
      <c r="H480" s="13"/>
      <c r="I480" s="13"/>
      <c r="J480" s="13"/>
      <c r="K480" s="13"/>
      <c r="L480" s="13"/>
      <c r="M480" s="13"/>
      <c r="N480" s="13"/>
      <c r="O480" s="13"/>
      <c r="P480" s="13"/>
      <c r="Q480" s="13"/>
      <c r="R480" s="13"/>
      <c r="S480" s="13"/>
      <c r="T480" s="13"/>
    </row>
    <row r="481" spans="2:20" x14ac:dyDescent="0.25">
      <c r="B481" s="13"/>
      <c r="C481" s="13"/>
      <c r="D481" s="13"/>
      <c r="E481" s="13"/>
      <c r="F481" s="13"/>
      <c r="G481" s="13"/>
      <c r="H481" s="13"/>
      <c r="I481" s="13"/>
      <c r="J481" s="13"/>
      <c r="K481" s="13"/>
      <c r="L481" s="13"/>
      <c r="M481" s="13"/>
      <c r="N481" s="13"/>
      <c r="O481" s="13"/>
      <c r="P481" s="13"/>
      <c r="Q481" s="13"/>
      <c r="R481" s="13"/>
      <c r="S481" s="13"/>
      <c r="T481" s="13"/>
    </row>
    <row r="482" spans="2:20" x14ac:dyDescent="0.25">
      <c r="B482" s="13"/>
      <c r="C482" s="13"/>
      <c r="D482" s="13"/>
      <c r="E482" s="13"/>
      <c r="F482" s="13"/>
      <c r="G482" s="13"/>
      <c r="H482" s="13"/>
      <c r="I482" s="13"/>
      <c r="J482" s="13"/>
      <c r="K482" s="13"/>
      <c r="L482" s="13"/>
      <c r="M482" s="13"/>
      <c r="N482" s="13"/>
      <c r="O482" s="13"/>
      <c r="P482" s="13"/>
      <c r="Q482" s="13"/>
      <c r="R482" s="13"/>
      <c r="S482" s="13"/>
      <c r="T482" s="13"/>
    </row>
    <row r="483" spans="2:20" x14ac:dyDescent="0.25">
      <c r="B483" s="13"/>
      <c r="C483" s="13"/>
      <c r="D483" s="13"/>
      <c r="E483" s="13"/>
      <c r="F483" s="13"/>
      <c r="G483" s="13"/>
      <c r="H483" s="13"/>
      <c r="I483" s="13"/>
      <c r="J483" s="13"/>
      <c r="K483" s="13"/>
      <c r="L483" s="13"/>
      <c r="M483" s="13"/>
      <c r="N483" s="13"/>
      <c r="O483" s="13"/>
      <c r="P483" s="13"/>
      <c r="Q483" s="13"/>
      <c r="R483" s="13"/>
      <c r="S483" s="13"/>
      <c r="T483" s="13"/>
    </row>
    <row r="484" spans="2:20" x14ac:dyDescent="0.25">
      <c r="B484" s="13"/>
      <c r="C484" s="13"/>
      <c r="D484" s="13"/>
      <c r="E484" s="13"/>
      <c r="F484" s="13"/>
      <c r="G484" s="13"/>
      <c r="H484" s="13"/>
      <c r="I484" s="13"/>
      <c r="J484" s="13"/>
      <c r="K484" s="13"/>
      <c r="L484" s="13"/>
      <c r="M484" s="13"/>
      <c r="N484" s="13"/>
      <c r="O484" s="13"/>
      <c r="P484" s="13"/>
      <c r="Q484" s="13"/>
      <c r="R484" s="13"/>
      <c r="S484" s="13"/>
      <c r="T484" s="13"/>
    </row>
    <row r="485" spans="2:20" x14ac:dyDescent="0.25">
      <c r="B485" s="13"/>
      <c r="C485" s="13"/>
      <c r="D485" s="13"/>
      <c r="E485" s="13"/>
      <c r="F485" s="13"/>
      <c r="G485" s="13"/>
      <c r="H485" s="13"/>
      <c r="I485" s="13"/>
      <c r="J485" s="13"/>
      <c r="K485" s="13"/>
      <c r="L485" s="13"/>
      <c r="M485" s="13"/>
      <c r="N485" s="13"/>
      <c r="O485" s="13"/>
      <c r="P485" s="13"/>
      <c r="Q485" s="13"/>
      <c r="R485" s="13"/>
      <c r="S485" s="13"/>
      <c r="T485" s="13"/>
    </row>
    <row r="486" spans="2:20" x14ac:dyDescent="0.25">
      <c r="B486" s="13"/>
      <c r="C486" s="13"/>
      <c r="D486" s="13"/>
      <c r="E486" s="13"/>
      <c r="F486" s="13"/>
      <c r="G486" s="13"/>
      <c r="H486" s="13"/>
      <c r="I486" s="13"/>
      <c r="J486" s="13"/>
      <c r="K486" s="13"/>
      <c r="L486" s="13"/>
      <c r="M486" s="13"/>
      <c r="N486" s="13"/>
      <c r="O486" s="13"/>
      <c r="P486" s="13"/>
      <c r="Q486" s="13"/>
      <c r="R486" s="13"/>
      <c r="S486" s="13"/>
      <c r="T486" s="13"/>
    </row>
    <row r="487" spans="2:20" x14ac:dyDescent="0.25">
      <c r="B487" s="13"/>
      <c r="C487" s="13"/>
      <c r="D487" s="13"/>
      <c r="E487" s="13"/>
      <c r="F487" s="13"/>
      <c r="G487" s="13"/>
      <c r="H487" s="13"/>
      <c r="I487" s="13"/>
      <c r="J487" s="13"/>
      <c r="K487" s="13"/>
      <c r="L487" s="13"/>
      <c r="M487" s="13"/>
      <c r="N487" s="13"/>
      <c r="O487" s="13"/>
      <c r="P487" s="13"/>
      <c r="Q487" s="13"/>
      <c r="R487" s="13"/>
      <c r="S487" s="13"/>
      <c r="T487" s="13"/>
    </row>
    <row r="488" spans="2:20" x14ac:dyDescent="0.25">
      <c r="B488" s="13"/>
      <c r="C488" s="13"/>
      <c r="D488" s="13"/>
      <c r="E488" s="13"/>
      <c r="F488" s="13"/>
      <c r="G488" s="13"/>
      <c r="H488" s="13"/>
      <c r="I488" s="13"/>
      <c r="J488" s="13"/>
      <c r="K488" s="13"/>
      <c r="L488" s="13"/>
      <c r="M488" s="13"/>
      <c r="N488" s="13"/>
      <c r="O488" s="13"/>
      <c r="P488" s="13"/>
      <c r="Q488" s="13"/>
      <c r="R488" s="13"/>
      <c r="S488" s="13"/>
      <c r="T488" s="13"/>
    </row>
    <row r="489" spans="2:20" x14ac:dyDescent="0.25">
      <c r="B489" s="13"/>
      <c r="C489" s="13"/>
      <c r="D489" s="13"/>
      <c r="E489" s="13"/>
      <c r="F489" s="13"/>
      <c r="G489" s="13"/>
      <c r="H489" s="13"/>
      <c r="I489" s="13"/>
      <c r="J489" s="13"/>
      <c r="K489" s="13"/>
      <c r="L489" s="13"/>
      <c r="M489" s="13"/>
      <c r="N489" s="13"/>
      <c r="O489" s="13"/>
      <c r="P489" s="13"/>
      <c r="Q489" s="13"/>
      <c r="R489" s="13"/>
      <c r="S489" s="13"/>
      <c r="T489" s="13"/>
    </row>
    <row r="490" spans="2:20" x14ac:dyDescent="0.25">
      <c r="B490" s="13"/>
      <c r="C490" s="13"/>
      <c r="D490" s="13"/>
      <c r="E490" s="13"/>
      <c r="F490" s="13"/>
      <c r="G490" s="13"/>
      <c r="H490" s="13"/>
      <c r="I490" s="13"/>
      <c r="J490" s="13"/>
      <c r="K490" s="13"/>
      <c r="L490" s="13"/>
      <c r="M490" s="13"/>
      <c r="N490" s="13"/>
      <c r="O490" s="13"/>
      <c r="P490" s="13"/>
      <c r="Q490" s="13"/>
      <c r="R490" s="13"/>
      <c r="S490" s="13"/>
      <c r="T490" s="13"/>
    </row>
    <row r="491" spans="2:20" x14ac:dyDescent="0.25">
      <c r="B491" s="13"/>
      <c r="C491" s="13"/>
      <c r="D491" s="13"/>
      <c r="E491" s="13"/>
      <c r="F491" s="13"/>
      <c r="G491" s="13"/>
      <c r="H491" s="13"/>
      <c r="I491" s="13"/>
      <c r="J491" s="13"/>
      <c r="K491" s="13"/>
      <c r="L491" s="13"/>
      <c r="M491" s="13"/>
      <c r="N491" s="13"/>
      <c r="O491" s="13"/>
      <c r="P491" s="13"/>
      <c r="Q491" s="13"/>
      <c r="R491" s="13"/>
      <c r="S491" s="13"/>
      <c r="T491" s="13"/>
    </row>
    <row r="492" spans="2:20" x14ac:dyDescent="0.25">
      <c r="B492" s="13"/>
      <c r="C492" s="13"/>
      <c r="D492" s="13"/>
      <c r="E492" s="13"/>
      <c r="F492" s="13"/>
      <c r="G492" s="13"/>
      <c r="H492" s="13"/>
      <c r="I492" s="13"/>
      <c r="J492" s="13"/>
      <c r="K492" s="13"/>
      <c r="L492" s="13"/>
      <c r="M492" s="13"/>
      <c r="N492" s="13"/>
      <c r="O492" s="13"/>
      <c r="P492" s="13"/>
      <c r="Q492" s="13"/>
      <c r="R492" s="13"/>
      <c r="S492" s="13"/>
      <c r="T492" s="13"/>
    </row>
    <row r="493" spans="2:20" x14ac:dyDescent="0.25">
      <c r="B493" s="13"/>
      <c r="C493" s="13"/>
      <c r="D493" s="13"/>
      <c r="E493" s="13"/>
      <c r="F493" s="13"/>
      <c r="G493" s="13"/>
      <c r="H493" s="13"/>
      <c r="I493" s="13"/>
      <c r="J493" s="13"/>
      <c r="K493" s="13"/>
      <c r="L493" s="13"/>
      <c r="M493" s="13"/>
      <c r="N493" s="13"/>
      <c r="O493" s="13"/>
      <c r="P493" s="13"/>
      <c r="Q493" s="13"/>
      <c r="R493" s="13"/>
      <c r="S493" s="13"/>
      <c r="T493" s="13"/>
    </row>
    <row r="494" spans="2:20" x14ac:dyDescent="0.25">
      <c r="B494" s="13"/>
      <c r="C494" s="13"/>
      <c r="D494" s="13"/>
      <c r="E494" s="13"/>
      <c r="F494" s="13"/>
      <c r="G494" s="13"/>
      <c r="H494" s="13"/>
      <c r="I494" s="13"/>
      <c r="J494" s="13"/>
      <c r="K494" s="13"/>
      <c r="L494" s="13"/>
      <c r="M494" s="13"/>
      <c r="N494" s="13"/>
      <c r="O494" s="13"/>
      <c r="P494" s="13"/>
      <c r="Q494" s="13"/>
      <c r="R494" s="13"/>
      <c r="S494" s="13"/>
      <c r="T494" s="13"/>
    </row>
    <row r="495" spans="2:20" x14ac:dyDescent="0.25">
      <c r="B495" s="13"/>
      <c r="C495" s="13"/>
      <c r="D495" s="13"/>
      <c r="E495" s="13"/>
      <c r="F495" s="13"/>
      <c r="G495" s="13"/>
      <c r="H495" s="13"/>
      <c r="I495" s="13"/>
      <c r="J495" s="13"/>
      <c r="K495" s="13"/>
      <c r="L495" s="13"/>
      <c r="M495" s="13"/>
      <c r="N495" s="13"/>
      <c r="O495" s="13"/>
      <c r="P495" s="13"/>
      <c r="Q495" s="13"/>
      <c r="R495" s="13"/>
      <c r="S495" s="13"/>
      <c r="T495" s="13"/>
    </row>
    <row r="496" spans="2:20" x14ac:dyDescent="0.25">
      <c r="B496" s="13"/>
      <c r="C496" s="13"/>
      <c r="D496" s="13"/>
      <c r="E496" s="13"/>
      <c r="F496" s="13"/>
      <c r="G496" s="13"/>
      <c r="H496" s="13"/>
      <c r="I496" s="13"/>
      <c r="J496" s="13"/>
      <c r="K496" s="13"/>
      <c r="L496" s="13"/>
      <c r="M496" s="13"/>
      <c r="N496" s="13"/>
      <c r="O496" s="13"/>
      <c r="P496" s="13"/>
      <c r="Q496" s="13"/>
      <c r="R496" s="13"/>
      <c r="S496" s="13"/>
      <c r="T496" s="13"/>
    </row>
    <row r="497" spans="2:20" x14ac:dyDescent="0.25">
      <c r="B497" s="13"/>
      <c r="C497" s="13"/>
      <c r="D497" s="13"/>
      <c r="E497" s="13"/>
      <c r="F497" s="13"/>
      <c r="G497" s="13"/>
      <c r="H497" s="13"/>
      <c r="I497" s="13"/>
      <c r="J497" s="13"/>
      <c r="K497" s="13"/>
      <c r="L497" s="13"/>
      <c r="M497" s="13"/>
      <c r="N497" s="13"/>
      <c r="O497" s="13"/>
      <c r="P497" s="13"/>
      <c r="Q497" s="13"/>
      <c r="R497" s="13"/>
      <c r="S497" s="13"/>
      <c r="T497" s="13"/>
    </row>
    <row r="498" spans="2:20" x14ac:dyDescent="0.25">
      <c r="B498" s="13"/>
      <c r="C498" s="13"/>
      <c r="D498" s="13"/>
      <c r="E498" s="13"/>
      <c r="F498" s="13"/>
      <c r="G498" s="13"/>
      <c r="H498" s="13"/>
      <c r="I498" s="13"/>
      <c r="J498" s="13"/>
      <c r="K498" s="13"/>
      <c r="L498" s="13"/>
      <c r="M498" s="13"/>
      <c r="N498" s="13"/>
      <c r="O498" s="13"/>
      <c r="P498" s="13"/>
      <c r="Q498" s="13"/>
      <c r="R498" s="13"/>
      <c r="S498" s="13"/>
      <c r="T498" s="13"/>
    </row>
    <row r="499" spans="2:20" x14ac:dyDescent="0.25">
      <c r="B499" s="13"/>
      <c r="C499" s="13"/>
      <c r="D499" s="13"/>
      <c r="E499" s="13"/>
      <c r="F499" s="13"/>
      <c r="G499" s="13"/>
      <c r="H499" s="13"/>
      <c r="I499" s="13"/>
      <c r="J499" s="13"/>
      <c r="K499" s="13"/>
      <c r="L499" s="13"/>
      <c r="M499" s="13"/>
      <c r="N499" s="13"/>
      <c r="O499" s="13"/>
      <c r="P499" s="13"/>
      <c r="Q499" s="13"/>
      <c r="R499" s="13"/>
      <c r="S499" s="13"/>
      <c r="T499" s="13"/>
    </row>
    <row r="500" spans="2:20" x14ac:dyDescent="0.25">
      <c r="B500" s="13"/>
      <c r="C500" s="13"/>
      <c r="D500" s="13"/>
      <c r="E500" s="13"/>
      <c r="F500" s="13"/>
      <c r="G500" s="13"/>
      <c r="H500" s="13"/>
      <c r="I500" s="13"/>
      <c r="J500" s="13"/>
      <c r="K500" s="13"/>
      <c r="L500" s="13"/>
      <c r="M500" s="13"/>
      <c r="N500" s="13"/>
      <c r="O500" s="13"/>
      <c r="P500" s="13"/>
      <c r="Q500" s="13"/>
      <c r="R500" s="13"/>
      <c r="S500" s="13"/>
      <c r="T500" s="13"/>
    </row>
    <row r="501" spans="2:20" x14ac:dyDescent="0.25">
      <c r="B501" s="13"/>
      <c r="C501" s="13"/>
      <c r="D501" s="13"/>
      <c r="E501" s="13"/>
      <c r="F501" s="13"/>
      <c r="G501" s="13"/>
      <c r="H501" s="13"/>
      <c r="I501" s="13"/>
      <c r="J501" s="13"/>
      <c r="K501" s="13"/>
      <c r="L501" s="13"/>
      <c r="M501" s="13"/>
      <c r="N501" s="13"/>
      <c r="O501" s="13"/>
      <c r="P501" s="13"/>
      <c r="Q501" s="13"/>
      <c r="R501" s="13"/>
      <c r="S501" s="13"/>
      <c r="T501" s="13"/>
    </row>
    <row r="502" spans="2:20" x14ac:dyDescent="0.25">
      <c r="B502" s="13"/>
      <c r="C502" s="13"/>
      <c r="D502" s="13"/>
      <c r="E502" s="13"/>
      <c r="F502" s="13"/>
      <c r="G502" s="13"/>
      <c r="H502" s="13"/>
      <c r="I502" s="13"/>
      <c r="J502" s="13"/>
      <c r="K502" s="13"/>
      <c r="L502" s="13"/>
      <c r="M502" s="13"/>
      <c r="N502" s="13"/>
      <c r="O502" s="13"/>
      <c r="P502" s="13"/>
      <c r="Q502" s="13"/>
      <c r="R502" s="13"/>
      <c r="S502" s="13"/>
      <c r="T502" s="13"/>
    </row>
    <row r="503" spans="2:20" x14ac:dyDescent="0.25">
      <c r="B503" s="13"/>
      <c r="C503" s="13"/>
      <c r="D503" s="13"/>
      <c r="E503" s="13"/>
      <c r="F503" s="13"/>
      <c r="G503" s="13"/>
      <c r="H503" s="13"/>
      <c r="I503" s="13"/>
      <c r="J503" s="13"/>
      <c r="K503" s="13"/>
      <c r="L503" s="13"/>
      <c r="M503" s="13"/>
      <c r="N503" s="13"/>
      <c r="O503" s="13"/>
      <c r="P503" s="13"/>
      <c r="Q503" s="13"/>
      <c r="R503" s="13"/>
      <c r="S503" s="13"/>
      <c r="T503" s="13"/>
    </row>
    <row r="504" spans="2:20" x14ac:dyDescent="0.25">
      <c r="B504" s="13"/>
      <c r="C504" s="13"/>
      <c r="D504" s="13"/>
      <c r="E504" s="13"/>
      <c r="F504" s="13"/>
      <c r="G504" s="13"/>
      <c r="H504" s="13"/>
      <c r="I504" s="13"/>
      <c r="J504" s="13"/>
      <c r="K504" s="13"/>
      <c r="L504" s="13"/>
      <c r="M504" s="13"/>
      <c r="N504" s="13"/>
      <c r="O504" s="13"/>
      <c r="P504" s="13"/>
      <c r="Q504" s="13"/>
      <c r="R504" s="13"/>
      <c r="S504" s="13"/>
      <c r="T504" s="13"/>
    </row>
    <row r="505" spans="2:20" x14ac:dyDescent="0.25">
      <c r="B505" s="13"/>
      <c r="C505" s="13"/>
      <c r="D505" s="13"/>
      <c r="E505" s="13"/>
      <c r="F505" s="13"/>
      <c r="G505" s="13"/>
      <c r="H505" s="13"/>
      <c r="I505" s="13"/>
      <c r="J505" s="13"/>
      <c r="K505" s="13"/>
      <c r="L505" s="13"/>
      <c r="M505" s="13"/>
      <c r="N505" s="13"/>
      <c r="O505" s="13"/>
      <c r="P505" s="13"/>
      <c r="Q505" s="13"/>
      <c r="R505" s="13"/>
      <c r="S505" s="13"/>
      <c r="T505" s="13"/>
    </row>
    <row r="506" spans="2:20" x14ac:dyDescent="0.25">
      <c r="B506" s="13"/>
      <c r="C506" s="13"/>
      <c r="D506" s="13"/>
      <c r="E506" s="13"/>
      <c r="F506" s="13"/>
      <c r="G506" s="13"/>
      <c r="H506" s="13"/>
      <c r="I506" s="13"/>
      <c r="J506" s="13"/>
      <c r="K506" s="13"/>
      <c r="L506" s="13"/>
      <c r="M506" s="13"/>
      <c r="N506" s="13"/>
      <c r="O506" s="13"/>
      <c r="P506" s="13"/>
      <c r="Q506" s="13"/>
      <c r="R506" s="13"/>
      <c r="S506" s="13"/>
      <c r="T506" s="13"/>
    </row>
    <row r="507" spans="2:20" x14ac:dyDescent="0.25">
      <c r="B507" s="13"/>
      <c r="C507" s="13"/>
      <c r="D507" s="13"/>
      <c r="E507" s="13"/>
      <c r="F507" s="13"/>
      <c r="G507" s="13"/>
      <c r="H507" s="13"/>
      <c r="I507" s="13"/>
      <c r="J507" s="13"/>
      <c r="K507" s="13"/>
      <c r="L507" s="13"/>
      <c r="M507" s="13"/>
      <c r="N507" s="13"/>
      <c r="O507" s="13"/>
      <c r="P507" s="13"/>
      <c r="Q507" s="13"/>
      <c r="R507" s="13"/>
      <c r="S507" s="13"/>
      <c r="T507" s="13"/>
    </row>
    <row r="508" spans="2:20" x14ac:dyDescent="0.25">
      <c r="B508" s="13"/>
      <c r="C508" s="13"/>
      <c r="D508" s="13"/>
      <c r="E508" s="13"/>
      <c r="F508" s="13"/>
      <c r="G508" s="13"/>
      <c r="H508" s="13"/>
      <c r="I508" s="13"/>
      <c r="J508" s="13"/>
      <c r="K508" s="13"/>
      <c r="L508" s="13"/>
      <c r="M508" s="13"/>
      <c r="N508" s="13"/>
      <c r="O508" s="13"/>
      <c r="P508" s="13"/>
      <c r="Q508" s="13"/>
      <c r="R508" s="13"/>
      <c r="S508" s="13"/>
      <c r="T508" s="13"/>
    </row>
    <row r="509" spans="2:20" x14ac:dyDescent="0.25">
      <c r="B509" s="13"/>
      <c r="C509" s="13"/>
      <c r="D509" s="13"/>
      <c r="E509" s="13"/>
      <c r="F509" s="13"/>
      <c r="G509" s="13"/>
      <c r="H509" s="13"/>
      <c r="I509" s="13"/>
      <c r="J509" s="13"/>
      <c r="K509" s="13"/>
      <c r="L509" s="13"/>
      <c r="M509" s="13"/>
      <c r="N509" s="13"/>
      <c r="O509" s="13"/>
      <c r="P509" s="13"/>
      <c r="Q509" s="13"/>
      <c r="R509" s="13"/>
      <c r="S509" s="13"/>
      <c r="T509" s="13"/>
    </row>
    <row r="510" spans="2:20" x14ac:dyDescent="0.25">
      <c r="B510" s="13"/>
      <c r="C510" s="13"/>
      <c r="D510" s="13"/>
      <c r="E510" s="13"/>
      <c r="F510" s="13"/>
      <c r="G510" s="13"/>
      <c r="H510" s="13"/>
      <c r="I510" s="13"/>
      <c r="J510" s="13"/>
      <c r="K510" s="13"/>
      <c r="L510" s="13"/>
      <c r="M510" s="13"/>
      <c r="N510" s="13"/>
      <c r="O510" s="13"/>
      <c r="P510" s="13"/>
      <c r="Q510" s="13"/>
      <c r="R510" s="13"/>
      <c r="S510" s="13"/>
      <c r="T510" s="13"/>
    </row>
    <row r="511" spans="2:20" x14ac:dyDescent="0.25">
      <c r="B511" s="13"/>
      <c r="C511" s="13"/>
      <c r="D511" s="13"/>
      <c r="E511" s="13"/>
      <c r="F511" s="13"/>
      <c r="G511" s="13"/>
      <c r="H511" s="13"/>
      <c r="I511" s="13"/>
      <c r="J511" s="13"/>
      <c r="K511" s="13"/>
      <c r="L511" s="13"/>
      <c r="M511" s="13"/>
      <c r="N511" s="13"/>
      <c r="O511" s="13"/>
      <c r="P511" s="13"/>
      <c r="Q511" s="13"/>
      <c r="R511" s="13"/>
      <c r="S511" s="13"/>
      <c r="T511" s="13"/>
    </row>
    <row r="512" spans="2:20" x14ac:dyDescent="0.25">
      <c r="B512" s="13"/>
      <c r="C512" s="13"/>
      <c r="D512" s="13"/>
      <c r="E512" s="13"/>
      <c r="F512" s="13"/>
      <c r="G512" s="13"/>
      <c r="H512" s="13"/>
      <c r="I512" s="13"/>
      <c r="J512" s="13"/>
      <c r="K512" s="13"/>
      <c r="L512" s="13"/>
      <c r="M512" s="13"/>
      <c r="N512" s="13"/>
      <c r="O512" s="13"/>
      <c r="P512" s="13"/>
      <c r="Q512" s="13"/>
      <c r="R512" s="13"/>
      <c r="S512" s="13"/>
      <c r="T512" s="13"/>
    </row>
    <row r="513" spans="2:20" x14ac:dyDescent="0.25">
      <c r="B513" s="13"/>
      <c r="C513" s="13"/>
      <c r="D513" s="13"/>
      <c r="E513" s="13"/>
      <c r="F513" s="13"/>
      <c r="G513" s="13"/>
      <c r="H513" s="13"/>
      <c r="I513" s="13"/>
      <c r="J513" s="13"/>
      <c r="K513" s="13"/>
      <c r="L513" s="13"/>
      <c r="M513" s="13"/>
      <c r="N513" s="13"/>
      <c r="O513" s="13"/>
      <c r="P513" s="13"/>
      <c r="Q513" s="13"/>
      <c r="R513" s="13"/>
      <c r="S513" s="13"/>
      <c r="T513" s="13"/>
    </row>
    <row r="514" spans="2:20" x14ac:dyDescent="0.25">
      <c r="B514" s="13"/>
      <c r="C514" s="13"/>
      <c r="D514" s="13"/>
      <c r="E514" s="13"/>
      <c r="F514" s="13"/>
      <c r="G514" s="13"/>
      <c r="H514" s="13"/>
      <c r="I514" s="13"/>
      <c r="J514" s="13"/>
      <c r="K514" s="13"/>
      <c r="L514" s="13"/>
      <c r="M514" s="13"/>
      <c r="N514" s="13"/>
      <c r="O514" s="13"/>
      <c r="P514" s="13"/>
      <c r="Q514" s="13"/>
      <c r="R514" s="13"/>
      <c r="S514" s="13"/>
      <c r="T514" s="13"/>
    </row>
    <row r="515" spans="2:20" x14ac:dyDescent="0.25">
      <c r="B515" s="13"/>
      <c r="C515" s="13"/>
      <c r="D515" s="13"/>
      <c r="E515" s="13"/>
      <c r="F515" s="13"/>
      <c r="G515" s="13"/>
      <c r="H515" s="13"/>
      <c r="I515" s="13"/>
      <c r="J515" s="13"/>
      <c r="K515" s="13"/>
      <c r="L515" s="13"/>
      <c r="M515" s="13"/>
      <c r="N515" s="13"/>
      <c r="O515" s="13"/>
      <c r="P515" s="13"/>
      <c r="Q515" s="13"/>
      <c r="R515" s="13"/>
      <c r="S515" s="13"/>
      <c r="T515" s="13"/>
    </row>
    <row r="516" spans="2:20" x14ac:dyDescent="0.25">
      <c r="B516" s="13"/>
      <c r="C516" s="13"/>
      <c r="D516" s="13"/>
      <c r="E516" s="13"/>
      <c r="F516" s="13"/>
      <c r="G516" s="13"/>
      <c r="H516" s="13"/>
      <c r="I516" s="13"/>
      <c r="J516" s="13"/>
      <c r="K516" s="13"/>
      <c r="L516" s="13"/>
      <c r="M516" s="13"/>
      <c r="N516" s="13"/>
      <c r="O516" s="13"/>
      <c r="P516" s="13"/>
      <c r="Q516" s="13"/>
      <c r="R516" s="13"/>
      <c r="S516" s="13"/>
      <c r="T516" s="13"/>
    </row>
    <row r="517" spans="2:20" x14ac:dyDescent="0.25">
      <c r="B517" s="13"/>
      <c r="C517" s="13"/>
      <c r="D517" s="13"/>
      <c r="E517" s="13"/>
      <c r="F517" s="13"/>
      <c r="G517" s="13"/>
      <c r="H517" s="13"/>
      <c r="I517" s="13"/>
      <c r="J517" s="13"/>
      <c r="K517" s="13"/>
      <c r="L517" s="13"/>
      <c r="M517" s="13"/>
      <c r="N517" s="13"/>
      <c r="O517" s="13"/>
      <c r="P517" s="13"/>
      <c r="Q517" s="13"/>
      <c r="R517" s="13"/>
      <c r="S517" s="13"/>
      <c r="T517" s="13"/>
    </row>
    <row r="518" spans="2:20" x14ac:dyDescent="0.25">
      <c r="B518" s="13"/>
      <c r="C518" s="13"/>
      <c r="D518" s="13"/>
      <c r="E518" s="13"/>
      <c r="F518" s="13"/>
      <c r="G518" s="13"/>
      <c r="H518" s="13"/>
      <c r="I518" s="13"/>
      <c r="J518" s="13"/>
      <c r="K518" s="13"/>
      <c r="L518" s="13"/>
      <c r="M518" s="13"/>
      <c r="N518" s="13"/>
      <c r="O518" s="13"/>
      <c r="P518" s="13"/>
      <c r="Q518" s="13"/>
      <c r="R518" s="13"/>
      <c r="S518" s="13"/>
      <c r="T518" s="13"/>
    </row>
    <row r="519" spans="2:20" x14ac:dyDescent="0.25">
      <c r="B519" s="13"/>
      <c r="C519" s="13"/>
      <c r="D519" s="13"/>
      <c r="E519" s="13"/>
      <c r="F519" s="13"/>
      <c r="G519" s="13"/>
      <c r="H519" s="13"/>
      <c r="I519" s="13"/>
      <c r="J519" s="13"/>
      <c r="K519" s="13"/>
      <c r="L519" s="13"/>
      <c r="M519" s="13"/>
      <c r="N519" s="13"/>
      <c r="O519" s="13"/>
      <c r="P519" s="13"/>
      <c r="Q519" s="13"/>
      <c r="R519" s="13"/>
      <c r="S519" s="13"/>
      <c r="T519" s="13"/>
    </row>
    <row r="520" spans="2:20" x14ac:dyDescent="0.25">
      <c r="B520" s="13"/>
      <c r="C520" s="13"/>
      <c r="D520" s="13"/>
      <c r="E520" s="13"/>
      <c r="F520" s="13"/>
      <c r="G520" s="13"/>
      <c r="H520" s="13"/>
      <c r="I520" s="13"/>
      <c r="J520" s="13"/>
      <c r="K520" s="13"/>
      <c r="L520" s="13"/>
      <c r="M520" s="13"/>
      <c r="N520" s="13"/>
      <c r="O520" s="13"/>
      <c r="P520" s="13"/>
      <c r="Q520" s="13"/>
      <c r="R520" s="13"/>
      <c r="S520" s="13"/>
      <c r="T520" s="13"/>
    </row>
    <row r="521" spans="2:20" x14ac:dyDescent="0.25">
      <c r="B521" s="13"/>
      <c r="C521" s="13"/>
      <c r="D521" s="13"/>
      <c r="E521" s="13"/>
      <c r="F521" s="13"/>
      <c r="G521" s="13"/>
      <c r="H521" s="13"/>
      <c r="I521" s="13"/>
      <c r="J521" s="13"/>
      <c r="K521" s="13"/>
      <c r="L521" s="13"/>
      <c r="M521" s="13"/>
      <c r="N521" s="13"/>
      <c r="O521" s="13"/>
      <c r="P521" s="13"/>
      <c r="Q521" s="13"/>
      <c r="R521" s="13"/>
      <c r="S521" s="13"/>
      <c r="T521" s="13"/>
    </row>
    <row r="522" spans="2:20" x14ac:dyDescent="0.25">
      <c r="B522" s="13"/>
      <c r="C522" s="13"/>
      <c r="D522" s="13"/>
      <c r="E522" s="13"/>
      <c r="F522" s="13"/>
      <c r="G522" s="13"/>
      <c r="H522" s="13"/>
      <c r="I522" s="13"/>
      <c r="J522" s="13"/>
      <c r="K522" s="13"/>
      <c r="L522" s="13"/>
      <c r="M522" s="13"/>
      <c r="N522" s="13"/>
      <c r="O522" s="13"/>
      <c r="P522" s="13"/>
      <c r="Q522" s="13"/>
      <c r="R522" s="13"/>
      <c r="S522" s="13"/>
      <c r="T522" s="13"/>
    </row>
    <row r="523" spans="2:20" x14ac:dyDescent="0.25">
      <c r="B523" s="13"/>
      <c r="C523" s="13"/>
      <c r="D523" s="13"/>
      <c r="E523" s="13"/>
      <c r="F523" s="13"/>
      <c r="G523" s="13"/>
      <c r="H523" s="13"/>
      <c r="I523" s="13"/>
      <c r="J523" s="13"/>
      <c r="K523" s="13"/>
      <c r="L523" s="13"/>
      <c r="M523" s="13"/>
      <c r="N523" s="13"/>
      <c r="O523" s="13"/>
      <c r="P523" s="13"/>
      <c r="Q523" s="13"/>
      <c r="R523" s="13"/>
      <c r="S523" s="13"/>
      <c r="T523" s="13"/>
    </row>
    <row r="524" spans="2:20" x14ac:dyDescent="0.25">
      <c r="B524" s="13"/>
      <c r="C524" s="13"/>
      <c r="D524" s="13"/>
      <c r="E524" s="13"/>
      <c r="F524" s="13"/>
      <c r="G524" s="13"/>
      <c r="H524" s="13"/>
      <c r="I524" s="13"/>
      <c r="J524" s="13"/>
      <c r="K524" s="13"/>
      <c r="L524" s="13"/>
      <c r="M524" s="13"/>
      <c r="N524" s="13"/>
      <c r="O524" s="13"/>
      <c r="P524" s="13"/>
      <c r="Q524" s="13"/>
      <c r="R524" s="13"/>
      <c r="S524" s="13"/>
      <c r="T524" s="13"/>
    </row>
    <row r="525" spans="2:20" x14ac:dyDescent="0.25">
      <c r="B525" s="13"/>
      <c r="C525" s="13"/>
      <c r="D525" s="13"/>
      <c r="E525" s="13"/>
      <c r="F525" s="13"/>
      <c r="G525" s="13"/>
      <c r="H525" s="13"/>
      <c r="I525" s="13"/>
      <c r="J525" s="13"/>
      <c r="K525" s="13"/>
      <c r="L525" s="13"/>
      <c r="M525" s="13"/>
      <c r="N525" s="13"/>
      <c r="O525" s="13"/>
      <c r="P525" s="13"/>
      <c r="Q525" s="13"/>
      <c r="R525" s="13"/>
      <c r="S525" s="13"/>
      <c r="T525" s="13"/>
    </row>
    <row r="526" spans="2:20" x14ac:dyDescent="0.25">
      <c r="B526" s="13"/>
      <c r="C526" s="13"/>
      <c r="D526" s="13"/>
      <c r="E526" s="13"/>
      <c r="F526" s="13"/>
      <c r="G526" s="13"/>
      <c r="H526" s="13"/>
      <c r="I526" s="13"/>
      <c r="J526" s="13"/>
      <c r="K526" s="13"/>
      <c r="L526" s="13"/>
      <c r="M526" s="13"/>
      <c r="N526" s="13"/>
      <c r="O526" s="13"/>
      <c r="P526" s="13"/>
      <c r="Q526" s="13"/>
      <c r="R526" s="13"/>
      <c r="S526" s="13"/>
      <c r="T526" s="13"/>
    </row>
    <row r="527" spans="2:20" x14ac:dyDescent="0.25">
      <c r="B527" s="13"/>
      <c r="C527" s="13"/>
      <c r="D527" s="13"/>
      <c r="E527" s="13"/>
      <c r="F527" s="13"/>
      <c r="G527" s="13"/>
      <c r="H527" s="13"/>
      <c r="I527" s="13"/>
      <c r="J527" s="13"/>
      <c r="K527" s="13"/>
      <c r="L527" s="13"/>
      <c r="M527" s="13"/>
      <c r="N527" s="13"/>
      <c r="O527" s="13"/>
      <c r="P527" s="13"/>
      <c r="Q527" s="13"/>
      <c r="R527" s="13"/>
      <c r="S527" s="13"/>
      <c r="T527" s="13"/>
    </row>
    <row r="528" spans="2:20" x14ac:dyDescent="0.25">
      <c r="B528" s="13"/>
      <c r="C528" s="13"/>
      <c r="D528" s="13"/>
      <c r="E528" s="13"/>
      <c r="F528" s="13"/>
      <c r="G528" s="13"/>
      <c r="H528" s="13"/>
      <c r="I528" s="13"/>
      <c r="J528" s="13"/>
      <c r="K528" s="13"/>
      <c r="L528" s="13"/>
      <c r="M528" s="13"/>
      <c r="N528" s="13"/>
      <c r="O528" s="13"/>
      <c r="P528" s="13"/>
      <c r="Q528" s="13"/>
      <c r="R528" s="13"/>
      <c r="S528" s="13"/>
      <c r="T528" s="13"/>
    </row>
    <row r="529" spans="2:20" x14ac:dyDescent="0.25">
      <c r="B529" s="13"/>
      <c r="C529" s="13"/>
      <c r="D529" s="13"/>
      <c r="E529" s="13"/>
      <c r="F529" s="13"/>
      <c r="G529" s="13"/>
      <c r="H529" s="13"/>
      <c r="I529" s="13"/>
      <c r="J529" s="13"/>
      <c r="K529" s="13"/>
      <c r="L529" s="13"/>
      <c r="M529" s="13"/>
      <c r="N529" s="13"/>
      <c r="O529" s="13"/>
      <c r="P529" s="13"/>
      <c r="Q529" s="13"/>
      <c r="R529" s="13"/>
      <c r="S529" s="13"/>
      <c r="T529" s="13"/>
    </row>
    <row r="530" spans="2:20" x14ac:dyDescent="0.25">
      <c r="B530" s="13"/>
      <c r="C530" s="13"/>
      <c r="D530" s="13"/>
      <c r="E530" s="13"/>
      <c r="F530" s="13"/>
      <c r="G530" s="13"/>
      <c r="H530" s="13"/>
      <c r="I530" s="13"/>
      <c r="J530" s="13"/>
      <c r="K530" s="13"/>
      <c r="L530" s="13"/>
      <c r="M530" s="13"/>
      <c r="N530" s="13"/>
      <c r="O530" s="13"/>
      <c r="P530" s="13"/>
      <c r="Q530" s="13"/>
      <c r="R530" s="13"/>
      <c r="S530" s="13"/>
      <c r="T530" s="13"/>
    </row>
    <row r="531" spans="2:20" x14ac:dyDescent="0.25">
      <c r="B531" s="13"/>
      <c r="C531" s="13"/>
      <c r="D531" s="13"/>
      <c r="E531" s="13"/>
      <c r="F531" s="13"/>
      <c r="G531" s="13"/>
      <c r="H531" s="13"/>
      <c r="I531" s="13"/>
      <c r="J531" s="13"/>
      <c r="K531" s="13"/>
      <c r="L531" s="13"/>
      <c r="M531" s="13"/>
      <c r="N531" s="13"/>
      <c r="O531" s="13"/>
      <c r="P531" s="13"/>
      <c r="Q531" s="13"/>
      <c r="R531" s="13"/>
      <c r="S531" s="13"/>
      <c r="T531" s="13"/>
    </row>
    <row r="532" spans="2:20" x14ac:dyDescent="0.25">
      <c r="B532" s="13"/>
      <c r="C532" s="13"/>
      <c r="D532" s="13"/>
      <c r="E532" s="13"/>
      <c r="F532" s="13"/>
      <c r="G532" s="13"/>
      <c r="H532" s="13"/>
      <c r="I532" s="13"/>
      <c r="J532" s="13"/>
      <c r="K532" s="13"/>
      <c r="L532" s="13"/>
      <c r="M532" s="13"/>
      <c r="N532" s="13"/>
      <c r="O532" s="13"/>
      <c r="P532" s="13"/>
      <c r="Q532" s="13"/>
      <c r="R532" s="13"/>
      <c r="S532" s="13"/>
      <c r="T532" s="13"/>
    </row>
    <row r="533" spans="2:20" x14ac:dyDescent="0.25">
      <c r="B533" s="13"/>
      <c r="C533" s="13"/>
      <c r="D533" s="13"/>
      <c r="E533" s="13"/>
      <c r="F533" s="13"/>
      <c r="G533" s="13"/>
      <c r="H533" s="13"/>
      <c r="I533" s="13"/>
      <c r="J533" s="13"/>
      <c r="K533" s="13"/>
      <c r="L533" s="13"/>
      <c r="M533" s="13"/>
      <c r="N533" s="13"/>
      <c r="O533" s="13"/>
      <c r="P533" s="13"/>
      <c r="Q533" s="13"/>
      <c r="R533" s="13"/>
      <c r="S533" s="13"/>
      <c r="T533" s="13"/>
    </row>
    <row r="534" spans="2:20" x14ac:dyDescent="0.25">
      <c r="B534" s="13"/>
      <c r="C534" s="13"/>
      <c r="D534" s="13"/>
      <c r="E534" s="13"/>
      <c r="F534" s="13"/>
      <c r="G534" s="13"/>
      <c r="H534" s="13"/>
      <c r="I534" s="13"/>
      <c r="J534" s="13"/>
      <c r="K534" s="13"/>
      <c r="L534" s="13"/>
      <c r="M534" s="13"/>
      <c r="N534" s="13"/>
      <c r="O534" s="13"/>
      <c r="P534" s="13"/>
      <c r="Q534" s="13"/>
      <c r="R534" s="13"/>
      <c r="S534" s="13"/>
      <c r="T534" s="13"/>
    </row>
    <row r="535" spans="2:20" x14ac:dyDescent="0.25">
      <c r="B535" s="13"/>
      <c r="C535" s="13"/>
      <c r="D535" s="13"/>
      <c r="E535" s="13"/>
      <c r="F535" s="13"/>
      <c r="G535" s="13"/>
      <c r="H535" s="13"/>
      <c r="I535" s="13"/>
      <c r="J535" s="13"/>
      <c r="K535" s="13"/>
      <c r="L535" s="13"/>
      <c r="M535" s="13"/>
      <c r="N535" s="13"/>
      <c r="O535" s="13"/>
      <c r="P535" s="13"/>
      <c r="Q535" s="13"/>
      <c r="R535" s="13"/>
      <c r="S535" s="13"/>
      <c r="T535" s="13"/>
    </row>
    <row r="536" spans="2:20" x14ac:dyDescent="0.25">
      <c r="B536" s="13"/>
      <c r="C536" s="13"/>
      <c r="D536" s="13"/>
      <c r="E536" s="13"/>
      <c r="F536" s="13"/>
      <c r="G536" s="13"/>
      <c r="H536" s="13"/>
      <c r="I536" s="13"/>
      <c r="J536" s="13"/>
      <c r="K536" s="13"/>
      <c r="L536" s="13"/>
      <c r="M536" s="13"/>
      <c r="N536" s="13"/>
      <c r="O536" s="13"/>
      <c r="P536" s="13"/>
      <c r="Q536" s="13"/>
      <c r="R536" s="13"/>
      <c r="S536" s="13"/>
      <c r="T536" s="13"/>
    </row>
    <row r="537" spans="2:20" x14ac:dyDescent="0.25">
      <c r="B537" s="13"/>
      <c r="C537" s="13"/>
      <c r="D537" s="13"/>
      <c r="E537" s="13"/>
      <c r="F537" s="13"/>
      <c r="G537" s="13"/>
      <c r="H537" s="13"/>
      <c r="I537" s="13"/>
      <c r="J537" s="13"/>
      <c r="K537" s="13"/>
      <c r="L537" s="13"/>
      <c r="M537" s="13"/>
      <c r="N537" s="13"/>
      <c r="O537" s="13"/>
      <c r="P537" s="13"/>
      <c r="Q537" s="13"/>
      <c r="R537" s="13"/>
      <c r="S537" s="13"/>
      <c r="T537" s="13"/>
    </row>
    <row r="538" spans="2:20" x14ac:dyDescent="0.25">
      <c r="B538" s="13"/>
      <c r="C538" s="13"/>
      <c r="D538" s="13"/>
      <c r="E538" s="13"/>
      <c r="F538" s="13"/>
      <c r="G538" s="13"/>
      <c r="H538" s="13"/>
      <c r="I538" s="13"/>
      <c r="J538" s="13"/>
      <c r="K538" s="13"/>
      <c r="L538" s="13"/>
      <c r="M538" s="13"/>
      <c r="N538" s="13"/>
      <c r="O538" s="13"/>
      <c r="P538" s="13"/>
      <c r="Q538" s="13"/>
      <c r="R538" s="13"/>
      <c r="S538" s="13"/>
      <c r="T538" s="13"/>
    </row>
    <row r="539" spans="2:20" x14ac:dyDescent="0.25">
      <c r="B539" s="13"/>
      <c r="C539" s="13"/>
      <c r="D539" s="13"/>
      <c r="E539" s="13"/>
      <c r="F539" s="13"/>
      <c r="G539" s="13"/>
      <c r="H539" s="13"/>
      <c r="I539" s="13"/>
      <c r="J539" s="13"/>
      <c r="K539" s="13"/>
      <c r="L539" s="13"/>
      <c r="M539" s="13"/>
      <c r="N539" s="13"/>
      <c r="O539" s="13"/>
      <c r="P539" s="13"/>
      <c r="Q539" s="13"/>
      <c r="R539" s="13"/>
      <c r="S539" s="13"/>
      <c r="T539" s="13"/>
    </row>
    <row r="540" spans="2:20" x14ac:dyDescent="0.25">
      <c r="B540" s="13"/>
      <c r="C540" s="13"/>
      <c r="D540" s="13"/>
      <c r="E540" s="13"/>
      <c r="F540" s="13"/>
      <c r="G540" s="13"/>
      <c r="H540" s="13"/>
      <c r="I540" s="13"/>
      <c r="J540" s="13"/>
      <c r="K540" s="13"/>
      <c r="L540" s="13"/>
      <c r="M540" s="13"/>
      <c r="N540" s="13"/>
      <c r="O540" s="13"/>
      <c r="P540" s="13"/>
      <c r="Q540" s="13"/>
      <c r="R540" s="13"/>
      <c r="S540" s="13"/>
      <c r="T540" s="13"/>
    </row>
    <row r="541" spans="2:20" x14ac:dyDescent="0.25">
      <c r="B541" s="13"/>
      <c r="C541" s="13"/>
      <c r="D541" s="13"/>
      <c r="E541" s="13"/>
      <c r="F541" s="13"/>
      <c r="G541" s="13"/>
      <c r="H541" s="13"/>
      <c r="I541" s="13"/>
      <c r="J541" s="13"/>
      <c r="K541" s="13"/>
      <c r="L541" s="13"/>
      <c r="M541" s="13"/>
      <c r="N541" s="13"/>
      <c r="O541" s="13"/>
      <c r="P541" s="13"/>
      <c r="Q541" s="13"/>
      <c r="R541" s="13"/>
      <c r="S541" s="13"/>
      <c r="T541" s="13"/>
    </row>
    <row r="542" spans="2:20" x14ac:dyDescent="0.25">
      <c r="B542" s="13"/>
      <c r="C542" s="13"/>
      <c r="D542" s="13"/>
      <c r="E542" s="13"/>
      <c r="F542" s="13"/>
      <c r="G542" s="13"/>
      <c r="H542" s="13"/>
      <c r="I542" s="13"/>
      <c r="J542" s="13"/>
      <c r="K542" s="13"/>
      <c r="L542" s="13"/>
      <c r="M542" s="13"/>
      <c r="N542" s="13"/>
      <c r="O542" s="13"/>
      <c r="P542" s="13"/>
      <c r="Q542" s="13"/>
      <c r="R542" s="13"/>
      <c r="S542" s="13"/>
      <c r="T542" s="13"/>
    </row>
    <row r="543" spans="2:20" x14ac:dyDescent="0.25">
      <c r="B543" s="13"/>
      <c r="C543" s="13"/>
      <c r="D543" s="13"/>
      <c r="E543" s="13"/>
      <c r="F543" s="13"/>
      <c r="G543" s="13"/>
      <c r="H543" s="13"/>
      <c r="I543" s="13"/>
      <c r="J543" s="13"/>
      <c r="K543" s="13"/>
      <c r="L543" s="13"/>
      <c r="M543" s="13"/>
      <c r="N543" s="13"/>
      <c r="O543" s="13"/>
      <c r="P543" s="13"/>
      <c r="Q543" s="13"/>
      <c r="R543" s="13"/>
      <c r="S543" s="13"/>
      <c r="T543" s="13"/>
    </row>
    <row r="544" spans="2:20" x14ac:dyDescent="0.25">
      <c r="B544" s="13"/>
      <c r="C544" s="13"/>
      <c r="D544" s="13"/>
      <c r="E544" s="13"/>
      <c r="F544" s="13"/>
      <c r="G544" s="13"/>
      <c r="H544" s="13"/>
      <c r="I544" s="13"/>
      <c r="J544" s="13"/>
      <c r="K544" s="13"/>
      <c r="L544" s="13"/>
      <c r="M544" s="13"/>
      <c r="N544" s="13"/>
      <c r="O544" s="13"/>
      <c r="P544" s="13"/>
      <c r="Q544" s="13"/>
      <c r="R544" s="13"/>
      <c r="S544" s="13"/>
      <c r="T544" s="13"/>
    </row>
    <row r="545" spans="2:20" x14ac:dyDescent="0.25">
      <c r="B545" s="13"/>
      <c r="C545" s="13"/>
      <c r="D545" s="13"/>
      <c r="E545" s="13"/>
      <c r="F545" s="13"/>
      <c r="G545" s="13"/>
      <c r="H545" s="13"/>
      <c r="I545" s="13"/>
      <c r="J545" s="13"/>
      <c r="K545" s="13"/>
      <c r="L545" s="13"/>
      <c r="M545" s="13"/>
      <c r="N545" s="13"/>
      <c r="O545" s="13"/>
      <c r="P545" s="13"/>
      <c r="Q545" s="13"/>
      <c r="R545" s="13"/>
      <c r="S545" s="13"/>
      <c r="T545" s="13"/>
    </row>
    <row r="546" spans="2:20" x14ac:dyDescent="0.25">
      <c r="B546" s="13"/>
      <c r="C546" s="13"/>
      <c r="D546" s="13"/>
      <c r="E546" s="13"/>
      <c r="F546" s="13"/>
      <c r="G546" s="13"/>
      <c r="H546" s="13"/>
      <c r="I546" s="13"/>
      <c r="J546" s="13"/>
      <c r="K546" s="13"/>
      <c r="L546" s="13"/>
      <c r="M546" s="13"/>
      <c r="N546" s="13"/>
      <c r="O546" s="13"/>
      <c r="P546" s="13"/>
      <c r="Q546" s="13"/>
      <c r="R546" s="13"/>
      <c r="S546" s="13"/>
      <c r="T546" s="13"/>
    </row>
    <row r="547" spans="2:20" x14ac:dyDescent="0.25">
      <c r="B547" s="13"/>
      <c r="C547" s="13"/>
      <c r="D547" s="13"/>
      <c r="E547" s="13"/>
      <c r="F547" s="13"/>
      <c r="G547" s="13"/>
      <c r="H547" s="13"/>
      <c r="I547" s="13"/>
      <c r="J547" s="13"/>
      <c r="K547" s="13"/>
      <c r="L547" s="13"/>
      <c r="M547" s="13"/>
      <c r="N547" s="13"/>
      <c r="O547" s="13"/>
      <c r="P547" s="13"/>
      <c r="Q547" s="13"/>
      <c r="R547" s="13"/>
      <c r="S547" s="13"/>
      <c r="T547" s="13"/>
    </row>
    <row r="548" spans="2:20" x14ac:dyDescent="0.25">
      <c r="B548" s="13"/>
      <c r="C548" s="13"/>
      <c r="D548" s="13"/>
      <c r="E548" s="13"/>
      <c r="F548" s="13"/>
      <c r="G548" s="13"/>
      <c r="H548" s="13"/>
      <c r="I548" s="13"/>
      <c r="J548" s="13"/>
      <c r="K548" s="13"/>
      <c r="L548" s="13"/>
      <c r="M548" s="13"/>
      <c r="N548" s="13"/>
      <c r="O548" s="13"/>
      <c r="P548" s="13"/>
      <c r="Q548" s="13"/>
      <c r="R548" s="13"/>
      <c r="S548" s="13"/>
      <c r="T548" s="13"/>
    </row>
    <row r="549" spans="2:20" x14ac:dyDescent="0.25">
      <c r="B549" s="13"/>
      <c r="C549" s="13"/>
      <c r="D549" s="13"/>
      <c r="E549" s="13"/>
      <c r="F549" s="13"/>
      <c r="G549" s="13"/>
      <c r="H549" s="13"/>
      <c r="I549" s="13"/>
      <c r="J549" s="13"/>
      <c r="K549" s="13"/>
      <c r="L549" s="13"/>
      <c r="M549" s="13"/>
      <c r="N549" s="13"/>
      <c r="O549" s="13"/>
      <c r="P549" s="13"/>
      <c r="Q549" s="13"/>
      <c r="R549" s="13"/>
      <c r="S549" s="13"/>
      <c r="T549" s="13"/>
    </row>
    <row r="550" spans="2:20" x14ac:dyDescent="0.25">
      <c r="B550" s="13"/>
      <c r="C550" s="13"/>
      <c r="D550" s="13"/>
      <c r="E550" s="13"/>
      <c r="F550" s="13"/>
      <c r="G550" s="13"/>
      <c r="H550" s="13"/>
      <c r="I550" s="13"/>
      <c r="J550" s="13"/>
      <c r="K550" s="13"/>
      <c r="L550" s="13"/>
      <c r="M550" s="13"/>
      <c r="N550" s="13"/>
      <c r="O550" s="13"/>
      <c r="P550" s="13"/>
      <c r="Q550" s="13"/>
      <c r="R550" s="13"/>
      <c r="S550" s="13"/>
      <c r="T550" s="13"/>
    </row>
    <row r="551" spans="2:20" x14ac:dyDescent="0.25">
      <c r="B551" s="13"/>
      <c r="C551" s="13"/>
      <c r="D551" s="13"/>
      <c r="E551" s="13"/>
      <c r="F551" s="13"/>
      <c r="G551" s="13"/>
      <c r="H551" s="13"/>
      <c r="I551" s="13"/>
      <c r="J551" s="13"/>
      <c r="K551" s="13"/>
      <c r="L551" s="13"/>
      <c r="M551" s="13"/>
      <c r="N551" s="13"/>
      <c r="O551" s="13"/>
      <c r="P551" s="13"/>
      <c r="Q551" s="13"/>
      <c r="R551" s="13"/>
      <c r="S551" s="13"/>
      <c r="T551" s="13"/>
    </row>
    <row r="552" spans="2:20" x14ac:dyDescent="0.25">
      <c r="B552" s="13"/>
      <c r="C552" s="13"/>
      <c r="D552" s="13"/>
      <c r="E552" s="13"/>
      <c r="F552" s="13"/>
      <c r="G552" s="13"/>
      <c r="H552" s="13"/>
      <c r="I552" s="13"/>
      <c r="J552" s="13"/>
      <c r="K552" s="13"/>
      <c r="L552" s="13"/>
      <c r="M552" s="13"/>
      <c r="N552" s="13"/>
      <c r="O552" s="13"/>
      <c r="P552" s="13"/>
      <c r="Q552" s="13"/>
      <c r="R552" s="13"/>
      <c r="S552" s="13"/>
      <c r="T552" s="13"/>
    </row>
    <row r="553" spans="2:20" x14ac:dyDescent="0.25">
      <c r="B553" s="13"/>
      <c r="C553" s="13"/>
      <c r="D553" s="13"/>
      <c r="E553" s="13"/>
      <c r="F553" s="13"/>
      <c r="G553" s="13"/>
      <c r="H553" s="13"/>
      <c r="I553" s="13"/>
      <c r="J553" s="13"/>
      <c r="K553" s="13"/>
      <c r="L553" s="13"/>
      <c r="M553" s="13"/>
      <c r="N553" s="13"/>
      <c r="O553" s="13"/>
      <c r="P553" s="13"/>
      <c r="Q553" s="13"/>
      <c r="R553" s="13"/>
      <c r="S553" s="13"/>
      <c r="T553" s="13"/>
    </row>
    <row r="554" spans="2:20" x14ac:dyDescent="0.25">
      <c r="B554" s="13"/>
      <c r="C554" s="13"/>
      <c r="D554" s="13"/>
      <c r="E554" s="13"/>
      <c r="F554" s="13"/>
      <c r="G554" s="13"/>
      <c r="H554" s="13"/>
      <c r="I554" s="13"/>
      <c r="J554" s="13"/>
      <c r="K554" s="13"/>
      <c r="L554" s="13"/>
      <c r="M554" s="13"/>
      <c r="N554" s="13"/>
      <c r="O554" s="13"/>
      <c r="P554" s="13"/>
      <c r="Q554" s="13"/>
      <c r="R554" s="13"/>
      <c r="S554" s="13"/>
      <c r="T554" s="13"/>
    </row>
    <row r="555" spans="2:20" x14ac:dyDescent="0.25">
      <c r="B555" s="13"/>
      <c r="C555" s="13"/>
      <c r="D555" s="13"/>
      <c r="E555" s="13"/>
      <c r="F555" s="13"/>
      <c r="G555" s="13"/>
      <c r="H555" s="13"/>
      <c r="I555" s="13"/>
      <c r="J555" s="13"/>
      <c r="K555" s="13"/>
      <c r="L555" s="13"/>
      <c r="M555" s="13"/>
      <c r="N555" s="13"/>
      <c r="O555" s="13"/>
      <c r="P555" s="13"/>
      <c r="Q555" s="13"/>
      <c r="R555" s="13"/>
      <c r="S555" s="13"/>
      <c r="T555" s="13"/>
    </row>
    <row r="556" spans="2:20" x14ac:dyDescent="0.25">
      <c r="B556" s="13"/>
      <c r="C556" s="13"/>
      <c r="D556" s="13"/>
      <c r="E556" s="13"/>
      <c r="F556" s="13"/>
      <c r="G556" s="13"/>
      <c r="H556" s="13"/>
      <c r="I556" s="13"/>
      <c r="J556" s="13"/>
      <c r="K556" s="13"/>
      <c r="L556" s="13"/>
      <c r="M556" s="13"/>
      <c r="N556" s="13"/>
      <c r="O556" s="13"/>
      <c r="P556" s="13"/>
      <c r="Q556" s="13"/>
      <c r="R556" s="13"/>
      <c r="S556" s="13"/>
      <c r="T556" s="13"/>
    </row>
    <row r="557" spans="2:20" x14ac:dyDescent="0.25">
      <c r="B557" s="13"/>
      <c r="C557" s="13"/>
      <c r="D557" s="13"/>
      <c r="E557" s="13"/>
      <c r="F557" s="13"/>
      <c r="G557" s="13"/>
      <c r="H557" s="13"/>
      <c r="I557" s="13"/>
      <c r="J557" s="13"/>
      <c r="K557" s="13"/>
      <c r="L557" s="13"/>
      <c r="M557" s="13"/>
      <c r="N557" s="13"/>
      <c r="O557" s="13"/>
      <c r="P557" s="13"/>
      <c r="Q557" s="13"/>
      <c r="R557" s="13"/>
      <c r="S557" s="13"/>
      <c r="T557" s="13"/>
    </row>
    <row r="558" spans="2:20" x14ac:dyDescent="0.25">
      <c r="B558" s="13"/>
      <c r="C558" s="13"/>
      <c r="D558" s="13"/>
      <c r="E558" s="13"/>
      <c r="F558" s="13"/>
      <c r="G558" s="13"/>
      <c r="H558" s="13"/>
      <c r="I558" s="13"/>
      <c r="J558" s="13"/>
      <c r="K558" s="13"/>
      <c r="L558" s="13"/>
      <c r="M558" s="13"/>
      <c r="N558" s="13"/>
      <c r="O558" s="13"/>
      <c r="P558" s="13"/>
      <c r="Q558" s="13"/>
      <c r="R558" s="13"/>
      <c r="S558" s="13"/>
      <c r="T558" s="13"/>
    </row>
    <row r="559" spans="2:20" x14ac:dyDescent="0.25">
      <c r="B559" s="13"/>
      <c r="C559" s="13"/>
      <c r="D559" s="13"/>
      <c r="E559" s="13"/>
      <c r="F559" s="13"/>
      <c r="G559" s="13"/>
      <c r="H559" s="13"/>
      <c r="I559" s="13"/>
      <c r="J559" s="13"/>
      <c r="K559" s="13"/>
      <c r="L559" s="13"/>
      <c r="M559" s="13"/>
      <c r="N559" s="13"/>
      <c r="O559" s="13"/>
      <c r="P559" s="13"/>
      <c r="Q559" s="13"/>
      <c r="R559" s="13"/>
      <c r="S559" s="13"/>
      <c r="T559" s="13"/>
    </row>
    <row r="560" spans="2:20" x14ac:dyDescent="0.25">
      <c r="B560" s="13"/>
      <c r="C560" s="13"/>
      <c r="D560" s="13"/>
      <c r="E560" s="13"/>
      <c r="F560" s="13"/>
      <c r="G560" s="13"/>
      <c r="H560" s="13"/>
      <c r="I560" s="13"/>
      <c r="J560" s="13"/>
      <c r="K560" s="13"/>
      <c r="L560" s="13"/>
      <c r="M560" s="13"/>
      <c r="N560" s="13"/>
      <c r="O560" s="13"/>
      <c r="P560" s="13"/>
      <c r="Q560" s="13"/>
      <c r="R560" s="13"/>
      <c r="S560" s="13"/>
      <c r="T560" s="13"/>
    </row>
    <row r="561" spans="2:20" x14ac:dyDescent="0.25">
      <c r="B561" s="13"/>
      <c r="C561" s="13"/>
      <c r="D561" s="13"/>
      <c r="E561" s="13"/>
      <c r="F561" s="13"/>
      <c r="G561" s="13"/>
      <c r="H561" s="13"/>
      <c r="I561" s="13"/>
      <c r="J561" s="13"/>
      <c r="K561" s="13"/>
      <c r="L561" s="13"/>
      <c r="M561" s="13"/>
      <c r="N561" s="13"/>
      <c r="O561" s="13"/>
      <c r="P561" s="13"/>
      <c r="Q561" s="13"/>
      <c r="R561" s="13"/>
      <c r="S561" s="13"/>
      <c r="T561" s="13"/>
    </row>
    <row r="562" spans="2:20" x14ac:dyDescent="0.25">
      <c r="B562" s="13"/>
      <c r="C562" s="13"/>
      <c r="D562" s="13"/>
      <c r="E562" s="13"/>
      <c r="F562" s="13"/>
      <c r="G562" s="13"/>
      <c r="H562" s="13"/>
      <c r="I562" s="13"/>
      <c r="J562" s="13"/>
      <c r="K562" s="13"/>
      <c r="L562" s="13"/>
      <c r="M562" s="13"/>
      <c r="N562" s="13"/>
      <c r="O562" s="13"/>
      <c r="P562" s="13"/>
      <c r="Q562" s="13"/>
      <c r="R562" s="13"/>
      <c r="S562" s="13"/>
      <c r="T562" s="13"/>
    </row>
    <row r="563" spans="2:20" x14ac:dyDescent="0.25">
      <c r="B563" s="13"/>
      <c r="C563" s="13"/>
      <c r="D563" s="13"/>
      <c r="E563" s="13"/>
      <c r="F563" s="13"/>
      <c r="G563" s="13"/>
      <c r="H563" s="13"/>
      <c r="I563" s="13"/>
      <c r="J563" s="13"/>
      <c r="K563" s="13"/>
      <c r="L563" s="13"/>
      <c r="M563" s="13"/>
      <c r="N563" s="13"/>
      <c r="O563" s="13"/>
      <c r="P563" s="13"/>
      <c r="Q563" s="13"/>
      <c r="R563" s="13"/>
      <c r="S563" s="13"/>
      <c r="T563" s="13"/>
    </row>
    <row r="564" spans="2:20" x14ac:dyDescent="0.25">
      <c r="B564" s="13"/>
      <c r="C564" s="13"/>
      <c r="D564" s="13"/>
      <c r="E564" s="13"/>
      <c r="F564" s="13"/>
      <c r="G564" s="13"/>
      <c r="H564" s="13"/>
      <c r="I564" s="13"/>
      <c r="J564" s="13"/>
      <c r="K564" s="13"/>
      <c r="L564" s="13"/>
      <c r="M564" s="13"/>
      <c r="N564" s="13"/>
      <c r="O564" s="13"/>
      <c r="P564" s="13"/>
      <c r="Q564" s="13"/>
      <c r="R564" s="13"/>
      <c r="S564" s="13"/>
      <c r="T564" s="13"/>
    </row>
    <row r="565" spans="2:20" x14ac:dyDescent="0.25">
      <c r="B565" s="13"/>
      <c r="C565" s="13"/>
      <c r="D565" s="13"/>
      <c r="E565" s="13"/>
      <c r="F565" s="13"/>
      <c r="G565" s="13"/>
      <c r="H565" s="13"/>
      <c r="I565" s="13"/>
      <c r="J565" s="13"/>
      <c r="K565" s="13"/>
      <c r="L565" s="13"/>
      <c r="M565" s="13"/>
      <c r="N565" s="13"/>
      <c r="O565" s="13"/>
      <c r="P565" s="13"/>
      <c r="Q565" s="13"/>
      <c r="R565" s="13"/>
      <c r="S565" s="13"/>
      <c r="T565" s="13"/>
    </row>
    <row r="566" spans="2:20" x14ac:dyDescent="0.25">
      <c r="B566" s="13"/>
      <c r="C566" s="13"/>
      <c r="D566" s="13"/>
      <c r="E566" s="13"/>
      <c r="F566" s="13"/>
      <c r="G566" s="13"/>
      <c r="H566" s="13"/>
      <c r="I566" s="13"/>
      <c r="J566" s="13"/>
      <c r="K566" s="13"/>
      <c r="L566" s="13"/>
      <c r="M566" s="13"/>
      <c r="N566" s="13"/>
      <c r="O566" s="13"/>
      <c r="P566" s="13"/>
      <c r="Q566" s="13"/>
      <c r="R566" s="13"/>
      <c r="S566" s="13"/>
      <c r="T566" s="13"/>
    </row>
    <row r="567" spans="2:20" x14ac:dyDescent="0.25">
      <c r="B567" s="13"/>
      <c r="C567" s="13"/>
      <c r="D567" s="13"/>
      <c r="E567" s="13"/>
      <c r="F567" s="13"/>
      <c r="G567" s="13"/>
      <c r="H567" s="13"/>
      <c r="I567" s="13"/>
      <c r="J567" s="13"/>
      <c r="K567" s="13"/>
      <c r="L567" s="13"/>
      <c r="M567" s="13"/>
      <c r="N567" s="13"/>
      <c r="O567" s="13"/>
      <c r="P567" s="13"/>
      <c r="Q567" s="13"/>
      <c r="R567" s="13"/>
      <c r="S567" s="13"/>
      <c r="T567" s="13"/>
    </row>
    <row r="568" spans="2:20" x14ac:dyDescent="0.25">
      <c r="B568" s="13"/>
      <c r="C568" s="13"/>
      <c r="D568" s="13"/>
      <c r="E568" s="13"/>
      <c r="F568" s="13"/>
      <c r="G568" s="13"/>
      <c r="H568" s="13"/>
      <c r="I568" s="13"/>
      <c r="J568" s="13"/>
      <c r="K568" s="13"/>
      <c r="L568" s="13"/>
      <c r="M568" s="13"/>
      <c r="N568" s="13"/>
      <c r="O568" s="13"/>
      <c r="P568" s="13"/>
      <c r="Q568" s="13"/>
      <c r="R568" s="13"/>
      <c r="S568" s="13"/>
      <c r="T568" s="13"/>
    </row>
    <row r="569" spans="2:20" x14ac:dyDescent="0.25">
      <c r="B569" s="13"/>
      <c r="C569" s="13"/>
      <c r="D569" s="13"/>
      <c r="E569" s="13"/>
      <c r="F569" s="13"/>
      <c r="G569" s="13"/>
      <c r="H569" s="13"/>
      <c r="I569" s="13"/>
      <c r="J569" s="13"/>
      <c r="K569" s="13"/>
      <c r="L569" s="13"/>
      <c r="M569" s="13"/>
      <c r="N569" s="13"/>
      <c r="O569" s="13"/>
      <c r="P569" s="13"/>
      <c r="Q569" s="13"/>
      <c r="R569" s="13"/>
      <c r="S569" s="13"/>
      <c r="T569" s="13"/>
    </row>
    <row r="570" spans="2:20" x14ac:dyDescent="0.25">
      <c r="B570" s="13"/>
      <c r="C570" s="13"/>
      <c r="D570" s="13"/>
      <c r="E570" s="13"/>
      <c r="F570" s="13"/>
      <c r="G570" s="13"/>
      <c r="H570" s="13"/>
      <c r="I570" s="13"/>
      <c r="J570" s="13"/>
      <c r="K570" s="13"/>
      <c r="L570" s="13"/>
      <c r="M570" s="13"/>
      <c r="N570" s="13"/>
      <c r="O570" s="13"/>
      <c r="P570" s="13"/>
      <c r="Q570" s="13"/>
      <c r="R570" s="13"/>
      <c r="S570" s="13"/>
      <c r="T570" s="13"/>
    </row>
    <row r="571" spans="2:20" x14ac:dyDescent="0.25">
      <c r="B571" s="13"/>
      <c r="C571" s="13"/>
      <c r="D571" s="13"/>
      <c r="E571" s="13"/>
      <c r="F571" s="13"/>
      <c r="G571" s="13"/>
      <c r="H571" s="13"/>
      <c r="I571" s="13"/>
      <c r="J571" s="13"/>
      <c r="K571" s="13"/>
      <c r="L571" s="13"/>
      <c r="M571" s="13"/>
      <c r="N571" s="13"/>
      <c r="O571" s="13"/>
      <c r="P571" s="13"/>
      <c r="Q571" s="13"/>
      <c r="R571" s="13"/>
      <c r="S571" s="13"/>
      <c r="T571" s="13"/>
    </row>
    <row r="572" spans="2:20" x14ac:dyDescent="0.25">
      <c r="B572" s="13"/>
      <c r="C572" s="13"/>
      <c r="D572" s="13"/>
      <c r="E572" s="13"/>
      <c r="F572" s="13"/>
      <c r="G572" s="13"/>
      <c r="H572" s="13"/>
      <c r="I572" s="13"/>
      <c r="J572" s="13"/>
      <c r="K572" s="13"/>
      <c r="L572" s="13"/>
      <c r="M572" s="13"/>
      <c r="N572" s="13"/>
      <c r="O572" s="13"/>
      <c r="P572" s="13"/>
      <c r="Q572" s="13"/>
      <c r="R572" s="13"/>
      <c r="S572" s="13"/>
      <c r="T572" s="13"/>
    </row>
    <row r="573" spans="2:20" x14ac:dyDescent="0.25">
      <c r="B573" s="13"/>
      <c r="C573" s="13"/>
      <c r="D573" s="13"/>
      <c r="E573" s="13"/>
      <c r="F573" s="13"/>
      <c r="G573" s="13"/>
      <c r="H573" s="13"/>
      <c r="I573" s="13"/>
      <c r="J573" s="13"/>
      <c r="K573" s="13"/>
      <c r="L573" s="13"/>
      <c r="M573" s="13"/>
      <c r="N573" s="13"/>
      <c r="O573" s="13"/>
      <c r="P573" s="13"/>
      <c r="Q573" s="13"/>
      <c r="R573" s="13"/>
      <c r="S573" s="13"/>
      <c r="T573" s="13"/>
    </row>
    <row r="574" spans="2:20" x14ac:dyDescent="0.25">
      <c r="B574" s="13"/>
      <c r="C574" s="13"/>
      <c r="D574" s="13"/>
      <c r="E574" s="13"/>
      <c r="F574" s="13"/>
      <c r="G574" s="13"/>
      <c r="H574" s="13"/>
      <c r="I574" s="13"/>
      <c r="J574" s="13"/>
      <c r="K574" s="13"/>
      <c r="L574" s="13"/>
      <c r="M574" s="13"/>
      <c r="N574" s="13"/>
      <c r="O574" s="13"/>
      <c r="P574" s="13"/>
      <c r="Q574" s="13"/>
      <c r="R574" s="13"/>
      <c r="S574" s="13"/>
      <c r="T574" s="13"/>
    </row>
    <row r="575" spans="2:20" x14ac:dyDescent="0.25">
      <c r="B575" s="13"/>
      <c r="C575" s="13"/>
      <c r="D575" s="13"/>
      <c r="E575" s="13"/>
      <c r="F575" s="13"/>
      <c r="G575" s="13"/>
      <c r="H575" s="13"/>
      <c r="I575" s="13"/>
      <c r="J575" s="13"/>
      <c r="K575" s="13"/>
      <c r="L575" s="13"/>
      <c r="M575" s="13"/>
      <c r="N575" s="13"/>
      <c r="O575" s="13"/>
      <c r="P575" s="13"/>
      <c r="Q575" s="13"/>
      <c r="R575" s="13"/>
      <c r="S575" s="13"/>
      <c r="T575" s="13"/>
    </row>
    <row r="576" spans="2:20" x14ac:dyDescent="0.25">
      <c r="B576" s="13"/>
      <c r="C576" s="13"/>
      <c r="D576" s="13"/>
      <c r="E576" s="13"/>
      <c r="F576" s="13"/>
      <c r="G576" s="13"/>
      <c r="H576" s="13"/>
      <c r="I576" s="13"/>
      <c r="J576" s="13"/>
      <c r="K576" s="13"/>
      <c r="L576" s="13"/>
      <c r="M576" s="13"/>
      <c r="N576" s="13"/>
      <c r="O576" s="13"/>
      <c r="P576" s="13"/>
      <c r="Q576" s="13"/>
      <c r="R576" s="13"/>
      <c r="S576" s="13"/>
      <c r="T576" s="13"/>
    </row>
    <row r="577" spans="2:20" x14ac:dyDescent="0.25">
      <c r="B577" s="13"/>
      <c r="C577" s="13"/>
      <c r="D577" s="13"/>
      <c r="E577" s="13"/>
      <c r="F577" s="13"/>
      <c r="G577" s="13"/>
      <c r="H577" s="13"/>
      <c r="I577" s="13"/>
      <c r="J577" s="13"/>
      <c r="K577" s="13"/>
      <c r="L577" s="13"/>
      <c r="M577" s="13"/>
      <c r="N577" s="13"/>
      <c r="O577" s="13"/>
      <c r="P577" s="13"/>
      <c r="Q577" s="13"/>
      <c r="R577" s="13"/>
      <c r="S577" s="13"/>
      <c r="T577" s="13"/>
    </row>
    <row r="578" spans="2:20" x14ac:dyDescent="0.25">
      <c r="B578" s="13"/>
      <c r="C578" s="13"/>
      <c r="D578" s="13"/>
      <c r="E578" s="13"/>
      <c r="F578" s="13"/>
      <c r="G578" s="13"/>
      <c r="H578" s="13"/>
      <c r="I578" s="13"/>
      <c r="J578" s="13"/>
      <c r="K578" s="13"/>
      <c r="L578" s="13"/>
      <c r="M578" s="13"/>
      <c r="N578" s="13"/>
      <c r="O578" s="13"/>
      <c r="P578" s="13"/>
      <c r="Q578" s="13"/>
      <c r="R578" s="13"/>
      <c r="S578" s="13"/>
      <c r="T578" s="13"/>
    </row>
    <row r="579" spans="2:20" x14ac:dyDescent="0.25">
      <c r="B579" s="13"/>
      <c r="C579" s="13"/>
      <c r="D579" s="13"/>
      <c r="E579" s="13"/>
      <c r="F579" s="13"/>
      <c r="G579" s="13"/>
      <c r="H579" s="13"/>
      <c r="I579" s="13"/>
      <c r="J579" s="13"/>
      <c r="K579" s="13"/>
      <c r="L579" s="13"/>
      <c r="M579" s="13"/>
      <c r="N579" s="13"/>
      <c r="O579" s="13"/>
      <c r="P579" s="13"/>
      <c r="Q579" s="13"/>
      <c r="R579" s="13"/>
      <c r="S579" s="13"/>
      <c r="T579" s="13"/>
    </row>
    <row r="580" spans="2:20" x14ac:dyDescent="0.25">
      <c r="B580" s="13"/>
      <c r="C580" s="13"/>
      <c r="D580" s="13"/>
      <c r="E580" s="13"/>
      <c r="F580" s="13"/>
      <c r="G580" s="13"/>
      <c r="H580" s="13"/>
      <c r="I580" s="13"/>
      <c r="J580" s="13"/>
      <c r="K580" s="13"/>
      <c r="L580" s="13"/>
      <c r="M580" s="13"/>
      <c r="N580" s="13"/>
      <c r="O580" s="13"/>
      <c r="P580" s="13"/>
      <c r="Q580" s="13"/>
      <c r="R580" s="13"/>
      <c r="S580" s="13"/>
      <c r="T580" s="13"/>
    </row>
    <row r="581" spans="2:20" x14ac:dyDescent="0.25">
      <c r="B581" s="13"/>
      <c r="C581" s="13"/>
      <c r="D581" s="13"/>
      <c r="E581" s="13"/>
      <c r="F581" s="13"/>
      <c r="G581" s="13"/>
      <c r="H581" s="13"/>
      <c r="I581" s="13"/>
      <c r="J581" s="13"/>
      <c r="K581" s="13"/>
      <c r="L581" s="13"/>
      <c r="M581" s="13"/>
      <c r="N581" s="13"/>
      <c r="O581" s="13"/>
      <c r="P581" s="13"/>
      <c r="Q581" s="13"/>
      <c r="R581" s="13"/>
      <c r="S581" s="13"/>
      <c r="T581" s="13"/>
    </row>
    <row r="582" spans="2:20" x14ac:dyDescent="0.25">
      <c r="B582" s="13"/>
      <c r="C582" s="13"/>
      <c r="D582" s="13"/>
      <c r="E582" s="13"/>
      <c r="F582" s="13"/>
      <c r="G582" s="13"/>
      <c r="H582" s="13"/>
      <c r="I582" s="13"/>
      <c r="J582" s="13"/>
      <c r="K582" s="13"/>
      <c r="L582" s="13"/>
      <c r="M582" s="13"/>
      <c r="N582" s="13"/>
      <c r="O582" s="13"/>
      <c r="P582" s="13"/>
      <c r="Q582" s="13"/>
      <c r="R582" s="13"/>
      <c r="S582" s="13"/>
      <c r="T582" s="13"/>
    </row>
    <row r="583" spans="2:20" x14ac:dyDescent="0.25">
      <c r="B583" s="13"/>
      <c r="C583" s="13"/>
      <c r="D583" s="13"/>
      <c r="E583" s="13"/>
      <c r="F583" s="13"/>
      <c r="G583" s="13"/>
      <c r="H583" s="13"/>
      <c r="I583" s="13"/>
      <c r="J583" s="13"/>
      <c r="K583" s="13"/>
      <c r="L583" s="13"/>
      <c r="M583" s="13"/>
      <c r="N583" s="13"/>
      <c r="O583" s="13"/>
      <c r="P583" s="13"/>
      <c r="Q583" s="13"/>
      <c r="R583" s="13"/>
      <c r="S583" s="13"/>
      <c r="T583" s="13"/>
    </row>
    <row r="584" spans="2:20" x14ac:dyDescent="0.25">
      <c r="B584" s="13"/>
      <c r="C584" s="13"/>
      <c r="D584" s="13"/>
      <c r="E584" s="13"/>
      <c r="F584" s="13"/>
      <c r="G584" s="13"/>
      <c r="H584" s="13"/>
      <c r="I584" s="13"/>
      <c r="J584" s="13"/>
      <c r="K584" s="13"/>
      <c r="L584" s="13"/>
      <c r="M584" s="13"/>
      <c r="N584" s="13"/>
      <c r="O584" s="13"/>
      <c r="P584" s="13"/>
      <c r="Q584" s="13"/>
      <c r="R584" s="13"/>
      <c r="S584" s="13"/>
      <c r="T584" s="13"/>
    </row>
    <row r="585" spans="2:20" x14ac:dyDescent="0.25">
      <c r="B585" s="13"/>
      <c r="C585" s="13"/>
      <c r="D585" s="13"/>
      <c r="E585" s="13"/>
      <c r="F585" s="13"/>
      <c r="G585" s="13"/>
      <c r="H585" s="13"/>
      <c r="I585" s="13"/>
      <c r="J585" s="13"/>
      <c r="K585" s="13"/>
      <c r="L585" s="13"/>
      <c r="M585" s="13"/>
      <c r="N585" s="13"/>
      <c r="O585" s="13"/>
      <c r="P585" s="13"/>
      <c r="Q585" s="13"/>
      <c r="R585" s="13"/>
      <c r="S585" s="13"/>
      <c r="T585" s="13"/>
    </row>
    <row r="586" spans="2:20" x14ac:dyDescent="0.25">
      <c r="B586" s="13"/>
      <c r="C586" s="13"/>
      <c r="D586" s="13"/>
      <c r="E586" s="13"/>
      <c r="F586" s="13"/>
      <c r="G586" s="13"/>
      <c r="H586" s="13"/>
      <c r="I586" s="13"/>
      <c r="J586" s="13"/>
      <c r="K586" s="13"/>
      <c r="L586" s="13"/>
      <c r="M586" s="13"/>
      <c r="N586" s="13"/>
      <c r="O586" s="13"/>
      <c r="P586" s="13"/>
      <c r="Q586" s="13"/>
      <c r="R586" s="13"/>
      <c r="S586" s="13"/>
      <c r="T586" s="13"/>
    </row>
    <row r="587" spans="2:20" x14ac:dyDescent="0.25">
      <c r="B587" s="13"/>
      <c r="C587" s="13"/>
      <c r="D587" s="13"/>
      <c r="E587" s="13"/>
      <c r="F587" s="13"/>
      <c r="G587" s="13"/>
      <c r="H587" s="13"/>
      <c r="I587" s="13"/>
      <c r="J587" s="13"/>
      <c r="K587" s="13"/>
      <c r="L587" s="13"/>
      <c r="M587" s="13"/>
      <c r="N587" s="13"/>
      <c r="O587" s="13"/>
      <c r="P587" s="13"/>
      <c r="Q587" s="13"/>
      <c r="R587" s="13"/>
      <c r="S587" s="13"/>
      <c r="T587" s="13"/>
    </row>
    <row r="588" spans="2:20" x14ac:dyDescent="0.25">
      <c r="B588" s="13"/>
      <c r="C588" s="13"/>
      <c r="D588" s="13"/>
      <c r="E588" s="13"/>
      <c r="F588" s="13"/>
      <c r="G588" s="13"/>
      <c r="H588" s="13"/>
      <c r="I588" s="13"/>
      <c r="J588" s="13"/>
      <c r="K588" s="13"/>
      <c r="L588" s="13"/>
      <c r="M588" s="13"/>
      <c r="N588" s="13"/>
      <c r="O588" s="13"/>
      <c r="P588" s="13"/>
      <c r="Q588" s="13"/>
      <c r="R588" s="13"/>
      <c r="S588" s="13"/>
      <c r="T588" s="13"/>
    </row>
    <row r="589" spans="2:20" x14ac:dyDescent="0.25">
      <c r="B589" s="13"/>
      <c r="C589" s="13"/>
      <c r="D589" s="13"/>
      <c r="E589" s="13"/>
      <c r="F589" s="13"/>
      <c r="G589" s="13"/>
      <c r="H589" s="13"/>
      <c r="I589" s="13"/>
      <c r="J589" s="13"/>
      <c r="K589" s="13"/>
      <c r="L589" s="13"/>
      <c r="M589" s="13"/>
      <c r="N589" s="13"/>
      <c r="O589" s="13"/>
      <c r="P589" s="13"/>
      <c r="Q589" s="13"/>
      <c r="R589" s="13"/>
      <c r="S589" s="13"/>
      <c r="T589" s="13"/>
    </row>
    <row r="590" spans="2:20" x14ac:dyDescent="0.25">
      <c r="B590" s="13"/>
      <c r="C590" s="13"/>
      <c r="D590" s="13"/>
      <c r="E590" s="13"/>
      <c r="F590" s="13"/>
      <c r="G590" s="13"/>
      <c r="H590" s="13"/>
      <c r="I590" s="13"/>
      <c r="J590" s="13"/>
      <c r="K590" s="13"/>
      <c r="L590" s="13"/>
      <c r="M590" s="13"/>
      <c r="N590" s="13"/>
      <c r="O590" s="13"/>
      <c r="P590" s="13"/>
      <c r="Q590" s="13"/>
      <c r="R590" s="13"/>
      <c r="S590" s="13"/>
      <c r="T590" s="13"/>
    </row>
    <row r="591" spans="2:20" x14ac:dyDescent="0.25">
      <c r="B591" s="13"/>
      <c r="C591" s="13"/>
      <c r="D591" s="13"/>
      <c r="E591" s="13"/>
      <c r="F591" s="13"/>
      <c r="G591" s="13"/>
      <c r="H591" s="13"/>
      <c r="I591" s="13"/>
      <c r="J591" s="13"/>
      <c r="K591" s="13"/>
      <c r="L591" s="13"/>
      <c r="M591" s="13"/>
      <c r="N591" s="13"/>
      <c r="O591" s="13"/>
      <c r="P591" s="13"/>
      <c r="Q591" s="13"/>
      <c r="R591" s="13"/>
      <c r="S591" s="13"/>
      <c r="T591" s="13"/>
    </row>
    <row r="592" spans="2:20" x14ac:dyDescent="0.25">
      <c r="B592" s="13"/>
      <c r="C592" s="13"/>
      <c r="D592" s="13"/>
      <c r="E592" s="13"/>
      <c r="F592" s="13"/>
      <c r="G592" s="13"/>
      <c r="H592" s="13"/>
      <c r="I592" s="13"/>
      <c r="J592" s="13"/>
      <c r="K592" s="13"/>
      <c r="L592" s="13"/>
      <c r="M592" s="13"/>
      <c r="N592" s="13"/>
      <c r="O592" s="13"/>
      <c r="P592" s="13"/>
      <c r="Q592" s="13"/>
      <c r="R592" s="13"/>
      <c r="S592" s="13"/>
      <c r="T592" s="13"/>
    </row>
    <row r="593" spans="2:20" x14ac:dyDescent="0.25">
      <c r="B593" s="13"/>
      <c r="C593" s="13"/>
      <c r="D593" s="13"/>
      <c r="E593" s="13"/>
      <c r="F593" s="13"/>
      <c r="G593" s="13"/>
      <c r="H593" s="13"/>
      <c r="I593" s="13"/>
      <c r="J593" s="13"/>
      <c r="K593" s="13"/>
      <c r="L593" s="13"/>
      <c r="M593" s="13"/>
      <c r="N593" s="13"/>
      <c r="O593" s="13"/>
      <c r="P593" s="13"/>
      <c r="Q593" s="13"/>
      <c r="R593" s="13"/>
      <c r="S593" s="13"/>
      <c r="T593" s="13"/>
    </row>
    <row r="594" spans="2:20" x14ac:dyDescent="0.25">
      <c r="B594" s="13"/>
      <c r="C594" s="13"/>
      <c r="D594" s="13"/>
      <c r="E594" s="13"/>
      <c r="F594" s="13"/>
      <c r="G594" s="13"/>
      <c r="H594" s="13"/>
      <c r="I594" s="13"/>
      <c r="J594" s="13"/>
      <c r="K594" s="13"/>
      <c r="L594" s="13"/>
      <c r="M594" s="13"/>
      <c r="N594" s="13"/>
      <c r="O594" s="13"/>
      <c r="P594" s="13"/>
      <c r="Q594" s="13"/>
      <c r="R594" s="13"/>
      <c r="S594" s="13"/>
      <c r="T594" s="13"/>
    </row>
    <row r="595" spans="2:20" x14ac:dyDescent="0.25">
      <c r="B595" s="13"/>
      <c r="C595" s="13"/>
      <c r="D595" s="13"/>
      <c r="E595" s="13"/>
      <c r="F595" s="13"/>
      <c r="G595" s="13"/>
      <c r="H595" s="13"/>
      <c r="I595" s="13"/>
      <c r="J595" s="13"/>
      <c r="K595" s="13"/>
      <c r="L595" s="13"/>
      <c r="M595" s="13"/>
      <c r="N595" s="13"/>
      <c r="O595" s="13"/>
      <c r="P595" s="13"/>
      <c r="Q595" s="13"/>
      <c r="R595" s="13"/>
      <c r="S595" s="13"/>
      <c r="T595" s="13"/>
    </row>
    <row r="596" spans="2:20" x14ac:dyDescent="0.25">
      <c r="B596" s="13"/>
      <c r="C596" s="13"/>
      <c r="D596" s="13"/>
      <c r="E596" s="13"/>
      <c r="F596" s="13"/>
      <c r="G596" s="13"/>
      <c r="H596" s="13"/>
      <c r="I596" s="13"/>
      <c r="J596" s="13"/>
      <c r="K596" s="13"/>
      <c r="L596" s="13"/>
      <c r="M596" s="13"/>
      <c r="N596" s="13"/>
      <c r="O596" s="13"/>
      <c r="P596" s="13"/>
      <c r="Q596" s="13"/>
      <c r="R596" s="13"/>
      <c r="S596" s="13"/>
      <c r="T596" s="13"/>
    </row>
    <row r="597" spans="2:20" x14ac:dyDescent="0.25">
      <c r="B597" s="13"/>
      <c r="C597" s="13"/>
      <c r="D597" s="13"/>
      <c r="E597" s="13"/>
      <c r="F597" s="13"/>
      <c r="G597" s="13"/>
      <c r="H597" s="13"/>
      <c r="I597" s="13"/>
      <c r="J597" s="13"/>
      <c r="K597" s="13"/>
      <c r="L597" s="13"/>
      <c r="M597" s="13"/>
      <c r="N597" s="13"/>
      <c r="O597" s="13"/>
      <c r="P597" s="13"/>
      <c r="Q597" s="13"/>
      <c r="R597" s="13"/>
      <c r="S597" s="13"/>
      <c r="T597" s="13"/>
    </row>
    <row r="598" spans="2:20" x14ac:dyDescent="0.25">
      <c r="B598" s="13"/>
      <c r="C598" s="13"/>
      <c r="D598" s="13"/>
      <c r="E598" s="13"/>
      <c r="F598" s="13"/>
      <c r="G598" s="13"/>
      <c r="H598" s="13"/>
      <c r="I598" s="13"/>
      <c r="J598" s="13"/>
      <c r="K598" s="13"/>
      <c r="L598" s="13"/>
      <c r="M598" s="13"/>
      <c r="N598" s="13"/>
      <c r="O598" s="13"/>
      <c r="P598" s="13"/>
      <c r="Q598" s="13"/>
      <c r="R598" s="13"/>
      <c r="S598" s="13"/>
      <c r="T598" s="13"/>
    </row>
    <row r="599" spans="2:20" x14ac:dyDescent="0.25">
      <c r="B599" s="13"/>
      <c r="C599" s="13"/>
      <c r="D599" s="13"/>
      <c r="E599" s="13"/>
      <c r="F599" s="13"/>
      <c r="G599" s="13"/>
      <c r="H599" s="13"/>
      <c r="I599" s="13"/>
      <c r="J599" s="13"/>
      <c r="K599" s="13"/>
      <c r="L599" s="13"/>
      <c r="M599" s="13"/>
      <c r="N599" s="13"/>
      <c r="O599" s="13"/>
      <c r="P599" s="13"/>
      <c r="Q599" s="13"/>
      <c r="R599" s="13"/>
      <c r="S599" s="13"/>
      <c r="T599" s="13"/>
    </row>
    <row r="600" spans="2:20" x14ac:dyDescent="0.25">
      <c r="B600" s="13"/>
      <c r="C600" s="13"/>
      <c r="D600" s="13"/>
      <c r="E600" s="13"/>
      <c r="F600" s="13"/>
      <c r="G600" s="13"/>
      <c r="H600" s="13"/>
      <c r="I600" s="13"/>
      <c r="J600" s="13"/>
      <c r="K600" s="13"/>
      <c r="L600" s="13"/>
      <c r="M600" s="13"/>
      <c r="N600" s="13"/>
      <c r="O600" s="13"/>
      <c r="P600" s="13"/>
      <c r="Q600" s="13"/>
      <c r="R600" s="13"/>
      <c r="S600" s="13"/>
      <c r="T600" s="13"/>
    </row>
    <row r="601" spans="2:20" x14ac:dyDescent="0.25">
      <c r="B601" s="13"/>
      <c r="C601" s="13"/>
      <c r="D601" s="13"/>
      <c r="E601" s="13"/>
      <c r="F601" s="13"/>
      <c r="G601" s="13"/>
      <c r="H601" s="13"/>
      <c r="I601" s="13"/>
      <c r="J601" s="13"/>
      <c r="K601" s="13"/>
      <c r="L601" s="13"/>
      <c r="M601" s="13"/>
      <c r="N601" s="13"/>
      <c r="O601" s="13"/>
      <c r="P601" s="13"/>
      <c r="Q601" s="13"/>
      <c r="R601" s="13"/>
      <c r="S601" s="13"/>
      <c r="T601" s="13"/>
    </row>
    <row r="602" spans="2:20" x14ac:dyDescent="0.25">
      <c r="B602" s="13"/>
      <c r="C602" s="13"/>
      <c r="D602" s="13"/>
      <c r="E602" s="13"/>
      <c r="F602" s="13"/>
      <c r="G602" s="13"/>
      <c r="H602" s="13"/>
      <c r="I602" s="13"/>
      <c r="J602" s="13"/>
      <c r="K602" s="13"/>
      <c r="L602" s="13"/>
      <c r="M602" s="13"/>
      <c r="N602" s="13"/>
      <c r="O602" s="13"/>
      <c r="P602" s="13"/>
      <c r="Q602" s="13"/>
      <c r="R602" s="13"/>
      <c r="S602" s="13"/>
      <c r="T602" s="13"/>
    </row>
    <row r="603" spans="2:20" x14ac:dyDescent="0.25">
      <c r="B603" s="13"/>
      <c r="C603" s="13"/>
      <c r="D603" s="13"/>
      <c r="E603" s="13"/>
      <c r="F603" s="13"/>
      <c r="G603" s="13"/>
      <c r="H603" s="13"/>
      <c r="I603" s="13"/>
      <c r="J603" s="13"/>
      <c r="K603" s="13"/>
      <c r="L603" s="13"/>
      <c r="M603" s="13"/>
      <c r="N603" s="13"/>
      <c r="O603" s="13"/>
      <c r="P603" s="13"/>
      <c r="Q603" s="13"/>
      <c r="R603" s="13"/>
      <c r="S603" s="13"/>
      <c r="T603" s="13"/>
    </row>
    <row r="604" spans="2:20" x14ac:dyDescent="0.25">
      <c r="B604" s="13"/>
      <c r="C604" s="13"/>
      <c r="D604" s="13"/>
      <c r="E604" s="13"/>
      <c r="F604" s="13"/>
      <c r="G604" s="13"/>
      <c r="H604" s="13"/>
      <c r="I604" s="13"/>
      <c r="J604" s="13"/>
      <c r="K604" s="13"/>
      <c r="L604" s="13"/>
      <c r="M604" s="13"/>
      <c r="N604" s="13"/>
      <c r="O604" s="13"/>
      <c r="P604" s="13"/>
      <c r="Q604" s="13"/>
      <c r="R604" s="13"/>
      <c r="S604" s="13"/>
      <c r="T604" s="13"/>
    </row>
    <row r="605" spans="2:20" x14ac:dyDescent="0.25">
      <c r="B605" s="13"/>
      <c r="C605" s="13"/>
      <c r="D605" s="13"/>
      <c r="E605" s="13"/>
      <c r="F605" s="13"/>
      <c r="G605" s="13"/>
      <c r="H605" s="13"/>
      <c r="I605" s="13"/>
      <c r="J605" s="13"/>
      <c r="K605" s="13"/>
      <c r="L605" s="13"/>
      <c r="M605" s="13"/>
      <c r="N605" s="13"/>
      <c r="O605" s="13"/>
      <c r="P605" s="13"/>
      <c r="Q605" s="13"/>
      <c r="R605" s="13"/>
      <c r="S605" s="13"/>
      <c r="T605" s="13"/>
    </row>
    <row r="606" spans="2:20" x14ac:dyDescent="0.25">
      <c r="B606" s="13"/>
      <c r="C606" s="13"/>
      <c r="D606" s="13"/>
      <c r="E606" s="13"/>
      <c r="F606" s="13"/>
      <c r="G606" s="13"/>
      <c r="H606" s="13"/>
      <c r="I606" s="13"/>
      <c r="J606" s="13"/>
      <c r="K606" s="13"/>
      <c r="L606" s="13"/>
      <c r="M606" s="13"/>
      <c r="N606" s="13"/>
      <c r="O606" s="13"/>
      <c r="P606" s="13"/>
      <c r="Q606" s="13"/>
      <c r="R606" s="13"/>
      <c r="S606" s="13"/>
      <c r="T606" s="13"/>
    </row>
    <row r="607" spans="2:20" x14ac:dyDescent="0.25">
      <c r="B607" s="13"/>
      <c r="C607" s="13"/>
      <c r="D607" s="13"/>
      <c r="E607" s="13"/>
      <c r="F607" s="13"/>
      <c r="G607" s="13"/>
      <c r="H607" s="13"/>
      <c r="I607" s="13"/>
      <c r="J607" s="13"/>
      <c r="K607" s="13"/>
      <c r="L607" s="13"/>
      <c r="M607" s="13"/>
      <c r="N607" s="13"/>
      <c r="O607" s="13"/>
      <c r="P607" s="13"/>
      <c r="Q607" s="13"/>
      <c r="R607" s="13"/>
      <c r="S607" s="13"/>
      <c r="T607" s="13"/>
    </row>
    <row r="608" spans="2:20" x14ac:dyDescent="0.25">
      <c r="B608" s="13"/>
      <c r="C608" s="13"/>
      <c r="D608" s="13"/>
      <c r="E608" s="13"/>
      <c r="F608" s="13"/>
      <c r="G608" s="13"/>
      <c r="H608" s="13"/>
      <c r="I608" s="13"/>
      <c r="J608" s="13"/>
      <c r="K608" s="13"/>
      <c r="L608" s="13"/>
      <c r="M608" s="13"/>
      <c r="N608" s="13"/>
      <c r="O608" s="13"/>
      <c r="P608" s="13"/>
      <c r="Q608" s="13"/>
      <c r="R608" s="13"/>
      <c r="S608" s="13"/>
      <c r="T608" s="13"/>
    </row>
    <row r="609" spans="2:20" x14ac:dyDescent="0.25">
      <c r="B609" s="13"/>
      <c r="C609" s="13"/>
      <c r="D609" s="13"/>
      <c r="E609" s="13"/>
      <c r="F609" s="13"/>
      <c r="G609" s="13"/>
      <c r="H609" s="13"/>
      <c r="I609" s="13"/>
      <c r="J609" s="13"/>
      <c r="K609" s="13"/>
      <c r="L609" s="13"/>
      <c r="M609" s="13"/>
      <c r="N609" s="13"/>
      <c r="O609" s="13"/>
      <c r="P609" s="13"/>
      <c r="Q609" s="13"/>
      <c r="R609" s="13"/>
      <c r="S609" s="13"/>
      <c r="T609" s="13"/>
    </row>
    <row r="610" spans="2:20" x14ac:dyDescent="0.25">
      <c r="B610" s="13"/>
      <c r="C610" s="13"/>
      <c r="D610" s="13"/>
      <c r="E610" s="13"/>
      <c r="F610" s="13"/>
      <c r="G610" s="13"/>
      <c r="H610" s="13"/>
      <c r="I610" s="13"/>
      <c r="J610" s="13"/>
      <c r="K610" s="13"/>
      <c r="L610" s="13"/>
      <c r="M610" s="13"/>
      <c r="N610" s="13"/>
      <c r="O610" s="13"/>
      <c r="P610" s="13"/>
      <c r="Q610" s="13"/>
      <c r="R610" s="13"/>
      <c r="S610" s="13"/>
      <c r="T610" s="13"/>
    </row>
    <row r="611" spans="2:20" x14ac:dyDescent="0.25">
      <c r="B611" s="13"/>
      <c r="C611" s="13"/>
      <c r="D611" s="13"/>
      <c r="E611" s="13"/>
      <c r="F611" s="13"/>
      <c r="G611" s="13"/>
      <c r="H611" s="13"/>
      <c r="I611" s="13"/>
      <c r="J611" s="13"/>
      <c r="K611" s="13"/>
      <c r="L611" s="13"/>
      <c r="M611" s="13"/>
      <c r="N611" s="13"/>
      <c r="O611" s="13"/>
      <c r="P611" s="13"/>
      <c r="Q611" s="13"/>
      <c r="R611" s="13"/>
      <c r="S611" s="13"/>
      <c r="T611" s="13"/>
    </row>
    <row r="612" spans="2:20" x14ac:dyDescent="0.25">
      <c r="B612" s="13"/>
      <c r="C612" s="13"/>
      <c r="D612" s="13"/>
      <c r="E612" s="13"/>
      <c r="F612" s="13"/>
      <c r="G612" s="13"/>
      <c r="H612" s="13"/>
      <c r="I612" s="13"/>
      <c r="J612" s="13"/>
      <c r="K612" s="13"/>
      <c r="L612" s="13"/>
      <c r="M612" s="13"/>
      <c r="N612" s="13"/>
      <c r="O612" s="13"/>
      <c r="P612" s="13"/>
      <c r="Q612" s="13"/>
      <c r="R612" s="13"/>
      <c r="S612" s="13"/>
      <c r="T612" s="13"/>
    </row>
    <row r="613" spans="2:20" x14ac:dyDescent="0.25">
      <c r="B613" s="13"/>
      <c r="C613" s="13"/>
      <c r="D613" s="13"/>
      <c r="E613" s="13"/>
      <c r="F613" s="13"/>
      <c r="G613" s="13"/>
      <c r="H613" s="13"/>
      <c r="I613" s="13"/>
      <c r="J613" s="13"/>
      <c r="K613" s="13"/>
      <c r="L613" s="13"/>
      <c r="M613" s="13"/>
      <c r="N613" s="13"/>
      <c r="O613" s="13"/>
      <c r="P613" s="13"/>
      <c r="Q613" s="13"/>
      <c r="R613" s="13"/>
      <c r="S613" s="13"/>
      <c r="T613" s="13"/>
    </row>
    <row r="614" spans="2:20" x14ac:dyDescent="0.25">
      <c r="B614" s="13"/>
      <c r="C614" s="13"/>
      <c r="D614" s="13"/>
      <c r="E614" s="13"/>
      <c r="F614" s="13"/>
      <c r="G614" s="13"/>
      <c r="H614" s="13"/>
      <c r="I614" s="13"/>
      <c r="J614" s="13"/>
      <c r="K614" s="13"/>
      <c r="L614" s="13"/>
      <c r="M614" s="13"/>
      <c r="N614" s="13"/>
      <c r="O614" s="13"/>
      <c r="P614" s="13"/>
      <c r="Q614" s="13"/>
      <c r="R614" s="13"/>
      <c r="S614" s="13"/>
      <c r="T614" s="13"/>
    </row>
    <row r="615" spans="2:20" x14ac:dyDescent="0.25">
      <c r="B615" s="13"/>
      <c r="C615" s="13"/>
      <c r="D615" s="13"/>
      <c r="E615" s="13"/>
      <c r="F615" s="13"/>
      <c r="G615" s="13"/>
      <c r="H615" s="13"/>
      <c r="I615" s="13"/>
      <c r="J615" s="13"/>
      <c r="K615" s="13"/>
      <c r="L615" s="13"/>
      <c r="M615" s="13"/>
      <c r="N615" s="13"/>
      <c r="O615" s="13"/>
      <c r="P615" s="13"/>
      <c r="Q615" s="13"/>
      <c r="R615" s="13"/>
      <c r="S615" s="13"/>
      <c r="T615" s="13"/>
    </row>
    <row r="616" spans="2:20" x14ac:dyDescent="0.25">
      <c r="B616" s="13"/>
      <c r="C616" s="13"/>
      <c r="D616" s="13"/>
      <c r="E616" s="13"/>
      <c r="F616" s="13"/>
      <c r="G616" s="13"/>
      <c r="H616" s="13"/>
      <c r="I616" s="13"/>
      <c r="J616" s="13"/>
      <c r="K616" s="13"/>
      <c r="L616" s="13"/>
      <c r="M616" s="13"/>
      <c r="N616" s="13"/>
      <c r="O616" s="13"/>
      <c r="P616" s="13"/>
      <c r="Q616" s="13"/>
      <c r="R616" s="13"/>
      <c r="S616" s="13"/>
      <c r="T616" s="13"/>
    </row>
    <row r="617" spans="2:20" x14ac:dyDescent="0.25">
      <c r="B617" s="13"/>
      <c r="C617" s="13"/>
      <c r="D617" s="13"/>
      <c r="E617" s="13"/>
      <c r="F617" s="13"/>
      <c r="G617" s="13"/>
      <c r="H617" s="13"/>
      <c r="I617" s="13"/>
      <c r="J617" s="13"/>
      <c r="K617" s="13"/>
      <c r="L617" s="13"/>
      <c r="M617" s="13"/>
      <c r="N617" s="13"/>
      <c r="O617" s="13"/>
      <c r="P617" s="13"/>
      <c r="Q617" s="13"/>
      <c r="R617" s="13"/>
      <c r="S617" s="13"/>
      <c r="T617" s="13"/>
    </row>
    <row r="618" spans="2:20" x14ac:dyDescent="0.25">
      <c r="B618" s="13"/>
      <c r="C618" s="13"/>
      <c r="D618" s="13"/>
      <c r="E618" s="13"/>
      <c r="F618" s="13"/>
      <c r="G618" s="13"/>
      <c r="H618" s="13"/>
      <c r="I618" s="13"/>
      <c r="J618" s="13"/>
      <c r="K618" s="13"/>
      <c r="L618" s="13"/>
      <c r="M618" s="13"/>
      <c r="N618" s="13"/>
      <c r="O618" s="13"/>
      <c r="P618" s="13"/>
      <c r="Q618" s="13"/>
      <c r="R618" s="13"/>
      <c r="S618" s="13"/>
      <c r="T618" s="13"/>
    </row>
    <row r="619" spans="2:20" x14ac:dyDescent="0.25">
      <c r="B619" s="13"/>
      <c r="C619" s="13"/>
      <c r="D619" s="13"/>
      <c r="E619" s="13"/>
      <c r="F619" s="13"/>
      <c r="G619" s="13"/>
      <c r="H619" s="13"/>
      <c r="I619" s="13"/>
      <c r="J619" s="13"/>
      <c r="K619" s="13"/>
      <c r="L619" s="13"/>
      <c r="M619" s="13"/>
      <c r="N619" s="13"/>
      <c r="O619" s="13"/>
      <c r="P619" s="13"/>
      <c r="Q619" s="13"/>
      <c r="R619" s="13"/>
      <c r="S619" s="13"/>
      <c r="T619" s="13"/>
    </row>
    <row r="620" spans="2:20" x14ac:dyDescent="0.25">
      <c r="B620" s="13"/>
      <c r="C620" s="13"/>
      <c r="D620" s="13"/>
      <c r="E620" s="13"/>
      <c r="F620" s="13"/>
      <c r="G620" s="13"/>
      <c r="H620" s="13"/>
      <c r="I620" s="13"/>
      <c r="J620" s="13"/>
      <c r="K620" s="13"/>
      <c r="L620" s="13"/>
      <c r="M620" s="13"/>
      <c r="N620" s="13"/>
      <c r="O620" s="13"/>
      <c r="P620" s="13"/>
      <c r="Q620" s="13"/>
      <c r="R620" s="13"/>
      <c r="S620" s="13"/>
      <c r="T620" s="13"/>
    </row>
    <row r="621" spans="2:20" x14ac:dyDescent="0.25">
      <c r="B621" s="13"/>
      <c r="C621" s="13"/>
      <c r="D621" s="13"/>
      <c r="E621" s="13"/>
      <c r="F621" s="13"/>
      <c r="G621" s="13"/>
      <c r="H621" s="13"/>
      <c r="I621" s="13"/>
      <c r="J621" s="13"/>
      <c r="K621" s="13"/>
      <c r="L621" s="13"/>
      <c r="M621" s="13"/>
      <c r="N621" s="13"/>
      <c r="O621" s="13"/>
      <c r="P621" s="13"/>
      <c r="Q621" s="13"/>
      <c r="R621" s="13"/>
      <c r="S621" s="13"/>
      <c r="T621" s="13"/>
    </row>
    <row r="622" spans="2:20" x14ac:dyDescent="0.25">
      <c r="B622" s="13"/>
      <c r="C622" s="13"/>
      <c r="D622" s="13"/>
      <c r="E622" s="13"/>
      <c r="F622" s="13"/>
      <c r="G622" s="13"/>
      <c r="H622" s="13"/>
      <c r="I622" s="13"/>
      <c r="J622" s="13"/>
      <c r="K622" s="13"/>
      <c r="L622" s="13"/>
      <c r="M622" s="13"/>
      <c r="N622" s="13"/>
      <c r="O622" s="13"/>
      <c r="P622" s="13"/>
      <c r="Q622" s="13"/>
      <c r="R622" s="13"/>
      <c r="S622" s="13"/>
      <c r="T622" s="13"/>
    </row>
    <row r="623" spans="2:20" x14ac:dyDescent="0.25">
      <c r="B623" s="13"/>
      <c r="C623" s="13"/>
      <c r="D623" s="13"/>
      <c r="E623" s="13"/>
      <c r="F623" s="13"/>
      <c r="G623" s="13"/>
      <c r="H623" s="13"/>
      <c r="I623" s="13"/>
      <c r="J623" s="13"/>
      <c r="K623" s="13"/>
      <c r="L623" s="13"/>
      <c r="M623" s="13"/>
      <c r="N623" s="13"/>
      <c r="O623" s="13"/>
      <c r="P623" s="13"/>
      <c r="Q623" s="13"/>
      <c r="R623" s="13"/>
      <c r="S623" s="13"/>
      <c r="T623" s="13"/>
    </row>
    <row r="624" spans="2:20" x14ac:dyDescent="0.25">
      <c r="B624" s="13"/>
      <c r="C624" s="13"/>
      <c r="D624" s="13"/>
      <c r="E624" s="13"/>
      <c r="F624" s="13"/>
      <c r="G624" s="13"/>
      <c r="H624" s="13"/>
      <c r="I624" s="13"/>
      <c r="J624" s="13"/>
      <c r="K624" s="13"/>
      <c r="L624" s="13"/>
      <c r="M624" s="13"/>
      <c r="N624" s="13"/>
      <c r="O624" s="13"/>
      <c r="P624" s="13"/>
      <c r="Q624" s="13"/>
      <c r="R624" s="13"/>
      <c r="S624" s="13"/>
      <c r="T624" s="13"/>
    </row>
    <row r="625" spans="2:20" x14ac:dyDescent="0.25">
      <c r="B625" s="13"/>
      <c r="C625" s="13"/>
      <c r="D625" s="13"/>
      <c r="E625" s="13"/>
      <c r="F625" s="13"/>
      <c r="G625" s="13"/>
      <c r="H625" s="13"/>
      <c r="I625" s="13"/>
      <c r="J625" s="13"/>
      <c r="K625" s="13"/>
      <c r="L625" s="13"/>
      <c r="M625" s="13"/>
      <c r="N625" s="13"/>
      <c r="O625" s="13"/>
      <c r="P625" s="13"/>
      <c r="Q625" s="13"/>
      <c r="R625" s="13"/>
      <c r="S625" s="13"/>
      <c r="T625" s="13"/>
    </row>
    <row r="626" spans="2:20" x14ac:dyDescent="0.25">
      <c r="B626" s="13"/>
      <c r="C626" s="13"/>
      <c r="D626" s="13"/>
      <c r="E626" s="13"/>
      <c r="F626" s="13"/>
      <c r="G626" s="13"/>
      <c r="H626" s="13"/>
      <c r="I626" s="13"/>
      <c r="J626" s="13"/>
      <c r="K626" s="13"/>
      <c r="L626" s="13"/>
      <c r="M626" s="13"/>
      <c r="N626" s="13"/>
      <c r="O626" s="13"/>
      <c r="P626" s="13"/>
      <c r="Q626" s="13"/>
      <c r="R626" s="13"/>
      <c r="S626" s="13"/>
      <c r="T626" s="13"/>
    </row>
    <row r="627" spans="2:20" x14ac:dyDescent="0.25">
      <c r="B627" s="13"/>
      <c r="C627" s="13"/>
      <c r="D627" s="13"/>
      <c r="E627" s="13"/>
      <c r="F627" s="13"/>
      <c r="G627" s="13"/>
      <c r="H627" s="13"/>
      <c r="I627" s="13"/>
      <c r="J627" s="13"/>
      <c r="K627" s="13"/>
      <c r="L627" s="13"/>
      <c r="M627" s="13"/>
      <c r="N627" s="13"/>
      <c r="O627" s="13"/>
      <c r="P627" s="13"/>
      <c r="Q627" s="13"/>
      <c r="R627" s="13"/>
      <c r="S627" s="13"/>
      <c r="T627" s="13"/>
    </row>
    <row r="628" spans="2:20" x14ac:dyDescent="0.25">
      <c r="B628" s="13"/>
      <c r="C628" s="13"/>
      <c r="D628" s="13"/>
      <c r="E628" s="13"/>
      <c r="F628" s="13"/>
      <c r="G628" s="13"/>
      <c r="H628" s="13"/>
      <c r="I628" s="13"/>
      <c r="J628" s="13"/>
      <c r="K628" s="13"/>
      <c r="L628" s="13"/>
      <c r="M628" s="13"/>
      <c r="N628" s="13"/>
      <c r="O628" s="13"/>
      <c r="P628" s="13"/>
      <c r="Q628" s="13"/>
      <c r="R628" s="13"/>
      <c r="S628" s="13"/>
      <c r="T628" s="13"/>
    </row>
    <row r="629" spans="2:20" x14ac:dyDescent="0.25">
      <c r="B629" s="13"/>
      <c r="C629" s="13"/>
      <c r="D629" s="13"/>
      <c r="E629" s="13"/>
      <c r="F629" s="13"/>
      <c r="G629" s="13"/>
      <c r="H629" s="13"/>
      <c r="I629" s="13"/>
      <c r="J629" s="13"/>
      <c r="K629" s="13"/>
      <c r="L629" s="13"/>
      <c r="M629" s="13"/>
      <c r="N629" s="13"/>
      <c r="O629" s="13"/>
      <c r="P629" s="13"/>
      <c r="Q629" s="13"/>
      <c r="R629" s="13"/>
      <c r="S629" s="13"/>
      <c r="T629" s="13"/>
    </row>
    <row r="630" spans="2:20" x14ac:dyDescent="0.25">
      <c r="B630" s="13"/>
      <c r="C630" s="13"/>
      <c r="D630" s="13"/>
      <c r="E630" s="13"/>
      <c r="F630" s="13"/>
      <c r="G630" s="13"/>
      <c r="H630" s="13"/>
      <c r="I630" s="13"/>
      <c r="J630" s="13"/>
      <c r="K630" s="13"/>
      <c r="L630" s="13"/>
      <c r="M630" s="13"/>
      <c r="N630" s="13"/>
      <c r="O630" s="13"/>
      <c r="P630" s="13"/>
      <c r="Q630" s="13"/>
      <c r="R630" s="13"/>
      <c r="S630" s="13"/>
      <c r="T630" s="13"/>
    </row>
    <row r="631" spans="2:20" x14ac:dyDescent="0.25">
      <c r="B631" s="13"/>
      <c r="C631" s="13"/>
      <c r="D631" s="13"/>
      <c r="E631" s="13"/>
      <c r="F631" s="13"/>
      <c r="G631" s="13"/>
      <c r="H631" s="13"/>
      <c r="I631" s="13"/>
      <c r="J631" s="13"/>
      <c r="K631" s="13"/>
      <c r="L631" s="13"/>
      <c r="M631" s="13"/>
      <c r="N631" s="13"/>
      <c r="O631" s="13"/>
      <c r="P631" s="13"/>
      <c r="Q631" s="13"/>
      <c r="R631" s="13"/>
      <c r="S631" s="13"/>
      <c r="T631" s="13"/>
    </row>
    <row r="632" spans="2:20" x14ac:dyDescent="0.25">
      <c r="B632" s="13"/>
      <c r="C632" s="13"/>
      <c r="D632" s="13"/>
      <c r="E632" s="13"/>
      <c r="F632" s="13"/>
      <c r="G632" s="13"/>
      <c r="H632" s="13"/>
      <c r="I632" s="13"/>
      <c r="J632" s="13"/>
      <c r="K632" s="13"/>
      <c r="L632" s="13"/>
      <c r="M632" s="13"/>
      <c r="N632" s="13"/>
      <c r="O632" s="13"/>
      <c r="P632" s="13"/>
      <c r="Q632" s="13"/>
      <c r="R632" s="13"/>
      <c r="S632" s="13"/>
      <c r="T632" s="13"/>
    </row>
    <row r="633" spans="2:20" x14ac:dyDescent="0.25">
      <c r="B633" s="13"/>
      <c r="C633" s="13"/>
      <c r="D633" s="13"/>
      <c r="E633" s="13"/>
      <c r="F633" s="13"/>
      <c r="G633" s="13"/>
      <c r="H633" s="13"/>
      <c r="I633" s="13"/>
      <c r="J633" s="13"/>
      <c r="K633" s="13"/>
      <c r="L633" s="13"/>
      <c r="M633" s="13"/>
      <c r="N633" s="13"/>
      <c r="O633" s="13"/>
      <c r="P633" s="13"/>
      <c r="Q633" s="13"/>
      <c r="R633" s="13"/>
      <c r="S633" s="13"/>
      <c r="T633" s="13"/>
    </row>
    <row r="634" spans="2:20" x14ac:dyDescent="0.25">
      <c r="B634" s="13"/>
      <c r="C634" s="13"/>
      <c r="D634" s="13"/>
      <c r="E634" s="13"/>
      <c r="F634" s="13"/>
      <c r="G634" s="13"/>
      <c r="H634" s="13"/>
      <c r="I634" s="13"/>
      <c r="J634" s="13"/>
      <c r="K634" s="13"/>
      <c r="L634" s="13"/>
      <c r="M634" s="13"/>
      <c r="N634" s="13"/>
      <c r="O634" s="13"/>
      <c r="P634" s="13"/>
      <c r="Q634" s="13"/>
      <c r="R634" s="13"/>
      <c r="S634" s="13"/>
      <c r="T634" s="13"/>
    </row>
    <row r="635" spans="2:20" x14ac:dyDescent="0.25">
      <c r="B635" s="13"/>
      <c r="C635" s="13"/>
      <c r="D635" s="13"/>
      <c r="E635" s="13"/>
      <c r="F635" s="13"/>
      <c r="G635" s="13"/>
      <c r="H635" s="13"/>
      <c r="I635" s="13"/>
      <c r="J635" s="13"/>
      <c r="K635" s="13"/>
      <c r="L635" s="13"/>
      <c r="M635" s="13"/>
      <c r="N635" s="13"/>
      <c r="O635" s="13"/>
      <c r="P635" s="13"/>
      <c r="Q635" s="13"/>
      <c r="R635" s="13"/>
      <c r="S635" s="13"/>
      <c r="T635" s="13"/>
    </row>
    <row r="636" spans="2:20" x14ac:dyDescent="0.25">
      <c r="B636" s="13"/>
      <c r="C636" s="13"/>
      <c r="D636" s="13"/>
      <c r="E636" s="13"/>
      <c r="F636" s="13"/>
      <c r="G636" s="13"/>
      <c r="H636" s="13"/>
      <c r="I636" s="13"/>
      <c r="J636" s="13"/>
      <c r="K636" s="13"/>
      <c r="L636" s="13"/>
      <c r="M636" s="13"/>
      <c r="N636" s="13"/>
      <c r="O636" s="13"/>
      <c r="P636" s="13"/>
      <c r="Q636" s="13"/>
      <c r="R636" s="13"/>
      <c r="S636" s="13"/>
      <c r="T636" s="13"/>
    </row>
    <row r="637" spans="2:20" x14ac:dyDescent="0.25">
      <c r="B637" s="13"/>
      <c r="C637" s="13"/>
      <c r="D637" s="13"/>
      <c r="E637" s="13"/>
      <c r="F637" s="13"/>
      <c r="G637" s="13"/>
      <c r="H637" s="13"/>
      <c r="I637" s="13"/>
      <c r="J637" s="13"/>
      <c r="K637" s="13"/>
      <c r="L637" s="13"/>
      <c r="M637" s="13"/>
      <c r="N637" s="13"/>
      <c r="O637" s="13"/>
      <c r="P637" s="13"/>
      <c r="Q637" s="13"/>
      <c r="R637" s="13"/>
      <c r="S637" s="13"/>
      <c r="T637" s="13"/>
    </row>
    <row r="638" spans="2:20" x14ac:dyDescent="0.25">
      <c r="B638" s="13"/>
      <c r="C638" s="13"/>
      <c r="D638" s="13"/>
      <c r="E638" s="13"/>
      <c r="F638" s="13"/>
      <c r="G638" s="13"/>
      <c r="H638" s="13"/>
      <c r="I638" s="13"/>
      <c r="J638" s="13"/>
      <c r="K638" s="13"/>
      <c r="L638" s="13"/>
      <c r="M638" s="13"/>
      <c r="N638" s="13"/>
      <c r="O638" s="13"/>
      <c r="P638" s="13"/>
      <c r="Q638" s="13"/>
      <c r="R638" s="13"/>
      <c r="S638" s="13"/>
      <c r="T638" s="13"/>
    </row>
    <row r="639" spans="2:20" x14ac:dyDescent="0.25">
      <c r="B639" s="13"/>
      <c r="C639" s="13"/>
      <c r="D639" s="13"/>
      <c r="E639" s="13"/>
      <c r="F639" s="13"/>
      <c r="G639" s="13"/>
      <c r="H639" s="13"/>
      <c r="I639" s="13"/>
      <c r="J639" s="13"/>
      <c r="K639" s="13"/>
      <c r="L639" s="13"/>
      <c r="M639" s="13"/>
      <c r="N639" s="13"/>
      <c r="O639" s="13"/>
      <c r="P639" s="13"/>
      <c r="Q639" s="13"/>
      <c r="R639" s="13"/>
      <c r="S639" s="13"/>
      <c r="T639" s="13"/>
    </row>
    <row r="640" spans="2:20" x14ac:dyDescent="0.25">
      <c r="B640" s="13"/>
      <c r="C640" s="13"/>
      <c r="D640" s="13"/>
      <c r="E640" s="13"/>
      <c r="F640" s="13"/>
      <c r="G640" s="13"/>
      <c r="H640" s="13"/>
      <c r="I640" s="13"/>
      <c r="J640" s="13"/>
      <c r="K640" s="13"/>
      <c r="L640" s="13"/>
      <c r="M640" s="13"/>
      <c r="N640" s="13"/>
      <c r="O640" s="13"/>
      <c r="P640" s="13"/>
      <c r="Q640" s="13"/>
      <c r="R640" s="13"/>
      <c r="S640" s="13"/>
      <c r="T640" s="13"/>
    </row>
    <row r="641" spans="2:20" x14ac:dyDescent="0.25">
      <c r="B641" s="13"/>
      <c r="C641" s="13"/>
      <c r="D641" s="13"/>
      <c r="E641" s="13"/>
      <c r="F641" s="13"/>
      <c r="G641" s="13"/>
      <c r="H641" s="13"/>
      <c r="I641" s="13"/>
      <c r="J641" s="13"/>
      <c r="K641" s="13"/>
      <c r="L641" s="13"/>
      <c r="M641" s="13"/>
      <c r="N641" s="13"/>
      <c r="O641" s="13"/>
      <c r="P641" s="13"/>
      <c r="Q641" s="13"/>
      <c r="R641" s="13"/>
      <c r="S641" s="13"/>
      <c r="T641" s="13"/>
    </row>
    <row r="642" spans="2:20" x14ac:dyDescent="0.25">
      <c r="B642" s="13"/>
      <c r="C642" s="13"/>
      <c r="D642" s="13"/>
      <c r="E642" s="13"/>
      <c r="F642" s="13"/>
      <c r="G642" s="13"/>
      <c r="H642" s="13"/>
      <c r="I642" s="13"/>
      <c r="J642" s="13"/>
      <c r="K642" s="13"/>
      <c r="L642" s="13"/>
      <c r="M642" s="13"/>
      <c r="N642" s="13"/>
      <c r="O642" s="13"/>
      <c r="P642" s="13"/>
      <c r="Q642" s="13"/>
      <c r="R642" s="13"/>
      <c r="S642" s="13"/>
      <c r="T642" s="13"/>
    </row>
    <row r="643" spans="2:20" x14ac:dyDescent="0.25">
      <c r="B643" s="13"/>
      <c r="C643" s="13"/>
      <c r="D643" s="13"/>
      <c r="E643" s="13"/>
      <c r="F643" s="13"/>
      <c r="G643" s="13"/>
      <c r="H643" s="13"/>
      <c r="I643" s="13"/>
      <c r="J643" s="13"/>
      <c r="K643" s="13"/>
      <c r="L643" s="13"/>
      <c r="M643" s="13"/>
      <c r="N643" s="13"/>
      <c r="O643" s="13"/>
      <c r="P643" s="13"/>
      <c r="Q643" s="13"/>
      <c r="R643" s="13"/>
      <c r="S643" s="13"/>
      <c r="T643" s="13"/>
    </row>
    <row r="644" spans="2:20" x14ac:dyDescent="0.25">
      <c r="B644" s="13"/>
      <c r="C644" s="13"/>
      <c r="D644" s="13"/>
      <c r="E644" s="13"/>
      <c r="F644" s="13"/>
      <c r="G644" s="13"/>
      <c r="H644" s="13"/>
      <c r="I644" s="13"/>
      <c r="J644" s="13"/>
      <c r="K644" s="13"/>
      <c r="L644" s="13"/>
      <c r="M644" s="13"/>
      <c r="N644" s="13"/>
      <c r="O644" s="13"/>
      <c r="P644" s="13"/>
      <c r="Q644" s="13"/>
      <c r="R644" s="13"/>
      <c r="S644" s="13"/>
      <c r="T644" s="13"/>
    </row>
    <row r="645" spans="2:20" x14ac:dyDescent="0.25">
      <c r="B645" s="13"/>
      <c r="C645" s="13"/>
      <c r="D645" s="13"/>
      <c r="E645" s="13"/>
      <c r="F645" s="13"/>
      <c r="G645" s="13"/>
      <c r="H645" s="13"/>
      <c r="I645" s="13"/>
      <c r="J645" s="13"/>
      <c r="K645" s="13"/>
      <c r="L645" s="13"/>
      <c r="M645" s="13"/>
      <c r="N645" s="13"/>
      <c r="O645" s="13"/>
      <c r="P645" s="13"/>
      <c r="Q645" s="13"/>
      <c r="R645" s="13"/>
      <c r="S645" s="13"/>
      <c r="T645" s="13"/>
    </row>
    <row r="646" spans="2:20" x14ac:dyDescent="0.25">
      <c r="B646" s="13"/>
      <c r="C646" s="13"/>
      <c r="D646" s="13"/>
      <c r="E646" s="13"/>
      <c r="F646" s="13"/>
      <c r="G646" s="13"/>
      <c r="H646" s="13"/>
      <c r="I646" s="13"/>
      <c r="J646" s="13"/>
      <c r="K646" s="13"/>
      <c r="L646" s="13"/>
      <c r="M646" s="13"/>
      <c r="N646" s="13"/>
      <c r="O646" s="13"/>
      <c r="P646" s="13"/>
      <c r="Q646" s="13"/>
      <c r="R646" s="13"/>
      <c r="S646" s="13"/>
      <c r="T646" s="13"/>
    </row>
    <row r="647" spans="2:20" x14ac:dyDescent="0.25">
      <c r="B647" s="13"/>
      <c r="C647" s="13"/>
      <c r="D647" s="13"/>
      <c r="E647" s="13"/>
      <c r="F647" s="13"/>
      <c r="G647" s="13"/>
      <c r="H647" s="13"/>
      <c r="I647" s="13"/>
      <c r="J647" s="13"/>
      <c r="K647" s="13"/>
      <c r="L647" s="13"/>
      <c r="M647" s="13"/>
      <c r="N647" s="13"/>
      <c r="O647" s="13"/>
      <c r="P647" s="13"/>
      <c r="Q647" s="13"/>
      <c r="R647" s="13"/>
      <c r="S647" s="13"/>
      <c r="T647" s="13"/>
    </row>
    <row r="648" spans="2:20" x14ac:dyDescent="0.25">
      <c r="B648" s="13"/>
      <c r="C648" s="13"/>
      <c r="D648" s="13"/>
      <c r="E648" s="13"/>
      <c r="F648" s="13"/>
      <c r="G648" s="13"/>
      <c r="H648" s="13"/>
      <c r="I648" s="13"/>
      <c r="J648" s="13"/>
      <c r="K648" s="13"/>
      <c r="L648" s="13"/>
      <c r="M648" s="13"/>
      <c r="N648" s="13"/>
      <c r="O648" s="13"/>
      <c r="P648" s="13"/>
      <c r="Q648" s="13"/>
      <c r="R648" s="13"/>
      <c r="S648" s="13"/>
      <c r="T648" s="13"/>
    </row>
  </sheetData>
  <autoFilter ref="B1:T22" xr:uid="{00000000-0009-0000-0000-000001000000}">
    <filterColumn colId="5">
      <filters>
        <filter val="African Indigenous Vegetables (AIVs)"/>
      </filters>
    </filterColumn>
  </autoFilter>
  <dataValidations count="15">
    <dataValidation type="list" allowBlank="1" errorTitle="Invalid entry" error="Please choose a value from the dropdown list." sqref="O2:O25" xr:uid="{00000000-0002-0000-0100-000002000000}">
      <formula1>"Current,Needs Update,Outdated,Needs Verification"</formula1>
      <formula2>0</formula2>
    </dataValidation>
    <dataValidation type="list" allowBlank="1" errorTitle="Invalid entry" error="Please choose a value from the dropdown list." sqref="P2:P25" xr:uid="{00000000-0002-0000-0100-000003000000}">
      <formula1>"Verified,Needs Review,Flagged - Inaccurate"</formula1>
      <formula2>0</formula2>
    </dataValidation>
    <dataValidation type="list" allowBlank="1" errorTitle="Invalid entry" error="Please choose a value from the dropdown list." sqref="Q2:Q25" xr:uid="{00000000-0002-0000-0100-000004000000}">
      <formula1>"source_validated,expert_reviewed,pending_validation,not_validated"</formula1>
      <formula2>0</formula2>
    </dataValidation>
    <dataValidation type="list" allowBlank="1" errorTitle="Invalid entry" error="Please choose a value from the dropdown list." sqref="R2:R25" xr:uid="{00000000-0002-0000-0100-000005000000}">
      <formula1>"Low,Medium,High"</formula1>
      <formula2>0</formula2>
    </dataValidation>
    <dataValidation type="list" allowBlank="1" errorTitle="Invalid entry" error="Please choose a value from the dropdown list." sqref="S2:S25" xr:uid="{00000000-0002-0000-0100-000006000000}">
      <formula1>"Ready to Certify,Needs Review,Needs Update,Duplicate,Reject"</formula1>
      <formula2>0</formula2>
    </dataValidation>
    <dataValidation type="list" allowBlank="1" errorTitle="Invalid entry" error="Please choose a value from the dropdown list." sqref="I2:I18" xr:uid="{00000000-0002-0000-0100-000007000000}">
      <formula1>"Production Guide,Protocol / SOP,Factsheet,Advisory Bulletin,Training Manual,Poster / Infographic,Other"</formula1>
      <formula2>0</formula2>
    </dataValidation>
    <dataValidation type="list" allowBlank="1" errorTitle="Invalid entry" error="Please choose a value from the dropdown list." sqref="J2:J18" xr:uid="{00000000-0002-0000-0100-000008000000}">
      <formula1>"Text / Word,PDF,Poster,Audio,Video,Spreadsheet,Other"</formula1>
      <formula2>0</formula2>
    </dataValidation>
    <dataValidation type="list" allowBlank="1" errorTitle="Invalid entry" error="Please choose a value from the dropdown list." sqref="I19:I25 I3" xr:uid="{00000000-0002-0000-0100-000000000000}">
      <formula1>"Production Guide,Protocol / SOP,Factsheet,Advisory Bulletin,Brochure,Training Manual,Poster / Infographic,Video,Other"</formula1>
      <formula2>0</formula2>
    </dataValidation>
    <dataValidation type="list" allowBlank="1" errorTitle="Invalid entry" error="Please choose a value from the dropdown list." sqref="J19:J25 J3" xr:uid="{00000000-0002-0000-0100-000001000000}">
      <formula1>"PDF,Text / Word,Poster,Audio,Video,Spreadsheet,Other"</formula1>
      <formula2>0</formula2>
    </dataValidation>
    <dataValidation type="list" allowBlank="1" sqref="R59:R78" xr:uid="{7E4D2250-89B8-4C87-AB01-27C9B65C1CBD}">
      <formula1>"Low,Medium,High"</formula1>
    </dataValidation>
    <dataValidation type="list" allowBlank="1" sqref="P59:P78" xr:uid="{F66E097F-E562-498A-A4DD-3A3CEFF02EFD}">
      <formula1>"Verified,Needs Review,Flagged - Inaccurate"</formula1>
    </dataValidation>
    <dataValidation type="list" allowBlank="1" sqref="O59:O78 I59:I88" xr:uid="{B496BBBA-6FE7-48ED-9658-0C662CC40A25}">
      <formula1>"Production Guide,Protocol / SOP,Factsheet,Advisory Bulletin,Brochure,Training Manual,Poster / Infographic,Video,Other"</formula1>
    </dataValidation>
    <dataValidation type="list" allowBlank="1" sqref="Q59:Q78" xr:uid="{2CE8D5AD-F304-4B1C-8412-4CE26FD6F21E}">
      <formula1>"source_validated,expert_reviewed,pending_validation,not_validated"</formula1>
    </dataValidation>
    <dataValidation type="list" allowBlank="1" sqref="S59:S78" xr:uid="{D20B79D4-8E8E-44C6-8EE4-A31353DED5A6}">
      <formula1>"Ready to Certify,Needs Review,Needs Update,Duplicate,Reject"</formula1>
    </dataValidation>
    <dataValidation type="list" allowBlank="1" sqref="J59:J88" xr:uid="{86D0F32F-3B1B-42A0-8EF5-94416318BFFC}">
      <formula1>"PDF,Text / Word,Poster,Audio,Video,Spreadsheet,Other"</formula1>
    </dataValidation>
  </dataValidations>
  <hyperlinks>
    <hyperlink ref="D19" r:id="rId1" xr:uid="{00000000-0004-0000-0100-000000000000}"/>
    <hyperlink ref="D24" r:id="rId2" xr:uid="{00000000-0004-0000-0100-000001000000}"/>
    <hyperlink ref="D2" r:id="rId3" xr:uid="{00000000-0004-0000-0100-000002000000}"/>
    <hyperlink ref="D27" r:id="rId4" xr:uid="{00000000-0004-0000-0100-000000000000}"/>
    <hyperlink ref="D42" r:id="rId5" xr:uid="{00000000-0004-0000-0100-000000000000}"/>
    <hyperlink ref="D43" r:id="rId6" xr:uid="{00000000-0004-0000-0100-000001000000}"/>
    <hyperlink ref="D46" r:id="rId7" xr:uid="{00000000-0004-0000-0100-000002000000}"/>
    <hyperlink ref="D60" r:id="rId8" xr:uid="{32E9F7EE-3DC2-45C4-87A1-4EB49D779E01}"/>
    <hyperlink ref="D62" r:id="rId9" xr:uid="{6F41863F-D031-4564-8216-E184116693A7}"/>
    <hyperlink ref="D63" r:id="rId10" xr:uid="{B86673D6-9BFD-4CF1-9CC6-ABE87CD882B8}"/>
    <hyperlink ref="D66" r:id="rId11" xr:uid="{BE271F6F-AC91-448E-BB30-4C5AA7EE2267}"/>
    <hyperlink ref="D71" r:id="rId12" xr:uid="{C0E7C85B-281A-447B-A260-7C9ECA5A6E6F}"/>
    <hyperlink ref="D78" r:id="rId13" xr:uid="{DF74B6CE-3D65-4780-BD00-4C25509E3379}"/>
    <hyperlink ref="D80" r:id="rId14" xr:uid="{5FFAE3E4-B1DC-4C05-B155-5A9ABEEB9B98}"/>
    <hyperlink ref="D81" r:id="rId15" xr:uid="{B5D4CB25-FDA5-4D15-90CC-CC5E4C0EC0E1}"/>
    <hyperlink ref="D83" r:id="rId16" xr:uid="{0DE5A886-6268-4337-B32A-2593BD8C327A}"/>
  </hyperlinks>
  <pageMargins left="0.75" right="0.75" top="1" bottom="1" header="0.511811023622047" footer="0.511811023622047"/>
  <pageSetup scale="32"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4B092-3478-4FE3-8820-C32BD97F94D9}">
  <dimension ref="B1:H37"/>
  <sheetViews>
    <sheetView tabSelected="1" workbookViewId="0"/>
  </sheetViews>
  <sheetFormatPr defaultRowHeight="15" x14ac:dyDescent="0.25"/>
  <cols>
    <col min="1" max="1" width="2.85546875" customWidth="1"/>
    <col min="2" max="2" width="3.5703125" customWidth="1"/>
    <col min="3" max="3" width="37.28515625" customWidth="1"/>
    <col min="4" max="4" width="36.42578125" customWidth="1"/>
    <col min="5" max="5" width="25.7109375" customWidth="1"/>
    <col min="6" max="6" width="28.140625" customWidth="1"/>
    <col min="7" max="7" width="29.140625" customWidth="1"/>
    <col min="8" max="8" width="21.42578125" customWidth="1"/>
  </cols>
  <sheetData>
    <row r="1" spans="2:8" ht="47.25" x14ac:dyDescent="0.25">
      <c r="B1" s="209" t="s">
        <v>139</v>
      </c>
      <c r="C1" s="209" t="s">
        <v>140</v>
      </c>
      <c r="D1" s="209" t="s">
        <v>141</v>
      </c>
      <c r="E1" s="209" t="s">
        <v>142</v>
      </c>
      <c r="F1" s="209" t="s">
        <v>143</v>
      </c>
      <c r="G1" s="209" t="s">
        <v>144</v>
      </c>
      <c r="H1" s="210" t="s">
        <v>1170</v>
      </c>
    </row>
    <row r="2" spans="2:8" ht="409.5" x14ac:dyDescent="0.25">
      <c r="B2" s="211">
        <v>1</v>
      </c>
      <c r="C2" s="211" t="s">
        <v>5832</v>
      </c>
      <c r="D2" s="211" t="s">
        <v>5833</v>
      </c>
      <c r="E2" s="212" t="s">
        <v>5786</v>
      </c>
      <c r="F2" s="211" t="s">
        <v>5834</v>
      </c>
      <c r="G2" s="211" t="s">
        <v>5835</v>
      </c>
      <c r="H2" s="213" t="s">
        <v>1171</v>
      </c>
    </row>
    <row r="3" spans="2:8" ht="409.5" x14ac:dyDescent="0.25">
      <c r="B3" s="211">
        <v>2</v>
      </c>
      <c r="C3" s="211" t="s">
        <v>5836</v>
      </c>
      <c r="D3" s="211" t="s">
        <v>5837</v>
      </c>
      <c r="E3" s="212" t="s">
        <v>5786</v>
      </c>
      <c r="F3" s="211" t="s">
        <v>5838</v>
      </c>
      <c r="G3" s="211" t="s">
        <v>5839</v>
      </c>
      <c r="H3" s="213" t="s">
        <v>1171</v>
      </c>
    </row>
    <row r="4" spans="2:8" ht="409.5" x14ac:dyDescent="0.25">
      <c r="B4" s="211">
        <v>3</v>
      </c>
      <c r="C4" s="211" t="s">
        <v>5840</v>
      </c>
      <c r="D4" s="211" t="s">
        <v>5841</v>
      </c>
      <c r="E4" s="212" t="s">
        <v>5786</v>
      </c>
      <c r="F4" s="211" t="s">
        <v>5842</v>
      </c>
      <c r="G4" s="211" t="s">
        <v>5843</v>
      </c>
      <c r="H4" s="213" t="s">
        <v>1171</v>
      </c>
    </row>
    <row r="5" spans="2:8" ht="409.5" x14ac:dyDescent="0.25">
      <c r="B5" s="211">
        <v>4</v>
      </c>
      <c r="C5" s="211" t="s">
        <v>5844</v>
      </c>
      <c r="D5" s="211" t="s">
        <v>5845</v>
      </c>
      <c r="E5" s="212" t="s">
        <v>5786</v>
      </c>
      <c r="F5" s="211" t="s">
        <v>5846</v>
      </c>
      <c r="G5" s="211" t="s">
        <v>5847</v>
      </c>
      <c r="H5" s="213" t="s">
        <v>1171</v>
      </c>
    </row>
    <row r="6" spans="2:8" ht="409.5" x14ac:dyDescent="0.25">
      <c r="B6" s="211">
        <v>5</v>
      </c>
      <c r="C6" s="211" t="s">
        <v>5848</v>
      </c>
      <c r="D6" s="211" t="s">
        <v>5849</v>
      </c>
      <c r="E6" s="212" t="s">
        <v>5786</v>
      </c>
      <c r="F6" s="211" t="s">
        <v>5850</v>
      </c>
      <c r="G6" s="211" t="s">
        <v>5851</v>
      </c>
      <c r="H6" s="213" t="s">
        <v>1171</v>
      </c>
    </row>
    <row r="7" spans="2:8" ht="409.5" x14ac:dyDescent="0.25">
      <c r="B7" s="211">
        <v>6</v>
      </c>
      <c r="C7" s="211" t="s">
        <v>5852</v>
      </c>
      <c r="D7" s="211" t="s">
        <v>5853</v>
      </c>
      <c r="E7" s="212" t="s">
        <v>5786</v>
      </c>
      <c r="F7" s="211" t="s">
        <v>5854</v>
      </c>
      <c r="G7" s="211" t="s">
        <v>5855</v>
      </c>
      <c r="H7" s="213" t="s">
        <v>1171</v>
      </c>
    </row>
    <row r="8" spans="2:8" ht="409.5" x14ac:dyDescent="0.25">
      <c r="B8" s="211">
        <v>7</v>
      </c>
      <c r="C8" s="211" t="s">
        <v>5856</v>
      </c>
      <c r="D8" s="211" t="s">
        <v>5857</v>
      </c>
      <c r="E8" s="212" t="s">
        <v>5786</v>
      </c>
      <c r="F8" s="211" t="s">
        <v>5858</v>
      </c>
      <c r="G8" s="211" t="s">
        <v>5859</v>
      </c>
      <c r="H8" s="213" t="s">
        <v>1171</v>
      </c>
    </row>
    <row r="9" spans="2:8" ht="409.5" x14ac:dyDescent="0.25">
      <c r="B9" s="211">
        <v>8</v>
      </c>
      <c r="C9" s="211" t="s">
        <v>5860</v>
      </c>
      <c r="D9" s="211" t="s">
        <v>5861</v>
      </c>
      <c r="E9" s="212" t="s">
        <v>5786</v>
      </c>
      <c r="F9" s="211" t="s">
        <v>5862</v>
      </c>
      <c r="G9" s="211" t="s">
        <v>5863</v>
      </c>
      <c r="H9" s="213" t="s">
        <v>1171</v>
      </c>
    </row>
    <row r="10" spans="2:8" ht="409.5" x14ac:dyDescent="0.25">
      <c r="B10" s="211">
        <v>9</v>
      </c>
      <c r="C10" s="211" t="s">
        <v>5864</v>
      </c>
      <c r="D10" s="211" t="s">
        <v>5865</v>
      </c>
      <c r="E10" s="212" t="s">
        <v>5786</v>
      </c>
      <c r="F10" s="211" t="s">
        <v>5866</v>
      </c>
      <c r="G10" s="211" t="s">
        <v>5867</v>
      </c>
      <c r="H10" s="213" t="s">
        <v>1171</v>
      </c>
    </row>
    <row r="11" spans="2:8" ht="409.5" x14ac:dyDescent="0.25">
      <c r="B11" s="211">
        <v>10</v>
      </c>
      <c r="C11" s="211" t="s">
        <v>5868</v>
      </c>
      <c r="D11" s="211" t="s">
        <v>5869</v>
      </c>
      <c r="E11" s="212" t="s">
        <v>5786</v>
      </c>
      <c r="F11" s="211" t="s">
        <v>5870</v>
      </c>
      <c r="G11" s="211" t="s">
        <v>5871</v>
      </c>
      <c r="H11" s="213" t="s">
        <v>1171</v>
      </c>
    </row>
    <row r="12" spans="2:8" ht="409.5" x14ac:dyDescent="0.25">
      <c r="B12" s="211">
        <v>11</v>
      </c>
      <c r="C12" s="211" t="s">
        <v>5872</v>
      </c>
      <c r="D12" s="211" t="s">
        <v>5873</v>
      </c>
      <c r="E12" s="212" t="s">
        <v>5786</v>
      </c>
      <c r="F12" s="211" t="s">
        <v>5874</v>
      </c>
      <c r="G12" s="211" t="s">
        <v>5875</v>
      </c>
      <c r="H12" s="213" t="s">
        <v>1171</v>
      </c>
    </row>
    <row r="13" spans="2:8" ht="409.5" x14ac:dyDescent="0.25">
      <c r="B13" s="211">
        <v>12</v>
      </c>
      <c r="C13" s="211" t="s">
        <v>5876</v>
      </c>
      <c r="D13" s="211" t="s">
        <v>5877</v>
      </c>
      <c r="E13" s="212" t="s">
        <v>5786</v>
      </c>
      <c r="F13" s="211" t="s">
        <v>5878</v>
      </c>
      <c r="G13" s="211" t="s">
        <v>5879</v>
      </c>
      <c r="H13" s="213" t="s">
        <v>1171</v>
      </c>
    </row>
    <row r="14" spans="2:8" ht="409.5" x14ac:dyDescent="0.25">
      <c r="B14" s="211">
        <v>13</v>
      </c>
      <c r="C14" s="211" t="s">
        <v>5880</v>
      </c>
      <c r="D14" s="211" t="s">
        <v>5881</v>
      </c>
      <c r="E14" s="212" t="s">
        <v>5786</v>
      </c>
      <c r="F14" s="211" t="s">
        <v>5882</v>
      </c>
      <c r="G14" s="211" t="s">
        <v>5883</v>
      </c>
      <c r="H14" s="213" t="s">
        <v>1171</v>
      </c>
    </row>
    <row r="15" spans="2:8" ht="409.5" x14ac:dyDescent="0.25">
      <c r="B15" s="211">
        <v>14</v>
      </c>
      <c r="C15" s="211" t="s">
        <v>5884</v>
      </c>
      <c r="D15" s="211" t="s">
        <v>5885</v>
      </c>
      <c r="E15" s="212" t="s">
        <v>5786</v>
      </c>
      <c r="F15" s="211" t="s">
        <v>5886</v>
      </c>
      <c r="G15" s="211" t="s">
        <v>5887</v>
      </c>
      <c r="H15" s="213" t="s">
        <v>1171</v>
      </c>
    </row>
    <row r="16" spans="2:8" ht="409.5" x14ac:dyDescent="0.25">
      <c r="B16" s="211">
        <v>15</v>
      </c>
      <c r="C16" s="211" t="s">
        <v>5888</v>
      </c>
      <c r="D16" s="211" t="s">
        <v>5889</v>
      </c>
      <c r="E16" s="212" t="s">
        <v>5786</v>
      </c>
      <c r="F16" s="211" t="s">
        <v>5890</v>
      </c>
      <c r="G16" s="211" t="s">
        <v>5891</v>
      </c>
      <c r="H16" s="213" t="s">
        <v>1171</v>
      </c>
    </row>
    <row r="17" spans="2:8" ht="157.5" x14ac:dyDescent="0.25">
      <c r="B17" s="211">
        <v>16</v>
      </c>
      <c r="C17" s="211" t="s">
        <v>5892</v>
      </c>
      <c r="D17" s="211" t="s">
        <v>5893</v>
      </c>
      <c r="E17" s="212" t="s">
        <v>5786</v>
      </c>
      <c r="F17" s="211" t="s">
        <v>5894</v>
      </c>
      <c r="G17" s="211" t="s">
        <v>5895</v>
      </c>
      <c r="H17" s="213" t="s">
        <v>1171</v>
      </c>
    </row>
    <row r="18" spans="2:8" ht="409.5" x14ac:dyDescent="0.25">
      <c r="B18" s="211">
        <v>1</v>
      </c>
      <c r="C18" s="211" t="s">
        <v>5896</v>
      </c>
      <c r="D18" s="211" t="s">
        <v>5897</v>
      </c>
      <c r="E18" s="212" t="s">
        <v>5798</v>
      </c>
      <c r="F18" s="211" t="s">
        <v>5898</v>
      </c>
      <c r="G18" s="211" t="s">
        <v>5899</v>
      </c>
      <c r="H18" s="213" t="s">
        <v>1171</v>
      </c>
    </row>
    <row r="19" spans="2:8" ht="409.5" x14ac:dyDescent="0.25">
      <c r="B19" s="211">
        <v>2</v>
      </c>
      <c r="C19" s="211" t="s">
        <v>5900</v>
      </c>
      <c r="D19" s="211" t="s">
        <v>5901</v>
      </c>
      <c r="E19" s="212" t="s">
        <v>5798</v>
      </c>
      <c r="F19" s="211" t="s">
        <v>5902</v>
      </c>
      <c r="G19" s="211" t="s">
        <v>5903</v>
      </c>
      <c r="H19" s="213" t="s">
        <v>1171</v>
      </c>
    </row>
    <row r="20" spans="2:8" ht="409.5" x14ac:dyDescent="0.25">
      <c r="B20" s="211">
        <v>3</v>
      </c>
      <c r="C20" s="211" t="s">
        <v>5904</v>
      </c>
      <c r="D20" s="211" t="s">
        <v>5905</v>
      </c>
      <c r="E20" s="212" t="s">
        <v>5798</v>
      </c>
      <c r="F20" s="211" t="s">
        <v>5906</v>
      </c>
      <c r="G20" s="211" t="s">
        <v>5907</v>
      </c>
      <c r="H20" s="213" t="s">
        <v>1171</v>
      </c>
    </row>
    <row r="21" spans="2:8" ht="409.5" x14ac:dyDescent="0.25">
      <c r="B21" s="211">
        <v>4</v>
      </c>
      <c r="C21" s="211" t="s">
        <v>5908</v>
      </c>
      <c r="D21" s="211" t="s">
        <v>5909</v>
      </c>
      <c r="E21" s="212" t="s">
        <v>5798</v>
      </c>
      <c r="F21" s="211" t="s">
        <v>5910</v>
      </c>
      <c r="G21" s="211" t="s">
        <v>5911</v>
      </c>
      <c r="H21" s="213" t="s">
        <v>1171</v>
      </c>
    </row>
    <row r="22" spans="2:8" ht="409.5" x14ac:dyDescent="0.25">
      <c r="B22" s="211">
        <v>5</v>
      </c>
      <c r="C22" s="211" t="s">
        <v>5912</v>
      </c>
      <c r="D22" s="211" t="s">
        <v>5913</v>
      </c>
      <c r="E22" s="212" t="s">
        <v>5798</v>
      </c>
      <c r="F22" s="211" t="s">
        <v>5914</v>
      </c>
      <c r="G22" s="211" t="s">
        <v>5915</v>
      </c>
      <c r="H22" s="213" t="s">
        <v>1171</v>
      </c>
    </row>
    <row r="23" spans="2:8" ht="409.5" x14ac:dyDescent="0.25">
      <c r="B23" s="211">
        <v>6</v>
      </c>
      <c r="C23" s="211" t="s">
        <v>5916</v>
      </c>
      <c r="D23" s="211" t="s">
        <v>5917</v>
      </c>
      <c r="E23" s="212" t="s">
        <v>5798</v>
      </c>
      <c r="F23" s="211" t="s">
        <v>5918</v>
      </c>
      <c r="G23" s="211" t="s">
        <v>5919</v>
      </c>
      <c r="H23" s="213" t="s">
        <v>1171</v>
      </c>
    </row>
    <row r="24" spans="2:8" ht="409.5" x14ac:dyDescent="0.25">
      <c r="B24" s="211">
        <v>1</v>
      </c>
      <c r="C24" s="211" t="s">
        <v>5920</v>
      </c>
      <c r="D24" s="211" t="s">
        <v>5921</v>
      </c>
      <c r="E24" s="212" t="s">
        <v>5807</v>
      </c>
      <c r="F24" s="211" t="s">
        <v>5922</v>
      </c>
      <c r="G24" s="211" t="s">
        <v>5923</v>
      </c>
      <c r="H24" s="213" t="s">
        <v>1171</v>
      </c>
    </row>
    <row r="25" spans="2:8" ht="409.5" x14ac:dyDescent="0.25">
      <c r="B25" s="211">
        <v>2</v>
      </c>
      <c r="C25" s="211" t="s">
        <v>5924</v>
      </c>
      <c r="D25" s="211" t="s">
        <v>5925</v>
      </c>
      <c r="E25" s="212" t="s">
        <v>5807</v>
      </c>
      <c r="F25" s="211" t="s">
        <v>5926</v>
      </c>
      <c r="G25" s="211" t="s">
        <v>5927</v>
      </c>
      <c r="H25" s="213" t="s">
        <v>1171</v>
      </c>
    </row>
    <row r="26" spans="2:8" ht="409.5" x14ac:dyDescent="0.25">
      <c r="B26" s="211">
        <v>3</v>
      </c>
      <c r="C26" s="211" t="s">
        <v>5928</v>
      </c>
      <c r="D26" s="211" t="s">
        <v>5929</v>
      </c>
      <c r="E26" s="212" t="s">
        <v>5807</v>
      </c>
      <c r="F26" s="211" t="s">
        <v>5930</v>
      </c>
      <c r="G26" s="211" t="s">
        <v>5931</v>
      </c>
      <c r="H26" s="213" t="s">
        <v>1171</v>
      </c>
    </row>
    <row r="27" spans="2:8" ht="409.5" x14ac:dyDescent="0.25">
      <c r="B27" s="211">
        <v>4</v>
      </c>
      <c r="C27" s="211" t="s">
        <v>5932</v>
      </c>
      <c r="D27" s="211" t="s">
        <v>5933</v>
      </c>
      <c r="E27" s="212" t="s">
        <v>5807</v>
      </c>
      <c r="F27" s="211" t="s">
        <v>5934</v>
      </c>
      <c r="G27" s="211" t="s">
        <v>5935</v>
      </c>
      <c r="H27" s="213" t="s">
        <v>1171</v>
      </c>
    </row>
    <row r="28" spans="2:8" ht="409.5" x14ac:dyDescent="0.25">
      <c r="B28" s="211">
        <v>5</v>
      </c>
      <c r="C28" s="211" t="s">
        <v>5936</v>
      </c>
      <c r="D28" s="211" t="s">
        <v>5937</v>
      </c>
      <c r="E28" s="212" t="s">
        <v>5807</v>
      </c>
      <c r="F28" s="211" t="s">
        <v>5938</v>
      </c>
      <c r="G28" s="211" t="s">
        <v>5939</v>
      </c>
      <c r="H28" s="213" t="s">
        <v>1171</v>
      </c>
    </row>
    <row r="29" spans="2:8" ht="409.5" x14ac:dyDescent="0.25">
      <c r="B29" s="211">
        <v>6</v>
      </c>
      <c r="C29" s="211" t="s">
        <v>5940</v>
      </c>
      <c r="D29" s="211" t="s">
        <v>5941</v>
      </c>
      <c r="E29" s="212" t="s">
        <v>5807</v>
      </c>
      <c r="F29" s="211" t="s">
        <v>5942</v>
      </c>
      <c r="G29" s="211" t="s">
        <v>5943</v>
      </c>
      <c r="H29" s="213" t="s">
        <v>1171</v>
      </c>
    </row>
    <row r="30" spans="2:8" ht="409.5" x14ac:dyDescent="0.25">
      <c r="B30" s="211">
        <v>7</v>
      </c>
      <c r="C30" s="211" t="s">
        <v>5944</v>
      </c>
      <c r="D30" s="211" t="s">
        <v>5945</v>
      </c>
      <c r="E30" s="212" t="s">
        <v>5807</v>
      </c>
      <c r="F30" s="211" t="s">
        <v>5946</v>
      </c>
      <c r="G30" s="211" t="s">
        <v>5947</v>
      </c>
      <c r="H30" s="213" t="s">
        <v>1171</v>
      </c>
    </row>
    <row r="31" spans="2:8" ht="409.5" x14ac:dyDescent="0.25">
      <c r="B31" s="211">
        <v>1</v>
      </c>
      <c r="C31" s="211" t="s">
        <v>5948</v>
      </c>
      <c r="D31" s="211" t="s">
        <v>5949</v>
      </c>
      <c r="E31" s="212" t="s">
        <v>5815</v>
      </c>
      <c r="F31" s="211" t="s">
        <v>5950</v>
      </c>
      <c r="G31" s="211" t="s">
        <v>5951</v>
      </c>
      <c r="H31" s="213" t="s">
        <v>1171</v>
      </c>
    </row>
    <row r="32" spans="2:8" ht="409.5" x14ac:dyDescent="0.25">
      <c r="B32" s="211">
        <v>2</v>
      </c>
      <c r="C32" s="211" t="s">
        <v>5952</v>
      </c>
      <c r="D32" s="211" t="s">
        <v>5953</v>
      </c>
      <c r="E32" s="212" t="s">
        <v>5815</v>
      </c>
      <c r="F32" s="211" t="s">
        <v>5954</v>
      </c>
      <c r="G32" s="211" t="s">
        <v>5955</v>
      </c>
      <c r="H32" s="213" t="s">
        <v>1171</v>
      </c>
    </row>
    <row r="33" spans="2:8" ht="409.5" x14ac:dyDescent="0.25">
      <c r="B33" s="211">
        <v>3</v>
      </c>
      <c r="C33" s="211" t="s">
        <v>5956</v>
      </c>
      <c r="D33" s="211" t="s">
        <v>5957</v>
      </c>
      <c r="E33" s="212" t="s">
        <v>5815</v>
      </c>
      <c r="F33" s="211" t="s">
        <v>5958</v>
      </c>
      <c r="G33" s="211" t="s">
        <v>5959</v>
      </c>
      <c r="H33" s="213" t="s">
        <v>1171</v>
      </c>
    </row>
    <row r="34" spans="2:8" ht="409.5" x14ac:dyDescent="0.25">
      <c r="B34" s="211">
        <v>4</v>
      </c>
      <c r="C34" s="211" t="s">
        <v>5960</v>
      </c>
      <c r="D34" s="211" t="s">
        <v>5961</v>
      </c>
      <c r="E34" s="212" t="s">
        <v>5815</v>
      </c>
      <c r="F34" s="211" t="s">
        <v>5962</v>
      </c>
      <c r="G34" s="211" t="s">
        <v>5963</v>
      </c>
      <c r="H34" s="213" t="s">
        <v>1171</v>
      </c>
    </row>
    <row r="35" spans="2:8" ht="409.5" x14ac:dyDescent="0.25">
      <c r="B35" s="211">
        <v>1</v>
      </c>
      <c r="C35" s="211" t="s">
        <v>5964</v>
      </c>
      <c r="D35" s="211" t="s">
        <v>5965</v>
      </c>
      <c r="E35" s="212" t="s">
        <v>5824</v>
      </c>
      <c r="F35" s="211" t="s">
        <v>5966</v>
      </c>
      <c r="G35" s="211" t="s">
        <v>5967</v>
      </c>
      <c r="H35" s="213" t="s">
        <v>1171</v>
      </c>
    </row>
    <row r="36" spans="2:8" ht="409.5" x14ac:dyDescent="0.25">
      <c r="B36" s="211">
        <v>2</v>
      </c>
      <c r="C36" s="211" t="s">
        <v>5968</v>
      </c>
      <c r="D36" s="211" t="s">
        <v>5969</v>
      </c>
      <c r="E36" s="212" t="s">
        <v>5824</v>
      </c>
      <c r="F36" s="211" t="s">
        <v>5970</v>
      </c>
      <c r="G36" s="211" t="s">
        <v>5971</v>
      </c>
      <c r="H36" s="213" t="s">
        <v>1171</v>
      </c>
    </row>
    <row r="37" spans="2:8" ht="409.5" x14ac:dyDescent="0.25">
      <c r="B37" s="211">
        <v>3</v>
      </c>
      <c r="C37" s="211" t="s">
        <v>5972</v>
      </c>
      <c r="D37" s="211" t="s">
        <v>5973</v>
      </c>
      <c r="E37" s="212" t="s">
        <v>5824</v>
      </c>
      <c r="F37" s="211" t="s">
        <v>5974</v>
      </c>
      <c r="G37" s="211" t="s">
        <v>5975</v>
      </c>
      <c r="H37" s="213" t="s">
        <v>1171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8A59E-0D56-472D-A805-227B778A6F27}">
  <dimension ref="B1:H221"/>
  <sheetViews>
    <sheetView workbookViewId="0">
      <selection activeCell="J2" sqref="J2"/>
    </sheetView>
  </sheetViews>
  <sheetFormatPr defaultRowHeight="15" x14ac:dyDescent="0.25"/>
  <cols>
    <col min="1" max="2" width="3.5703125" customWidth="1"/>
    <col min="3" max="3" width="22.85546875" customWidth="1"/>
    <col min="4" max="4" width="31.7109375" customWidth="1"/>
    <col min="5" max="5" width="23" customWidth="1"/>
    <col min="6" max="6" width="35.7109375" customWidth="1"/>
    <col min="7" max="7" width="28.7109375" customWidth="1"/>
    <col min="8" max="8" width="48.42578125" customWidth="1"/>
  </cols>
  <sheetData>
    <row r="1" spans="2:8" ht="75.75" thickBot="1" x14ac:dyDescent="0.3">
      <c r="B1" s="166" t="s">
        <v>139</v>
      </c>
      <c r="C1" s="167" t="s">
        <v>140</v>
      </c>
      <c r="D1" s="167" t="s">
        <v>141</v>
      </c>
      <c r="E1" s="168" t="s">
        <v>142</v>
      </c>
      <c r="F1" s="167" t="s">
        <v>143</v>
      </c>
      <c r="G1" s="167" t="s">
        <v>144</v>
      </c>
      <c r="H1" s="169" t="s">
        <v>1170</v>
      </c>
    </row>
    <row r="2" spans="2:8" ht="409.6" thickBot="1" x14ac:dyDescent="0.3">
      <c r="B2" s="170">
        <v>1</v>
      </c>
      <c r="C2" s="171" t="s">
        <v>4960</v>
      </c>
      <c r="D2" s="172" t="s">
        <v>4961</v>
      </c>
      <c r="E2" s="173" t="str">
        <f t="shared" ref="E2:E110" si="0">"CROP-"&amp;TEXT(7,"000")</f>
        <v>CROP-007</v>
      </c>
      <c r="F2" s="174" t="s">
        <v>4962</v>
      </c>
      <c r="G2" s="174" t="s">
        <v>4963</v>
      </c>
      <c r="H2" s="175" t="s">
        <v>1171</v>
      </c>
    </row>
    <row r="3" spans="2:8" ht="409.6" thickBot="1" x14ac:dyDescent="0.3">
      <c r="B3" s="170">
        <v>2</v>
      </c>
      <c r="C3" s="171" t="s">
        <v>4964</v>
      </c>
      <c r="D3" s="172" t="s">
        <v>4965</v>
      </c>
      <c r="E3" s="176" t="str">
        <f t="shared" si="0"/>
        <v>CROP-007</v>
      </c>
      <c r="F3" s="174" t="s">
        <v>4966</v>
      </c>
      <c r="G3" s="174" t="s">
        <v>4967</v>
      </c>
      <c r="H3" s="175" t="s">
        <v>1171</v>
      </c>
    </row>
    <row r="4" spans="2:8" ht="409.6" thickBot="1" x14ac:dyDescent="0.3">
      <c r="B4" s="170">
        <v>3</v>
      </c>
      <c r="C4" s="171" t="s">
        <v>4968</v>
      </c>
      <c r="D4" s="172" t="s">
        <v>4969</v>
      </c>
      <c r="E4" s="176" t="str">
        <f t="shared" si="0"/>
        <v>CROP-007</v>
      </c>
      <c r="F4" s="174" t="s">
        <v>4970</v>
      </c>
      <c r="G4" s="174" t="s">
        <v>4971</v>
      </c>
      <c r="H4" s="175" t="s">
        <v>1171</v>
      </c>
    </row>
    <row r="5" spans="2:8" ht="409.6" thickBot="1" x14ac:dyDescent="0.3">
      <c r="B5" s="170">
        <v>4</v>
      </c>
      <c r="C5" s="171" t="s">
        <v>4972</v>
      </c>
      <c r="D5" s="172" t="s">
        <v>4973</v>
      </c>
      <c r="E5" s="176" t="str">
        <f t="shared" si="0"/>
        <v>CROP-007</v>
      </c>
      <c r="F5" s="174" t="s">
        <v>4974</v>
      </c>
      <c r="G5" s="174" t="s">
        <v>4975</v>
      </c>
      <c r="H5" s="175" t="s">
        <v>1171</v>
      </c>
    </row>
    <row r="6" spans="2:8" ht="409.6" thickBot="1" x14ac:dyDescent="0.3">
      <c r="B6" s="170">
        <v>5</v>
      </c>
      <c r="C6" s="171" t="s">
        <v>4976</v>
      </c>
      <c r="D6" s="172" t="s">
        <v>4977</v>
      </c>
      <c r="E6" s="176" t="str">
        <f t="shared" si="0"/>
        <v>CROP-007</v>
      </c>
      <c r="F6" s="174" t="s">
        <v>4978</v>
      </c>
      <c r="G6" s="174" t="s">
        <v>4979</v>
      </c>
      <c r="H6" s="175" t="s">
        <v>1171</v>
      </c>
    </row>
    <row r="7" spans="2:8" ht="409.6" thickBot="1" x14ac:dyDescent="0.3">
      <c r="B7" s="170">
        <v>6</v>
      </c>
      <c r="C7" s="171" t="s">
        <v>4980</v>
      </c>
      <c r="D7" s="172" t="s">
        <v>4981</v>
      </c>
      <c r="E7" s="176" t="str">
        <f t="shared" si="0"/>
        <v>CROP-007</v>
      </c>
      <c r="F7" s="174" t="s">
        <v>4982</v>
      </c>
      <c r="G7" s="174" t="s">
        <v>4983</v>
      </c>
      <c r="H7" s="175" t="s">
        <v>1171</v>
      </c>
    </row>
    <row r="8" spans="2:8" ht="409.6" thickBot="1" x14ac:dyDescent="0.3">
      <c r="B8" s="170">
        <v>7</v>
      </c>
      <c r="C8" s="171" t="s">
        <v>4984</v>
      </c>
      <c r="D8" s="172" t="s">
        <v>4985</v>
      </c>
      <c r="E8" s="176" t="str">
        <f t="shared" si="0"/>
        <v>CROP-007</v>
      </c>
      <c r="F8" s="174" t="s">
        <v>4986</v>
      </c>
      <c r="G8" s="174" t="s">
        <v>4987</v>
      </c>
      <c r="H8" s="175" t="s">
        <v>1171</v>
      </c>
    </row>
    <row r="9" spans="2:8" ht="409.6" thickBot="1" x14ac:dyDescent="0.3">
      <c r="B9" s="170">
        <v>8</v>
      </c>
      <c r="C9" s="171" t="s">
        <v>4988</v>
      </c>
      <c r="D9" s="172" t="s">
        <v>4989</v>
      </c>
      <c r="E9" s="176" t="str">
        <f t="shared" si="0"/>
        <v>CROP-007</v>
      </c>
      <c r="F9" s="174" t="s">
        <v>4990</v>
      </c>
      <c r="G9" s="174" t="s">
        <v>4991</v>
      </c>
      <c r="H9" s="175" t="s">
        <v>1171</v>
      </c>
    </row>
    <row r="10" spans="2:8" ht="409.6" thickBot="1" x14ac:dyDescent="0.3">
      <c r="B10" s="170">
        <v>9</v>
      </c>
      <c r="C10" s="171" t="s">
        <v>4992</v>
      </c>
      <c r="D10" s="172" t="s">
        <v>4993</v>
      </c>
      <c r="E10" s="176" t="str">
        <f t="shared" si="0"/>
        <v>CROP-007</v>
      </c>
      <c r="F10" s="174" t="s">
        <v>4994</v>
      </c>
      <c r="G10" s="174" t="s">
        <v>4995</v>
      </c>
      <c r="H10" s="175" t="s">
        <v>1171</v>
      </c>
    </row>
    <row r="11" spans="2:8" ht="409.6" thickBot="1" x14ac:dyDescent="0.3">
      <c r="B11" s="170">
        <v>10</v>
      </c>
      <c r="C11" s="171" t="s">
        <v>4996</v>
      </c>
      <c r="D11" s="172" t="s">
        <v>4997</v>
      </c>
      <c r="E11" s="176" t="str">
        <f t="shared" si="0"/>
        <v>CROP-007</v>
      </c>
      <c r="F11" s="174" t="s">
        <v>4998</v>
      </c>
      <c r="G11" s="174" t="s">
        <v>4999</v>
      </c>
      <c r="H11" s="175" t="s">
        <v>1171</v>
      </c>
    </row>
    <row r="12" spans="2:8" ht="409.6" thickBot="1" x14ac:dyDescent="0.3">
      <c r="B12" s="170">
        <v>11</v>
      </c>
      <c r="C12" s="171" t="s">
        <v>5000</v>
      </c>
      <c r="D12" s="172" t="s">
        <v>5001</v>
      </c>
      <c r="E12" s="176" t="str">
        <f t="shared" si="0"/>
        <v>CROP-007</v>
      </c>
      <c r="F12" s="174" t="s">
        <v>5002</v>
      </c>
      <c r="G12" s="174" t="s">
        <v>5003</v>
      </c>
      <c r="H12" s="175" t="s">
        <v>1171</v>
      </c>
    </row>
    <row r="13" spans="2:8" ht="409.6" thickBot="1" x14ac:dyDescent="0.3">
      <c r="B13" s="170">
        <v>12</v>
      </c>
      <c r="C13" s="171" t="s">
        <v>5004</v>
      </c>
      <c r="D13" s="172" t="s">
        <v>5005</v>
      </c>
      <c r="E13" s="176" t="str">
        <f t="shared" si="0"/>
        <v>CROP-007</v>
      </c>
      <c r="F13" s="174" t="s">
        <v>5006</v>
      </c>
      <c r="G13" s="174" t="s">
        <v>5007</v>
      </c>
      <c r="H13" s="175" t="s">
        <v>1171</v>
      </c>
    </row>
    <row r="14" spans="2:8" ht="409.6" thickBot="1" x14ac:dyDescent="0.3">
      <c r="B14" s="170">
        <v>13</v>
      </c>
      <c r="C14" s="171" t="s">
        <v>5008</v>
      </c>
      <c r="D14" s="172" t="s">
        <v>5009</v>
      </c>
      <c r="E14" s="176" t="str">
        <f t="shared" si="0"/>
        <v>CROP-007</v>
      </c>
      <c r="F14" s="174" t="s">
        <v>5010</v>
      </c>
      <c r="G14" s="174" t="s">
        <v>5011</v>
      </c>
      <c r="H14" s="175" t="s">
        <v>1171</v>
      </c>
    </row>
    <row r="15" spans="2:8" ht="409.6" thickBot="1" x14ac:dyDescent="0.3">
      <c r="B15" s="170">
        <v>14</v>
      </c>
      <c r="C15" s="171" t="s">
        <v>5012</v>
      </c>
      <c r="D15" s="172" t="s">
        <v>5013</v>
      </c>
      <c r="E15" s="176" t="str">
        <f t="shared" si="0"/>
        <v>CROP-007</v>
      </c>
      <c r="F15" s="174" t="s">
        <v>5014</v>
      </c>
      <c r="G15" s="174" t="s">
        <v>5015</v>
      </c>
      <c r="H15" s="175" t="s">
        <v>1171</v>
      </c>
    </row>
    <row r="16" spans="2:8" ht="409.6" thickBot="1" x14ac:dyDescent="0.3">
      <c r="B16" s="170">
        <v>15</v>
      </c>
      <c r="C16" s="171" t="s">
        <v>5016</v>
      </c>
      <c r="D16" s="172" t="s">
        <v>5017</v>
      </c>
      <c r="E16" s="176" t="str">
        <f t="shared" si="0"/>
        <v>CROP-007</v>
      </c>
      <c r="F16" s="174" t="s">
        <v>5018</v>
      </c>
      <c r="G16" s="174" t="s">
        <v>5019</v>
      </c>
      <c r="H16" s="175" t="s">
        <v>1171</v>
      </c>
    </row>
    <row r="17" spans="2:8" ht="409.6" thickBot="1" x14ac:dyDescent="0.3">
      <c r="B17" s="170">
        <v>16</v>
      </c>
      <c r="C17" s="171" t="s">
        <v>5020</v>
      </c>
      <c r="D17" s="172" t="s">
        <v>5021</v>
      </c>
      <c r="E17" s="176" t="str">
        <f t="shared" si="0"/>
        <v>CROP-007</v>
      </c>
      <c r="F17" s="174" t="s">
        <v>5022</v>
      </c>
      <c r="G17" s="174" t="s">
        <v>5023</v>
      </c>
      <c r="H17" s="175" t="s">
        <v>1171</v>
      </c>
    </row>
    <row r="18" spans="2:8" ht="409.6" thickBot="1" x14ac:dyDescent="0.3">
      <c r="B18" s="170">
        <v>17</v>
      </c>
      <c r="C18" s="171" t="s">
        <v>5024</v>
      </c>
      <c r="D18" s="172" t="s">
        <v>5025</v>
      </c>
      <c r="E18" s="176" t="str">
        <f t="shared" si="0"/>
        <v>CROP-007</v>
      </c>
      <c r="F18" s="174" t="s">
        <v>5026</v>
      </c>
      <c r="G18" s="174" t="s">
        <v>5027</v>
      </c>
      <c r="H18" s="175" t="s">
        <v>1171</v>
      </c>
    </row>
    <row r="19" spans="2:8" ht="409.6" thickBot="1" x14ac:dyDescent="0.3">
      <c r="B19" s="170">
        <v>18</v>
      </c>
      <c r="C19" s="171" t="s">
        <v>5028</v>
      </c>
      <c r="D19" s="172" t="s">
        <v>5029</v>
      </c>
      <c r="E19" s="176" t="str">
        <f t="shared" si="0"/>
        <v>CROP-007</v>
      </c>
      <c r="F19" s="174" t="s">
        <v>5030</v>
      </c>
      <c r="G19" s="174" t="s">
        <v>5031</v>
      </c>
      <c r="H19" s="175" t="s">
        <v>1171</v>
      </c>
    </row>
    <row r="20" spans="2:8" ht="409.6" thickBot="1" x14ac:dyDescent="0.3">
      <c r="B20" s="170">
        <v>19</v>
      </c>
      <c r="C20" s="171" t="s">
        <v>5032</v>
      </c>
      <c r="D20" s="172" t="s">
        <v>5033</v>
      </c>
      <c r="E20" s="176" t="str">
        <f t="shared" si="0"/>
        <v>CROP-007</v>
      </c>
      <c r="F20" s="174" t="s">
        <v>5034</v>
      </c>
      <c r="G20" s="174" t="s">
        <v>5035</v>
      </c>
      <c r="H20" s="175" t="s">
        <v>1171</v>
      </c>
    </row>
    <row r="21" spans="2:8" ht="409.6" thickBot="1" x14ac:dyDescent="0.3">
      <c r="B21" s="170">
        <v>20</v>
      </c>
      <c r="C21" s="171" t="s">
        <v>5036</v>
      </c>
      <c r="D21" s="172" t="s">
        <v>5037</v>
      </c>
      <c r="E21" s="176" t="str">
        <f t="shared" si="0"/>
        <v>CROP-007</v>
      </c>
      <c r="F21" s="174" t="s">
        <v>5018</v>
      </c>
      <c r="G21" s="174" t="s">
        <v>5038</v>
      </c>
      <c r="H21" s="175" t="s">
        <v>1171</v>
      </c>
    </row>
    <row r="22" spans="2:8" ht="409.6" thickBot="1" x14ac:dyDescent="0.3">
      <c r="B22" s="170">
        <v>21</v>
      </c>
      <c r="C22" s="171" t="s">
        <v>5039</v>
      </c>
      <c r="D22" s="172" t="s">
        <v>5040</v>
      </c>
      <c r="E22" s="176" t="str">
        <f t="shared" si="0"/>
        <v>CROP-007</v>
      </c>
      <c r="F22" s="174" t="s">
        <v>5041</v>
      </c>
      <c r="G22" s="174" t="s">
        <v>5042</v>
      </c>
      <c r="H22" s="175" t="s">
        <v>1171</v>
      </c>
    </row>
    <row r="23" spans="2:8" ht="409.6" thickBot="1" x14ac:dyDescent="0.3">
      <c r="B23" s="170">
        <v>22</v>
      </c>
      <c r="C23" s="171" t="s">
        <v>5043</v>
      </c>
      <c r="D23" s="172" t="s">
        <v>5044</v>
      </c>
      <c r="E23" s="176" t="str">
        <f t="shared" si="0"/>
        <v>CROP-007</v>
      </c>
      <c r="F23" s="174" t="s">
        <v>5045</v>
      </c>
      <c r="G23" s="174" t="s">
        <v>5046</v>
      </c>
      <c r="H23" s="175" t="s">
        <v>1171</v>
      </c>
    </row>
    <row r="24" spans="2:8" ht="409.6" thickBot="1" x14ac:dyDescent="0.3">
      <c r="B24" s="170">
        <v>23</v>
      </c>
      <c r="C24" s="171" t="s">
        <v>5047</v>
      </c>
      <c r="D24" s="172" t="s">
        <v>5048</v>
      </c>
      <c r="E24" s="176" t="str">
        <f t="shared" si="0"/>
        <v>CROP-007</v>
      </c>
      <c r="F24" s="174" t="s">
        <v>5049</v>
      </c>
      <c r="G24" s="174" t="s">
        <v>5050</v>
      </c>
      <c r="H24" s="175" t="s">
        <v>1171</v>
      </c>
    </row>
    <row r="25" spans="2:8" ht="409.6" thickBot="1" x14ac:dyDescent="0.3">
      <c r="B25" s="170">
        <v>24</v>
      </c>
      <c r="C25" s="171" t="s">
        <v>5051</v>
      </c>
      <c r="D25" s="172" t="s">
        <v>5052</v>
      </c>
      <c r="E25" s="176" t="str">
        <f t="shared" si="0"/>
        <v>CROP-007</v>
      </c>
      <c r="F25" s="174" t="s">
        <v>5053</v>
      </c>
      <c r="G25" s="174" t="s">
        <v>5054</v>
      </c>
      <c r="H25" s="175" t="s">
        <v>1171</v>
      </c>
    </row>
    <row r="26" spans="2:8" ht="409.6" thickBot="1" x14ac:dyDescent="0.3">
      <c r="B26" s="170">
        <v>25</v>
      </c>
      <c r="C26" s="171" t="s">
        <v>5055</v>
      </c>
      <c r="D26" s="172" t="s">
        <v>5056</v>
      </c>
      <c r="E26" s="176" t="str">
        <f t="shared" si="0"/>
        <v>CROP-007</v>
      </c>
      <c r="F26" s="174" t="s">
        <v>5057</v>
      </c>
      <c r="G26" s="174" t="s">
        <v>5058</v>
      </c>
      <c r="H26" s="175" t="s">
        <v>1171</v>
      </c>
    </row>
    <row r="27" spans="2:8" ht="409.6" thickBot="1" x14ac:dyDescent="0.3">
      <c r="B27" s="170">
        <v>26</v>
      </c>
      <c r="C27" s="171" t="s">
        <v>5059</v>
      </c>
      <c r="D27" s="172" t="s">
        <v>5060</v>
      </c>
      <c r="E27" s="176" t="str">
        <f t="shared" si="0"/>
        <v>CROP-007</v>
      </c>
      <c r="F27" s="174" t="s">
        <v>5061</v>
      </c>
      <c r="G27" s="174" t="s">
        <v>5062</v>
      </c>
      <c r="H27" s="175" t="s">
        <v>1171</v>
      </c>
    </row>
    <row r="28" spans="2:8" ht="409.6" thickBot="1" x14ac:dyDescent="0.3">
      <c r="B28" s="170">
        <v>27</v>
      </c>
      <c r="C28" s="171" t="s">
        <v>5063</v>
      </c>
      <c r="D28" s="172" t="s">
        <v>5064</v>
      </c>
      <c r="E28" s="176" t="str">
        <f t="shared" si="0"/>
        <v>CROP-007</v>
      </c>
      <c r="F28" s="174" t="s">
        <v>5065</v>
      </c>
      <c r="G28" s="174" t="s">
        <v>5066</v>
      </c>
      <c r="H28" s="175" t="s">
        <v>1171</v>
      </c>
    </row>
    <row r="29" spans="2:8" ht="409.6" thickBot="1" x14ac:dyDescent="0.3">
      <c r="B29" s="170">
        <v>28</v>
      </c>
      <c r="C29" s="171" t="s">
        <v>5067</v>
      </c>
      <c r="D29" s="172" t="s">
        <v>5068</v>
      </c>
      <c r="E29" s="176" t="str">
        <f t="shared" si="0"/>
        <v>CROP-007</v>
      </c>
      <c r="F29" s="174" t="s">
        <v>5069</v>
      </c>
      <c r="G29" s="174" t="s">
        <v>5070</v>
      </c>
      <c r="H29" s="175" t="s">
        <v>1171</v>
      </c>
    </row>
    <row r="30" spans="2:8" ht="409.6" thickBot="1" x14ac:dyDescent="0.3">
      <c r="B30" s="170">
        <v>29</v>
      </c>
      <c r="C30" s="171" t="s">
        <v>5071</v>
      </c>
      <c r="D30" s="172" t="s">
        <v>5072</v>
      </c>
      <c r="E30" s="176" t="str">
        <f t="shared" si="0"/>
        <v>CROP-007</v>
      </c>
      <c r="F30" s="174"/>
      <c r="G30" s="174" t="s">
        <v>5073</v>
      </c>
      <c r="H30" s="175" t="s">
        <v>1171</v>
      </c>
    </row>
    <row r="31" spans="2:8" ht="409.6" thickBot="1" x14ac:dyDescent="0.3">
      <c r="B31" s="170">
        <v>30</v>
      </c>
      <c r="C31" s="171" t="s">
        <v>5074</v>
      </c>
      <c r="D31" s="172" t="s">
        <v>5075</v>
      </c>
      <c r="E31" s="176" t="str">
        <f t="shared" si="0"/>
        <v>CROP-007</v>
      </c>
      <c r="F31" s="174" t="s">
        <v>5076</v>
      </c>
      <c r="G31" s="174" t="s">
        <v>5077</v>
      </c>
      <c r="H31" s="175" t="s">
        <v>1171</v>
      </c>
    </row>
    <row r="32" spans="2:8" ht="409.6" thickBot="1" x14ac:dyDescent="0.3">
      <c r="B32" s="170">
        <v>31</v>
      </c>
      <c r="C32" s="171" t="s">
        <v>5078</v>
      </c>
      <c r="D32" s="172" t="s">
        <v>5079</v>
      </c>
      <c r="E32" s="176" t="str">
        <f t="shared" si="0"/>
        <v>CROP-007</v>
      </c>
      <c r="F32" s="174" t="s">
        <v>5080</v>
      </c>
      <c r="G32" s="174" t="s">
        <v>5081</v>
      </c>
      <c r="H32" s="175" t="s">
        <v>1171</v>
      </c>
    </row>
    <row r="33" spans="2:8" ht="409.6" thickBot="1" x14ac:dyDescent="0.3">
      <c r="B33" s="170">
        <v>32</v>
      </c>
      <c r="C33" s="171" t="s">
        <v>5082</v>
      </c>
      <c r="D33" s="172" t="s">
        <v>5083</v>
      </c>
      <c r="E33" s="176" t="str">
        <f t="shared" si="0"/>
        <v>CROP-007</v>
      </c>
      <c r="F33" s="174" t="s">
        <v>5084</v>
      </c>
      <c r="G33" s="174" t="s">
        <v>5085</v>
      </c>
      <c r="H33" s="175" t="s">
        <v>1171</v>
      </c>
    </row>
    <row r="34" spans="2:8" ht="409.6" thickBot="1" x14ac:dyDescent="0.3">
      <c r="B34" s="170">
        <v>33</v>
      </c>
      <c r="C34" s="171" t="s">
        <v>5086</v>
      </c>
      <c r="D34" s="172" t="s">
        <v>5087</v>
      </c>
      <c r="E34" s="176" t="str">
        <f t="shared" si="0"/>
        <v>CROP-007</v>
      </c>
      <c r="F34" s="174" t="s">
        <v>5080</v>
      </c>
      <c r="G34" s="174" t="s">
        <v>5088</v>
      </c>
      <c r="H34" s="175" t="s">
        <v>1171</v>
      </c>
    </row>
    <row r="35" spans="2:8" ht="409.6" thickBot="1" x14ac:dyDescent="0.3">
      <c r="B35" s="170">
        <v>34</v>
      </c>
      <c r="C35" s="171" t="s">
        <v>5089</v>
      </c>
      <c r="D35" s="172" t="s">
        <v>5090</v>
      </c>
      <c r="E35" s="176" t="str">
        <f t="shared" si="0"/>
        <v>CROP-007</v>
      </c>
      <c r="F35" s="174" t="s">
        <v>5091</v>
      </c>
      <c r="G35" s="174" t="s">
        <v>5092</v>
      </c>
      <c r="H35" s="175" t="s">
        <v>1171</v>
      </c>
    </row>
    <row r="36" spans="2:8" ht="409.6" thickBot="1" x14ac:dyDescent="0.3">
      <c r="B36" s="170">
        <v>35</v>
      </c>
      <c r="C36" s="171" t="s">
        <v>5093</v>
      </c>
      <c r="D36" s="172" t="s">
        <v>5094</v>
      </c>
      <c r="E36" s="176" t="str">
        <f t="shared" si="0"/>
        <v>CROP-007</v>
      </c>
      <c r="F36" s="174" t="s">
        <v>5095</v>
      </c>
      <c r="G36" s="174" t="s">
        <v>5096</v>
      </c>
      <c r="H36" s="175" t="s">
        <v>1171</v>
      </c>
    </row>
    <row r="37" spans="2:8" ht="409.6" thickBot="1" x14ac:dyDescent="0.3">
      <c r="B37" s="170">
        <v>36</v>
      </c>
      <c r="C37" s="171" t="s">
        <v>5097</v>
      </c>
      <c r="D37" s="172" t="s">
        <v>5098</v>
      </c>
      <c r="E37" s="176" t="str">
        <f t="shared" si="0"/>
        <v>CROP-007</v>
      </c>
      <c r="F37" s="174" t="s">
        <v>5099</v>
      </c>
      <c r="G37" s="174" t="s">
        <v>5100</v>
      </c>
      <c r="H37" s="175" t="s">
        <v>1171</v>
      </c>
    </row>
    <row r="38" spans="2:8" ht="409.6" thickBot="1" x14ac:dyDescent="0.3">
      <c r="B38" s="170">
        <v>37</v>
      </c>
      <c r="C38" s="171" t="s">
        <v>5101</v>
      </c>
      <c r="D38" s="172" t="s">
        <v>5102</v>
      </c>
      <c r="E38" s="176" t="str">
        <f t="shared" si="0"/>
        <v>CROP-007</v>
      </c>
      <c r="F38" s="174" t="s">
        <v>5103</v>
      </c>
      <c r="G38" s="174" t="s">
        <v>5104</v>
      </c>
      <c r="H38" s="175" t="s">
        <v>1171</v>
      </c>
    </row>
    <row r="39" spans="2:8" ht="409.6" thickBot="1" x14ac:dyDescent="0.3">
      <c r="B39" s="170">
        <v>38</v>
      </c>
      <c r="C39" s="171" t="s">
        <v>5105</v>
      </c>
      <c r="D39" s="172" t="s">
        <v>5106</v>
      </c>
      <c r="E39" s="176" t="str">
        <f t="shared" si="0"/>
        <v>CROP-007</v>
      </c>
      <c r="F39" s="174" t="s">
        <v>5107</v>
      </c>
      <c r="G39" s="174" t="s">
        <v>5108</v>
      </c>
      <c r="H39" s="175" t="s">
        <v>1171</v>
      </c>
    </row>
    <row r="40" spans="2:8" ht="409.6" thickBot="1" x14ac:dyDescent="0.3">
      <c r="B40" s="170">
        <v>39</v>
      </c>
      <c r="C40" s="171" t="s">
        <v>5109</v>
      </c>
      <c r="D40" s="172" t="s">
        <v>1642</v>
      </c>
      <c r="E40" s="176" t="str">
        <f t="shared" si="0"/>
        <v>CROP-007</v>
      </c>
      <c r="F40" s="174" t="s">
        <v>5110</v>
      </c>
      <c r="G40" s="174" t="s">
        <v>5111</v>
      </c>
      <c r="H40" s="175" t="s">
        <v>1171</v>
      </c>
    </row>
    <row r="41" spans="2:8" ht="409.6" thickBot="1" x14ac:dyDescent="0.3">
      <c r="B41" s="170">
        <v>40</v>
      </c>
      <c r="C41" s="171" t="s">
        <v>5112</v>
      </c>
      <c r="D41" s="172" t="s">
        <v>5113</v>
      </c>
      <c r="E41" s="176" t="str">
        <f t="shared" si="0"/>
        <v>CROP-007</v>
      </c>
      <c r="F41" s="174" t="s">
        <v>5114</v>
      </c>
      <c r="G41" s="174" t="s">
        <v>5115</v>
      </c>
      <c r="H41" s="175" t="s">
        <v>1171</v>
      </c>
    </row>
    <row r="42" spans="2:8" ht="409.6" thickBot="1" x14ac:dyDescent="0.3">
      <c r="B42" s="170">
        <v>41</v>
      </c>
      <c r="C42" s="171" t="s">
        <v>5116</v>
      </c>
      <c r="D42" s="172" t="s">
        <v>5117</v>
      </c>
      <c r="E42" s="176" t="str">
        <f t="shared" si="0"/>
        <v>CROP-007</v>
      </c>
      <c r="F42" s="174" t="s">
        <v>5118</v>
      </c>
      <c r="G42" s="174" t="s">
        <v>5119</v>
      </c>
      <c r="H42" s="175" t="s">
        <v>1171</v>
      </c>
    </row>
    <row r="43" spans="2:8" ht="409.6" thickBot="1" x14ac:dyDescent="0.3">
      <c r="B43" s="170">
        <v>42</v>
      </c>
      <c r="C43" s="171" t="s">
        <v>5120</v>
      </c>
      <c r="D43" s="172" t="s">
        <v>5121</v>
      </c>
      <c r="E43" s="176" t="str">
        <f t="shared" si="0"/>
        <v>CROP-007</v>
      </c>
      <c r="F43" s="174" t="s">
        <v>5122</v>
      </c>
      <c r="G43" s="174" t="s">
        <v>5123</v>
      </c>
      <c r="H43" s="175" t="s">
        <v>1171</v>
      </c>
    </row>
    <row r="44" spans="2:8" ht="409.6" thickBot="1" x14ac:dyDescent="0.3">
      <c r="B44" s="170">
        <v>43</v>
      </c>
      <c r="C44" s="171" t="s">
        <v>5124</v>
      </c>
      <c r="D44" s="172" t="s">
        <v>5125</v>
      </c>
      <c r="E44" s="176" t="str">
        <f t="shared" si="0"/>
        <v>CROP-007</v>
      </c>
      <c r="F44" s="174" t="s">
        <v>5126</v>
      </c>
      <c r="G44" s="174" t="s">
        <v>5127</v>
      </c>
      <c r="H44" s="175" t="s">
        <v>1171</v>
      </c>
    </row>
    <row r="45" spans="2:8" ht="409.6" thickBot="1" x14ac:dyDescent="0.3">
      <c r="B45" s="170">
        <v>44</v>
      </c>
      <c r="C45" s="171" t="s">
        <v>5128</v>
      </c>
      <c r="D45" s="172" t="s">
        <v>5129</v>
      </c>
      <c r="E45" s="176" t="str">
        <f t="shared" si="0"/>
        <v>CROP-007</v>
      </c>
      <c r="F45" s="174" t="s">
        <v>5130</v>
      </c>
      <c r="G45" s="174" t="s">
        <v>5131</v>
      </c>
      <c r="H45" s="175" t="s">
        <v>1171</v>
      </c>
    </row>
    <row r="46" spans="2:8" ht="409.6" thickBot="1" x14ac:dyDescent="0.3">
      <c r="B46" s="170">
        <v>45</v>
      </c>
      <c r="C46" s="171" t="s">
        <v>5132</v>
      </c>
      <c r="D46" s="172" t="s">
        <v>5133</v>
      </c>
      <c r="E46" s="176" t="str">
        <f t="shared" si="0"/>
        <v>CROP-007</v>
      </c>
      <c r="F46" s="174" t="s">
        <v>5134</v>
      </c>
      <c r="G46" s="174" t="s">
        <v>5135</v>
      </c>
      <c r="H46" s="175" t="s">
        <v>1171</v>
      </c>
    </row>
    <row r="47" spans="2:8" ht="409.6" thickBot="1" x14ac:dyDescent="0.3">
      <c r="B47" s="170">
        <v>46</v>
      </c>
      <c r="C47" s="171" t="s">
        <v>5136</v>
      </c>
      <c r="D47" s="172" t="s">
        <v>5137</v>
      </c>
      <c r="E47" s="176" t="str">
        <f t="shared" si="0"/>
        <v>CROP-007</v>
      </c>
      <c r="F47" s="174" t="s">
        <v>5138</v>
      </c>
      <c r="G47" s="174" t="s">
        <v>5139</v>
      </c>
      <c r="H47" s="175" t="s">
        <v>1171</v>
      </c>
    </row>
    <row r="48" spans="2:8" ht="409.6" thickBot="1" x14ac:dyDescent="0.3">
      <c r="B48" s="170">
        <v>47</v>
      </c>
      <c r="C48" s="171" t="s">
        <v>5140</v>
      </c>
      <c r="D48" s="172" t="s">
        <v>5141</v>
      </c>
      <c r="E48" s="176" t="str">
        <f t="shared" si="0"/>
        <v>CROP-007</v>
      </c>
      <c r="F48" s="174" t="s">
        <v>5142</v>
      </c>
      <c r="G48" s="174" t="s">
        <v>5143</v>
      </c>
      <c r="H48" s="175" t="s">
        <v>1171</v>
      </c>
    </row>
    <row r="49" spans="2:8" ht="409.6" thickBot="1" x14ac:dyDescent="0.3">
      <c r="B49" s="170">
        <v>48</v>
      </c>
      <c r="C49" s="171" t="s">
        <v>5144</v>
      </c>
      <c r="D49" s="172" t="s">
        <v>5145</v>
      </c>
      <c r="E49" s="176" t="str">
        <f t="shared" si="0"/>
        <v>CROP-007</v>
      </c>
      <c r="F49" s="174" t="s">
        <v>5146</v>
      </c>
      <c r="G49" s="174" t="s">
        <v>5147</v>
      </c>
      <c r="H49" s="175" t="s">
        <v>1171</v>
      </c>
    </row>
    <row r="50" spans="2:8" ht="409.6" thickBot="1" x14ac:dyDescent="0.3">
      <c r="B50" s="170">
        <v>49</v>
      </c>
      <c r="C50" s="171" t="s">
        <v>5148</v>
      </c>
      <c r="D50" s="172" t="s">
        <v>5149</v>
      </c>
      <c r="E50" s="176" t="str">
        <f t="shared" si="0"/>
        <v>CROP-007</v>
      </c>
      <c r="F50" s="174" t="s">
        <v>5150</v>
      </c>
      <c r="G50" s="174" t="s">
        <v>5151</v>
      </c>
      <c r="H50" s="175" t="s">
        <v>1171</v>
      </c>
    </row>
    <row r="51" spans="2:8" ht="409.6" thickBot="1" x14ac:dyDescent="0.3">
      <c r="B51" s="170">
        <v>50</v>
      </c>
      <c r="C51" s="171" t="s">
        <v>5152</v>
      </c>
      <c r="D51" s="172" t="s">
        <v>5153</v>
      </c>
      <c r="E51" s="176" t="str">
        <f t="shared" si="0"/>
        <v>CROP-007</v>
      </c>
      <c r="F51" s="174" t="s">
        <v>5154</v>
      </c>
      <c r="G51" s="174" t="s">
        <v>5155</v>
      </c>
      <c r="H51" s="175" t="s">
        <v>1171</v>
      </c>
    </row>
    <row r="52" spans="2:8" ht="409.6" thickBot="1" x14ac:dyDescent="0.3">
      <c r="B52" s="170">
        <v>51</v>
      </c>
      <c r="C52" s="171" t="s">
        <v>5156</v>
      </c>
      <c r="D52" s="172" t="s">
        <v>5157</v>
      </c>
      <c r="E52" s="176" t="str">
        <f t="shared" si="0"/>
        <v>CROP-007</v>
      </c>
      <c r="F52" s="174" t="s">
        <v>5158</v>
      </c>
      <c r="G52" s="174" t="s">
        <v>5159</v>
      </c>
      <c r="H52" s="175" t="s">
        <v>1171</v>
      </c>
    </row>
    <row r="53" spans="2:8" ht="409.6" thickBot="1" x14ac:dyDescent="0.3">
      <c r="B53" s="170">
        <v>52</v>
      </c>
      <c r="C53" s="171" t="s">
        <v>5160</v>
      </c>
      <c r="D53" s="172" t="s">
        <v>5161</v>
      </c>
      <c r="E53" s="176" t="str">
        <f t="shared" si="0"/>
        <v>CROP-007</v>
      </c>
      <c r="F53" s="174" t="s">
        <v>5162</v>
      </c>
      <c r="G53" s="174" t="s">
        <v>5163</v>
      </c>
      <c r="H53" s="175" t="s">
        <v>1171</v>
      </c>
    </row>
    <row r="54" spans="2:8" ht="409.6" thickBot="1" x14ac:dyDescent="0.3">
      <c r="B54" s="170">
        <v>53</v>
      </c>
      <c r="C54" s="171" t="s">
        <v>5164</v>
      </c>
      <c r="D54" s="172" t="s">
        <v>5165</v>
      </c>
      <c r="E54" s="176" t="str">
        <f t="shared" si="0"/>
        <v>CROP-007</v>
      </c>
      <c r="F54" s="174" t="s">
        <v>5166</v>
      </c>
      <c r="G54" s="174" t="s">
        <v>5167</v>
      </c>
      <c r="H54" s="175" t="s">
        <v>1171</v>
      </c>
    </row>
    <row r="55" spans="2:8" ht="409.6" thickBot="1" x14ac:dyDescent="0.3">
      <c r="B55" s="170">
        <v>54</v>
      </c>
      <c r="C55" s="171" t="s">
        <v>5168</v>
      </c>
      <c r="D55" s="172" t="s">
        <v>5169</v>
      </c>
      <c r="E55" s="176" t="str">
        <f t="shared" si="0"/>
        <v>CROP-007</v>
      </c>
      <c r="F55" s="174" t="s">
        <v>5170</v>
      </c>
      <c r="G55" s="174" t="s">
        <v>5171</v>
      </c>
      <c r="H55" s="175" t="s">
        <v>1171</v>
      </c>
    </row>
    <row r="56" spans="2:8" ht="409.6" thickBot="1" x14ac:dyDescent="0.3">
      <c r="B56" s="170">
        <v>55</v>
      </c>
      <c r="C56" s="171" t="s">
        <v>5172</v>
      </c>
      <c r="D56" s="172" t="s">
        <v>5173</v>
      </c>
      <c r="E56" s="176" t="str">
        <f t="shared" si="0"/>
        <v>CROP-007</v>
      </c>
      <c r="F56" s="174" t="s">
        <v>5174</v>
      </c>
      <c r="G56" s="174" t="s">
        <v>5175</v>
      </c>
      <c r="H56" s="175" t="s">
        <v>1171</v>
      </c>
    </row>
    <row r="57" spans="2:8" ht="409.6" thickBot="1" x14ac:dyDescent="0.3">
      <c r="B57" s="170">
        <v>56</v>
      </c>
      <c r="C57" s="171" t="s">
        <v>5176</v>
      </c>
      <c r="D57" s="172" t="s">
        <v>5177</v>
      </c>
      <c r="E57" s="176" t="str">
        <f t="shared" si="0"/>
        <v>CROP-007</v>
      </c>
      <c r="F57" s="174" t="s">
        <v>5178</v>
      </c>
      <c r="G57" s="174" t="s">
        <v>5179</v>
      </c>
      <c r="H57" s="175" t="s">
        <v>1171</v>
      </c>
    </row>
    <row r="58" spans="2:8" ht="409.6" thickBot="1" x14ac:dyDescent="0.3">
      <c r="B58" s="170">
        <v>57</v>
      </c>
      <c r="C58" s="171" t="s">
        <v>5180</v>
      </c>
      <c r="D58" s="172" t="s">
        <v>5181</v>
      </c>
      <c r="E58" s="176" t="str">
        <f t="shared" si="0"/>
        <v>CROP-007</v>
      </c>
      <c r="F58" s="174" t="s">
        <v>5182</v>
      </c>
      <c r="G58" s="174" t="s">
        <v>5183</v>
      </c>
      <c r="H58" s="175" t="s">
        <v>1171</v>
      </c>
    </row>
    <row r="59" spans="2:8" ht="409.6" thickBot="1" x14ac:dyDescent="0.3">
      <c r="B59" s="170">
        <v>58</v>
      </c>
      <c r="C59" s="171" t="s">
        <v>5184</v>
      </c>
      <c r="D59" s="172" t="s">
        <v>5185</v>
      </c>
      <c r="E59" s="176" t="str">
        <f t="shared" si="0"/>
        <v>CROP-007</v>
      </c>
      <c r="F59" s="174" t="s">
        <v>5186</v>
      </c>
      <c r="G59" s="174" t="s">
        <v>5187</v>
      </c>
      <c r="H59" s="175" t="s">
        <v>1171</v>
      </c>
    </row>
    <row r="60" spans="2:8" ht="409.6" thickBot="1" x14ac:dyDescent="0.3">
      <c r="B60" s="170">
        <v>59</v>
      </c>
      <c r="C60" s="171" t="s">
        <v>5188</v>
      </c>
      <c r="D60" s="172" t="s">
        <v>5189</v>
      </c>
      <c r="E60" s="176" t="str">
        <f t="shared" si="0"/>
        <v>CROP-007</v>
      </c>
      <c r="F60" s="174" t="s">
        <v>5190</v>
      </c>
      <c r="G60" s="174" t="s">
        <v>5191</v>
      </c>
      <c r="H60" s="175" t="s">
        <v>1171</v>
      </c>
    </row>
    <row r="61" spans="2:8" ht="409.6" thickBot="1" x14ac:dyDescent="0.3">
      <c r="B61" s="170">
        <v>60</v>
      </c>
      <c r="C61" s="171" t="s">
        <v>5192</v>
      </c>
      <c r="D61" s="172" t="s">
        <v>5193</v>
      </c>
      <c r="E61" s="176" t="str">
        <f t="shared" si="0"/>
        <v>CROP-007</v>
      </c>
      <c r="F61" s="174" t="s">
        <v>5194</v>
      </c>
      <c r="G61" s="174" t="s">
        <v>5195</v>
      </c>
      <c r="H61" s="175" t="s">
        <v>1171</v>
      </c>
    </row>
    <row r="62" spans="2:8" ht="409.6" thickBot="1" x14ac:dyDescent="0.3">
      <c r="B62" s="170">
        <v>61</v>
      </c>
      <c r="C62" s="171" t="s">
        <v>5196</v>
      </c>
      <c r="D62" s="172" t="s">
        <v>5197</v>
      </c>
      <c r="E62" s="176" t="str">
        <f t="shared" si="0"/>
        <v>CROP-007</v>
      </c>
      <c r="F62" s="174" t="s">
        <v>5198</v>
      </c>
      <c r="G62" s="174" t="s">
        <v>5199</v>
      </c>
      <c r="H62" s="175" t="s">
        <v>1171</v>
      </c>
    </row>
    <row r="63" spans="2:8" ht="409.6" thickBot="1" x14ac:dyDescent="0.3">
      <c r="B63" s="170">
        <v>62</v>
      </c>
      <c r="C63" s="171" t="s">
        <v>5200</v>
      </c>
      <c r="D63" s="172" t="s">
        <v>5201</v>
      </c>
      <c r="E63" s="176" t="str">
        <f t="shared" si="0"/>
        <v>CROP-007</v>
      </c>
      <c r="F63" s="174" t="s">
        <v>5202</v>
      </c>
      <c r="G63" s="174" t="s">
        <v>5203</v>
      </c>
      <c r="H63" s="175" t="s">
        <v>1171</v>
      </c>
    </row>
    <row r="64" spans="2:8" ht="409.6" thickBot="1" x14ac:dyDescent="0.3">
      <c r="B64" s="170">
        <v>63</v>
      </c>
      <c r="C64" s="171" t="s">
        <v>5204</v>
      </c>
      <c r="D64" s="172" t="s">
        <v>5205</v>
      </c>
      <c r="E64" s="176" t="str">
        <f t="shared" si="0"/>
        <v>CROP-007</v>
      </c>
      <c r="F64" s="174" t="s">
        <v>5206</v>
      </c>
      <c r="G64" s="174" t="s">
        <v>5207</v>
      </c>
      <c r="H64" s="175" t="s">
        <v>1171</v>
      </c>
    </row>
    <row r="65" spans="2:8" ht="409.6" thickBot="1" x14ac:dyDescent="0.3">
      <c r="B65" s="170">
        <v>64</v>
      </c>
      <c r="C65" s="171" t="s">
        <v>5208</v>
      </c>
      <c r="D65" s="172" t="s">
        <v>5209</v>
      </c>
      <c r="E65" s="176" t="str">
        <f t="shared" si="0"/>
        <v>CROP-007</v>
      </c>
      <c r="F65" s="174" t="s">
        <v>5210</v>
      </c>
      <c r="G65" s="174" t="s">
        <v>5211</v>
      </c>
      <c r="H65" s="175" t="s">
        <v>1171</v>
      </c>
    </row>
    <row r="66" spans="2:8" ht="409.6" thickBot="1" x14ac:dyDescent="0.3">
      <c r="B66" s="170">
        <v>65</v>
      </c>
      <c r="C66" s="171" t="s">
        <v>5212</v>
      </c>
      <c r="D66" s="172" t="s">
        <v>5213</v>
      </c>
      <c r="E66" s="176" t="str">
        <f t="shared" si="0"/>
        <v>CROP-007</v>
      </c>
      <c r="F66" s="174" t="s">
        <v>5214</v>
      </c>
      <c r="G66" s="174" t="s">
        <v>5215</v>
      </c>
      <c r="H66" s="175" t="s">
        <v>1171</v>
      </c>
    </row>
    <row r="67" spans="2:8" ht="409.6" thickBot="1" x14ac:dyDescent="0.3">
      <c r="B67" s="170">
        <v>66</v>
      </c>
      <c r="C67" s="171" t="s">
        <v>5216</v>
      </c>
      <c r="D67" s="172" t="s">
        <v>5217</v>
      </c>
      <c r="E67" s="176" t="str">
        <f t="shared" si="0"/>
        <v>CROP-007</v>
      </c>
      <c r="F67" s="174" t="s">
        <v>5218</v>
      </c>
      <c r="G67" s="174" t="s">
        <v>5219</v>
      </c>
      <c r="H67" s="175" t="s">
        <v>1171</v>
      </c>
    </row>
    <row r="68" spans="2:8" ht="409.6" thickBot="1" x14ac:dyDescent="0.3">
      <c r="B68" s="170">
        <v>67</v>
      </c>
      <c r="C68" s="171" t="s">
        <v>5220</v>
      </c>
      <c r="D68" s="172" t="s">
        <v>5221</v>
      </c>
      <c r="E68" s="176" t="str">
        <f t="shared" si="0"/>
        <v>CROP-007</v>
      </c>
      <c r="F68" s="174" t="s">
        <v>5222</v>
      </c>
      <c r="G68" s="174" t="s">
        <v>5223</v>
      </c>
      <c r="H68" s="175" t="s">
        <v>1171</v>
      </c>
    </row>
    <row r="69" spans="2:8" ht="409.6" thickBot="1" x14ac:dyDescent="0.3">
      <c r="B69" s="170">
        <v>68</v>
      </c>
      <c r="C69" s="171" t="s">
        <v>5224</v>
      </c>
      <c r="D69" s="172" t="s">
        <v>5225</v>
      </c>
      <c r="E69" s="176" t="str">
        <f t="shared" si="0"/>
        <v>CROP-007</v>
      </c>
      <c r="F69" s="174" t="s">
        <v>5226</v>
      </c>
      <c r="G69" s="174" t="s">
        <v>5227</v>
      </c>
      <c r="H69" s="175" t="s">
        <v>1171</v>
      </c>
    </row>
    <row r="70" spans="2:8" ht="409.6" thickBot="1" x14ac:dyDescent="0.3">
      <c r="B70" s="170">
        <v>69</v>
      </c>
      <c r="C70" s="171" t="s">
        <v>5228</v>
      </c>
      <c r="D70" s="172" t="s">
        <v>5229</v>
      </c>
      <c r="E70" s="176" t="str">
        <f t="shared" si="0"/>
        <v>CROP-007</v>
      </c>
      <c r="F70" s="174" t="s">
        <v>5230</v>
      </c>
      <c r="G70" s="174" t="s">
        <v>5231</v>
      </c>
      <c r="H70" s="175" t="s">
        <v>1171</v>
      </c>
    </row>
    <row r="71" spans="2:8" ht="409.6" thickBot="1" x14ac:dyDescent="0.3">
      <c r="B71" s="170">
        <v>70</v>
      </c>
      <c r="C71" s="171" t="s">
        <v>5232</v>
      </c>
      <c r="D71" s="172" t="s">
        <v>5233</v>
      </c>
      <c r="E71" s="176" t="str">
        <f t="shared" si="0"/>
        <v>CROP-007</v>
      </c>
      <c r="F71" s="174" t="s">
        <v>5234</v>
      </c>
      <c r="G71" s="174" t="s">
        <v>5235</v>
      </c>
      <c r="H71" s="175" t="s">
        <v>1171</v>
      </c>
    </row>
    <row r="72" spans="2:8" ht="409.6" thickBot="1" x14ac:dyDescent="0.3">
      <c r="B72" s="170">
        <v>71</v>
      </c>
      <c r="C72" s="171" t="s">
        <v>5236</v>
      </c>
      <c r="D72" s="172" t="s">
        <v>5237</v>
      </c>
      <c r="E72" s="176" t="str">
        <f t="shared" si="0"/>
        <v>CROP-007</v>
      </c>
      <c r="F72" s="174" t="s">
        <v>5238</v>
      </c>
      <c r="G72" s="174" t="s">
        <v>5239</v>
      </c>
      <c r="H72" s="175" t="s">
        <v>1171</v>
      </c>
    </row>
    <row r="73" spans="2:8" ht="409.6" thickBot="1" x14ac:dyDescent="0.3">
      <c r="B73" s="170">
        <v>72</v>
      </c>
      <c r="C73" s="171" t="s">
        <v>5240</v>
      </c>
      <c r="D73" s="172" t="s">
        <v>5241</v>
      </c>
      <c r="E73" s="176" t="str">
        <f t="shared" si="0"/>
        <v>CROP-007</v>
      </c>
      <c r="F73" s="174" t="s">
        <v>5242</v>
      </c>
      <c r="G73" s="174" t="s">
        <v>5243</v>
      </c>
      <c r="H73" s="175" t="s">
        <v>1171</v>
      </c>
    </row>
    <row r="74" spans="2:8" ht="409.6" thickBot="1" x14ac:dyDescent="0.3">
      <c r="B74" s="170">
        <v>73</v>
      </c>
      <c r="C74" s="171" t="s">
        <v>5244</v>
      </c>
      <c r="D74" s="172" t="s">
        <v>5245</v>
      </c>
      <c r="E74" s="176" t="str">
        <f t="shared" si="0"/>
        <v>CROP-007</v>
      </c>
      <c r="F74" s="174" t="s">
        <v>5246</v>
      </c>
      <c r="G74" s="174" t="s">
        <v>5247</v>
      </c>
      <c r="H74" s="175" t="s">
        <v>1171</v>
      </c>
    </row>
    <row r="75" spans="2:8" ht="409.6" thickBot="1" x14ac:dyDescent="0.3">
      <c r="B75" s="170">
        <v>74</v>
      </c>
      <c r="C75" s="171" t="s">
        <v>5248</v>
      </c>
      <c r="D75" s="172" t="s">
        <v>5249</v>
      </c>
      <c r="E75" s="176" t="str">
        <f t="shared" si="0"/>
        <v>CROP-007</v>
      </c>
      <c r="F75" s="174" t="s">
        <v>5250</v>
      </c>
      <c r="G75" s="174" t="s">
        <v>5251</v>
      </c>
      <c r="H75" s="175" t="s">
        <v>1171</v>
      </c>
    </row>
    <row r="76" spans="2:8" ht="409.6" thickBot="1" x14ac:dyDescent="0.3">
      <c r="B76" s="170">
        <v>75</v>
      </c>
      <c r="C76" s="171" t="s">
        <v>5252</v>
      </c>
      <c r="D76" s="172" t="s">
        <v>5253</v>
      </c>
      <c r="E76" s="176" t="str">
        <f t="shared" si="0"/>
        <v>CROP-007</v>
      </c>
      <c r="F76" s="174" t="s">
        <v>5254</v>
      </c>
      <c r="G76" s="174" t="s">
        <v>5255</v>
      </c>
      <c r="H76" s="175" t="s">
        <v>1171</v>
      </c>
    </row>
    <row r="77" spans="2:8" ht="409.6" thickBot="1" x14ac:dyDescent="0.3">
      <c r="B77" s="170">
        <v>76</v>
      </c>
      <c r="C77" s="171" t="s">
        <v>5256</v>
      </c>
      <c r="D77" s="172" t="s">
        <v>5257</v>
      </c>
      <c r="E77" s="176" t="str">
        <f t="shared" si="0"/>
        <v>CROP-007</v>
      </c>
      <c r="F77" s="174" t="s">
        <v>5258</v>
      </c>
      <c r="G77" s="174" t="s">
        <v>5259</v>
      </c>
      <c r="H77" s="175" t="s">
        <v>1171</v>
      </c>
    </row>
    <row r="78" spans="2:8" ht="409.6" thickBot="1" x14ac:dyDescent="0.3">
      <c r="B78" s="170">
        <v>77</v>
      </c>
      <c r="C78" s="171" t="s">
        <v>5260</v>
      </c>
      <c r="D78" s="172" t="s">
        <v>5261</v>
      </c>
      <c r="E78" s="176" t="str">
        <f t="shared" si="0"/>
        <v>CROP-007</v>
      </c>
      <c r="F78" s="174" t="s">
        <v>5262</v>
      </c>
      <c r="G78" s="174" t="s">
        <v>5263</v>
      </c>
      <c r="H78" s="175" t="s">
        <v>1171</v>
      </c>
    </row>
    <row r="79" spans="2:8" ht="409.6" thickBot="1" x14ac:dyDescent="0.3">
      <c r="B79" s="170">
        <v>78</v>
      </c>
      <c r="C79" s="171" t="s">
        <v>5264</v>
      </c>
      <c r="D79" s="172" t="s">
        <v>5265</v>
      </c>
      <c r="E79" s="176" t="str">
        <f t="shared" si="0"/>
        <v>CROP-007</v>
      </c>
      <c r="F79" s="174" t="s">
        <v>5266</v>
      </c>
      <c r="G79" s="174" t="s">
        <v>5267</v>
      </c>
      <c r="H79" s="175" t="s">
        <v>1171</v>
      </c>
    </row>
    <row r="80" spans="2:8" ht="409.6" thickBot="1" x14ac:dyDescent="0.3">
      <c r="B80" s="170">
        <v>79</v>
      </c>
      <c r="C80" s="171" t="s">
        <v>5268</v>
      </c>
      <c r="D80" s="172" t="s">
        <v>5269</v>
      </c>
      <c r="E80" s="176" t="str">
        <f t="shared" si="0"/>
        <v>CROP-007</v>
      </c>
      <c r="F80" s="174" t="s">
        <v>5270</v>
      </c>
      <c r="G80" s="174" t="s">
        <v>5271</v>
      </c>
      <c r="H80" s="175" t="s">
        <v>1171</v>
      </c>
    </row>
    <row r="81" spans="2:8" ht="375.75" thickBot="1" x14ac:dyDescent="0.3">
      <c r="B81" s="170">
        <v>80</v>
      </c>
      <c r="C81" s="171" t="s">
        <v>5272</v>
      </c>
      <c r="D81" s="172" t="s">
        <v>5273</v>
      </c>
      <c r="E81" s="176" t="str">
        <f t="shared" si="0"/>
        <v>CROP-007</v>
      </c>
      <c r="F81" s="174" t="s">
        <v>5274</v>
      </c>
      <c r="G81" s="174" t="s">
        <v>5275</v>
      </c>
      <c r="H81" s="175" t="s">
        <v>1171</v>
      </c>
    </row>
    <row r="82" spans="2:8" ht="409.6" thickBot="1" x14ac:dyDescent="0.3">
      <c r="B82" s="170">
        <v>81</v>
      </c>
      <c r="C82" s="171" t="s">
        <v>5276</v>
      </c>
      <c r="D82" s="172" t="s">
        <v>5277</v>
      </c>
      <c r="E82" s="176" t="str">
        <f t="shared" si="0"/>
        <v>CROP-007</v>
      </c>
      <c r="F82" s="174" t="s">
        <v>5278</v>
      </c>
      <c r="G82" s="174" t="s">
        <v>5279</v>
      </c>
      <c r="H82" s="175" t="s">
        <v>1171</v>
      </c>
    </row>
    <row r="83" spans="2:8" ht="409.6" thickBot="1" x14ac:dyDescent="0.3">
      <c r="B83" s="170">
        <v>82</v>
      </c>
      <c r="C83" s="171" t="s">
        <v>5280</v>
      </c>
      <c r="D83" s="172" t="s">
        <v>5281</v>
      </c>
      <c r="E83" s="176" t="str">
        <f t="shared" si="0"/>
        <v>CROP-007</v>
      </c>
      <c r="F83" s="174" t="s">
        <v>5282</v>
      </c>
      <c r="G83" s="174" t="s">
        <v>5283</v>
      </c>
      <c r="H83" s="175" t="s">
        <v>1171</v>
      </c>
    </row>
    <row r="84" spans="2:8" ht="409.6" thickBot="1" x14ac:dyDescent="0.3">
      <c r="B84" s="170">
        <v>83</v>
      </c>
      <c r="C84" s="171" t="s">
        <v>5284</v>
      </c>
      <c r="D84" s="172" t="s">
        <v>5285</v>
      </c>
      <c r="E84" s="176" t="str">
        <f t="shared" si="0"/>
        <v>CROP-007</v>
      </c>
      <c r="F84" s="174" t="s">
        <v>5286</v>
      </c>
      <c r="G84" s="174" t="s">
        <v>5287</v>
      </c>
      <c r="H84" s="175" t="s">
        <v>1171</v>
      </c>
    </row>
    <row r="85" spans="2:8" ht="409.6" thickBot="1" x14ac:dyDescent="0.3">
      <c r="B85" s="170">
        <v>84</v>
      </c>
      <c r="C85" s="171" t="s">
        <v>5288</v>
      </c>
      <c r="D85" s="172" t="s">
        <v>5289</v>
      </c>
      <c r="E85" s="176" t="str">
        <f t="shared" si="0"/>
        <v>CROP-007</v>
      </c>
      <c r="F85" s="174" t="s">
        <v>5290</v>
      </c>
      <c r="G85" s="174" t="s">
        <v>5291</v>
      </c>
      <c r="H85" s="175" t="s">
        <v>1171</v>
      </c>
    </row>
    <row r="86" spans="2:8" ht="375.75" thickBot="1" x14ac:dyDescent="0.3">
      <c r="B86" s="170">
        <v>85</v>
      </c>
      <c r="C86" s="171" t="s">
        <v>5292</v>
      </c>
      <c r="D86" s="172" t="s">
        <v>5293</v>
      </c>
      <c r="E86" s="176" t="str">
        <f t="shared" si="0"/>
        <v>CROP-007</v>
      </c>
      <c r="F86" s="174" t="s">
        <v>5290</v>
      </c>
      <c r="G86" s="174" t="s">
        <v>5294</v>
      </c>
      <c r="H86" s="175" t="s">
        <v>1171</v>
      </c>
    </row>
    <row r="87" spans="2:8" ht="375.75" thickBot="1" x14ac:dyDescent="0.3">
      <c r="B87" s="170">
        <v>86</v>
      </c>
      <c r="C87" s="171" t="s">
        <v>5295</v>
      </c>
      <c r="D87" s="172" t="s">
        <v>5296</v>
      </c>
      <c r="E87" s="176" t="str">
        <f t="shared" si="0"/>
        <v>CROP-007</v>
      </c>
      <c r="F87" s="174" t="s">
        <v>5290</v>
      </c>
      <c r="G87" s="174" t="s">
        <v>5297</v>
      </c>
      <c r="H87" s="175" t="s">
        <v>1171</v>
      </c>
    </row>
    <row r="88" spans="2:8" ht="409.6" thickBot="1" x14ac:dyDescent="0.3">
      <c r="B88" s="170">
        <v>87</v>
      </c>
      <c r="C88" s="171" t="s">
        <v>5298</v>
      </c>
      <c r="D88" s="172" t="s">
        <v>5299</v>
      </c>
      <c r="E88" s="176" t="str">
        <f t="shared" si="0"/>
        <v>CROP-007</v>
      </c>
      <c r="F88" s="174" t="s">
        <v>5300</v>
      </c>
      <c r="G88" s="174" t="s">
        <v>5301</v>
      </c>
      <c r="H88" s="175" t="s">
        <v>1171</v>
      </c>
    </row>
    <row r="89" spans="2:8" ht="319.5" thickBot="1" x14ac:dyDescent="0.3">
      <c r="B89" s="170">
        <v>88</v>
      </c>
      <c r="C89" s="171" t="s">
        <v>5302</v>
      </c>
      <c r="D89" s="172" t="s">
        <v>5303</v>
      </c>
      <c r="E89" s="176" t="str">
        <f t="shared" si="0"/>
        <v>CROP-007</v>
      </c>
      <c r="F89" s="174" t="s">
        <v>5304</v>
      </c>
      <c r="G89" s="174" t="s">
        <v>5305</v>
      </c>
      <c r="H89" s="175" t="s">
        <v>1171</v>
      </c>
    </row>
    <row r="90" spans="2:8" ht="375.75" thickBot="1" x14ac:dyDescent="0.3">
      <c r="B90" s="170">
        <v>89</v>
      </c>
      <c r="C90" s="171" t="s">
        <v>5306</v>
      </c>
      <c r="D90" s="172" t="s">
        <v>5307</v>
      </c>
      <c r="E90" s="176" t="str">
        <f t="shared" si="0"/>
        <v>CROP-007</v>
      </c>
      <c r="F90" s="174" t="s">
        <v>5290</v>
      </c>
      <c r="G90" s="174" t="s">
        <v>5308</v>
      </c>
      <c r="H90" s="175" t="s">
        <v>1171</v>
      </c>
    </row>
    <row r="91" spans="2:8" ht="409.6" thickBot="1" x14ac:dyDescent="0.3">
      <c r="B91" s="170">
        <v>90</v>
      </c>
      <c r="C91" s="171" t="s">
        <v>5309</v>
      </c>
      <c r="D91" s="172" t="s">
        <v>5310</v>
      </c>
      <c r="E91" s="176" t="str">
        <f t="shared" si="0"/>
        <v>CROP-007</v>
      </c>
      <c r="F91" s="174" t="s">
        <v>5311</v>
      </c>
      <c r="G91" s="174" t="s">
        <v>5312</v>
      </c>
      <c r="H91" s="175" t="s">
        <v>1171</v>
      </c>
    </row>
    <row r="92" spans="2:8" ht="409.6" thickBot="1" x14ac:dyDescent="0.3">
      <c r="B92" s="170">
        <v>91</v>
      </c>
      <c r="C92" s="171" t="s">
        <v>5313</v>
      </c>
      <c r="D92" s="172" t="s">
        <v>5314</v>
      </c>
      <c r="E92" s="176" t="str">
        <f t="shared" si="0"/>
        <v>CROP-007</v>
      </c>
      <c r="F92" s="174" t="s">
        <v>5315</v>
      </c>
      <c r="G92" s="174" t="s">
        <v>5316</v>
      </c>
      <c r="H92" s="175" t="s">
        <v>1171</v>
      </c>
    </row>
    <row r="93" spans="2:8" ht="409.6" thickBot="1" x14ac:dyDescent="0.3">
      <c r="B93" s="170">
        <v>92</v>
      </c>
      <c r="C93" s="171" t="s">
        <v>5317</v>
      </c>
      <c r="D93" s="172" t="s">
        <v>5318</v>
      </c>
      <c r="E93" s="176" t="str">
        <f t="shared" si="0"/>
        <v>CROP-007</v>
      </c>
      <c r="F93" s="174" t="s">
        <v>5319</v>
      </c>
      <c r="G93" s="174" t="s">
        <v>5320</v>
      </c>
      <c r="H93" s="175" t="s">
        <v>1171</v>
      </c>
    </row>
    <row r="94" spans="2:8" ht="409.6" thickBot="1" x14ac:dyDescent="0.3">
      <c r="B94" s="170">
        <v>93</v>
      </c>
      <c r="C94" s="171" t="s">
        <v>5321</v>
      </c>
      <c r="D94" s="172" t="s">
        <v>5322</v>
      </c>
      <c r="E94" s="176" t="str">
        <f t="shared" si="0"/>
        <v>CROP-007</v>
      </c>
      <c r="F94" s="174" t="s">
        <v>5323</v>
      </c>
      <c r="G94" s="174" t="s">
        <v>5324</v>
      </c>
      <c r="H94" s="175" t="s">
        <v>1171</v>
      </c>
    </row>
    <row r="95" spans="2:8" ht="409.6" thickBot="1" x14ac:dyDescent="0.3">
      <c r="B95" s="170">
        <v>94</v>
      </c>
      <c r="C95" s="171" t="s">
        <v>5325</v>
      </c>
      <c r="D95" s="172" t="s">
        <v>5326</v>
      </c>
      <c r="E95" s="176" t="str">
        <f t="shared" si="0"/>
        <v>CROP-007</v>
      </c>
      <c r="F95" s="174" t="s">
        <v>5327</v>
      </c>
      <c r="G95" s="174" t="s">
        <v>5328</v>
      </c>
      <c r="H95" s="175" t="s">
        <v>1171</v>
      </c>
    </row>
    <row r="96" spans="2:8" ht="409.6" thickBot="1" x14ac:dyDescent="0.3">
      <c r="B96" s="170">
        <v>95</v>
      </c>
      <c r="C96" s="171" t="s">
        <v>5329</v>
      </c>
      <c r="D96" s="172" t="s">
        <v>5330</v>
      </c>
      <c r="E96" s="176" t="str">
        <f t="shared" si="0"/>
        <v>CROP-007</v>
      </c>
      <c r="F96" s="174" t="s">
        <v>5331</v>
      </c>
      <c r="G96" s="174" t="s">
        <v>5332</v>
      </c>
      <c r="H96" s="175" t="s">
        <v>1171</v>
      </c>
    </row>
    <row r="97" spans="2:8" ht="409.6" thickBot="1" x14ac:dyDescent="0.3">
      <c r="B97" s="170">
        <v>96</v>
      </c>
      <c r="C97" s="171" t="s">
        <v>5333</v>
      </c>
      <c r="D97" s="172" t="s">
        <v>5334</v>
      </c>
      <c r="E97" s="176" t="str">
        <f t="shared" si="0"/>
        <v>CROP-007</v>
      </c>
      <c r="F97" s="174" t="s">
        <v>5335</v>
      </c>
      <c r="G97" s="174" t="s">
        <v>5336</v>
      </c>
      <c r="H97" s="175" t="s">
        <v>1171</v>
      </c>
    </row>
    <row r="98" spans="2:8" ht="409.6" thickBot="1" x14ac:dyDescent="0.3">
      <c r="B98" s="170">
        <v>97</v>
      </c>
      <c r="C98" s="171" t="s">
        <v>5337</v>
      </c>
      <c r="D98" s="172" t="s">
        <v>5338</v>
      </c>
      <c r="E98" s="176" t="str">
        <f t="shared" si="0"/>
        <v>CROP-007</v>
      </c>
      <c r="F98" s="174" t="s">
        <v>5339</v>
      </c>
      <c r="G98" s="174" t="s">
        <v>5340</v>
      </c>
      <c r="H98" s="175" t="s">
        <v>1171</v>
      </c>
    </row>
    <row r="99" spans="2:8" ht="409.6" thickBot="1" x14ac:dyDescent="0.3">
      <c r="B99" s="170">
        <v>98</v>
      </c>
      <c r="C99" s="171" t="s">
        <v>5341</v>
      </c>
      <c r="D99" s="172" t="s">
        <v>5342</v>
      </c>
      <c r="E99" s="176" t="str">
        <f t="shared" si="0"/>
        <v>CROP-007</v>
      </c>
      <c r="F99" s="174" t="s">
        <v>5343</v>
      </c>
      <c r="G99" s="174" t="s">
        <v>5344</v>
      </c>
      <c r="H99" s="175" t="s">
        <v>1171</v>
      </c>
    </row>
    <row r="100" spans="2:8" ht="409.6" thickBot="1" x14ac:dyDescent="0.3">
      <c r="B100" s="170">
        <v>99</v>
      </c>
      <c r="C100" s="171" t="s">
        <v>5345</v>
      </c>
      <c r="D100" s="172" t="s">
        <v>5346</v>
      </c>
      <c r="E100" s="176" t="str">
        <f t="shared" si="0"/>
        <v>CROP-007</v>
      </c>
      <c r="F100" s="174" t="s">
        <v>5347</v>
      </c>
      <c r="G100" s="174" t="s">
        <v>5348</v>
      </c>
      <c r="H100" s="175" t="s">
        <v>1171</v>
      </c>
    </row>
    <row r="101" spans="2:8" ht="409.6" thickBot="1" x14ac:dyDescent="0.3">
      <c r="B101" s="170">
        <v>100</v>
      </c>
      <c r="C101" s="171" t="s">
        <v>5349</v>
      </c>
      <c r="D101" s="172" t="s">
        <v>5350</v>
      </c>
      <c r="E101" s="176" t="str">
        <f t="shared" si="0"/>
        <v>CROP-007</v>
      </c>
      <c r="F101" s="174" t="s">
        <v>5351</v>
      </c>
      <c r="G101" s="174" t="s">
        <v>5352</v>
      </c>
      <c r="H101" s="175" t="s">
        <v>1171</v>
      </c>
    </row>
    <row r="102" spans="2:8" ht="409.6" thickBot="1" x14ac:dyDescent="0.3">
      <c r="B102" s="170">
        <v>101</v>
      </c>
      <c r="C102" s="171" t="s">
        <v>5353</v>
      </c>
      <c r="D102" s="172" t="s">
        <v>5354</v>
      </c>
      <c r="E102" s="176" t="str">
        <f t="shared" si="0"/>
        <v>CROP-007</v>
      </c>
      <c r="F102" s="174" t="s">
        <v>5355</v>
      </c>
      <c r="G102" s="174" t="s">
        <v>5356</v>
      </c>
      <c r="H102" s="175" t="s">
        <v>1171</v>
      </c>
    </row>
    <row r="103" spans="2:8" ht="409.6" thickBot="1" x14ac:dyDescent="0.3">
      <c r="B103" s="170">
        <v>102</v>
      </c>
      <c r="C103" s="171" t="s">
        <v>5357</v>
      </c>
      <c r="D103" s="172" t="s">
        <v>5358</v>
      </c>
      <c r="E103" s="176" t="str">
        <f t="shared" si="0"/>
        <v>CROP-007</v>
      </c>
      <c r="F103" s="174" t="s">
        <v>5359</v>
      </c>
      <c r="G103" s="174" t="s">
        <v>5360</v>
      </c>
      <c r="H103" s="175" t="s">
        <v>1171</v>
      </c>
    </row>
    <row r="104" spans="2:8" ht="409.6" thickBot="1" x14ac:dyDescent="0.3">
      <c r="B104" s="170">
        <v>103</v>
      </c>
      <c r="C104" s="171" t="s">
        <v>5361</v>
      </c>
      <c r="D104" s="172" t="s">
        <v>5362</v>
      </c>
      <c r="E104" s="176" t="str">
        <f t="shared" si="0"/>
        <v>CROP-007</v>
      </c>
      <c r="F104" s="174" t="s">
        <v>5363</v>
      </c>
      <c r="G104" s="174" t="s">
        <v>5364</v>
      </c>
      <c r="H104" s="175" t="s">
        <v>1171</v>
      </c>
    </row>
    <row r="105" spans="2:8" ht="409.6" thickBot="1" x14ac:dyDescent="0.3">
      <c r="B105" s="170">
        <v>104</v>
      </c>
      <c r="C105" s="171" t="s">
        <v>5365</v>
      </c>
      <c r="D105" s="172" t="s">
        <v>5366</v>
      </c>
      <c r="E105" s="176" t="str">
        <f t="shared" si="0"/>
        <v>CROP-007</v>
      </c>
      <c r="F105" s="174" t="s">
        <v>5367</v>
      </c>
      <c r="G105" s="174" t="s">
        <v>5368</v>
      </c>
      <c r="H105" s="175" t="s">
        <v>1171</v>
      </c>
    </row>
    <row r="106" spans="2:8" ht="409.6" thickBot="1" x14ac:dyDescent="0.3">
      <c r="B106" s="170">
        <v>105</v>
      </c>
      <c r="C106" s="171" t="s">
        <v>5369</v>
      </c>
      <c r="D106" s="172" t="s">
        <v>5370</v>
      </c>
      <c r="E106" s="176" t="str">
        <f t="shared" si="0"/>
        <v>CROP-007</v>
      </c>
      <c r="F106" s="174" t="s">
        <v>5371</v>
      </c>
      <c r="G106" s="174" t="s">
        <v>5372</v>
      </c>
      <c r="H106" s="175" t="s">
        <v>1171</v>
      </c>
    </row>
    <row r="107" spans="2:8" ht="409.6" thickBot="1" x14ac:dyDescent="0.3">
      <c r="B107" s="170">
        <v>106</v>
      </c>
      <c r="C107" s="171" t="s">
        <v>5373</v>
      </c>
      <c r="D107" s="172" t="s">
        <v>5374</v>
      </c>
      <c r="E107" s="176" t="str">
        <f t="shared" si="0"/>
        <v>CROP-007</v>
      </c>
      <c r="F107" s="174" t="s">
        <v>5375</v>
      </c>
      <c r="G107" s="174" t="s">
        <v>5376</v>
      </c>
      <c r="H107" s="175" t="s">
        <v>1171</v>
      </c>
    </row>
    <row r="108" spans="2:8" ht="409.6" thickBot="1" x14ac:dyDescent="0.3">
      <c r="B108" s="170">
        <v>107</v>
      </c>
      <c r="C108" s="171" t="s">
        <v>5377</v>
      </c>
      <c r="D108" s="172" t="s">
        <v>5378</v>
      </c>
      <c r="E108" s="176" t="str">
        <f t="shared" si="0"/>
        <v>CROP-007</v>
      </c>
      <c r="F108" s="174" t="s">
        <v>5379</v>
      </c>
      <c r="G108" s="174" t="s">
        <v>5380</v>
      </c>
      <c r="H108" s="175" t="s">
        <v>1171</v>
      </c>
    </row>
    <row r="109" spans="2:8" ht="409.6" thickBot="1" x14ac:dyDescent="0.3">
      <c r="B109" s="170">
        <v>108</v>
      </c>
      <c r="C109" s="171" t="s">
        <v>5381</v>
      </c>
      <c r="D109" s="172" t="s">
        <v>5382</v>
      </c>
      <c r="E109" s="176" t="str">
        <f t="shared" si="0"/>
        <v>CROP-007</v>
      </c>
      <c r="F109" s="174" t="s">
        <v>5383</v>
      </c>
      <c r="G109" s="174" t="s">
        <v>5384</v>
      </c>
      <c r="H109" s="175" t="s">
        <v>1171</v>
      </c>
    </row>
    <row r="110" spans="2:8" ht="409.6" thickBot="1" x14ac:dyDescent="0.3">
      <c r="B110" s="170">
        <v>109</v>
      </c>
      <c r="C110" s="171" t="s">
        <v>5385</v>
      </c>
      <c r="D110" s="172" t="s">
        <v>5386</v>
      </c>
      <c r="E110" s="176" t="str">
        <f t="shared" si="0"/>
        <v>CROP-007</v>
      </c>
      <c r="F110" s="174" t="s">
        <v>5387</v>
      </c>
      <c r="G110" s="174" t="s">
        <v>5388</v>
      </c>
      <c r="H110" s="175" t="s">
        <v>1171</v>
      </c>
    </row>
    <row r="111" spans="2:8" ht="409.6" thickBot="1" x14ac:dyDescent="0.3">
      <c r="B111" s="170">
        <v>110</v>
      </c>
      <c r="C111" s="177" t="s">
        <v>4948</v>
      </c>
      <c r="D111" s="178" t="s">
        <v>5389</v>
      </c>
      <c r="E111" s="176" t="str">
        <f t="shared" ref="E111:E116" si="1">"CROP-"&amp;TEXT(25,"000")</f>
        <v>CROP-025</v>
      </c>
      <c r="F111" s="179" t="s">
        <v>5390</v>
      </c>
      <c r="G111" s="179" t="s">
        <v>5391</v>
      </c>
      <c r="H111" s="175" t="s">
        <v>1171</v>
      </c>
    </row>
    <row r="112" spans="2:8" ht="244.5" thickBot="1" x14ac:dyDescent="0.3">
      <c r="B112" s="170">
        <v>111</v>
      </c>
      <c r="C112" s="171" t="s">
        <v>5392</v>
      </c>
      <c r="D112" s="172" t="s">
        <v>5393</v>
      </c>
      <c r="E112" s="176" t="str">
        <f t="shared" si="1"/>
        <v>CROP-025</v>
      </c>
      <c r="F112" s="174" t="s">
        <v>5394</v>
      </c>
      <c r="G112" s="174" t="s">
        <v>5395</v>
      </c>
      <c r="H112" s="175" t="s">
        <v>1171</v>
      </c>
    </row>
    <row r="113" spans="2:8" ht="338.25" thickBot="1" x14ac:dyDescent="0.3">
      <c r="B113" s="170">
        <v>112</v>
      </c>
      <c r="C113" s="171" t="s">
        <v>5396</v>
      </c>
      <c r="D113" s="172" t="s">
        <v>5397</v>
      </c>
      <c r="E113" s="176" t="str">
        <f t="shared" si="1"/>
        <v>CROP-025</v>
      </c>
      <c r="F113" s="174" t="s">
        <v>5398</v>
      </c>
      <c r="G113" s="174" t="s">
        <v>5399</v>
      </c>
      <c r="H113" s="175" t="s">
        <v>1171</v>
      </c>
    </row>
    <row r="114" spans="2:8" ht="409.6" thickBot="1" x14ac:dyDescent="0.3">
      <c r="B114" s="170">
        <v>113</v>
      </c>
      <c r="C114" s="171" t="s">
        <v>5400</v>
      </c>
      <c r="D114" s="172" t="s">
        <v>5401</v>
      </c>
      <c r="E114" s="176" t="str">
        <f t="shared" si="1"/>
        <v>CROP-025</v>
      </c>
      <c r="F114" s="174" t="s">
        <v>5402</v>
      </c>
      <c r="G114" s="174" t="s">
        <v>5403</v>
      </c>
      <c r="H114" s="175" t="s">
        <v>1171</v>
      </c>
    </row>
    <row r="115" spans="2:8" ht="409.6" thickBot="1" x14ac:dyDescent="0.3">
      <c r="B115" s="170">
        <v>114</v>
      </c>
      <c r="C115" s="180" t="s">
        <v>5404</v>
      </c>
      <c r="D115" s="181" t="s">
        <v>5405</v>
      </c>
      <c r="E115" s="176" t="str">
        <f t="shared" si="1"/>
        <v>CROP-025</v>
      </c>
      <c r="F115" s="179" t="s">
        <v>5406</v>
      </c>
      <c r="G115" s="179" t="s">
        <v>5407</v>
      </c>
      <c r="H115" s="175" t="s">
        <v>1171</v>
      </c>
    </row>
    <row r="116" spans="2:8" ht="409.6" thickBot="1" x14ac:dyDescent="0.3">
      <c r="B116" s="170">
        <v>115</v>
      </c>
      <c r="C116" s="177" t="s">
        <v>5400</v>
      </c>
      <c r="D116" s="178" t="s">
        <v>5408</v>
      </c>
      <c r="E116" s="176" t="str">
        <f t="shared" si="1"/>
        <v>CROP-025</v>
      </c>
      <c r="F116" s="179" t="s">
        <v>5402</v>
      </c>
      <c r="G116" s="179" t="s">
        <v>5403</v>
      </c>
      <c r="H116" s="175" t="s">
        <v>1171</v>
      </c>
    </row>
    <row r="117" spans="2:8" ht="409.6" thickBot="1" x14ac:dyDescent="0.3">
      <c r="B117" s="170">
        <v>116</v>
      </c>
      <c r="C117" s="177" t="s">
        <v>5409</v>
      </c>
      <c r="D117" s="178" t="s">
        <v>5410</v>
      </c>
      <c r="E117" s="176" t="str">
        <f t="shared" ref="E117:E122" si="2">"CROP-"&amp;TEXT(26,"000")</f>
        <v>CROP-026</v>
      </c>
      <c r="F117" s="179" t="s">
        <v>5411</v>
      </c>
      <c r="G117" s="179" t="s">
        <v>5412</v>
      </c>
      <c r="H117" s="175" t="s">
        <v>1171</v>
      </c>
    </row>
    <row r="118" spans="2:8" ht="409.6" thickBot="1" x14ac:dyDescent="0.3">
      <c r="B118" s="170">
        <v>117</v>
      </c>
      <c r="C118" s="171" t="s">
        <v>5413</v>
      </c>
      <c r="D118" s="172" t="s">
        <v>5414</v>
      </c>
      <c r="E118" s="176" t="str">
        <f t="shared" si="2"/>
        <v>CROP-026</v>
      </c>
      <c r="F118" s="174" t="s">
        <v>5415</v>
      </c>
      <c r="G118" s="174" t="s">
        <v>5416</v>
      </c>
      <c r="H118" s="175" t="s">
        <v>1171</v>
      </c>
    </row>
    <row r="119" spans="2:8" ht="409.5" x14ac:dyDescent="0.25">
      <c r="B119" s="170">
        <v>118</v>
      </c>
      <c r="C119" s="182" t="s">
        <v>5417</v>
      </c>
      <c r="D119" s="180" t="s">
        <v>5418</v>
      </c>
      <c r="E119" s="176" t="str">
        <f t="shared" si="2"/>
        <v>CROP-026</v>
      </c>
      <c r="F119" s="183" t="s">
        <v>5419</v>
      </c>
      <c r="G119" s="183" t="s">
        <v>5420</v>
      </c>
      <c r="H119" s="175" t="s">
        <v>1171</v>
      </c>
    </row>
    <row r="120" spans="2:8" ht="393.75" x14ac:dyDescent="0.25">
      <c r="B120" s="170">
        <v>119</v>
      </c>
      <c r="C120" s="184" t="s">
        <v>5421</v>
      </c>
      <c r="D120" s="181" t="s">
        <v>5422</v>
      </c>
      <c r="E120" s="176" t="str">
        <f t="shared" si="2"/>
        <v>CROP-026</v>
      </c>
      <c r="F120" s="185" t="s">
        <v>5423</v>
      </c>
      <c r="G120" s="184" t="s">
        <v>5424</v>
      </c>
      <c r="H120" s="175" t="s">
        <v>1171</v>
      </c>
    </row>
    <row r="121" spans="2:8" ht="409.5" x14ac:dyDescent="0.25">
      <c r="B121" s="170">
        <v>120</v>
      </c>
      <c r="C121" s="184" t="s">
        <v>5425</v>
      </c>
      <c r="D121" s="181" t="s">
        <v>5426</v>
      </c>
      <c r="E121" s="176" t="str">
        <f t="shared" si="2"/>
        <v>CROP-026</v>
      </c>
      <c r="F121" s="185" t="s">
        <v>5427</v>
      </c>
      <c r="G121" s="184" t="s">
        <v>5428</v>
      </c>
      <c r="H121" s="175" t="s">
        <v>1171</v>
      </c>
    </row>
    <row r="122" spans="2:8" ht="409.6" thickBot="1" x14ac:dyDescent="0.3">
      <c r="B122" s="170">
        <v>121</v>
      </c>
      <c r="C122" s="184" t="s">
        <v>5429</v>
      </c>
      <c r="D122" s="181" t="s">
        <v>5430</v>
      </c>
      <c r="E122" s="176" t="str">
        <f t="shared" si="2"/>
        <v>CROP-026</v>
      </c>
      <c r="F122" s="185" t="s">
        <v>5431</v>
      </c>
      <c r="G122" s="184" t="s">
        <v>5432</v>
      </c>
      <c r="H122" s="175" t="s">
        <v>1171</v>
      </c>
    </row>
    <row r="123" spans="2:8" ht="409.6" thickBot="1" x14ac:dyDescent="0.3">
      <c r="B123" s="170">
        <v>122</v>
      </c>
      <c r="C123" s="177" t="s">
        <v>5433</v>
      </c>
      <c r="D123" s="178" t="s">
        <v>5434</v>
      </c>
      <c r="E123" s="176" t="str">
        <f t="shared" ref="E123:E130" si="3">"CROP-"&amp;TEXT(30,"000")</f>
        <v>CROP-030</v>
      </c>
      <c r="F123" s="179" t="s">
        <v>5435</v>
      </c>
      <c r="G123" s="179" t="s">
        <v>5436</v>
      </c>
      <c r="H123" s="175" t="s">
        <v>1171</v>
      </c>
    </row>
    <row r="124" spans="2:8" ht="409.6" thickBot="1" x14ac:dyDescent="0.3">
      <c r="B124" s="170">
        <v>123</v>
      </c>
      <c r="C124" s="171" t="s">
        <v>5437</v>
      </c>
      <c r="D124" s="172" t="s">
        <v>5438</v>
      </c>
      <c r="E124" s="176" t="str">
        <f t="shared" si="3"/>
        <v>CROP-030</v>
      </c>
      <c r="F124" s="174" t="s">
        <v>5439</v>
      </c>
      <c r="G124" s="174" t="s">
        <v>5440</v>
      </c>
      <c r="H124" s="175" t="s">
        <v>1171</v>
      </c>
    </row>
    <row r="125" spans="2:8" ht="409.6" thickBot="1" x14ac:dyDescent="0.3">
      <c r="B125" s="170">
        <v>124</v>
      </c>
      <c r="C125" s="171" t="s">
        <v>5441</v>
      </c>
      <c r="D125" s="172" t="s">
        <v>5442</v>
      </c>
      <c r="E125" s="176" t="str">
        <f t="shared" si="3"/>
        <v>CROP-030</v>
      </c>
      <c r="F125" s="174" t="s">
        <v>5443</v>
      </c>
      <c r="G125" s="174" t="s">
        <v>5444</v>
      </c>
      <c r="H125" s="175" t="s">
        <v>1171</v>
      </c>
    </row>
    <row r="126" spans="2:8" ht="263.25" thickBot="1" x14ac:dyDescent="0.3">
      <c r="B126" s="170">
        <v>125</v>
      </c>
      <c r="C126" s="171" t="s">
        <v>5445</v>
      </c>
      <c r="D126" s="172" t="s">
        <v>5446</v>
      </c>
      <c r="E126" s="176" t="str">
        <f t="shared" si="3"/>
        <v>CROP-030</v>
      </c>
      <c r="F126" s="174" t="s">
        <v>5447</v>
      </c>
      <c r="G126" s="174" t="s">
        <v>5448</v>
      </c>
      <c r="H126" s="175" t="s">
        <v>1171</v>
      </c>
    </row>
    <row r="127" spans="2:8" ht="409.6" thickBot="1" x14ac:dyDescent="0.3">
      <c r="B127" s="170">
        <v>126</v>
      </c>
      <c r="C127" s="171" t="s">
        <v>5449</v>
      </c>
      <c r="D127" s="172" t="s">
        <v>5450</v>
      </c>
      <c r="E127" s="176" t="str">
        <f t="shared" si="3"/>
        <v>CROP-030</v>
      </c>
      <c r="F127" s="174" t="s">
        <v>5451</v>
      </c>
      <c r="G127" s="174" t="s">
        <v>5452</v>
      </c>
      <c r="H127" s="175" t="s">
        <v>1171</v>
      </c>
    </row>
    <row r="128" spans="2:8" ht="409.6" thickBot="1" x14ac:dyDescent="0.3">
      <c r="B128" s="170">
        <v>127</v>
      </c>
      <c r="C128" s="171" t="s">
        <v>5453</v>
      </c>
      <c r="D128" s="172" t="s">
        <v>5454</v>
      </c>
      <c r="E128" s="176" t="str">
        <f t="shared" si="3"/>
        <v>CROP-030</v>
      </c>
      <c r="F128" s="174" t="s">
        <v>5455</v>
      </c>
      <c r="G128" s="174" t="s">
        <v>5456</v>
      </c>
      <c r="H128" s="175" t="s">
        <v>1171</v>
      </c>
    </row>
    <row r="129" spans="2:8" ht="263.25" thickBot="1" x14ac:dyDescent="0.3">
      <c r="B129" s="170">
        <v>128</v>
      </c>
      <c r="C129" s="171" t="s">
        <v>5457</v>
      </c>
      <c r="D129" s="172" t="s">
        <v>5458</v>
      </c>
      <c r="E129" s="176" t="str">
        <f t="shared" si="3"/>
        <v>CROP-030</v>
      </c>
      <c r="F129" s="174" t="s">
        <v>5459</v>
      </c>
      <c r="G129" s="174" t="s">
        <v>5460</v>
      </c>
      <c r="H129" s="175" t="s">
        <v>1171</v>
      </c>
    </row>
    <row r="130" spans="2:8" ht="409.6" thickBot="1" x14ac:dyDescent="0.3">
      <c r="B130" s="170">
        <v>129</v>
      </c>
      <c r="C130" s="171" t="s">
        <v>5461</v>
      </c>
      <c r="D130" s="172" t="s">
        <v>5462</v>
      </c>
      <c r="E130" s="176" t="str">
        <f t="shared" si="3"/>
        <v>CROP-030</v>
      </c>
      <c r="F130" s="174" t="s">
        <v>5463</v>
      </c>
      <c r="G130" s="174" t="s">
        <v>5464</v>
      </c>
      <c r="H130" s="175" t="s">
        <v>1171</v>
      </c>
    </row>
    <row r="131" spans="2:8" ht="409.6" thickBot="1" x14ac:dyDescent="0.3">
      <c r="B131" s="186">
        <v>130</v>
      </c>
      <c r="C131" s="187" t="s">
        <v>4936</v>
      </c>
      <c r="D131" s="188" t="s">
        <v>5465</v>
      </c>
      <c r="E131" s="189" t="str">
        <f t="shared" ref="E131:E139" si="4">"CROP-"&amp;TEXT(20,"000")</f>
        <v>CROP-020</v>
      </c>
      <c r="F131" s="190" t="s">
        <v>5466</v>
      </c>
      <c r="G131" s="190" t="s">
        <v>5467</v>
      </c>
      <c r="H131" s="175" t="s">
        <v>1171</v>
      </c>
    </row>
    <row r="132" spans="2:8" ht="409.6" thickBot="1" x14ac:dyDescent="0.3">
      <c r="B132" s="186">
        <v>131</v>
      </c>
      <c r="C132" s="191" t="s">
        <v>5468</v>
      </c>
      <c r="D132" s="192" t="s">
        <v>5469</v>
      </c>
      <c r="E132" s="189" t="str">
        <f t="shared" si="4"/>
        <v>CROP-020</v>
      </c>
      <c r="F132" s="193" t="s">
        <v>5470</v>
      </c>
      <c r="G132" s="193" t="s">
        <v>5471</v>
      </c>
      <c r="H132" s="175" t="s">
        <v>1171</v>
      </c>
    </row>
    <row r="133" spans="2:8" ht="409.6" thickBot="1" x14ac:dyDescent="0.3">
      <c r="B133" s="186">
        <v>132</v>
      </c>
      <c r="C133" s="191" t="s">
        <v>5472</v>
      </c>
      <c r="D133" s="192" t="s">
        <v>5473</v>
      </c>
      <c r="E133" s="189" t="str">
        <f t="shared" si="4"/>
        <v>CROP-020</v>
      </c>
      <c r="F133" s="193" t="s">
        <v>5474</v>
      </c>
      <c r="G133" s="193" t="s">
        <v>5475</v>
      </c>
      <c r="H133" s="175" t="s">
        <v>1171</v>
      </c>
    </row>
    <row r="134" spans="2:8" ht="409.6" thickBot="1" x14ac:dyDescent="0.3">
      <c r="B134" s="186">
        <v>133</v>
      </c>
      <c r="C134" s="191" t="s">
        <v>5476</v>
      </c>
      <c r="D134" s="192" t="s">
        <v>5477</v>
      </c>
      <c r="E134" s="189" t="str">
        <f t="shared" si="4"/>
        <v>CROP-020</v>
      </c>
      <c r="F134" s="193" t="s">
        <v>5478</v>
      </c>
      <c r="G134" s="193" t="s">
        <v>5479</v>
      </c>
      <c r="H134" s="175" t="s">
        <v>1171</v>
      </c>
    </row>
    <row r="135" spans="2:8" ht="409.6" thickBot="1" x14ac:dyDescent="0.3">
      <c r="B135" s="186">
        <v>134</v>
      </c>
      <c r="C135" s="191" t="s">
        <v>5480</v>
      </c>
      <c r="D135" s="192" t="s">
        <v>5481</v>
      </c>
      <c r="E135" s="189" t="str">
        <f t="shared" si="4"/>
        <v>CROP-020</v>
      </c>
      <c r="F135" s="193" t="s">
        <v>5482</v>
      </c>
      <c r="G135" s="193" t="s">
        <v>5483</v>
      </c>
      <c r="H135" s="175" t="s">
        <v>1171</v>
      </c>
    </row>
    <row r="136" spans="2:8" ht="409.6" thickBot="1" x14ac:dyDescent="0.3">
      <c r="B136" s="186">
        <v>135</v>
      </c>
      <c r="C136" s="191" t="s">
        <v>5484</v>
      </c>
      <c r="D136" s="192" t="s">
        <v>5485</v>
      </c>
      <c r="E136" s="189" t="str">
        <f t="shared" si="4"/>
        <v>CROP-020</v>
      </c>
      <c r="F136" s="193" t="s">
        <v>5486</v>
      </c>
      <c r="G136" s="193" t="s">
        <v>5487</v>
      </c>
      <c r="H136" s="175" t="s">
        <v>1171</v>
      </c>
    </row>
    <row r="137" spans="2:8" ht="409.6" thickBot="1" x14ac:dyDescent="0.3">
      <c r="B137" s="186">
        <v>136</v>
      </c>
      <c r="C137" s="191" t="s">
        <v>5488</v>
      </c>
      <c r="D137" s="192" t="s">
        <v>5489</v>
      </c>
      <c r="E137" s="189" t="str">
        <f t="shared" si="4"/>
        <v>CROP-020</v>
      </c>
      <c r="F137" s="193" t="s">
        <v>5490</v>
      </c>
      <c r="G137" s="193" t="s">
        <v>5491</v>
      </c>
      <c r="H137" s="175" t="s">
        <v>1171</v>
      </c>
    </row>
    <row r="138" spans="2:8" ht="409.6" thickBot="1" x14ac:dyDescent="0.3">
      <c r="B138" s="186">
        <v>137</v>
      </c>
      <c r="C138" s="191" t="s">
        <v>5492</v>
      </c>
      <c r="D138" s="192" t="s">
        <v>5493</v>
      </c>
      <c r="E138" s="189" t="str">
        <f t="shared" si="4"/>
        <v>CROP-020</v>
      </c>
      <c r="F138" s="193" t="s">
        <v>5494</v>
      </c>
      <c r="G138" s="193" t="s">
        <v>5495</v>
      </c>
      <c r="H138" s="175" t="s">
        <v>1171</v>
      </c>
    </row>
    <row r="139" spans="2:8" ht="409.6" thickBot="1" x14ac:dyDescent="0.3">
      <c r="B139" s="186">
        <v>138</v>
      </c>
      <c r="C139" s="191" t="s">
        <v>5496</v>
      </c>
      <c r="D139" s="192" t="s">
        <v>5497</v>
      </c>
      <c r="E139" s="189" t="str">
        <f t="shared" si="4"/>
        <v>CROP-020</v>
      </c>
      <c r="F139" s="193" t="s">
        <v>5498</v>
      </c>
      <c r="G139" s="193" t="s">
        <v>5499</v>
      </c>
      <c r="H139" s="175" t="s">
        <v>1171</v>
      </c>
    </row>
    <row r="140" spans="2:8" ht="409.6" thickBot="1" x14ac:dyDescent="0.3">
      <c r="B140" s="186">
        <v>139</v>
      </c>
      <c r="C140" s="194" t="s">
        <v>5500</v>
      </c>
      <c r="D140" s="195" t="s">
        <v>5501</v>
      </c>
      <c r="E140" s="196" t="str">
        <f t="shared" ref="E140:E152" si="5">"CROP-"&amp;TEXT(21,"000")</f>
        <v>CROP-021</v>
      </c>
      <c r="F140" s="197" t="s">
        <v>5502</v>
      </c>
      <c r="G140" s="197" t="s">
        <v>5503</v>
      </c>
      <c r="H140" s="175" t="s">
        <v>1171</v>
      </c>
    </row>
    <row r="141" spans="2:8" ht="409.6" thickBot="1" x14ac:dyDescent="0.3">
      <c r="B141" s="186">
        <v>140</v>
      </c>
      <c r="C141" s="198" t="s">
        <v>5504</v>
      </c>
      <c r="D141" s="199" t="s">
        <v>5505</v>
      </c>
      <c r="E141" s="196" t="str">
        <f t="shared" si="5"/>
        <v>CROP-021</v>
      </c>
      <c r="F141" s="200" t="s">
        <v>5506</v>
      </c>
      <c r="G141" s="200" t="s">
        <v>5507</v>
      </c>
      <c r="H141" s="175" t="s">
        <v>1171</v>
      </c>
    </row>
    <row r="142" spans="2:8" ht="409.6" thickBot="1" x14ac:dyDescent="0.3">
      <c r="B142" s="186">
        <v>141</v>
      </c>
      <c r="C142" s="198" t="s">
        <v>5508</v>
      </c>
      <c r="D142" s="199" t="s">
        <v>5509</v>
      </c>
      <c r="E142" s="196" t="str">
        <f t="shared" si="5"/>
        <v>CROP-021</v>
      </c>
      <c r="F142" s="200" t="s">
        <v>5510</v>
      </c>
      <c r="G142" s="200" t="s">
        <v>5511</v>
      </c>
      <c r="H142" s="175" t="s">
        <v>1171</v>
      </c>
    </row>
    <row r="143" spans="2:8" ht="409.6" thickBot="1" x14ac:dyDescent="0.3">
      <c r="B143" s="186">
        <v>142</v>
      </c>
      <c r="C143" s="198" t="s">
        <v>5512</v>
      </c>
      <c r="D143" s="199" t="s">
        <v>5513</v>
      </c>
      <c r="E143" s="196" t="str">
        <f t="shared" si="5"/>
        <v>CROP-021</v>
      </c>
      <c r="F143" s="200" t="s">
        <v>5514</v>
      </c>
      <c r="G143" s="200" t="s">
        <v>5515</v>
      </c>
      <c r="H143" s="175" t="s">
        <v>1171</v>
      </c>
    </row>
    <row r="144" spans="2:8" ht="409.6" thickBot="1" x14ac:dyDescent="0.3">
      <c r="B144" s="186">
        <v>143</v>
      </c>
      <c r="C144" s="198" t="s">
        <v>5516</v>
      </c>
      <c r="D144" s="199" t="s">
        <v>5517</v>
      </c>
      <c r="E144" s="196" t="str">
        <f t="shared" si="5"/>
        <v>CROP-021</v>
      </c>
      <c r="F144" s="200" t="s">
        <v>5518</v>
      </c>
      <c r="G144" s="200" t="s">
        <v>5519</v>
      </c>
      <c r="H144" s="175" t="s">
        <v>1171</v>
      </c>
    </row>
    <row r="145" spans="2:8" ht="409.6" thickBot="1" x14ac:dyDescent="0.3">
      <c r="B145" s="186">
        <v>144</v>
      </c>
      <c r="C145" s="198" t="s">
        <v>5520</v>
      </c>
      <c r="D145" s="199" t="s">
        <v>5521</v>
      </c>
      <c r="E145" s="196" t="str">
        <f t="shared" si="5"/>
        <v>CROP-021</v>
      </c>
      <c r="F145" s="200" t="s">
        <v>5522</v>
      </c>
      <c r="G145" s="200" t="s">
        <v>5523</v>
      </c>
      <c r="H145" s="175" t="s">
        <v>1171</v>
      </c>
    </row>
    <row r="146" spans="2:8" ht="409.6" thickBot="1" x14ac:dyDescent="0.3">
      <c r="B146" s="186">
        <v>145</v>
      </c>
      <c r="C146" s="198" t="s">
        <v>5524</v>
      </c>
      <c r="D146" s="199" t="s">
        <v>5525</v>
      </c>
      <c r="E146" s="196" t="str">
        <f t="shared" si="5"/>
        <v>CROP-021</v>
      </c>
      <c r="F146" s="200" t="s">
        <v>5526</v>
      </c>
      <c r="G146" s="200" t="s">
        <v>5527</v>
      </c>
      <c r="H146" s="175" t="s">
        <v>1171</v>
      </c>
    </row>
    <row r="147" spans="2:8" ht="409.6" thickBot="1" x14ac:dyDescent="0.3">
      <c r="B147" s="186">
        <v>146</v>
      </c>
      <c r="C147" s="198" t="s">
        <v>5528</v>
      </c>
      <c r="D147" s="199" t="s">
        <v>5529</v>
      </c>
      <c r="E147" s="196" t="str">
        <f t="shared" si="5"/>
        <v>CROP-021</v>
      </c>
      <c r="F147" s="200" t="s">
        <v>5530</v>
      </c>
      <c r="G147" s="200" t="s">
        <v>5531</v>
      </c>
      <c r="H147" s="175" t="s">
        <v>1171</v>
      </c>
    </row>
    <row r="148" spans="2:8" ht="409.6" thickBot="1" x14ac:dyDescent="0.3">
      <c r="B148" s="186">
        <v>147</v>
      </c>
      <c r="C148" s="198" t="s">
        <v>5532</v>
      </c>
      <c r="D148" s="199" t="s">
        <v>5533</v>
      </c>
      <c r="E148" s="196" t="str">
        <f t="shared" si="5"/>
        <v>CROP-021</v>
      </c>
      <c r="F148" s="200" t="s">
        <v>5534</v>
      </c>
      <c r="G148" s="200" t="s">
        <v>5535</v>
      </c>
      <c r="H148" s="175" t="s">
        <v>1171</v>
      </c>
    </row>
    <row r="149" spans="2:8" ht="409.6" thickBot="1" x14ac:dyDescent="0.3">
      <c r="B149" s="186">
        <v>148</v>
      </c>
      <c r="C149" s="198" t="s">
        <v>5536</v>
      </c>
      <c r="D149" s="199" t="s">
        <v>5537</v>
      </c>
      <c r="E149" s="196" t="str">
        <f t="shared" si="5"/>
        <v>CROP-021</v>
      </c>
      <c r="F149" s="200" t="s">
        <v>5538</v>
      </c>
      <c r="G149" s="200" t="s">
        <v>5539</v>
      </c>
      <c r="H149" s="175" t="s">
        <v>1171</v>
      </c>
    </row>
    <row r="150" spans="2:8" ht="409.6" thickBot="1" x14ac:dyDescent="0.3">
      <c r="B150" s="186">
        <v>149</v>
      </c>
      <c r="C150" s="198" t="s">
        <v>5540</v>
      </c>
      <c r="D150" s="199" t="s">
        <v>5541</v>
      </c>
      <c r="E150" s="196" t="str">
        <f t="shared" si="5"/>
        <v>CROP-021</v>
      </c>
      <c r="F150" s="200" t="s">
        <v>5542</v>
      </c>
      <c r="G150" s="200" t="s">
        <v>5543</v>
      </c>
      <c r="H150" s="175" t="s">
        <v>1171</v>
      </c>
    </row>
    <row r="151" spans="2:8" ht="357" thickBot="1" x14ac:dyDescent="0.3">
      <c r="B151" s="186">
        <v>150</v>
      </c>
      <c r="C151" s="198" t="s">
        <v>5544</v>
      </c>
      <c r="D151" s="199" t="s">
        <v>5545</v>
      </c>
      <c r="E151" s="196" t="str">
        <f t="shared" si="5"/>
        <v>CROP-021</v>
      </c>
      <c r="F151" s="200" t="s">
        <v>5546</v>
      </c>
      <c r="G151" s="200" t="s">
        <v>5547</v>
      </c>
      <c r="H151" s="175" t="s">
        <v>1171</v>
      </c>
    </row>
    <row r="152" spans="2:8" ht="409.6" thickBot="1" x14ac:dyDescent="0.3">
      <c r="B152" s="186">
        <v>151</v>
      </c>
      <c r="C152" s="198" t="s">
        <v>5548</v>
      </c>
      <c r="D152" s="199" t="s">
        <v>5549</v>
      </c>
      <c r="E152" s="196" t="str">
        <f t="shared" si="5"/>
        <v>CROP-021</v>
      </c>
      <c r="F152" s="200" t="s">
        <v>5550</v>
      </c>
      <c r="G152" s="200" t="s">
        <v>5551</v>
      </c>
      <c r="H152" s="175" t="s">
        <v>1171</v>
      </c>
    </row>
    <row r="153" spans="2:8" ht="409.6" thickBot="1" x14ac:dyDescent="0.3">
      <c r="B153" s="186">
        <v>152</v>
      </c>
      <c r="C153" s="194" t="s">
        <v>5552</v>
      </c>
      <c r="D153" s="195" t="s">
        <v>5553</v>
      </c>
      <c r="E153" s="196" t="str">
        <f t="shared" ref="E153:E159" si="6">"CROP-"&amp;TEXT(19,"000")</f>
        <v>CROP-019</v>
      </c>
      <c r="F153" s="197" t="s">
        <v>5554</v>
      </c>
      <c r="G153" s="197" t="s">
        <v>5555</v>
      </c>
      <c r="H153" s="175" t="s">
        <v>1171</v>
      </c>
    </row>
    <row r="154" spans="2:8" ht="409.6" thickBot="1" x14ac:dyDescent="0.3">
      <c r="B154" s="186">
        <v>153</v>
      </c>
      <c r="C154" s="198" t="s">
        <v>5556</v>
      </c>
      <c r="D154" s="199" t="s">
        <v>5557</v>
      </c>
      <c r="E154" s="196" t="str">
        <f t="shared" si="6"/>
        <v>CROP-019</v>
      </c>
      <c r="F154" s="200" t="s">
        <v>5558</v>
      </c>
      <c r="G154" s="200" t="s">
        <v>5559</v>
      </c>
      <c r="H154" s="175" t="s">
        <v>1171</v>
      </c>
    </row>
    <row r="155" spans="2:8" ht="409.6" thickBot="1" x14ac:dyDescent="0.3">
      <c r="B155" s="186">
        <v>154</v>
      </c>
      <c r="C155" s="198" t="s">
        <v>5560</v>
      </c>
      <c r="D155" s="199" t="s">
        <v>5561</v>
      </c>
      <c r="E155" s="196" t="str">
        <f t="shared" si="6"/>
        <v>CROP-019</v>
      </c>
      <c r="F155" s="200" t="s">
        <v>5562</v>
      </c>
      <c r="G155" s="200" t="s">
        <v>5563</v>
      </c>
      <c r="H155" s="175" t="s">
        <v>1171</v>
      </c>
    </row>
    <row r="156" spans="2:8" ht="409.6" thickBot="1" x14ac:dyDescent="0.3">
      <c r="B156" s="186">
        <v>155</v>
      </c>
      <c r="C156" s="198" t="s">
        <v>5564</v>
      </c>
      <c r="D156" s="199" t="s">
        <v>5565</v>
      </c>
      <c r="E156" s="196" t="str">
        <f t="shared" si="6"/>
        <v>CROP-019</v>
      </c>
      <c r="F156" s="200" t="s">
        <v>5566</v>
      </c>
      <c r="G156" s="200" t="s">
        <v>5567</v>
      </c>
      <c r="H156" s="175" t="s">
        <v>1171</v>
      </c>
    </row>
    <row r="157" spans="2:8" ht="409.6" thickBot="1" x14ac:dyDescent="0.3">
      <c r="B157" s="186">
        <v>156</v>
      </c>
      <c r="C157" s="198" t="s">
        <v>5568</v>
      </c>
      <c r="D157" s="199" t="s">
        <v>5569</v>
      </c>
      <c r="E157" s="196" t="str">
        <f t="shared" si="6"/>
        <v>CROP-019</v>
      </c>
      <c r="F157" s="200" t="s">
        <v>5570</v>
      </c>
      <c r="G157" s="200" t="s">
        <v>5571</v>
      </c>
      <c r="H157" s="175" t="s">
        <v>1171</v>
      </c>
    </row>
    <row r="158" spans="2:8" ht="409.6" thickBot="1" x14ac:dyDescent="0.3">
      <c r="B158" s="186">
        <v>157</v>
      </c>
      <c r="C158" s="198" t="s">
        <v>5572</v>
      </c>
      <c r="D158" s="199" t="s">
        <v>5573</v>
      </c>
      <c r="E158" s="196" t="str">
        <f t="shared" si="6"/>
        <v>CROP-019</v>
      </c>
      <c r="F158" s="200" t="s">
        <v>5574</v>
      </c>
      <c r="G158" s="200" t="s">
        <v>5575</v>
      </c>
      <c r="H158" s="175" t="s">
        <v>1171</v>
      </c>
    </row>
    <row r="159" spans="2:8" ht="409.6" thickBot="1" x14ac:dyDescent="0.3">
      <c r="B159" s="186">
        <v>158</v>
      </c>
      <c r="C159" s="198" t="s">
        <v>5576</v>
      </c>
      <c r="D159" s="199" t="s">
        <v>5577</v>
      </c>
      <c r="E159" s="196" t="str">
        <f t="shared" si="6"/>
        <v>CROP-019</v>
      </c>
      <c r="F159" s="200" t="s">
        <v>5578</v>
      </c>
      <c r="G159" s="200" t="s">
        <v>5579</v>
      </c>
      <c r="H159" s="175" t="s">
        <v>1171</v>
      </c>
    </row>
    <row r="160" spans="2:8" ht="409.6" thickBot="1" x14ac:dyDescent="0.3">
      <c r="B160" s="186">
        <v>159</v>
      </c>
      <c r="C160" s="177" t="s">
        <v>4952</v>
      </c>
      <c r="D160" s="178" t="s">
        <v>5580</v>
      </c>
      <c r="E160" s="201" t="str">
        <f t="shared" ref="E160:E168" si="7">"CROP-"&amp;TEXT(27,"000")</f>
        <v>CROP-027</v>
      </c>
      <c r="F160" s="179" t="s">
        <v>5581</v>
      </c>
      <c r="G160" s="179" t="s">
        <v>5582</v>
      </c>
      <c r="H160" s="175" t="s">
        <v>1171</v>
      </c>
    </row>
    <row r="161" spans="2:8" ht="409.6" thickBot="1" x14ac:dyDescent="0.3">
      <c r="B161" s="186">
        <v>160</v>
      </c>
      <c r="C161" s="171" t="s">
        <v>5583</v>
      </c>
      <c r="D161" s="172" t="s">
        <v>5584</v>
      </c>
      <c r="E161" s="201" t="str">
        <f t="shared" si="7"/>
        <v>CROP-027</v>
      </c>
      <c r="F161" s="174" t="s">
        <v>5585</v>
      </c>
      <c r="G161" s="174" t="s">
        <v>5586</v>
      </c>
      <c r="H161" s="175" t="s">
        <v>1171</v>
      </c>
    </row>
    <row r="162" spans="2:8" ht="409.6" thickBot="1" x14ac:dyDescent="0.3">
      <c r="B162" s="186">
        <v>161</v>
      </c>
      <c r="C162" s="171" t="s">
        <v>5587</v>
      </c>
      <c r="D162" s="172" t="s">
        <v>5588</v>
      </c>
      <c r="E162" s="201" t="str">
        <f t="shared" si="7"/>
        <v>CROP-027</v>
      </c>
      <c r="F162" s="174" t="s">
        <v>5589</v>
      </c>
      <c r="G162" s="174" t="s">
        <v>5590</v>
      </c>
      <c r="H162" s="175" t="s">
        <v>1171</v>
      </c>
    </row>
    <row r="163" spans="2:8" ht="409.6" thickBot="1" x14ac:dyDescent="0.3">
      <c r="B163" s="186">
        <v>162</v>
      </c>
      <c r="C163" s="171" t="s">
        <v>5591</v>
      </c>
      <c r="D163" s="172" t="s">
        <v>5592</v>
      </c>
      <c r="E163" s="201" t="str">
        <f t="shared" si="7"/>
        <v>CROP-027</v>
      </c>
      <c r="F163" s="174" t="s">
        <v>5593</v>
      </c>
      <c r="G163" s="174" t="s">
        <v>5594</v>
      </c>
      <c r="H163" s="175" t="s">
        <v>1171</v>
      </c>
    </row>
    <row r="164" spans="2:8" ht="409.6" thickBot="1" x14ac:dyDescent="0.3">
      <c r="B164" s="186">
        <v>163</v>
      </c>
      <c r="C164" s="171" t="s">
        <v>5595</v>
      </c>
      <c r="D164" s="172" t="s">
        <v>5596</v>
      </c>
      <c r="E164" s="201" t="str">
        <f t="shared" si="7"/>
        <v>CROP-027</v>
      </c>
      <c r="F164" s="174" t="s">
        <v>5597</v>
      </c>
      <c r="G164" s="174" t="s">
        <v>5598</v>
      </c>
      <c r="H164" s="175" t="s">
        <v>1171</v>
      </c>
    </row>
    <row r="165" spans="2:8" ht="409.6" thickBot="1" x14ac:dyDescent="0.3">
      <c r="B165" s="186">
        <v>164</v>
      </c>
      <c r="C165" s="171" t="s">
        <v>5599</v>
      </c>
      <c r="D165" s="172" t="s">
        <v>5600</v>
      </c>
      <c r="E165" s="201" t="str">
        <f t="shared" si="7"/>
        <v>CROP-027</v>
      </c>
      <c r="F165" s="174" t="s">
        <v>5601</v>
      </c>
      <c r="G165" s="174" t="s">
        <v>5602</v>
      </c>
      <c r="H165" s="175" t="s">
        <v>1171</v>
      </c>
    </row>
    <row r="166" spans="2:8" ht="394.5" thickBot="1" x14ac:dyDescent="0.3">
      <c r="B166" s="186">
        <v>165</v>
      </c>
      <c r="C166" s="171" t="s">
        <v>5603</v>
      </c>
      <c r="D166" s="172" t="s">
        <v>5604</v>
      </c>
      <c r="E166" s="201" t="str">
        <f t="shared" si="7"/>
        <v>CROP-027</v>
      </c>
      <c r="F166" s="174" t="s">
        <v>5605</v>
      </c>
      <c r="G166" s="174" t="s">
        <v>5606</v>
      </c>
      <c r="H166" s="175" t="s">
        <v>1171</v>
      </c>
    </row>
    <row r="167" spans="2:8" ht="409.6" thickBot="1" x14ac:dyDescent="0.3">
      <c r="B167" s="186">
        <v>166</v>
      </c>
      <c r="C167" s="171" t="s">
        <v>5607</v>
      </c>
      <c r="D167" s="172" t="s">
        <v>5608</v>
      </c>
      <c r="E167" s="201" t="str">
        <f t="shared" si="7"/>
        <v>CROP-027</v>
      </c>
      <c r="F167" s="174" t="s">
        <v>5609</v>
      </c>
      <c r="G167" s="174" t="s">
        <v>5610</v>
      </c>
      <c r="H167" s="175" t="s">
        <v>1171</v>
      </c>
    </row>
    <row r="168" spans="2:8" ht="300.75" thickBot="1" x14ac:dyDescent="0.3">
      <c r="B168" s="186">
        <v>167</v>
      </c>
      <c r="C168" s="171" t="s">
        <v>5611</v>
      </c>
      <c r="D168" s="172" t="s">
        <v>5612</v>
      </c>
      <c r="E168" s="201" t="str">
        <f t="shared" si="7"/>
        <v>CROP-027</v>
      </c>
      <c r="F168" s="174" t="s">
        <v>5613</v>
      </c>
      <c r="G168" s="174" t="s">
        <v>5614</v>
      </c>
      <c r="H168" s="175" t="s">
        <v>1171</v>
      </c>
    </row>
    <row r="169" spans="2:8" ht="409.6" thickBot="1" x14ac:dyDescent="0.3">
      <c r="B169" s="186">
        <v>168</v>
      </c>
      <c r="C169" s="177" t="s">
        <v>5615</v>
      </c>
      <c r="D169" s="178" t="s">
        <v>5616</v>
      </c>
      <c r="E169" s="196" t="str">
        <f t="shared" ref="E169:E181" si="8">"CROP-"&amp;TEXT(29,"000")</f>
        <v>CROP-029</v>
      </c>
      <c r="F169" s="179" t="s">
        <v>5617</v>
      </c>
      <c r="G169" s="179" t="s">
        <v>5618</v>
      </c>
      <c r="H169" s="175" t="s">
        <v>1171</v>
      </c>
    </row>
    <row r="170" spans="2:8" ht="409.6" thickBot="1" x14ac:dyDescent="0.3">
      <c r="B170" s="186">
        <v>169</v>
      </c>
      <c r="C170" s="171" t="s">
        <v>5619</v>
      </c>
      <c r="D170" s="172" t="s">
        <v>5620</v>
      </c>
      <c r="E170" s="196" t="str">
        <f t="shared" si="8"/>
        <v>CROP-029</v>
      </c>
      <c r="F170" s="174" t="s">
        <v>5621</v>
      </c>
      <c r="G170" s="174" t="s">
        <v>5622</v>
      </c>
      <c r="H170" s="175" t="s">
        <v>1171</v>
      </c>
    </row>
    <row r="171" spans="2:8" ht="409.6" thickBot="1" x14ac:dyDescent="0.3">
      <c r="B171" s="186">
        <v>170</v>
      </c>
      <c r="C171" s="171" t="s">
        <v>5623</v>
      </c>
      <c r="D171" s="172" t="s">
        <v>5624</v>
      </c>
      <c r="E171" s="196" t="str">
        <f t="shared" si="8"/>
        <v>CROP-029</v>
      </c>
      <c r="F171" s="174" t="s">
        <v>5625</v>
      </c>
      <c r="G171" s="174" t="s">
        <v>5626</v>
      </c>
      <c r="H171" s="175" t="s">
        <v>1171</v>
      </c>
    </row>
    <row r="172" spans="2:8" ht="409.6" thickBot="1" x14ac:dyDescent="0.3">
      <c r="B172" s="186">
        <v>171</v>
      </c>
      <c r="C172" s="171" t="s">
        <v>5627</v>
      </c>
      <c r="D172" s="172" t="s">
        <v>5628</v>
      </c>
      <c r="E172" s="196" t="str">
        <f t="shared" si="8"/>
        <v>CROP-029</v>
      </c>
      <c r="F172" s="174" t="s">
        <v>5629</v>
      </c>
      <c r="G172" s="174" t="s">
        <v>5630</v>
      </c>
      <c r="H172" s="175" t="s">
        <v>1171</v>
      </c>
    </row>
    <row r="173" spans="2:8" ht="409.6" thickBot="1" x14ac:dyDescent="0.3">
      <c r="B173" s="186">
        <v>172</v>
      </c>
      <c r="C173" s="171" t="s">
        <v>5631</v>
      </c>
      <c r="D173" s="172" t="s">
        <v>5632</v>
      </c>
      <c r="E173" s="196" t="str">
        <f t="shared" si="8"/>
        <v>CROP-029</v>
      </c>
      <c r="F173" s="174" t="s">
        <v>5633</v>
      </c>
      <c r="G173" s="174" t="s">
        <v>5634</v>
      </c>
      <c r="H173" s="175" t="s">
        <v>1171</v>
      </c>
    </row>
    <row r="174" spans="2:8" ht="409.6" thickBot="1" x14ac:dyDescent="0.3">
      <c r="B174" s="170">
        <v>173</v>
      </c>
      <c r="C174" s="171" t="s">
        <v>5635</v>
      </c>
      <c r="D174" s="172" t="s">
        <v>5636</v>
      </c>
      <c r="E174" s="196" t="str">
        <f t="shared" si="8"/>
        <v>CROP-029</v>
      </c>
      <c r="F174" s="174" t="s">
        <v>5637</v>
      </c>
      <c r="G174" s="174" t="s">
        <v>5638</v>
      </c>
      <c r="H174" s="175" t="s">
        <v>1171</v>
      </c>
    </row>
    <row r="175" spans="2:8" ht="409.6" thickBot="1" x14ac:dyDescent="0.3">
      <c r="B175" s="170">
        <v>174</v>
      </c>
      <c r="C175" s="171" t="s">
        <v>5639</v>
      </c>
      <c r="D175" s="172" t="s">
        <v>5640</v>
      </c>
      <c r="E175" s="196" t="str">
        <f t="shared" si="8"/>
        <v>CROP-029</v>
      </c>
      <c r="F175" s="174" t="s">
        <v>5641</v>
      </c>
      <c r="G175" s="174" t="s">
        <v>5642</v>
      </c>
      <c r="H175" s="175" t="s">
        <v>1171</v>
      </c>
    </row>
    <row r="176" spans="2:8" ht="409.6" thickBot="1" x14ac:dyDescent="0.3">
      <c r="B176" s="170">
        <v>175</v>
      </c>
      <c r="C176" s="171" t="s">
        <v>5643</v>
      </c>
      <c r="D176" s="172" t="s">
        <v>5644</v>
      </c>
      <c r="E176" s="196" t="str">
        <f t="shared" si="8"/>
        <v>CROP-029</v>
      </c>
      <c r="F176" s="174" t="s">
        <v>5645</v>
      </c>
      <c r="G176" s="174" t="s">
        <v>5646</v>
      </c>
      <c r="H176" s="175" t="s">
        <v>1171</v>
      </c>
    </row>
    <row r="177" spans="2:8" ht="409.6" thickBot="1" x14ac:dyDescent="0.3">
      <c r="B177" s="170">
        <v>176</v>
      </c>
      <c r="C177" s="171" t="s">
        <v>5647</v>
      </c>
      <c r="D177" s="172" t="s">
        <v>5648</v>
      </c>
      <c r="E177" s="196" t="str">
        <f t="shared" si="8"/>
        <v>CROP-029</v>
      </c>
      <c r="F177" s="174" t="s">
        <v>5649</v>
      </c>
      <c r="G177" s="174" t="s">
        <v>5650</v>
      </c>
      <c r="H177" s="175" t="s">
        <v>1171</v>
      </c>
    </row>
    <row r="178" spans="2:8" ht="409.6" thickBot="1" x14ac:dyDescent="0.3">
      <c r="B178" s="170">
        <v>177</v>
      </c>
      <c r="C178" s="171" t="s">
        <v>5651</v>
      </c>
      <c r="D178" s="172" t="s">
        <v>5652</v>
      </c>
      <c r="E178" s="196" t="str">
        <f t="shared" si="8"/>
        <v>CROP-029</v>
      </c>
      <c r="F178" s="174" t="s">
        <v>5653</v>
      </c>
      <c r="G178" s="174" t="s">
        <v>5654</v>
      </c>
      <c r="H178" s="175" t="s">
        <v>1171</v>
      </c>
    </row>
    <row r="179" spans="2:8" ht="409.6" thickBot="1" x14ac:dyDescent="0.3">
      <c r="B179" s="170">
        <v>178</v>
      </c>
      <c r="C179" s="171" t="s">
        <v>5655</v>
      </c>
      <c r="D179" s="172" t="s">
        <v>5656</v>
      </c>
      <c r="E179" s="196" t="str">
        <f t="shared" si="8"/>
        <v>CROP-029</v>
      </c>
      <c r="F179" s="174" t="s">
        <v>5657</v>
      </c>
      <c r="G179" s="174" t="s">
        <v>5658</v>
      </c>
      <c r="H179" s="175" t="s">
        <v>1171</v>
      </c>
    </row>
    <row r="180" spans="2:8" ht="409.6" thickBot="1" x14ac:dyDescent="0.3">
      <c r="B180" s="170">
        <v>179</v>
      </c>
      <c r="C180" s="171" t="s">
        <v>5659</v>
      </c>
      <c r="D180" s="172" t="s">
        <v>5660</v>
      </c>
      <c r="E180" s="196" t="str">
        <f t="shared" si="8"/>
        <v>CROP-029</v>
      </c>
      <c r="F180" s="174" t="s">
        <v>5661</v>
      </c>
      <c r="G180" s="174" t="s">
        <v>5662</v>
      </c>
      <c r="H180" s="175" t="s">
        <v>1171</v>
      </c>
    </row>
    <row r="181" spans="2:8" ht="409.6" thickBot="1" x14ac:dyDescent="0.3">
      <c r="B181" s="170">
        <v>180</v>
      </c>
      <c r="C181" s="171" t="s">
        <v>5663</v>
      </c>
      <c r="D181" s="172" t="s">
        <v>5664</v>
      </c>
      <c r="E181" s="196" t="str">
        <f t="shared" si="8"/>
        <v>CROP-029</v>
      </c>
      <c r="F181" s="174"/>
      <c r="G181" s="174" t="s">
        <v>5665</v>
      </c>
      <c r="H181" s="175" t="s">
        <v>1171</v>
      </c>
    </row>
    <row r="182" spans="2:8" ht="409.6" thickBot="1" x14ac:dyDescent="0.3">
      <c r="B182" s="170">
        <v>181</v>
      </c>
      <c r="C182" s="194" t="s">
        <v>5666</v>
      </c>
      <c r="D182" s="195" t="s">
        <v>5667</v>
      </c>
      <c r="E182" s="196" t="str">
        <f t="shared" ref="E182:E189" si="9">"CROP-"&amp;TEXT(23,"000")</f>
        <v>CROP-023</v>
      </c>
      <c r="F182" s="197" t="s">
        <v>5668</v>
      </c>
      <c r="G182" s="197" t="s">
        <v>5669</v>
      </c>
      <c r="H182" s="175" t="s">
        <v>1171</v>
      </c>
    </row>
    <row r="183" spans="2:8" ht="319.5" thickBot="1" x14ac:dyDescent="0.3">
      <c r="B183" s="170">
        <v>182</v>
      </c>
      <c r="C183" s="198" t="s">
        <v>5670</v>
      </c>
      <c r="D183" s="199" t="s">
        <v>5671</v>
      </c>
      <c r="E183" s="196" t="str">
        <f t="shared" si="9"/>
        <v>CROP-023</v>
      </c>
      <c r="F183" s="200" t="s">
        <v>5672</v>
      </c>
      <c r="G183" s="200" t="s">
        <v>5673</v>
      </c>
      <c r="H183" s="175" t="s">
        <v>1171</v>
      </c>
    </row>
    <row r="184" spans="2:8" ht="409.6" thickBot="1" x14ac:dyDescent="0.3">
      <c r="B184" s="170">
        <v>183</v>
      </c>
      <c r="C184" s="198" t="s">
        <v>5674</v>
      </c>
      <c r="D184" s="199" t="s">
        <v>5675</v>
      </c>
      <c r="E184" s="196" t="str">
        <f t="shared" si="9"/>
        <v>CROP-023</v>
      </c>
      <c r="F184" s="200" t="s">
        <v>5676</v>
      </c>
      <c r="G184" s="200" t="s">
        <v>5677</v>
      </c>
      <c r="H184" s="175" t="s">
        <v>1171</v>
      </c>
    </row>
    <row r="185" spans="2:8" ht="394.5" thickBot="1" x14ac:dyDescent="0.3">
      <c r="B185" s="170">
        <v>184</v>
      </c>
      <c r="C185" s="198" t="s">
        <v>5678</v>
      </c>
      <c r="D185" s="199" t="s">
        <v>5679</v>
      </c>
      <c r="E185" s="196" t="str">
        <f t="shared" si="9"/>
        <v>CROP-023</v>
      </c>
      <c r="F185" s="200" t="s">
        <v>5680</v>
      </c>
      <c r="G185" s="200" t="s">
        <v>5681</v>
      </c>
      <c r="H185" s="175" t="s">
        <v>1171</v>
      </c>
    </row>
    <row r="186" spans="2:8" ht="409.6" thickBot="1" x14ac:dyDescent="0.3">
      <c r="B186" s="170">
        <v>185</v>
      </c>
      <c r="C186" s="198" t="s">
        <v>5583</v>
      </c>
      <c r="D186" s="199" t="s">
        <v>5682</v>
      </c>
      <c r="E186" s="196" t="str">
        <f t="shared" si="9"/>
        <v>CROP-023</v>
      </c>
      <c r="F186" s="200" t="s">
        <v>5683</v>
      </c>
      <c r="G186" s="200" t="s">
        <v>5684</v>
      </c>
      <c r="H186" s="175" t="s">
        <v>1171</v>
      </c>
    </row>
    <row r="187" spans="2:8" ht="409.6" thickBot="1" x14ac:dyDescent="0.3">
      <c r="B187" s="170">
        <v>186</v>
      </c>
      <c r="C187" s="198" t="s">
        <v>5685</v>
      </c>
      <c r="D187" s="199" t="s">
        <v>5686</v>
      </c>
      <c r="E187" s="196" t="str">
        <f t="shared" si="9"/>
        <v>CROP-023</v>
      </c>
      <c r="F187" s="200" t="s">
        <v>5687</v>
      </c>
      <c r="G187" s="200" t="s">
        <v>5688</v>
      </c>
      <c r="H187" s="175" t="s">
        <v>1171</v>
      </c>
    </row>
    <row r="188" spans="2:8" ht="375.75" thickBot="1" x14ac:dyDescent="0.3">
      <c r="B188" s="170">
        <v>187</v>
      </c>
      <c r="C188" s="198" t="s">
        <v>5689</v>
      </c>
      <c r="D188" s="199" t="s">
        <v>5690</v>
      </c>
      <c r="E188" s="196" t="str">
        <f t="shared" si="9"/>
        <v>CROP-023</v>
      </c>
      <c r="F188" s="200" t="s">
        <v>5691</v>
      </c>
      <c r="G188" s="200" t="s">
        <v>5692</v>
      </c>
      <c r="H188" s="175" t="s">
        <v>1171</v>
      </c>
    </row>
    <row r="189" spans="2:8" ht="409.6" thickBot="1" x14ac:dyDescent="0.3">
      <c r="B189" s="170">
        <v>188</v>
      </c>
      <c r="C189" s="198" t="s">
        <v>5693</v>
      </c>
      <c r="D189" s="199" t="s">
        <v>5694</v>
      </c>
      <c r="E189" s="196" t="str">
        <f t="shared" si="9"/>
        <v>CROP-023</v>
      </c>
      <c r="F189" s="200" t="s">
        <v>5695</v>
      </c>
      <c r="G189" s="200" t="s">
        <v>5696</v>
      </c>
      <c r="H189" s="175" t="s">
        <v>1171</v>
      </c>
    </row>
    <row r="190" spans="2:8" ht="409.6" thickBot="1" x14ac:dyDescent="0.3">
      <c r="B190" s="186">
        <v>189</v>
      </c>
      <c r="C190" s="187" t="s">
        <v>5697</v>
      </c>
      <c r="D190" s="188" t="s">
        <v>5698</v>
      </c>
      <c r="E190" s="189" t="str">
        <f t="shared" ref="E190:E205" si="10">"CROP-"&amp;TEXT(14,"000")</f>
        <v>CROP-014</v>
      </c>
      <c r="F190" s="190" t="s">
        <v>5699</v>
      </c>
      <c r="G190" s="190" t="s">
        <v>5700</v>
      </c>
      <c r="H190" s="175" t="s">
        <v>1171</v>
      </c>
    </row>
    <row r="191" spans="2:8" ht="409.6" thickBot="1" x14ac:dyDescent="0.3">
      <c r="B191" s="186">
        <v>190</v>
      </c>
      <c r="C191" s="191" t="s">
        <v>5701</v>
      </c>
      <c r="D191" s="192" t="s">
        <v>5702</v>
      </c>
      <c r="E191" s="189" t="str">
        <f t="shared" si="10"/>
        <v>CROP-014</v>
      </c>
      <c r="F191" s="193" t="s">
        <v>5703</v>
      </c>
      <c r="G191" s="193" t="s">
        <v>5704</v>
      </c>
      <c r="H191" s="175" t="s">
        <v>1171</v>
      </c>
    </row>
    <row r="192" spans="2:8" ht="409.6" thickBot="1" x14ac:dyDescent="0.3">
      <c r="B192" s="186">
        <v>191</v>
      </c>
      <c r="C192" s="191" t="s">
        <v>5705</v>
      </c>
      <c r="D192" s="192" t="s">
        <v>5706</v>
      </c>
      <c r="E192" s="189" t="str">
        <f t="shared" si="10"/>
        <v>CROP-014</v>
      </c>
      <c r="F192" s="193" t="s">
        <v>5707</v>
      </c>
      <c r="G192" s="193" t="s">
        <v>5708</v>
      </c>
      <c r="H192" s="175" t="s">
        <v>1171</v>
      </c>
    </row>
    <row r="193" spans="2:8" ht="409.6" thickBot="1" x14ac:dyDescent="0.3">
      <c r="B193" s="186">
        <v>192</v>
      </c>
      <c r="C193" s="191" t="s">
        <v>5709</v>
      </c>
      <c r="D193" s="192" t="s">
        <v>5710</v>
      </c>
      <c r="E193" s="189" t="str">
        <f t="shared" si="10"/>
        <v>CROP-014</v>
      </c>
      <c r="F193" s="193" t="s">
        <v>5711</v>
      </c>
      <c r="G193" s="193" t="s">
        <v>5712</v>
      </c>
      <c r="H193" s="175" t="s">
        <v>1171</v>
      </c>
    </row>
    <row r="194" spans="2:8" ht="409.6" thickBot="1" x14ac:dyDescent="0.3">
      <c r="B194" s="186">
        <v>193</v>
      </c>
      <c r="C194" s="191" t="s">
        <v>5713</v>
      </c>
      <c r="D194" s="192" t="s">
        <v>5714</v>
      </c>
      <c r="E194" s="189" t="str">
        <f t="shared" si="10"/>
        <v>CROP-014</v>
      </c>
      <c r="F194" s="193" t="s">
        <v>5715</v>
      </c>
      <c r="G194" s="193" t="s">
        <v>5716</v>
      </c>
      <c r="H194" s="175" t="s">
        <v>1171</v>
      </c>
    </row>
    <row r="195" spans="2:8" ht="409.6" thickBot="1" x14ac:dyDescent="0.3">
      <c r="B195" s="186">
        <v>194</v>
      </c>
      <c r="C195" s="191" t="s">
        <v>5717</v>
      </c>
      <c r="D195" s="192" t="s">
        <v>5718</v>
      </c>
      <c r="E195" s="189" t="str">
        <f t="shared" si="10"/>
        <v>CROP-014</v>
      </c>
      <c r="F195" s="193" t="s">
        <v>5719</v>
      </c>
      <c r="G195" s="193" t="s">
        <v>5720</v>
      </c>
      <c r="H195" s="175" t="s">
        <v>1171</v>
      </c>
    </row>
    <row r="196" spans="2:8" ht="409.6" thickBot="1" x14ac:dyDescent="0.3">
      <c r="B196" s="186">
        <v>195</v>
      </c>
      <c r="C196" s="191" t="s">
        <v>5721</v>
      </c>
      <c r="D196" s="192" t="s">
        <v>5722</v>
      </c>
      <c r="E196" s="189" t="str">
        <f t="shared" si="10"/>
        <v>CROP-014</v>
      </c>
      <c r="F196" s="193" t="s">
        <v>5723</v>
      </c>
      <c r="G196" s="193" t="s">
        <v>5724</v>
      </c>
      <c r="H196" s="175" t="s">
        <v>1171</v>
      </c>
    </row>
    <row r="197" spans="2:8" ht="319.5" thickBot="1" x14ac:dyDescent="0.3">
      <c r="B197" s="186">
        <v>196</v>
      </c>
      <c r="C197" s="191" t="s">
        <v>5725</v>
      </c>
      <c r="D197" s="192" t="s">
        <v>5726</v>
      </c>
      <c r="E197" s="189" t="str">
        <f t="shared" si="10"/>
        <v>CROP-014</v>
      </c>
      <c r="F197" s="193" t="s">
        <v>5727</v>
      </c>
      <c r="G197" s="193" t="s">
        <v>5728</v>
      </c>
      <c r="H197" s="175" t="s">
        <v>1171</v>
      </c>
    </row>
    <row r="198" spans="2:8" ht="409.6" thickBot="1" x14ac:dyDescent="0.3">
      <c r="B198" s="186">
        <v>197</v>
      </c>
      <c r="C198" s="191" t="s">
        <v>5729</v>
      </c>
      <c r="D198" s="192" t="s">
        <v>5730</v>
      </c>
      <c r="E198" s="189" t="str">
        <f t="shared" si="10"/>
        <v>CROP-014</v>
      </c>
      <c r="F198" s="193" t="s">
        <v>5731</v>
      </c>
      <c r="G198" s="193" t="s">
        <v>5732</v>
      </c>
      <c r="H198" s="175" t="s">
        <v>1171</v>
      </c>
    </row>
    <row r="199" spans="2:8" ht="300.75" thickBot="1" x14ac:dyDescent="0.3">
      <c r="B199" s="186">
        <v>198</v>
      </c>
      <c r="C199" s="191" t="s">
        <v>5733</v>
      </c>
      <c r="D199" s="192" t="s">
        <v>5734</v>
      </c>
      <c r="E199" s="189" t="str">
        <f t="shared" si="10"/>
        <v>CROP-014</v>
      </c>
      <c r="F199" s="193" t="s">
        <v>5735</v>
      </c>
      <c r="G199" s="193" t="s">
        <v>5736</v>
      </c>
      <c r="H199" s="175" t="s">
        <v>1171</v>
      </c>
    </row>
    <row r="200" spans="2:8" ht="409.6" thickBot="1" x14ac:dyDescent="0.3">
      <c r="B200" s="186">
        <v>199</v>
      </c>
      <c r="C200" s="191" t="s">
        <v>5737</v>
      </c>
      <c r="D200" s="192" t="s">
        <v>5738</v>
      </c>
      <c r="E200" s="189" t="str">
        <f t="shared" si="10"/>
        <v>CROP-014</v>
      </c>
      <c r="F200" s="193" t="s">
        <v>5739</v>
      </c>
      <c r="G200" s="193" t="s">
        <v>5740</v>
      </c>
      <c r="H200" s="175" t="s">
        <v>1171</v>
      </c>
    </row>
    <row r="201" spans="2:8" ht="409.6" thickBot="1" x14ac:dyDescent="0.3">
      <c r="B201" s="186">
        <v>200</v>
      </c>
      <c r="C201" s="191" t="s">
        <v>5741</v>
      </c>
      <c r="D201" s="192" t="s">
        <v>5742</v>
      </c>
      <c r="E201" s="189" t="str">
        <f t="shared" si="10"/>
        <v>CROP-014</v>
      </c>
      <c r="F201" s="193" t="s">
        <v>5743</v>
      </c>
      <c r="G201" s="193" t="s">
        <v>5744</v>
      </c>
      <c r="H201" s="175" t="s">
        <v>1171</v>
      </c>
    </row>
    <row r="202" spans="2:8" ht="263.25" thickBot="1" x14ac:dyDescent="0.3">
      <c r="B202" s="186">
        <v>201</v>
      </c>
      <c r="C202" s="191" t="s">
        <v>5745</v>
      </c>
      <c r="D202" s="192" t="s">
        <v>5746</v>
      </c>
      <c r="E202" s="189" t="str">
        <f t="shared" si="10"/>
        <v>CROP-014</v>
      </c>
      <c r="F202" s="193" t="s">
        <v>5747</v>
      </c>
      <c r="G202" s="193" t="s">
        <v>5748</v>
      </c>
      <c r="H202" s="175" t="s">
        <v>1171</v>
      </c>
    </row>
    <row r="203" spans="2:8" ht="319.5" thickBot="1" x14ac:dyDescent="0.3">
      <c r="B203" s="186">
        <v>202</v>
      </c>
      <c r="C203" s="191" t="s">
        <v>5749</v>
      </c>
      <c r="D203" s="192" t="s">
        <v>5750</v>
      </c>
      <c r="E203" s="189" t="str">
        <f t="shared" si="10"/>
        <v>CROP-014</v>
      </c>
      <c r="F203" s="193"/>
      <c r="G203" s="193" t="s">
        <v>5751</v>
      </c>
      <c r="H203" s="175" t="s">
        <v>1171</v>
      </c>
    </row>
    <row r="204" spans="2:8" ht="409.6" thickBot="1" x14ac:dyDescent="0.3">
      <c r="B204" s="186">
        <v>203</v>
      </c>
      <c r="C204" s="191" t="s">
        <v>5752</v>
      </c>
      <c r="D204" s="192" t="s">
        <v>5753</v>
      </c>
      <c r="E204" s="189" t="str">
        <f t="shared" si="10"/>
        <v>CROP-014</v>
      </c>
      <c r="F204" s="193"/>
      <c r="G204" s="193" t="s">
        <v>5754</v>
      </c>
      <c r="H204" s="175" t="s">
        <v>1171</v>
      </c>
    </row>
    <row r="205" spans="2:8" ht="409.6" thickBot="1" x14ac:dyDescent="0.3">
      <c r="B205" s="186">
        <v>204</v>
      </c>
      <c r="C205" s="191" t="s">
        <v>5755</v>
      </c>
      <c r="D205" s="192" t="s">
        <v>5756</v>
      </c>
      <c r="E205" s="189" t="str">
        <f t="shared" si="10"/>
        <v>CROP-014</v>
      </c>
      <c r="F205" s="193"/>
      <c r="G205" s="193" t="s">
        <v>5757</v>
      </c>
      <c r="H205" s="175" t="s">
        <v>1171</v>
      </c>
    </row>
    <row r="206" spans="2:8" ht="409.6" thickBot="1" x14ac:dyDescent="0.3">
      <c r="B206" s="170">
        <v>205</v>
      </c>
      <c r="C206" s="177" t="s">
        <v>5697</v>
      </c>
      <c r="D206" s="178" t="s">
        <v>5758</v>
      </c>
      <c r="E206" s="196" t="str">
        <f t="shared" ref="E206:E221" si="11">"CROP-"&amp;TEXT(13,"000")</f>
        <v>CROP-013</v>
      </c>
      <c r="F206" s="179" t="s">
        <v>5699</v>
      </c>
      <c r="G206" s="179" t="s">
        <v>5759</v>
      </c>
      <c r="H206" s="175" t="s">
        <v>1171</v>
      </c>
    </row>
    <row r="207" spans="2:8" ht="409.6" thickBot="1" x14ac:dyDescent="0.3">
      <c r="B207" s="170">
        <v>206</v>
      </c>
      <c r="C207" s="171" t="s">
        <v>5701</v>
      </c>
      <c r="D207" s="172" t="s">
        <v>5760</v>
      </c>
      <c r="E207" s="196" t="str">
        <f t="shared" si="11"/>
        <v>CROP-013</v>
      </c>
      <c r="F207" s="174" t="s">
        <v>5703</v>
      </c>
      <c r="G207" s="174" t="s">
        <v>5761</v>
      </c>
      <c r="H207" s="175" t="s">
        <v>1171</v>
      </c>
    </row>
    <row r="208" spans="2:8" ht="409.6" thickBot="1" x14ac:dyDescent="0.3">
      <c r="B208" s="170">
        <v>207</v>
      </c>
      <c r="C208" s="171" t="s">
        <v>5705</v>
      </c>
      <c r="D208" s="172" t="s">
        <v>5706</v>
      </c>
      <c r="E208" s="196" t="str">
        <f t="shared" si="11"/>
        <v>CROP-013</v>
      </c>
      <c r="F208" s="174" t="s">
        <v>5762</v>
      </c>
      <c r="G208" s="174" t="s">
        <v>5763</v>
      </c>
      <c r="H208" s="175" t="s">
        <v>1171</v>
      </c>
    </row>
    <row r="209" spans="2:8" ht="409.6" thickBot="1" x14ac:dyDescent="0.3">
      <c r="B209" s="170">
        <v>208</v>
      </c>
      <c r="C209" s="171" t="s">
        <v>5709</v>
      </c>
      <c r="D209" s="172" t="s">
        <v>5710</v>
      </c>
      <c r="E209" s="196" t="str">
        <f t="shared" si="11"/>
        <v>CROP-013</v>
      </c>
      <c r="F209" s="174" t="s">
        <v>5711</v>
      </c>
      <c r="G209" s="174" t="s">
        <v>5764</v>
      </c>
      <c r="H209" s="175" t="s">
        <v>1171</v>
      </c>
    </row>
    <row r="210" spans="2:8" ht="409.6" thickBot="1" x14ac:dyDescent="0.3">
      <c r="B210" s="170">
        <v>209</v>
      </c>
      <c r="C210" s="171" t="s">
        <v>5713</v>
      </c>
      <c r="D210" s="172" t="s">
        <v>5765</v>
      </c>
      <c r="E210" s="196" t="str">
        <f t="shared" si="11"/>
        <v>CROP-013</v>
      </c>
      <c r="F210" s="174" t="s">
        <v>5715</v>
      </c>
      <c r="G210" s="174" t="s">
        <v>5766</v>
      </c>
      <c r="H210" s="175" t="s">
        <v>1171</v>
      </c>
    </row>
    <row r="211" spans="2:8" ht="409.6" thickBot="1" x14ac:dyDescent="0.3">
      <c r="B211" s="170">
        <v>210</v>
      </c>
      <c r="C211" s="171" t="s">
        <v>5717</v>
      </c>
      <c r="D211" s="172" t="s">
        <v>5767</v>
      </c>
      <c r="E211" s="196" t="str">
        <f t="shared" si="11"/>
        <v>CROP-013</v>
      </c>
      <c r="F211" s="174" t="s">
        <v>5719</v>
      </c>
      <c r="G211" s="174" t="s">
        <v>5768</v>
      </c>
      <c r="H211" s="175" t="s">
        <v>1171</v>
      </c>
    </row>
    <row r="212" spans="2:8" ht="409.6" thickBot="1" x14ac:dyDescent="0.3">
      <c r="B212" s="170">
        <v>211</v>
      </c>
      <c r="C212" s="171" t="s">
        <v>5721</v>
      </c>
      <c r="D212" s="172" t="s">
        <v>5722</v>
      </c>
      <c r="E212" s="196" t="str">
        <f t="shared" si="11"/>
        <v>CROP-013</v>
      </c>
      <c r="F212" s="174" t="s">
        <v>5723</v>
      </c>
      <c r="G212" s="174" t="s">
        <v>5769</v>
      </c>
      <c r="H212" s="175" t="s">
        <v>1171</v>
      </c>
    </row>
    <row r="213" spans="2:8" ht="319.5" thickBot="1" x14ac:dyDescent="0.3">
      <c r="B213" s="170">
        <v>212</v>
      </c>
      <c r="C213" s="171" t="s">
        <v>5725</v>
      </c>
      <c r="D213" s="172" t="s">
        <v>5770</v>
      </c>
      <c r="E213" s="196" t="str">
        <f t="shared" si="11"/>
        <v>CROP-013</v>
      </c>
      <c r="F213" s="174" t="s">
        <v>5727</v>
      </c>
      <c r="G213" s="174" t="s">
        <v>5771</v>
      </c>
      <c r="H213" s="175" t="s">
        <v>1171</v>
      </c>
    </row>
    <row r="214" spans="2:8" ht="409.6" thickBot="1" x14ac:dyDescent="0.3">
      <c r="B214" s="170">
        <v>213</v>
      </c>
      <c r="C214" s="171" t="s">
        <v>5729</v>
      </c>
      <c r="D214" s="172" t="s">
        <v>5772</v>
      </c>
      <c r="E214" s="196" t="str">
        <f t="shared" si="11"/>
        <v>CROP-013</v>
      </c>
      <c r="F214" s="174" t="s">
        <v>5731</v>
      </c>
      <c r="G214" s="174" t="s">
        <v>5773</v>
      </c>
      <c r="H214" s="175" t="s">
        <v>1171</v>
      </c>
    </row>
    <row r="215" spans="2:8" ht="300.75" thickBot="1" x14ac:dyDescent="0.3">
      <c r="B215" s="170">
        <v>214</v>
      </c>
      <c r="C215" s="171" t="s">
        <v>5733</v>
      </c>
      <c r="D215" s="172" t="s">
        <v>5734</v>
      </c>
      <c r="E215" s="196" t="str">
        <f t="shared" si="11"/>
        <v>CROP-013</v>
      </c>
      <c r="F215" s="174" t="s">
        <v>5735</v>
      </c>
      <c r="G215" s="174" t="s">
        <v>5774</v>
      </c>
      <c r="H215" s="175" t="s">
        <v>1171</v>
      </c>
    </row>
    <row r="216" spans="2:8" ht="409.6" thickBot="1" x14ac:dyDescent="0.3">
      <c r="B216" s="170">
        <v>215</v>
      </c>
      <c r="C216" s="171" t="s">
        <v>5737</v>
      </c>
      <c r="D216" s="172" t="s">
        <v>5738</v>
      </c>
      <c r="E216" s="196" t="str">
        <f t="shared" si="11"/>
        <v>CROP-013</v>
      </c>
      <c r="F216" s="174" t="s">
        <v>5739</v>
      </c>
      <c r="G216" s="174" t="s">
        <v>5775</v>
      </c>
      <c r="H216" s="175" t="s">
        <v>1171</v>
      </c>
    </row>
    <row r="217" spans="2:8" ht="409.6" thickBot="1" x14ac:dyDescent="0.3">
      <c r="B217" s="170">
        <v>216</v>
      </c>
      <c r="C217" s="171" t="s">
        <v>5741</v>
      </c>
      <c r="D217" s="172" t="s">
        <v>5776</v>
      </c>
      <c r="E217" s="196" t="str">
        <f t="shared" si="11"/>
        <v>CROP-013</v>
      </c>
      <c r="F217" s="174" t="s">
        <v>5743</v>
      </c>
      <c r="G217" s="174" t="s">
        <v>5777</v>
      </c>
      <c r="H217" s="175" t="s">
        <v>1171</v>
      </c>
    </row>
    <row r="218" spans="2:8" ht="263.25" thickBot="1" x14ac:dyDescent="0.3">
      <c r="B218" s="170">
        <v>217</v>
      </c>
      <c r="C218" s="171" t="s">
        <v>5745</v>
      </c>
      <c r="D218" s="172" t="s">
        <v>5746</v>
      </c>
      <c r="E218" s="196" t="str">
        <f t="shared" si="11"/>
        <v>CROP-013</v>
      </c>
      <c r="F218" s="174" t="s">
        <v>5747</v>
      </c>
      <c r="G218" s="174" t="s">
        <v>5778</v>
      </c>
      <c r="H218" s="175" t="s">
        <v>1171</v>
      </c>
    </row>
    <row r="219" spans="2:8" ht="319.5" thickBot="1" x14ac:dyDescent="0.3">
      <c r="B219" s="170">
        <v>218</v>
      </c>
      <c r="C219" s="171" t="s">
        <v>5749</v>
      </c>
      <c r="D219" s="172" t="s">
        <v>5750</v>
      </c>
      <c r="E219" s="196" t="str">
        <f t="shared" si="11"/>
        <v>CROP-013</v>
      </c>
      <c r="F219" s="174" t="s">
        <v>5779</v>
      </c>
      <c r="G219" s="174" t="s">
        <v>5780</v>
      </c>
      <c r="H219" s="175" t="s">
        <v>1171</v>
      </c>
    </row>
    <row r="220" spans="2:8" ht="409.6" thickBot="1" x14ac:dyDescent="0.3">
      <c r="B220" s="170">
        <v>219</v>
      </c>
      <c r="C220" s="171" t="s">
        <v>5752</v>
      </c>
      <c r="D220" s="172" t="s">
        <v>5753</v>
      </c>
      <c r="E220" s="196" t="str">
        <f t="shared" si="11"/>
        <v>CROP-013</v>
      </c>
      <c r="F220" s="174" t="s">
        <v>5781</v>
      </c>
      <c r="G220" s="174" t="s">
        <v>5782</v>
      </c>
      <c r="H220" s="175" t="s">
        <v>1171</v>
      </c>
    </row>
    <row r="221" spans="2:8" ht="409.6" thickBot="1" x14ac:dyDescent="0.3">
      <c r="B221" s="170">
        <v>220</v>
      </c>
      <c r="C221" s="171" t="s">
        <v>5755</v>
      </c>
      <c r="D221" s="172" t="s">
        <v>5783</v>
      </c>
      <c r="E221" s="202" t="str">
        <f t="shared" si="11"/>
        <v>CROP-013</v>
      </c>
      <c r="F221" s="174" t="s">
        <v>5784</v>
      </c>
      <c r="G221" s="174" t="s">
        <v>5785</v>
      </c>
      <c r="H221" s="175" t="s">
        <v>1171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6C451-263B-429E-A988-68102B0F1A77}">
  <dimension ref="B1:H81"/>
  <sheetViews>
    <sheetView workbookViewId="0">
      <selection activeCell="J2" sqref="J2"/>
    </sheetView>
  </sheetViews>
  <sheetFormatPr defaultRowHeight="15" x14ac:dyDescent="0.25"/>
  <cols>
    <col min="1" max="1" width="2.7109375" customWidth="1"/>
    <col min="2" max="2" width="18.28515625" customWidth="1"/>
    <col min="3" max="3" width="19.5703125" customWidth="1"/>
    <col min="4" max="4" width="33.85546875" customWidth="1"/>
    <col min="5" max="5" width="19" customWidth="1"/>
    <col min="6" max="6" width="34.85546875" customWidth="1"/>
    <col min="7" max="7" width="30.42578125" customWidth="1"/>
    <col min="8" max="8" width="24.140625" customWidth="1"/>
  </cols>
  <sheetData>
    <row r="1" spans="2:8" ht="25.5" x14ac:dyDescent="0.25">
      <c r="B1" s="95" t="s">
        <v>139</v>
      </c>
      <c r="C1" s="137" t="s">
        <v>140</v>
      </c>
      <c r="D1" s="137" t="s">
        <v>141</v>
      </c>
      <c r="E1" s="137" t="s">
        <v>142</v>
      </c>
      <c r="F1" s="137" t="s">
        <v>143</v>
      </c>
      <c r="G1" s="137" t="s">
        <v>144</v>
      </c>
      <c r="H1" s="138" t="s">
        <v>1170</v>
      </c>
    </row>
    <row r="2" spans="2:8" ht="409.5" x14ac:dyDescent="0.25">
      <c r="B2" s="139">
        <v>1</v>
      </c>
      <c r="C2" s="140" t="s">
        <v>4567</v>
      </c>
      <c r="D2" s="140" t="s">
        <v>4568</v>
      </c>
      <c r="E2" s="141" t="str">
        <f t="shared" ref="E2:E81" si="0">"CROP-"&amp;TEXT(31,"000")</f>
        <v>CROP-031</v>
      </c>
      <c r="F2" s="140" t="s">
        <v>4569</v>
      </c>
      <c r="G2" s="140" t="s">
        <v>4570</v>
      </c>
      <c r="H2" s="142" t="s">
        <v>1171</v>
      </c>
    </row>
    <row r="3" spans="2:8" ht="409.5" x14ac:dyDescent="0.25">
      <c r="B3" s="139">
        <v>2</v>
      </c>
      <c r="C3" s="140" t="s">
        <v>4571</v>
      </c>
      <c r="D3" s="140" t="s">
        <v>4572</v>
      </c>
      <c r="E3" s="141" t="str">
        <f t="shared" si="0"/>
        <v>CROP-031</v>
      </c>
      <c r="F3" s="140" t="s">
        <v>4573</v>
      </c>
      <c r="G3" s="140" t="s">
        <v>4574</v>
      </c>
      <c r="H3" s="142" t="s">
        <v>1171</v>
      </c>
    </row>
    <row r="4" spans="2:8" ht="409.5" x14ac:dyDescent="0.25">
      <c r="B4" s="139">
        <v>3</v>
      </c>
      <c r="C4" s="140" t="s">
        <v>4575</v>
      </c>
      <c r="D4" s="140" t="s">
        <v>4576</v>
      </c>
      <c r="E4" s="141" t="str">
        <f t="shared" si="0"/>
        <v>CROP-031</v>
      </c>
      <c r="F4" s="140" t="s">
        <v>4577</v>
      </c>
      <c r="G4" s="140" t="s">
        <v>4578</v>
      </c>
      <c r="H4" s="142" t="s">
        <v>1171</v>
      </c>
    </row>
    <row r="5" spans="2:8" ht="409.5" x14ac:dyDescent="0.25">
      <c r="B5" s="139">
        <v>4</v>
      </c>
      <c r="C5" s="140" t="s">
        <v>4579</v>
      </c>
      <c r="D5" s="140" t="s">
        <v>4580</v>
      </c>
      <c r="E5" s="141" t="str">
        <f t="shared" si="0"/>
        <v>CROP-031</v>
      </c>
      <c r="F5" s="140" t="s">
        <v>4581</v>
      </c>
      <c r="G5" s="140" t="s">
        <v>4582</v>
      </c>
      <c r="H5" s="142" t="s">
        <v>1171</v>
      </c>
    </row>
    <row r="6" spans="2:8" ht="409.5" x14ac:dyDescent="0.25">
      <c r="B6" s="139">
        <v>5</v>
      </c>
      <c r="C6" s="140" t="s">
        <v>4583</v>
      </c>
      <c r="D6" s="140" t="s">
        <v>4584</v>
      </c>
      <c r="E6" s="141" t="str">
        <f t="shared" si="0"/>
        <v>CROP-031</v>
      </c>
      <c r="F6" s="140" t="s">
        <v>4585</v>
      </c>
      <c r="G6" s="140" t="s">
        <v>4586</v>
      </c>
      <c r="H6" s="142" t="s">
        <v>1171</v>
      </c>
    </row>
    <row r="7" spans="2:8" ht="409.5" x14ac:dyDescent="0.25">
      <c r="B7" s="139">
        <v>6</v>
      </c>
      <c r="C7" s="140" t="s">
        <v>4587</v>
      </c>
      <c r="D7" s="140" t="s">
        <v>4588</v>
      </c>
      <c r="E7" s="141" t="str">
        <f t="shared" si="0"/>
        <v>CROP-031</v>
      </c>
      <c r="F7" s="140" t="s">
        <v>4589</v>
      </c>
      <c r="G7" s="140" t="s">
        <v>4590</v>
      </c>
      <c r="H7" s="142" t="s">
        <v>1171</v>
      </c>
    </row>
    <row r="8" spans="2:8" ht="409.5" x14ac:dyDescent="0.25">
      <c r="B8" s="139">
        <v>7</v>
      </c>
      <c r="C8" s="140" t="s">
        <v>4591</v>
      </c>
      <c r="D8" s="140" t="s">
        <v>4592</v>
      </c>
      <c r="E8" s="141" t="str">
        <f t="shared" si="0"/>
        <v>CROP-031</v>
      </c>
      <c r="F8" s="140" t="s">
        <v>4593</v>
      </c>
      <c r="G8" s="140" t="s">
        <v>4594</v>
      </c>
      <c r="H8" s="142" t="s">
        <v>1171</v>
      </c>
    </row>
    <row r="9" spans="2:8" ht="409.5" x14ac:dyDescent="0.25">
      <c r="B9" s="139">
        <v>8</v>
      </c>
      <c r="C9" s="140" t="s">
        <v>4595</v>
      </c>
      <c r="D9" s="140" t="s">
        <v>4596</v>
      </c>
      <c r="E9" s="141" t="str">
        <f t="shared" si="0"/>
        <v>CROP-031</v>
      </c>
      <c r="F9" s="140" t="s">
        <v>4597</v>
      </c>
      <c r="G9" s="140" t="s">
        <v>4598</v>
      </c>
      <c r="H9" s="142" t="s">
        <v>1171</v>
      </c>
    </row>
    <row r="10" spans="2:8" ht="409.5" x14ac:dyDescent="0.25">
      <c r="B10" s="139">
        <v>9</v>
      </c>
      <c r="C10" s="140" t="s">
        <v>4599</v>
      </c>
      <c r="D10" s="140" t="s">
        <v>4600</v>
      </c>
      <c r="E10" s="141" t="str">
        <f t="shared" si="0"/>
        <v>CROP-031</v>
      </c>
      <c r="F10" s="140" t="s">
        <v>4601</v>
      </c>
      <c r="G10" s="140" t="s">
        <v>4602</v>
      </c>
      <c r="H10" s="142" t="s">
        <v>1171</v>
      </c>
    </row>
    <row r="11" spans="2:8" ht="409.5" x14ac:dyDescent="0.25">
      <c r="B11" s="139">
        <v>10</v>
      </c>
      <c r="C11" s="140" t="s">
        <v>4603</v>
      </c>
      <c r="D11" s="140" t="s">
        <v>4604</v>
      </c>
      <c r="E11" s="141" t="str">
        <f t="shared" si="0"/>
        <v>CROP-031</v>
      </c>
      <c r="F11" s="140" t="s">
        <v>4605</v>
      </c>
      <c r="G11" s="140" t="s">
        <v>4606</v>
      </c>
      <c r="H11" s="142" t="s">
        <v>1171</v>
      </c>
    </row>
    <row r="12" spans="2:8" ht="409.5" x14ac:dyDescent="0.25">
      <c r="B12" s="139">
        <v>11</v>
      </c>
      <c r="C12" s="140" t="s">
        <v>4607</v>
      </c>
      <c r="D12" s="140" t="s">
        <v>4608</v>
      </c>
      <c r="E12" s="141" t="str">
        <f t="shared" si="0"/>
        <v>CROP-031</v>
      </c>
      <c r="F12" s="140" t="s">
        <v>4609</v>
      </c>
      <c r="G12" s="140" t="s">
        <v>4610</v>
      </c>
      <c r="H12" s="142" t="s">
        <v>1171</v>
      </c>
    </row>
    <row r="13" spans="2:8" ht="409.5" x14ac:dyDescent="0.25">
      <c r="B13" s="139">
        <v>12</v>
      </c>
      <c r="C13" s="140" t="s">
        <v>4611</v>
      </c>
      <c r="D13" s="140" t="s">
        <v>4612</v>
      </c>
      <c r="E13" s="141" t="str">
        <f t="shared" si="0"/>
        <v>CROP-031</v>
      </c>
      <c r="F13" s="140" t="s">
        <v>4613</v>
      </c>
      <c r="G13" s="140" t="s">
        <v>4614</v>
      </c>
      <c r="H13" s="142" t="s">
        <v>1171</v>
      </c>
    </row>
    <row r="14" spans="2:8" ht="409.5" x14ac:dyDescent="0.25">
      <c r="B14" s="139">
        <v>13</v>
      </c>
      <c r="C14" s="140" t="s">
        <v>4615</v>
      </c>
      <c r="D14" s="140" t="s">
        <v>4616</v>
      </c>
      <c r="E14" s="141" t="str">
        <f t="shared" si="0"/>
        <v>CROP-031</v>
      </c>
      <c r="F14" s="140" t="s">
        <v>4617</v>
      </c>
      <c r="G14" s="140" t="s">
        <v>4618</v>
      </c>
      <c r="H14" s="142" t="s">
        <v>1171</v>
      </c>
    </row>
    <row r="15" spans="2:8" ht="409.5" x14ac:dyDescent="0.25">
      <c r="B15" s="139">
        <v>14</v>
      </c>
      <c r="C15" s="140" t="s">
        <v>4619</v>
      </c>
      <c r="D15" s="140" t="s">
        <v>4620</v>
      </c>
      <c r="E15" s="141" t="str">
        <f t="shared" si="0"/>
        <v>CROP-031</v>
      </c>
      <c r="F15" s="140" t="s">
        <v>4621</v>
      </c>
      <c r="G15" s="140" t="s">
        <v>4622</v>
      </c>
      <c r="H15" s="142" t="s">
        <v>1171</v>
      </c>
    </row>
    <row r="16" spans="2:8" ht="409.5" x14ac:dyDescent="0.25">
      <c r="B16" s="139">
        <v>15</v>
      </c>
      <c r="C16" s="140" t="s">
        <v>4623</v>
      </c>
      <c r="D16" s="140" t="s">
        <v>4624</v>
      </c>
      <c r="E16" s="141" t="str">
        <f t="shared" si="0"/>
        <v>CROP-031</v>
      </c>
      <c r="F16" s="140" t="s">
        <v>4625</v>
      </c>
      <c r="G16" s="140" t="s">
        <v>4626</v>
      </c>
      <c r="H16" s="142" t="s">
        <v>1171</v>
      </c>
    </row>
    <row r="17" spans="2:8" ht="409.5" x14ac:dyDescent="0.25">
      <c r="B17" s="139">
        <v>16</v>
      </c>
      <c r="C17" s="140" t="s">
        <v>4627</v>
      </c>
      <c r="D17" s="140" t="s">
        <v>4628</v>
      </c>
      <c r="E17" s="141" t="str">
        <f t="shared" si="0"/>
        <v>CROP-031</v>
      </c>
      <c r="F17" s="140" t="s">
        <v>4629</v>
      </c>
      <c r="G17" s="140" t="s">
        <v>4630</v>
      </c>
      <c r="H17" s="142" t="s">
        <v>1171</v>
      </c>
    </row>
    <row r="18" spans="2:8" ht="409.5" x14ac:dyDescent="0.25">
      <c r="B18" s="139">
        <v>17</v>
      </c>
      <c r="C18" s="140" t="s">
        <v>4631</v>
      </c>
      <c r="D18" s="140" t="s">
        <v>4632</v>
      </c>
      <c r="E18" s="141" t="str">
        <f t="shared" si="0"/>
        <v>CROP-031</v>
      </c>
      <c r="F18" s="140" t="s">
        <v>4633</v>
      </c>
      <c r="G18" s="140" t="s">
        <v>4634</v>
      </c>
      <c r="H18" s="142" t="s">
        <v>1171</v>
      </c>
    </row>
    <row r="19" spans="2:8" ht="409.5" x14ac:dyDescent="0.25">
      <c r="B19" s="139">
        <v>18</v>
      </c>
      <c r="C19" s="140" t="s">
        <v>4635</v>
      </c>
      <c r="D19" s="140" t="s">
        <v>4636</v>
      </c>
      <c r="E19" s="141" t="str">
        <f t="shared" si="0"/>
        <v>CROP-031</v>
      </c>
      <c r="F19" s="140" t="s">
        <v>4637</v>
      </c>
      <c r="G19" s="140" t="s">
        <v>4638</v>
      </c>
      <c r="H19" s="142" t="s">
        <v>1171</v>
      </c>
    </row>
    <row r="20" spans="2:8" ht="409.5" x14ac:dyDescent="0.25">
      <c r="B20" s="139">
        <v>19</v>
      </c>
      <c r="C20" s="140" t="s">
        <v>4639</v>
      </c>
      <c r="D20" s="140" t="s">
        <v>4640</v>
      </c>
      <c r="E20" s="141" t="str">
        <f t="shared" si="0"/>
        <v>CROP-031</v>
      </c>
      <c r="F20" s="140" t="s">
        <v>4641</v>
      </c>
      <c r="G20" s="140" t="s">
        <v>4642</v>
      </c>
      <c r="H20" s="142" t="s">
        <v>1171</v>
      </c>
    </row>
    <row r="21" spans="2:8" ht="409.5" x14ac:dyDescent="0.25">
      <c r="B21" s="139">
        <v>20</v>
      </c>
      <c r="C21" s="140" t="s">
        <v>4643</v>
      </c>
      <c r="D21" s="140" t="s">
        <v>4644</v>
      </c>
      <c r="E21" s="141" t="str">
        <f t="shared" si="0"/>
        <v>CROP-031</v>
      </c>
      <c r="F21" s="140" t="s">
        <v>4645</v>
      </c>
      <c r="G21" s="140" t="s">
        <v>4646</v>
      </c>
      <c r="H21" s="142" t="s">
        <v>1171</v>
      </c>
    </row>
    <row r="22" spans="2:8" ht="409.5" x14ac:dyDescent="0.25">
      <c r="B22" s="139">
        <v>21</v>
      </c>
      <c r="C22" s="140" t="s">
        <v>4647</v>
      </c>
      <c r="D22" s="140" t="s">
        <v>4648</v>
      </c>
      <c r="E22" s="141" t="str">
        <f t="shared" si="0"/>
        <v>CROP-031</v>
      </c>
      <c r="F22" s="140" t="s">
        <v>4649</v>
      </c>
      <c r="G22" s="140" t="s">
        <v>4650</v>
      </c>
      <c r="H22" s="142" t="s">
        <v>1171</v>
      </c>
    </row>
    <row r="23" spans="2:8" ht="409.5" x14ac:dyDescent="0.25">
      <c r="B23" s="139">
        <v>22</v>
      </c>
      <c r="C23" s="140" t="s">
        <v>4651</v>
      </c>
      <c r="D23" s="140" t="s">
        <v>4652</v>
      </c>
      <c r="E23" s="141" t="str">
        <f t="shared" si="0"/>
        <v>CROP-031</v>
      </c>
      <c r="F23" s="140" t="s">
        <v>4653</v>
      </c>
      <c r="G23" s="140" t="s">
        <v>4654</v>
      </c>
      <c r="H23" s="142" t="s">
        <v>1171</v>
      </c>
    </row>
    <row r="24" spans="2:8" ht="409.5" x14ac:dyDescent="0.25">
      <c r="B24" s="139">
        <v>23</v>
      </c>
      <c r="C24" s="140" t="s">
        <v>4655</v>
      </c>
      <c r="D24" s="140" t="s">
        <v>4656</v>
      </c>
      <c r="E24" s="141" t="str">
        <f t="shared" si="0"/>
        <v>CROP-031</v>
      </c>
      <c r="F24" s="140" t="s">
        <v>4657</v>
      </c>
      <c r="G24" s="140" t="s">
        <v>4658</v>
      </c>
      <c r="H24" s="142" t="s">
        <v>1171</v>
      </c>
    </row>
    <row r="25" spans="2:8" ht="409.5" x14ac:dyDescent="0.25">
      <c r="B25" s="139">
        <v>24</v>
      </c>
      <c r="C25" s="140" t="s">
        <v>4659</v>
      </c>
      <c r="D25" s="140" t="s">
        <v>4660</v>
      </c>
      <c r="E25" s="141" t="str">
        <f t="shared" si="0"/>
        <v>CROP-031</v>
      </c>
      <c r="F25" s="140" t="s">
        <v>4661</v>
      </c>
      <c r="G25" s="140" t="s">
        <v>4662</v>
      </c>
      <c r="H25" s="142" t="s">
        <v>1171</v>
      </c>
    </row>
    <row r="26" spans="2:8" ht="409.5" x14ac:dyDescent="0.25">
      <c r="B26" s="139">
        <v>25</v>
      </c>
      <c r="C26" s="140" t="s">
        <v>4663</v>
      </c>
      <c r="D26" s="140" t="s">
        <v>4664</v>
      </c>
      <c r="E26" s="141" t="str">
        <f t="shared" si="0"/>
        <v>CROP-031</v>
      </c>
      <c r="F26" s="140" t="s">
        <v>4665</v>
      </c>
      <c r="G26" s="140" t="s">
        <v>4666</v>
      </c>
      <c r="H26" s="142" t="s">
        <v>1171</v>
      </c>
    </row>
    <row r="27" spans="2:8" ht="409.5" x14ac:dyDescent="0.25">
      <c r="B27" s="139">
        <v>26</v>
      </c>
      <c r="C27" s="140" t="s">
        <v>4667</v>
      </c>
      <c r="D27" s="140" t="s">
        <v>4668</v>
      </c>
      <c r="E27" s="141" t="str">
        <f t="shared" si="0"/>
        <v>CROP-031</v>
      </c>
      <c r="F27" s="140" t="s">
        <v>4669</v>
      </c>
      <c r="G27" s="140" t="s">
        <v>4670</v>
      </c>
      <c r="H27" s="142" t="s">
        <v>1171</v>
      </c>
    </row>
    <row r="28" spans="2:8" ht="409.5" x14ac:dyDescent="0.25">
      <c r="B28" s="139">
        <v>27</v>
      </c>
      <c r="C28" s="140" t="s">
        <v>4671</v>
      </c>
      <c r="D28" s="140" t="s">
        <v>4672</v>
      </c>
      <c r="E28" s="141" t="str">
        <f t="shared" si="0"/>
        <v>CROP-031</v>
      </c>
      <c r="F28" s="140" t="s">
        <v>4673</v>
      </c>
      <c r="G28" s="140" t="s">
        <v>4674</v>
      </c>
      <c r="H28" s="142" t="s">
        <v>1171</v>
      </c>
    </row>
    <row r="29" spans="2:8" ht="409.5" x14ac:dyDescent="0.25">
      <c r="B29" s="139">
        <v>28</v>
      </c>
      <c r="C29" s="140" t="s">
        <v>4675</v>
      </c>
      <c r="D29" s="140" t="s">
        <v>4676</v>
      </c>
      <c r="E29" s="141" t="str">
        <f t="shared" si="0"/>
        <v>CROP-031</v>
      </c>
      <c r="F29" s="140" t="s">
        <v>4677</v>
      </c>
      <c r="G29" s="140" t="s">
        <v>4678</v>
      </c>
      <c r="H29" s="142" t="s">
        <v>1171</v>
      </c>
    </row>
    <row r="30" spans="2:8" ht="409.5" x14ac:dyDescent="0.25">
      <c r="B30" s="139">
        <v>29</v>
      </c>
      <c r="C30" s="140" t="s">
        <v>4679</v>
      </c>
      <c r="D30" s="140" t="s">
        <v>4680</v>
      </c>
      <c r="E30" s="141" t="str">
        <f t="shared" si="0"/>
        <v>CROP-031</v>
      </c>
      <c r="F30" s="140" t="s">
        <v>4681</v>
      </c>
      <c r="G30" s="140" t="s">
        <v>4682</v>
      </c>
      <c r="H30" s="142" t="s">
        <v>1171</v>
      </c>
    </row>
    <row r="31" spans="2:8" ht="409.5" x14ac:dyDescent="0.25">
      <c r="B31" s="139">
        <v>30</v>
      </c>
      <c r="C31" s="140" t="s">
        <v>4683</v>
      </c>
      <c r="D31" s="140" t="s">
        <v>4684</v>
      </c>
      <c r="E31" s="141" t="str">
        <f t="shared" si="0"/>
        <v>CROP-031</v>
      </c>
      <c r="F31" s="140" t="s">
        <v>4685</v>
      </c>
      <c r="G31" s="140" t="s">
        <v>4686</v>
      </c>
      <c r="H31" s="142" t="s">
        <v>1171</v>
      </c>
    </row>
    <row r="32" spans="2:8" ht="409.5" x14ac:dyDescent="0.25">
      <c r="B32" s="139">
        <v>31</v>
      </c>
      <c r="C32" s="140" t="s">
        <v>4687</v>
      </c>
      <c r="D32" s="140" t="s">
        <v>4688</v>
      </c>
      <c r="E32" s="141" t="str">
        <f t="shared" si="0"/>
        <v>CROP-031</v>
      </c>
      <c r="F32" s="140" t="s">
        <v>4689</v>
      </c>
      <c r="G32" s="140" t="s">
        <v>4690</v>
      </c>
      <c r="H32" s="142" t="s">
        <v>1171</v>
      </c>
    </row>
    <row r="33" spans="2:8" ht="409.5" x14ac:dyDescent="0.25">
      <c r="B33" s="139">
        <v>32</v>
      </c>
      <c r="C33" s="140" t="s">
        <v>4691</v>
      </c>
      <c r="D33" s="140" t="s">
        <v>4692</v>
      </c>
      <c r="E33" s="141" t="str">
        <f t="shared" si="0"/>
        <v>CROP-031</v>
      </c>
      <c r="F33" s="140" t="s">
        <v>4693</v>
      </c>
      <c r="G33" s="140" t="s">
        <v>4694</v>
      </c>
      <c r="H33" s="142" t="s">
        <v>1171</v>
      </c>
    </row>
    <row r="34" spans="2:8" ht="409.5" x14ac:dyDescent="0.25">
      <c r="B34" s="139">
        <v>33</v>
      </c>
      <c r="C34" s="140" t="s">
        <v>4695</v>
      </c>
      <c r="D34" s="140" t="s">
        <v>4696</v>
      </c>
      <c r="E34" s="141" t="str">
        <f t="shared" si="0"/>
        <v>CROP-031</v>
      </c>
      <c r="F34" s="140" t="s">
        <v>4697</v>
      </c>
      <c r="G34" s="140" t="s">
        <v>4698</v>
      </c>
      <c r="H34" s="142" t="s">
        <v>1171</v>
      </c>
    </row>
    <row r="35" spans="2:8" ht="409.5" x14ac:dyDescent="0.25">
      <c r="B35" s="139">
        <v>34</v>
      </c>
      <c r="C35" s="140" t="s">
        <v>4699</v>
      </c>
      <c r="D35" s="140" t="s">
        <v>4700</v>
      </c>
      <c r="E35" s="141" t="str">
        <f t="shared" si="0"/>
        <v>CROP-031</v>
      </c>
      <c r="F35" s="140" t="s">
        <v>4701</v>
      </c>
      <c r="G35" s="140" t="s">
        <v>4702</v>
      </c>
      <c r="H35" s="142" t="s">
        <v>1171</v>
      </c>
    </row>
    <row r="36" spans="2:8" ht="409.5" x14ac:dyDescent="0.25">
      <c r="B36" s="139">
        <v>35</v>
      </c>
      <c r="C36" s="140" t="s">
        <v>4703</v>
      </c>
      <c r="D36" s="140" t="s">
        <v>4704</v>
      </c>
      <c r="E36" s="141" t="str">
        <f t="shared" si="0"/>
        <v>CROP-031</v>
      </c>
      <c r="F36" s="140" t="s">
        <v>4705</v>
      </c>
      <c r="G36" s="140" t="s">
        <v>4706</v>
      </c>
      <c r="H36" s="142" t="s">
        <v>1171</v>
      </c>
    </row>
    <row r="37" spans="2:8" ht="409.5" x14ac:dyDescent="0.25">
      <c r="B37" s="139">
        <v>36</v>
      </c>
      <c r="C37" s="140" t="s">
        <v>4707</v>
      </c>
      <c r="D37" s="140" t="s">
        <v>4708</v>
      </c>
      <c r="E37" s="141" t="str">
        <f t="shared" si="0"/>
        <v>CROP-031</v>
      </c>
      <c r="F37" s="140" t="s">
        <v>4709</v>
      </c>
      <c r="G37" s="140" t="s">
        <v>4710</v>
      </c>
      <c r="H37" s="142" t="s">
        <v>1171</v>
      </c>
    </row>
    <row r="38" spans="2:8" ht="393.75" x14ac:dyDescent="0.25">
      <c r="B38" s="139">
        <v>37</v>
      </c>
      <c r="C38" s="140" t="s">
        <v>4711</v>
      </c>
      <c r="D38" s="140" t="s">
        <v>4712</v>
      </c>
      <c r="E38" s="141" t="str">
        <f t="shared" si="0"/>
        <v>CROP-031</v>
      </c>
      <c r="F38" s="140" t="s">
        <v>4713</v>
      </c>
      <c r="G38" s="140" t="s">
        <v>4714</v>
      </c>
      <c r="H38" s="142" t="s">
        <v>1171</v>
      </c>
    </row>
    <row r="39" spans="2:8" ht="409.5" x14ac:dyDescent="0.25">
      <c r="B39" s="139">
        <v>38</v>
      </c>
      <c r="C39" s="140" t="s">
        <v>4715</v>
      </c>
      <c r="D39" s="140" t="s">
        <v>4716</v>
      </c>
      <c r="E39" s="141" t="str">
        <f t="shared" si="0"/>
        <v>CROP-031</v>
      </c>
      <c r="F39" s="140" t="s">
        <v>4717</v>
      </c>
      <c r="G39" s="140" t="s">
        <v>4718</v>
      </c>
      <c r="H39" s="142" t="s">
        <v>1171</v>
      </c>
    </row>
    <row r="40" spans="2:8" ht="409.5" x14ac:dyDescent="0.25">
      <c r="B40" s="139">
        <v>39</v>
      </c>
      <c r="C40" s="140" t="s">
        <v>4719</v>
      </c>
      <c r="D40" s="140" t="s">
        <v>4720</v>
      </c>
      <c r="E40" s="141" t="str">
        <f t="shared" si="0"/>
        <v>CROP-031</v>
      </c>
      <c r="F40" s="140" t="s">
        <v>4721</v>
      </c>
      <c r="G40" s="140" t="s">
        <v>4722</v>
      </c>
      <c r="H40" s="142" t="s">
        <v>1171</v>
      </c>
    </row>
    <row r="41" spans="2:8" ht="409.5" x14ac:dyDescent="0.25">
      <c r="B41" s="139">
        <v>40</v>
      </c>
      <c r="C41" s="140" t="s">
        <v>4723</v>
      </c>
      <c r="D41" s="140" t="s">
        <v>4724</v>
      </c>
      <c r="E41" s="141" t="str">
        <f t="shared" si="0"/>
        <v>CROP-031</v>
      </c>
      <c r="F41" s="140" t="s">
        <v>4725</v>
      </c>
      <c r="G41" s="140" t="s">
        <v>4726</v>
      </c>
      <c r="H41" s="142" t="s">
        <v>1171</v>
      </c>
    </row>
    <row r="42" spans="2:8" ht="393.75" x14ac:dyDescent="0.25">
      <c r="B42" s="139">
        <v>41</v>
      </c>
      <c r="C42" s="140" t="s">
        <v>4727</v>
      </c>
      <c r="D42" s="140" t="s">
        <v>4728</v>
      </c>
      <c r="E42" s="141" t="str">
        <f t="shared" si="0"/>
        <v>CROP-031</v>
      </c>
      <c r="F42" s="140" t="s">
        <v>4729</v>
      </c>
      <c r="G42" s="140" t="s">
        <v>4730</v>
      </c>
      <c r="H42" s="142" t="s">
        <v>1171</v>
      </c>
    </row>
    <row r="43" spans="2:8" ht="409.5" x14ac:dyDescent="0.25">
      <c r="B43" s="139">
        <v>42</v>
      </c>
      <c r="C43" s="140" t="s">
        <v>4731</v>
      </c>
      <c r="D43" s="140" t="s">
        <v>4732</v>
      </c>
      <c r="E43" s="141" t="str">
        <f t="shared" si="0"/>
        <v>CROP-031</v>
      </c>
      <c r="F43" s="140" t="s">
        <v>4733</v>
      </c>
      <c r="G43" s="140" t="s">
        <v>4734</v>
      </c>
      <c r="H43" s="142" t="s">
        <v>1171</v>
      </c>
    </row>
    <row r="44" spans="2:8" ht="409.5" x14ac:dyDescent="0.25">
      <c r="B44" s="139">
        <v>43</v>
      </c>
      <c r="C44" s="140" t="s">
        <v>4735</v>
      </c>
      <c r="D44" s="140" t="s">
        <v>4736</v>
      </c>
      <c r="E44" s="141" t="str">
        <f t="shared" si="0"/>
        <v>CROP-031</v>
      </c>
      <c r="F44" s="140" t="s">
        <v>4737</v>
      </c>
      <c r="G44" s="140" t="s">
        <v>4738</v>
      </c>
      <c r="H44" s="142" t="s">
        <v>1171</v>
      </c>
    </row>
    <row r="45" spans="2:8" ht="409.5" x14ac:dyDescent="0.25">
      <c r="B45" s="139">
        <v>44</v>
      </c>
      <c r="C45" s="140" t="s">
        <v>4739</v>
      </c>
      <c r="D45" s="140" t="s">
        <v>4740</v>
      </c>
      <c r="E45" s="141" t="str">
        <f t="shared" si="0"/>
        <v>CROP-031</v>
      </c>
      <c r="F45" s="140" t="s">
        <v>4741</v>
      </c>
      <c r="G45" s="140" t="s">
        <v>4742</v>
      </c>
      <c r="H45" s="142" t="s">
        <v>1171</v>
      </c>
    </row>
    <row r="46" spans="2:8" ht="409.5" x14ac:dyDescent="0.25">
      <c r="B46" s="139">
        <v>45</v>
      </c>
      <c r="C46" s="140" t="s">
        <v>4743</v>
      </c>
      <c r="D46" s="140" t="s">
        <v>4744</v>
      </c>
      <c r="E46" s="141" t="str">
        <f t="shared" si="0"/>
        <v>CROP-031</v>
      </c>
      <c r="F46" s="140" t="s">
        <v>4745</v>
      </c>
      <c r="G46" s="140" t="s">
        <v>4746</v>
      </c>
      <c r="H46" s="142" t="s">
        <v>1171</v>
      </c>
    </row>
    <row r="47" spans="2:8" ht="409.5" x14ac:dyDescent="0.25">
      <c r="B47" s="139">
        <v>46</v>
      </c>
      <c r="C47" s="140" t="s">
        <v>4747</v>
      </c>
      <c r="D47" s="140" t="s">
        <v>4748</v>
      </c>
      <c r="E47" s="141" t="str">
        <f t="shared" si="0"/>
        <v>CROP-031</v>
      </c>
      <c r="F47" s="140" t="s">
        <v>4749</v>
      </c>
      <c r="G47" s="140" t="s">
        <v>4750</v>
      </c>
      <c r="H47" s="142" t="s">
        <v>1171</v>
      </c>
    </row>
    <row r="48" spans="2:8" ht="409.5" x14ac:dyDescent="0.25">
      <c r="B48" s="139">
        <v>47</v>
      </c>
      <c r="C48" s="140" t="s">
        <v>4751</v>
      </c>
      <c r="D48" s="140" t="s">
        <v>4752</v>
      </c>
      <c r="E48" s="141" t="str">
        <f t="shared" si="0"/>
        <v>CROP-031</v>
      </c>
      <c r="F48" s="140" t="s">
        <v>4753</v>
      </c>
      <c r="G48" s="140" t="s">
        <v>4754</v>
      </c>
      <c r="H48" s="142" t="s">
        <v>1171</v>
      </c>
    </row>
    <row r="49" spans="2:8" ht="409.5" x14ac:dyDescent="0.25">
      <c r="B49" s="139">
        <v>48</v>
      </c>
      <c r="C49" s="140" t="s">
        <v>4755</v>
      </c>
      <c r="D49" s="140" t="s">
        <v>4756</v>
      </c>
      <c r="E49" s="141" t="str">
        <f t="shared" si="0"/>
        <v>CROP-031</v>
      </c>
      <c r="F49" s="140" t="s">
        <v>4757</v>
      </c>
      <c r="G49" s="140" t="s">
        <v>4758</v>
      </c>
      <c r="H49" s="142" t="s">
        <v>1171</v>
      </c>
    </row>
    <row r="50" spans="2:8" ht="409.5" x14ac:dyDescent="0.25">
      <c r="B50" s="139">
        <v>49</v>
      </c>
      <c r="C50" s="140" t="s">
        <v>4759</v>
      </c>
      <c r="D50" s="140" t="s">
        <v>4760</v>
      </c>
      <c r="E50" s="141" t="str">
        <f t="shared" si="0"/>
        <v>CROP-031</v>
      </c>
      <c r="F50" s="140" t="s">
        <v>4761</v>
      </c>
      <c r="G50" s="140" t="s">
        <v>4762</v>
      </c>
      <c r="H50" s="142" t="s">
        <v>1171</v>
      </c>
    </row>
    <row r="51" spans="2:8" ht="409.5" x14ac:dyDescent="0.25">
      <c r="B51" s="139">
        <v>50</v>
      </c>
      <c r="C51" s="140" t="s">
        <v>4763</v>
      </c>
      <c r="D51" s="140" t="s">
        <v>4764</v>
      </c>
      <c r="E51" s="141" t="str">
        <f t="shared" si="0"/>
        <v>CROP-031</v>
      </c>
      <c r="F51" s="140" t="s">
        <v>4765</v>
      </c>
      <c r="G51" s="140" t="s">
        <v>4766</v>
      </c>
      <c r="H51" s="142" t="s">
        <v>1171</v>
      </c>
    </row>
    <row r="52" spans="2:8" ht="409.5" x14ac:dyDescent="0.25">
      <c r="B52" s="139">
        <v>51</v>
      </c>
      <c r="C52" s="140" t="s">
        <v>4767</v>
      </c>
      <c r="D52" s="140" t="s">
        <v>4768</v>
      </c>
      <c r="E52" s="141" t="str">
        <f t="shared" si="0"/>
        <v>CROP-031</v>
      </c>
      <c r="F52" s="140" t="s">
        <v>4769</v>
      </c>
      <c r="G52" s="140" t="s">
        <v>4770</v>
      </c>
      <c r="H52" s="142" t="s">
        <v>1171</v>
      </c>
    </row>
    <row r="53" spans="2:8" ht="409.5" x14ac:dyDescent="0.25">
      <c r="B53" s="139">
        <v>52</v>
      </c>
      <c r="C53" s="140" t="s">
        <v>4771</v>
      </c>
      <c r="D53" s="140" t="s">
        <v>4772</v>
      </c>
      <c r="E53" s="141" t="str">
        <f t="shared" si="0"/>
        <v>CROP-031</v>
      </c>
      <c r="F53" s="140" t="s">
        <v>4773</v>
      </c>
      <c r="G53" s="140" t="s">
        <v>4774</v>
      </c>
      <c r="H53" s="142" t="s">
        <v>1171</v>
      </c>
    </row>
    <row r="54" spans="2:8" ht="409.5" x14ac:dyDescent="0.25">
      <c r="B54" s="139">
        <v>53</v>
      </c>
      <c r="C54" s="140" t="s">
        <v>4775</v>
      </c>
      <c r="D54" s="140" t="s">
        <v>4776</v>
      </c>
      <c r="E54" s="141" t="str">
        <f t="shared" si="0"/>
        <v>CROP-031</v>
      </c>
      <c r="F54" s="140" t="s">
        <v>4777</v>
      </c>
      <c r="G54" s="140" t="s">
        <v>4778</v>
      </c>
      <c r="H54" s="142" t="s">
        <v>1171</v>
      </c>
    </row>
    <row r="55" spans="2:8" ht="409.5" x14ac:dyDescent="0.25">
      <c r="B55" s="139">
        <v>54</v>
      </c>
      <c r="C55" s="140" t="s">
        <v>4779</v>
      </c>
      <c r="D55" s="140" t="s">
        <v>4780</v>
      </c>
      <c r="E55" s="141" t="str">
        <f t="shared" si="0"/>
        <v>CROP-031</v>
      </c>
      <c r="F55" s="140" t="s">
        <v>4781</v>
      </c>
      <c r="G55" s="140" t="s">
        <v>4782</v>
      </c>
      <c r="H55" s="142" t="s">
        <v>1171</v>
      </c>
    </row>
    <row r="56" spans="2:8" ht="409.5" x14ac:dyDescent="0.25">
      <c r="B56" s="139">
        <v>55</v>
      </c>
      <c r="C56" s="140" t="s">
        <v>4783</v>
      </c>
      <c r="D56" s="140" t="s">
        <v>4784</v>
      </c>
      <c r="E56" s="141" t="str">
        <f t="shared" si="0"/>
        <v>CROP-031</v>
      </c>
      <c r="F56" s="140" t="s">
        <v>4785</v>
      </c>
      <c r="G56" s="140" t="s">
        <v>4786</v>
      </c>
      <c r="H56" s="142" t="s">
        <v>1171</v>
      </c>
    </row>
    <row r="57" spans="2:8" ht="409.5" x14ac:dyDescent="0.25">
      <c r="B57" s="139">
        <v>56</v>
      </c>
      <c r="C57" s="140" t="s">
        <v>4787</v>
      </c>
      <c r="D57" s="140" t="s">
        <v>4788</v>
      </c>
      <c r="E57" s="141" t="str">
        <f t="shared" si="0"/>
        <v>CROP-031</v>
      </c>
      <c r="F57" s="140" t="s">
        <v>4789</v>
      </c>
      <c r="G57" s="140" t="s">
        <v>4790</v>
      </c>
      <c r="H57" s="142" t="s">
        <v>1171</v>
      </c>
    </row>
    <row r="58" spans="2:8" ht="409.5" x14ac:dyDescent="0.25">
      <c r="B58" s="139">
        <v>57</v>
      </c>
      <c r="C58" s="140" t="s">
        <v>4791</v>
      </c>
      <c r="D58" s="140" t="s">
        <v>4792</v>
      </c>
      <c r="E58" s="141" t="str">
        <f t="shared" si="0"/>
        <v>CROP-031</v>
      </c>
      <c r="F58" s="140" t="s">
        <v>4793</v>
      </c>
      <c r="G58" s="140" t="s">
        <v>4794</v>
      </c>
      <c r="H58" s="142" t="s">
        <v>1171</v>
      </c>
    </row>
    <row r="59" spans="2:8" ht="378" x14ac:dyDescent="0.25">
      <c r="B59" s="139">
        <v>58</v>
      </c>
      <c r="C59" s="140" t="s">
        <v>4795</v>
      </c>
      <c r="D59" s="140" t="s">
        <v>4796</v>
      </c>
      <c r="E59" s="141" t="str">
        <f t="shared" si="0"/>
        <v>CROP-031</v>
      </c>
      <c r="F59" s="140" t="s">
        <v>4797</v>
      </c>
      <c r="G59" s="140" t="s">
        <v>4798</v>
      </c>
      <c r="H59" s="142" t="s">
        <v>1171</v>
      </c>
    </row>
    <row r="60" spans="2:8" ht="409.5" x14ac:dyDescent="0.25">
      <c r="B60" s="139">
        <v>59</v>
      </c>
      <c r="C60" s="140" t="s">
        <v>4799</v>
      </c>
      <c r="D60" s="140" t="s">
        <v>4800</v>
      </c>
      <c r="E60" s="141" t="str">
        <f t="shared" si="0"/>
        <v>CROP-031</v>
      </c>
      <c r="F60" s="140" t="s">
        <v>4801</v>
      </c>
      <c r="G60" s="140" t="s">
        <v>4802</v>
      </c>
      <c r="H60" s="142" t="s">
        <v>1171</v>
      </c>
    </row>
    <row r="61" spans="2:8" ht="409.5" x14ac:dyDescent="0.25">
      <c r="B61" s="139">
        <v>60</v>
      </c>
      <c r="C61" s="140" t="s">
        <v>4803</v>
      </c>
      <c r="D61" s="140" t="s">
        <v>4804</v>
      </c>
      <c r="E61" s="141" t="str">
        <f t="shared" si="0"/>
        <v>CROP-031</v>
      </c>
      <c r="F61" s="140" t="s">
        <v>4805</v>
      </c>
      <c r="G61" s="140" t="s">
        <v>4806</v>
      </c>
      <c r="H61" s="142" t="s">
        <v>1171</v>
      </c>
    </row>
    <row r="62" spans="2:8" ht="378" x14ac:dyDescent="0.25">
      <c r="B62" s="139">
        <v>61</v>
      </c>
      <c r="C62" s="140" t="s">
        <v>4807</v>
      </c>
      <c r="D62" s="140" t="s">
        <v>4808</v>
      </c>
      <c r="E62" s="141" t="str">
        <f t="shared" si="0"/>
        <v>CROP-031</v>
      </c>
      <c r="F62" s="140" t="s">
        <v>4809</v>
      </c>
      <c r="G62" s="140" t="s">
        <v>4810</v>
      </c>
      <c r="H62" s="142" t="s">
        <v>1171</v>
      </c>
    </row>
    <row r="63" spans="2:8" ht="409.5" x14ac:dyDescent="0.25">
      <c r="B63" s="139">
        <v>62</v>
      </c>
      <c r="C63" s="140" t="s">
        <v>4811</v>
      </c>
      <c r="D63" s="140" t="s">
        <v>4812</v>
      </c>
      <c r="E63" s="141" t="str">
        <f t="shared" si="0"/>
        <v>CROP-031</v>
      </c>
      <c r="F63" s="140" t="s">
        <v>4813</v>
      </c>
      <c r="G63" s="140" t="s">
        <v>4814</v>
      </c>
      <c r="H63" s="142" t="s">
        <v>1171</v>
      </c>
    </row>
    <row r="64" spans="2:8" ht="346.5" x14ac:dyDescent="0.25">
      <c r="B64" s="139">
        <v>63</v>
      </c>
      <c r="C64" s="140" t="s">
        <v>4815</v>
      </c>
      <c r="D64" s="140" t="s">
        <v>4816</v>
      </c>
      <c r="E64" s="141" t="str">
        <f t="shared" si="0"/>
        <v>CROP-031</v>
      </c>
      <c r="F64" s="140" t="s">
        <v>4817</v>
      </c>
      <c r="G64" s="140" t="s">
        <v>4818</v>
      </c>
      <c r="H64" s="142" t="s">
        <v>1171</v>
      </c>
    </row>
    <row r="65" spans="2:8" ht="378" x14ac:dyDescent="0.25">
      <c r="B65" s="139">
        <v>64</v>
      </c>
      <c r="C65" s="140" t="s">
        <v>4819</v>
      </c>
      <c r="D65" s="140" t="s">
        <v>4820</v>
      </c>
      <c r="E65" s="141" t="str">
        <f t="shared" si="0"/>
        <v>CROP-031</v>
      </c>
      <c r="F65" s="140" t="s">
        <v>4821</v>
      </c>
      <c r="G65" s="140" t="s">
        <v>4822</v>
      </c>
      <c r="H65" s="142" t="s">
        <v>1171</v>
      </c>
    </row>
    <row r="66" spans="2:8" ht="393.75" x14ac:dyDescent="0.25">
      <c r="B66" s="139">
        <v>65</v>
      </c>
      <c r="C66" s="140" t="s">
        <v>4823</v>
      </c>
      <c r="D66" s="140" t="s">
        <v>4824</v>
      </c>
      <c r="E66" s="141" t="str">
        <f t="shared" si="0"/>
        <v>CROP-031</v>
      </c>
      <c r="F66" s="140" t="s">
        <v>4825</v>
      </c>
      <c r="G66" s="140" t="s">
        <v>4826</v>
      </c>
      <c r="H66" s="142" t="s">
        <v>1171</v>
      </c>
    </row>
    <row r="67" spans="2:8" ht="409.5" x14ac:dyDescent="0.25">
      <c r="B67" s="139">
        <v>66</v>
      </c>
      <c r="C67" s="140" t="s">
        <v>4827</v>
      </c>
      <c r="D67" s="140" t="s">
        <v>4828</v>
      </c>
      <c r="E67" s="141" t="str">
        <f t="shared" si="0"/>
        <v>CROP-031</v>
      </c>
      <c r="F67" s="140" t="s">
        <v>4829</v>
      </c>
      <c r="G67" s="140" t="s">
        <v>4830</v>
      </c>
      <c r="H67" s="142" t="s">
        <v>1171</v>
      </c>
    </row>
    <row r="68" spans="2:8" ht="409.5" x14ac:dyDescent="0.25">
      <c r="B68" s="139">
        <v>67</v>
      </c>
      <c r="C68" s="140" t="s">
        <v>4831</v>
      </c>
      <c r="D68" s="140" t="s">
        <v>4832</v>
      </c>
      <c r="E68" s="141" t="str">
        <f t="shared" si="0"/>
        <v>CROP-031</v>
      </c>
      <c r="F68" s="140" t="s">
        <v>4833</v>
      </c>
      <c r="G68" s="140" t="s">
        <v>4834</v>
      </c>
      <c r="H68" s="142" t="s">
        <v>1171</v>
      </c>
    </row>
    <row r="69" spans="2:8" ht="409.5" x14ac:dyDescent="0.25">
      <c r="B69" s="139">
        <v>68</v>
      </c>
      <c r="C69" s="140" t="s">
        <v>4835</v>
      </c>
      <c r="D69" s="140" t="s">
        <v>4836</v>
      </c>
      <c r="E69" s="141" t="str">
        <f t="shared" si="0"/>
        <v>CROP-031</v>
      </c>
      <c r="F69" s="140" t="s">
        <v>4837</v>
      </c>
      <c r="G69" s="140" t="s">
        <v>4838</v>
      </c>
      <c r="H69" s="142" t="s">
        <v>1171</v>
      </c>
    </row>
    <row r="70" spans="2:8" ht="409.5" x14ac:dyDescent="0.25">
      <c r="B70" s="139">
        <v>69</v>
      </c>
      <c r="C70" s="140" t="s">
        <v>4839</v>
      </c>
      <c r="D70" s="140" t="s">
        <v>4840</v>
      </c>
      <c r="E70" s="141" t="str">
        <f t="shared" si="0"/>
        <v>CROP-031</v>
      </c>
      <c r="F70" s="140" t="s">
        <v>4841</v>
      </c>
      <c r="G70" s="140" t="s">
        <v>4842</v>
      </c>
      <c r="H70" s="142" t="s">
        <v>1171</v>
      </c>
    </row>
    <row r="71" spans="2:8" ht="409.5" x14ac:dyDescent="0.25">
      <c r="B71" s="139">
        <v>70</v>
      </c>
      <c r="C71" s="140" t="s">
        <v>4843</v>
      </c>
      <c r="D71" s="140" t="s">
        <v>4844</v>
      </c>
      <c r="E71" s="141" t="str">
        <f t="shared" si="0"/>
        <v>CROP-031</v>
      </c>
      <c r="F71" s="140" t="s">
        <v>4845</v>
      </c>
      <c r="G71" s="140" t="s">
        <v>4846</v>
      </c>
      <c r="H71" s="142" t="s">
        <v>1171</v>
      </c>
    </row>
    <row r="72" spans="2:8" ht="409.5" x14ac:dyDescent="0.25">
      <c r="B72" s="139">
        <v>71</v>
      </c>
      <c r="C72" s="140" t="s">
        <v>4847</v>
      </c>
      <c r="D72" s="140" t="s">
        <v>4848</v>
      </c>
      <c r="E72" s="141" t="str">
        <f t="shared" si="0"/>
        <v>CROP-031</v>
      </c>
      <c r="F72" s="140" t="s">
        <v>4849</v>
      </c>
      <c r="G72" s="140" t="s">
        <v>4850</v>
      </c>
      <c r="H72" s="142" t="s">
        <v>1171</v>
      </c>
    </row>
    <row r="73" spans="2:8" ht="409.5" x14ac:dyDescent="0.25">
      <c r="B73" s="139">
        <v>72</v>
      </c>
      <c r="C73" s="140" t="s">
        <v>4851</v>
      </c>
      <c r="D73" s="143" t="s">
        <v>4852</v>
      </c>
      <c r="E73" s="141" t="str">
        <f t="shared" si="0"/>
        <v>CROP-031</v>
      </c>
      <c r="F73" s="143" t="s">
        <v>4853</v>
      </c>
      <c r="G73" s="143" t="s">
        <v>4854</v>
      </c>
      <c r="H73" s="142" t="s">
        <v>1171</v>
      </c>
    </row>
    <row r="74" spans="2:8" ht="409.5" x14ac:dyDescent="0.25">
      <c r="B74" s="144">
        <v>73</v>
      </c>
      <c r="C74" s="145" t="s">
        <v>4855</v>
      </c>
      <c r="D74" s="140" t="s">
        <v>4856</v>
      </c>
      <c r="E74" s="146" t="str">
        <f t="shared" si="0"/>
        <v>CROP-031</v>
      </c>
      <c r="F74" s="140" t="s">
        <v>4857</v>
      </c>
      <c r="G74" s="140" t="s">
        <v>4858</v>
      </c>
      <c r="H74" s="142" t="s">
        <v>1171</v>
      </c>
    </row>
    <row r="75" spans="2:8" ht="409.5" x14ac:dyDescent="0.25">
      <c r="B75" s="147">
        <v>74</v>
      </c>
      <c r="C75" s="148" t="s">
        <v>4859</v>
      </c>
      <c r="D75" s="148" t="s">
        <v>4860</v>
      </c>
      <c r="E75" s="141" t="str">
        <f t="shared" si="0"/>
        <v>CROP-031</v>
      </c>
      <c r="F75" s="148" t="s">
        <v>4861</v>
      </c>
      <c r="G75" s="140" t="s">
        <v>4862</v>
      </c>
      <c r="H75" s="142" t="s">
        <v>1171</v>
      </c>
    </row>
    <row r="76" spans="2:8" ht="409.5" x14ac:dyDescent="0.25">
      <c r="B76" s="147">
        <v>75</v>
      </c>
      <c r="C76" s="140" t="s">
        <v>4863</v>
      </c>
      <c r="D76" s="140" t="s">
        <v>4864</v>
      </c>
      <c r="E76" s="141" t="str">
        <f t="shared" si="0"/>
        <v>CROP-031</v>
      </c>
      <c r="F76" s="140" t="s">
        <v>4865</v>
      </c>
      <c r="G76" s="140" t="s">
        <v>4866</v>
      </c>
      <c r="H76" s="142" t="s">
        <v>1171</v>
      </c>
    </row>
    <row r="77" spans="2:8" ht="409.5" x14ac:dyDescent="0.25">
      <c r="B77" s="149">
        <v>76</v>
      </c>
      <c r="C77" s="143" t="s">
        <v>4867</v>
      </c>
      <c r="D77" s="145" t="s">
        <v>4868</v>
      </c>
      <c r="E77" s="141" t="str">
        <f t="shared" si="0"/>
        <v>CROP-031</v>
      </c>
      <c r="F77" s="140" t="s">
        <v>4869</v>
      </c>
      <c r="G77" s="145" t="s">
        <v>4870</v>
      </c>
      <c r="H77" s="142" t="s">
        <v>1171</v>
      </c>
    </row>
    <row r="78" spans="2:8" ht="409.5" x14ac:dyDescent="0.25">
      <c r="B78" s="150">
        <v>77</v>
      </c>
      <c r="C78" s="140" t="s">
        <v>4871</v>
      </c>
      <c r="D78" s="140" t="s">
        <v>4872</v>
      </c>
      <c r="E78" s="141" t="str">
        <f t="shared" si="0"/>
        <v>CROP-031</v>
      </c>
      <c r="F78" s="140" t="s">
        <v>4873</v>
      </c>
      <c r="G78" s="140" t="s">
        <v>4874</v>
      </c>
      <c r="H78" s="142" t="s">
        <v>1171</v>
      </c>
    </row>
    <row r="79" spans="2:8" ht="409.5" x14ac:dyDescent="0.25">
      <c r="B79" s="144">
        <v>78</v>
      </c>
      <c r="C79" s="145" t="s">
        <v>4875</v>
      </c>
      <c r="D79" s="145" t="s">
        <v>4876</v>
      </c>
      <c r="E79" s="141" t="str">
        <f t="shared" si="0"/>
        <v>CROP-031</v>
      </c>
      <c r="F79" s="140" t="s">
        <v>4877</v>
      </c>
      <c r="G79" s="145" t="s">
        <v>4878</v>
      </c>
      <c r="H79" s="142" t="s">
        <v>1171</v>
      </c>
    </row>
    <row r="80" spans="2:8" ht="409.5" x14ac:dyDescent="0.25">
      <c r="B80" s="147">
        <v>79</v>
      </c>
      <c r="C80" s="143" t="s">
        <v>4879</v>
      </c>
      <c r="D80" s="145" t="s">
        <v>4880</v>
      </c>
      <c r="E80" s="141" t="str">
        <f t="shared" si="0"/>
        <v>CROP-031</v>
      </c>
      <c r="F80" s="140" t="s">
        <v>4881</v>
      </c>
      <c r="G80" s="140" t="s">
        <v>4882</v>
      </c>
      <c r="H80" s="142" t="s">
        <v>1171</v>
      </c>
    </row>
    <row r="81" spans="2:8" ht="409.5" x14ac:dyDescent="0.25">
      <c r="B81" s="147">
        <v>80</v>
      </c>
      <c r="C81" s="140" t="s">
        <v>4883</v>
      </c>
      <c r="D81" s="140" t="s">
        <v>4884</v>
      </c>
      <c r="E81" s="141" t="str">
        <f t="shared" si="0"/>
        <v>CROP-031</v>
      </c>
      <c r="F81" s="145" t="s">
        <v>4885</v>
      </c>
      <c r="G81" s="140" t="s">
        <v>4886</v>
      </c>
      <c r="H81" s="142" t="s">
        <v>1171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4DBE-7107-4D1D-B601-29217C47F45F}">
  <dimension ref="A1:G512"/>
  <sheetViews>
    <sheetView workbookViewId="0">
      <selection activeCell="F40" sqref="F40"/>
    </sheetView>
  </sheetViews>
  <sheetFormatPr defaultRowHeight="15" x14ac:dyDescent="0.25"/>
  <cols>
    <col min="1" max="1" width="5.5703125" customWidth="1"/>
    <col min="2" max="2" width="35" customWidth="1"/>
    <col min="3" max="3" width="29.5703125" customWidth="1"/>
    <col min="4" max="4" width="31.5703125" customWidth="1"/>
    <col min="5" max="5" width="33.42578125" customWidth="1"/>
    <col min="6" max="6" width="26.7109375" customWidth="1"/>
    <col min="7" max="7" width="26.28515625" customWidth="1"/>
  </cols>
  <sheetData>
    <row r="1" spans="1:7" ht="47.25" x14ac:dyDescent="0.25">
      <c r="A1" s="120" t="s">
        <v>139</v>
      </c>
      <c r="B1" s="120" t="s">
        <v>140</v>
      </c>
      <c r="C1" s="120" t="s">
        <v>141</v>
      </c>
      <c r="D1" s="121" t="s">
        <v>142</v>
      </c>
      <c r="E1" s="120" t="s">
        <v>143</v>
      </c>
      <c r="F1" s="120" t="s">
        <v>144</v>
      </c>
      <c r="G1" s="122" t="s">
        <v>1170</v>
      </c>
    </row>
    <row r="2" spans="1:7" ht="409.5" x14ac:dyDescent="0.25">
      <c r="A2" s="123">
        <v>1</v>
      </c>
      <c r="B2" s="123" t="s">
        <v>2541</v>
      </c>
      <c r="C2" s="123" t="s">
        <v>2542</v>
      </c>
      <c r="D2" s="124" t="s">
        <v>2482</v>
      </c>
      <c r="E2" s="123" t="s">
        <v>2543</v>
      </c>
      <c r="F2" s="123" t="s">
        <v>2544</v>
      </c>
      <c r="G2" s="125" t="s">
        <v>1171</v>
      </c>
    </row>
    <row r="3" spans="1:7" ht="409.5" x14ac:dyDescent="0.25">
      <c r="A3" s="123">
        <v>2</v>
      </c>
      <c r="B3" s="123" t="s">
        <v>2545</v>
      </c>
      <c r="C3" s="123" t="s">
        <v>2546</v>
      </c>
      <c r="D3" s="124" t="s">
        <v>2482</v>
      </c>
      <c r="E3" s="123" t="s">
        <v>2547</v>
      </c>
      <c r="F3" s="123" t="s">
        <v>2548</v>
      </c>
      <c r="G3" s="125" t="s">
        <v>1171</v>
      </c>
    </row>
    <row r="4" spans="1:7" ht="409.5" x14ac:dyDescent="0.25">
      <c r="A4" s="123">
        <v>3</v>
      </c>
      <c r="B4" s="123" t="s">
        <v>2549</v>
      </c>
      <c r="C4" s="123" t="s">
        <v>2550</v>
      </c>
      <c r="D4" s="124" t="s">
        <v>2482</v>
      </c>
      <c r="E4" s="123" t="s">
        <v>2551</v>
      </c>
      <c r="F4" s="123" t="s">
        <v>2552</v>
      </c>
      <c r="G4" s="125" t="s">
        <v>1171</v>
      </c>
    </row>
    <row r="5" spans="1:7" ht="409.5" x14ac:dyDescent="0.25">
      <c r="A5" s="123">
        <v>4</v>
      </c>
      <c r="B5" s="123" t="s">
        <v>2553</v>
      </c>
      <c r="C5" s="123" t="s">
        <v>2554</v>
      </c>
      <c r="D5" s="124" t="s">
        <v>2482</v>
      </c>
      <c r="E5" s="123" t="s">
        <v>2555</v>
      </c>
      <c r="F5" s="123" t="s">
        <v>2556</v>
      </c>
      <c r="G5" s="125" t="s">
        <v>1171</v>
      </c>
    </row>
    <row r="6" spans="1:7" ht="409.5" x14ac:dyDescent="0.25">
      <c r="A6" s="123">
        <v>5</v>
      </c>
      <c r="B6" s="123" t="s">
        <v>2557</v>
      </c>
      <c r="C6" s="123" t="s">
        <v>2558</v>
      </c>
      <c r="D6" s="124" t="s">
        <v>2482</v>
      </c>
      <c r="E6" s="123" t="s">
        <v>2559</v>
      </c>
      <c r="F6" s="123" t="s">
        <v>2560</v>
      </c>
      <c r="G6" s="125" t="s">
        <v>1171</v>
      </c>
    </row>
    <row r="7" spans="1:7" ht="409.5" x14ac:dyDescent="0.25">
      <c r="A7" s="123">
        <v>6</v>
      </c>
      <c r="B7" s="123" t="s">
        <v>2561</v>
      </c>
      <c r="C7" s="123" t="s">
        <v>2562</v>
      </c>
      <c r="D7" s="124" t="s">
        <v>2482</v>
      </c>
      <c r="E7" s="123" t="s">
        <v>2563</v>
      </c>
      <c r="F7" s="123" t="s">
        <v>2564</v>
      </c>
      <c r="G7" s="125" t="s">
        <v>1171</v>
      </c>
    </row>
    <row r="8" spans="1:7" ht="409.5" x14ac:dyDescent="0.25">
      <c r="A8" s="123">
        <v>7</v>
      </c>
      <c r="B8" s="123" t="s">
        <v>2565</v>
      </c>
      <c r="C8" s="123" t="s">
        <v>2566</v>
      </c>
      <c r="D8" s="124" t="s">
        <v>2482</v>
      </c>
      <c r="E8" s="123" t="s">
        <v>2567</v>
      </c>
      <c r="F8" s="123" t="s">
        <v>2568</v>
      </c>
      <c r="G8" s="125" t="s">
        <v>1171</v>
      </c>
    </row>
    <row r="9" spans="1:7" ht="409.5" x14ac:dyDescent="0.25">
      <c r="A9" s="123">
        <v>8</v>
      </c>
      <c r="B9" s="123" t="s">
        <v>2569</v>
      </c>
      <c r="C9" s="123" t="s">
        <v>2570</v>
      </c>
      <c r="D9" s="124" t="s">
        <v>2482</v>
      </c>
      <c r="E9" s="123" t="s">
        <v>2571</v>
      </c>
      <c r="F9" s="123" t="s">
        <v>2572</v>
      </c>
      <c r="G9" s="125" t="s">
        <v>1171</v>
      </c>
    </row>
    <row r="10" spans="1:7" ht="409.5" x14ac:dyDescent="0.25">
      <c r="A10" s="123">
        <v>9</v>
      </c>
      <c r="B10" s="123" t="s">
        <v>2573</v>
      </c>
      <c r="C10" s="123" t="s">
        <v>2574</v>
      </c>
      <c r="D10" s="124" t="s">
        <v>2482</v>
      </c>
      <c r="E10" s="123" t="s">
        <v>2575</v>
      </c>
      <c r="F10" s="123" t="s">
        <v>2576</v>
      </c>
      <c r="G10" s="125" t="s">
        <v>1171</v>
      </c>
    </row>
    <row r="11" spans="1:7" ht="409.5" x14ac:dyDescent="0.25">
      <c r="A11" s="123">
        <v>10</v>
      </c>
      <c r="B11" s="123" t="s">
        <v>2577</v>
      </c>
      <c r="C11" s="123" t="s">
        <v>2578</v>
      </c>
      <c r="D11" s="124" t="s">
        <v>2482</v>
      </c>
      <c r="E11" s="123" t="s">
        <v>2579</v>
      </c>
      <c r="F11" s="123" t="s">
        <v>2580</v>
      </c>
      <c r="G11" s="125" t="s">
        <v>1171</v>
      </c>
    </row>
    <row r="12" spans="1:7" ht="409.5" x14ac:dyDescent="0.25">
      <c r="A12" s="123">
        <v>11</v>
      </c>
      <c r="B12" s="123" t="s">
        <v>2581</v>
      </c>
      <c r="C12" s="123" t="s">
        <v>2582</v>
      </c>
      <c r="D12" s="124" t="s">
        <v>2482</v>
      </c>
      <c r="E12" s="123" t="s">
        <v>2583</v>
      </c>
      <c r="F12" s="123" t="s">
        <v>2584</v>
      </c>
      <c r="G12" s="125" t="s">
        <v>1171</v>
      </c>
    </row>
    <row r="13" spans="1:7" ht="409.5" x14ac:dyDescent="0.25">
      <c r="A13" s="123">
        <v>12</v>
      </c>
      <c r="B13" s="123" t="s">
        <v>2585</v>
      </c>
      <c r="C13" s="123" t="s">
        <v>2586</v>
      </c>
      <c r="D13" s="124" t="s">
        <v>2482</v>
      </c>
      <c r="E13" s="123" t="s">
        <v>2587</v>
      </c>
      <c r="F13" s="123" t="s">
        <v>2588</v>
      </c>
      <c r="G13" s="125" t="s">
        <v>1171</v>
      </c>
    </row>
    <row r="14" spans="1:7" ht="409.5" x14ac:dyDescent="0.25">
      <c r="A14" s="123">
        <v>13</v>
      </c>
      <c r="B14" s="123" t="s">
        <v>2589</v>
      </c>
      <c r="C14" s="123" t="s">
        <v>2590</v>
      </c>
      <c r="D14" s="124" t="s">
        <v>2482</v>
      </c>
      <c r="E14" s="123" t="s">
        <v>2591</v>
      </c>
      <c r="F14" s="123" t="s">
        <v>2592</v>
      </c>
      <c r="G14" s="125" t="s">
        <v>1171</v>
      </c>
    </row>
    <row r="15" spans="1:7" ht="409.5" x14ac:dyDescent="0.25">
      <c r="A15" s="123">
        <v>14</v>
      </c>
      <c r="B15" s="123" t="s">
        <v>2593</v>
      </c>
      <c r="C15" s="123" t="s">
        <v>2594</v>
      </c>
      <c r="D15" s="124" t="s">
        <v>2482</v>
      </c>
      <c r="E15" s="123" t="s">
        <v>2595</v>
      </c>
      <c r="F15" s="123" t="s">
        <v>2596</v>
      </c>
      <c r="G15" s="125" t="s">
        <v>1171</v>
      </c>
    </row>
    <row r="16" spans="1:7" ht="409.5" x14ac:dyDescent="0.25">
      <c r="A16" s="123">
        <v>15</v>
      </c>
      <c r="B16" s="123" t="s">
        <v>2597</v>
      </c>
      <c r="C16" s="123" t="s">
        <v>2598</v>
      </c>
      <c r="D16" s="124" t="s">
        <v>2482</v>
      </c>
      <c r="E16" s="123" t="s">
        <v>2599</v>
      </c>
      <c r="F16" s="123" t="s">
        <v>2600</v>
      </c>
      <c r="G16" s="125" t="s">
        <v>1171</v>
      </c>
    </row>
    <row r="17" spans="1:7" ht="409.5" x14ac:dyDescent="0.25">
      <c r="A17" s="123">
        <v>16</v>
      </c>
      <c r="B17" s="123" t="s">
        <v>2601</v>
      </c>
      <c r="C17" s="123" t="s">
        <v>2602</v>
      </c>
      <c r="D17" s="124" t="s">
        <v>2482</v>
      </c>
      <c r="E17" s="123" t="s">
        <v>2603</v>
      </c>
      <c r="F17" s="123" t="s">
        <v>2604</v>
      </c>
      <c r="G17" s="125" t="s">
        <v>1171</v>
      </c>
    </row>
    <row r="18" spans="1:7" ht="409.5" x14ac:dyDescent="0.25">
      <c r="A18" s="123">
        <v>17</v>
      </c>
      <c r="B18" s="123" t="s">
        <v>2605</v>
      </c>
      <c r="C18" s="123" t="s">
        <v>2606</v>
      </c>
      <c r="D18" s="124" t="s">
        <v>2482</v>
      </c>
      <c r="E18" s="123" t="s">
        <v>2607</v>
      </c>
      <c r="F18" s="123" t="s">
        <v>2608</v>
      </c>
      <c r="G18" s="125" t="s">
        <v>1171</v>
      </c>
    </row>
    <row r="19" spans="1:7" ht="409.5" x14ac:dyDescent="0.25">
      <c r="A19" s="123">
        <v>18</v>
      </c>
      <c r="B19" s="123" t="s">
        <v>2609</v>
      </c>
      <c r="C19" s="123" t="s">
        <v>2610</v>
      </c>
      <c r="D19" s="124" t="s">
        <v>2482</v>
      </c>
      <c r="E19" s="123" t="s">
        <v>2611</v>
      </c>
      <c r="F19" s="123" t="s">
        <v>2612</v>
      </c>
      <c r="G19" s="125" t="s">
        <v>1171</v>
      </c>
    </row>
    <row r="20" spans="1:7" ht="409.5" x14ac:dyDescent="0.25">
      <c r="A20" s="123">
        <v>19</v>
      </c>
      <c r="B20" s="123" t="s">
        <v>2613</v>
      </c>
      <c r="C20" s="123" t="s">
        <v>2614</v>
      </c>
      <c r="D20" s="124" t="s">
        <v>2482</v>
      </c>
      <c r="E20" s="123" t="s">
        <v>2615</v>
      </c>
      <c r="F20" s="123" t="s">
        <v>2616</v>
      </c>
      <c r="G20" s="125" t="s">
        <v>1171</v>
      </c>
    </row>
    <row r="21" spans="1:7" ht="409.5" x14ac:dyDescent="0.25">
      <c r="A21" s="123">
        <v>20</v>
      </c>
      <c r="B21" s="123" t="s">
        <v>2617</v>
      </c>
      <c r="C21" s="123" t="s">
        <v>2618</v>
      </c>
      <c r="D21" s="124" t="s">
        <v>2482</v>
      </c>
      <c r="E21" s="123" t="s">
        <v>2619</v>
      </c>
      <c r="F21" s="123" t="s">
        <v>2620</v>
      </c>
      <c r="G21" s="125" t="s">
        <v>1171</v>
      </c>
    </row>
    <row r="22" spans="1:7" ht="409.5" x14ac:dyDescent="0.25">
      <c r="A22" s="123">
        <v>21</v>
      </c>
      <c r="B22" s="123" t="s">
        <v>2621</v>
      </c>
      <c r="C22" s="123" t="s">
        <v>2622</v>
      </c>
      <c r="D22" s="124" t="s">
        <v>2482</v>
      </c>
      <c r="E22" s="123" t="s">
        <v>2623</v>
      </c>
      <c r="F22" s="123" t="s">
        <v>2624</v>
      </c>
      <c r="G22" s="125" t="s">
        <v>1171</v>
      </c>
    </row>
    <row r="23" spans="1:7" ht="409.5" x14ac:dyDescent="0.25">
      <c r="A23" s="123">
        <v>22</v>
      </c>
      <c r="B23" s="123" t="s">
        <v>2625</v>
      </c>
      <c r="C23" s="123" t="s">
        <v>2626</v>
      </c>
      <c r="D23" s="124" t="s">
        <v>2482</v>
      </c>
      <c r="E23" s="123" t="s">
        <v>2627</v>
      </c>
      <c r="F23" s="123" t="s">
        <v>2628</v>
      </c>
      <c r="G23" s="125" t="s">
        <v>1171</v>
      </c>
    </row>
    <row r="24" spans="1:7" ht="409.5" x14ac:dyDescent="0.25">
      <c r="A24" s="123">
        <v>23</v>
      </c>
      <c r="B24" s="123" t="s">
        <v>2629</v>
      </c>
      <c r="C24" s="123" t="s">
        <v>2630</v>
      </c>
      <c r="D24" s="124" t="s">
        <v>2482</v>
      </c>
      <c r="E24" s="123" t="s">
        <v>2631</v>
      </c>
      <c r="F24" s="123" t="s">
        <v>2632</v>
      </c>
      <c r="G24" s="125" t="s">
        <v>1171</v>
      </c>
    </row>
    <row r="25" spans="1:7" ht="409.5" x14ac:dyDescent="0.25">
      <c r="A25" s="123">
        <v>24</v>
      </c>
      <c r="B25" s="123" t="s">
        <v>2633</v>
      </c>
      <c r="C25" s="123" t="s">
        <v>2634</v>
      </c>
      <c r="D25" s="124" t="s">
        <v>2482</v>
      </c>
      <c r="E25" s="123" t="s">
        <v>2635</v>
      </c>
      <c r="F25" s="123" t="s">
        <v>2636</v>
      </c>
      <c r="G25" s="125" t="s">
        <v>1171</v>
      </c>
    </row>
    <row r="26" spans="1:7" ht="409.5" x14ac:dyDescent="0.25">
      <c r="A26" s="123">
        <v>25</v>
      </c>
      <c r="B26" s="123" t="s">
        <v>2637</v>
      </c>
      <c r="C26" s="123" t="s">
        <v>2638</v>
      </c>
      <c r="D26" s="124" t="s">
        <v>2482</v>
      </c>
      <c r="E26" s="123" t="s">
        <v>2639</v>
      </c>
      <c r="F26" s="123" t="s">
        <v>2640</v>
      </c>
      <c r="G26" s="125" t="s">
        <v>1171</v>
      </c>
    </row>
    <row r="27" spans="1:7" ht="409.5" x14ac:dyDescent="0.25">
      <c r="A27" s="123">
        <v>26</v>
      </c>
      <c r="B27" s="123" t="s">
        <v>2641</v>
      </c>
      <c r="C27" s="123" t="s">
        <v>2642</v>
      </c>
      <c r="D27" s="124" t="s">
        <v>2482</v>
      </c>
      <c r="E27" s="123" t="s">
        <v>2643</v>
      </c>
      <c r="F27" s="123" t="s">
        <v>2644</v>
      </c>
      <c r="G27" s="125" t="s">
        <v>1171</v>
      </c>
    </row>
    <row r="28" spans="1:7" ht="409.5" x14ac:dyDescent="0.25">
      <c r="A28" s="123">
        <v>27</v>
      </c>
      <c r="B28" s="123" t="s">
        <v>2645</v>
      </c>
      <c r="C28" s="123" t="s">
        <v>2646</v>
      </c>
      <c r="D28" s="124" t="s">
        <v>2482</v>
      </c>
      <c r="E28" s="123" t="s">
        <v>2647</v>
      </c>
      <c r="F28" s="123" t="s">
        <v>2648</v>
      </c>
      <c r="G28" s="125" t="s">
        <v>1171</v>
      </c>
    </row>
    <row r="29" spans="1:7" ht="409.5" x14ac:dyDescent="0.25">
      <c r="A29" s="123">
        <v>28</v>
      </c>
      <c r="B29" s="123" t="s">
        <v>2649</v>
      </c>
      <c r="C29" s="123" t="s">
        <v>2650</v>
      </c>
      <c r="D29" s="124" t="s">
        <v>2482</v>
      </c>
      <c r="E29" s="123" t="s">
        <v>2651</v>
      </c>
      <c r="F29" s="123" t="s">
        <v>2652</v>
      </c>
      <c r="G29" s="125" t="s">
        <v>1171</v>
      </c>
    </row>
    <row r="30" spans="1:7" ht="409.5" x14ac:dyDescent="0.25">
      <c r="A30" s="123">
        <v>29</v>
      </c>
      <c r="B30" s="123" t="s">
        <v>2653</v>
      </c>
      <c r="C30" s="123" t="s">
        <v>2654</v>
      </c>
      <c r="D30" s="124" t="s">
        <v>2482</v>
      </c>
      <c r="E30" s="123" t="s">
        <v>2655</v>
      </c>
      <c r="F30" s="123" t="s">
        <v>2656</v>
      </c>
      <c r="G30" s="125" t="s">
        <v>1171</v>
      </c>
    </row>
    <row r="31" spans="1:7" ht="409.5" x14ac:dyDescent="0.25">
      <c r="A31" s="123">
        <v>30</v>
      </c>
      <c r="B31" s="123" t="s">
        <v>2657</v>
      </c>
      <c r="C31" s="123" t="s">
        <v>2658</v>
      </c>
      <c r="D31" s="124" t="s">
        <v>2482</v>
      </c>
      <c r="E31" s="123" t="s">
        <v>2659</v>
      </c>
      <c r="F31" s="123" t="s">
        <v>2660</v>
      </c>
      <c r="G31" s="125" t="s">
        <v>1171</v>
      </c>
    </row>
    <row r="32" spans="1:7" ht="409.5" x14ac:dyDescent="0.25">
      <c r="A32" s="123">
        <v>31</v>
      </c>
      <c r="B32" s="123" t="s">
        <v>2661</v>
      </c>
      <c r="C32" s="123" t="s">
        <v>2662</v>
      </c>
      <c r="D32" s="124" t="s">
        <v>2482</v>
      </c>
      <c r="E32" s="123" t="s">
        <v>2663</v>
      </c>
      <c r="F32" s="123" t="s">
        <v>2664</v>
      </c>
      <c r="G32" s="125" t="s">
        <v>1171</v>
      </c>
    </row>
    <row r="33" spans="1:7" ht="409.5" x14ac:dyDescent="0.25">
      <c r="A33" s="123">
        <v>32</v>
      </c>
      <c r="B33" s="123" t="s">
        <v>2665</v>
      </c>
      <c r="C33" s="123" t="s">
        <v>2666</v>
      </c>
      <c r="D33" s="124" t="s">
        <v>2482</v>
      </c>
      <c r="E33" s="123" t="s">
        <v>2667</v>
      </c>
      <c r="F33" s="123" t="s">
        <v>2668</v>
      </c>
      <c r="G33" s="125" t="s">
        <v>1171</v>
      </c>
    </row>
    <row r="34" spans="1:7" ht="409.5" x14ac:dyDescent="0.25">
      <c r="A34" s="123">
        <v>33</v>
      </c>
      <c r="B34" s="123" t="s">
        <v>2669</v>
      </c>
      <c r="C34" s="123" t="s">
        <v>2670</v>
      </c>
      <c r="D34" s="124" t="s">
        <v>2482</v>
      </c>
      <c r="E34" s="123" t="s">
        <v>2671</v>
      </c>
      <c r="F34" s="123" t="s">
        <v>2672</v>
      </c>
      <c r="G34" s="125" t="s">
        <v>1171</v>
      </c>
    </row>
    <row r="35" spans="1:7" ht="409.5" x14ac:dyDescent="0.25">
      <c r="A35" s="123">
        <v>34</v>
      </c>
      <c r="B35" s="123" t="s">
        <v>2673</v>
      </c>
      <c r="C35" s="123" t="s">
        <v>2674</v>
      </c>
      <c r="D35" s="124" t="s">
        <v>2482</v>
      </c>
      <c r="E35" s="123" t="s">
        <v>2675</v>
      </c>
      <c r="F35" s="123" t="s">
        <v>2676</v>
      </c>
      <c r="G35" s="125" t="s">
        <v>1171</v>
      </c>
    </row>
    <row r="36" spans="1:7" ht="409.5" x14ac:dyDescent="0.25">
      <c r="A36" s="123">
        <v>35</v>
      </c>
      <c r="B36" s="123" t="s">
        <v>2677</v>
      </c>
      <c r="C36" s="123" t="s">
        <v>2678</v>
      </c>
      <c r="D36" s="124" t="s">
        <v>2482</v>
      </c>
      <c r="E36" s="123" t="s">
        <v>2679</v>
      </c>
      <c r="F36" s="123" t="s">
        <v>2680</v>
      </c>
      <c r="G36" s="125" t="s">
        <v>1171</v>
      </c>
    </row>
    <row r="37" spans="1:7" ht="409.5" x14ac:dyDescent="0.25">
      <c r="A37" s="123">
        <v>36</v>
      </c>
      <c r="B37" s="123" t="s">
        <v>2681</v>
      </c>
      <c r="C37" s="123" t="s">
        <v>2682</v>
      </c>
      <c r="D37" s="124" t="s">
        <v>2482</v>
      </c>
      <c r="E37" s="123" t="s">
        <v>2683</v>
      </c>
      <c r="F37" s="123" t="s">
        <v>2684</v>
      </c>
      <c r="G37" s="125" t="s">
        <v>1171</v>
      </c>
    </row>
    <row r="38" spans="1:7" ht="409.5" x14ac:dyDescent="0.25">
      <c r="A38" s="123">
        <v>37</v>
      </c>
      <c r="B38" s="123" t="s">
        <v>2541</v>
      </c>
      <c r="C38" s="123" t="s">
        <v>2685</v>
      </c>
      <c r="D38" s="124" t="s">
        <v>2482</v>
      </c>
      <c r="E38" s="123" t="s">
        <v>2686</v>
      </c>
      <c r="F38" s="123" t="s">
        <v>2687</v>
      </c>
      <c r="G38" s="125" t="s">
        <v>1171</v>
      </c>
    </row>
    <row r="39" spans="1:7" ht="409.5" x14ac:dyDescent="0.25">
      <c r="A39" s="123">
        <v>38</v>
      </c>
      <c r="B39" s="123" t="s">
        <v>2688</v>
      </c>
      <c r="C39" s="123" t="s">
        <v>2689</v>
      </c>
      <c r="D39" s="124" t="s">
        <v>2482</v>
      </c>
      <c r="E39" s="123" t="s">
        <v>2690</v>
      </c>
      <c r="F39" s="123" t="s">
        <v>2691</v>
      </c>
      <c r="G39" s="125" t="s">
        <v>1171</v>
      </c>
    </row>
    <row r="40" spans="1:7" ht="409.5" x14ac:dyDescent="0.25">
      <c r="A40" s="123">
        <v>39</v>
      </c>
      <c r="B40" s="123" t="s">
        <v>2692</v>
      </c>
      <c r="C40" s="123" t="s">
        <v>2693</v>
      </c>
      <c r="D40" s="124" t="s">
        <v>2482</v>
      </c>
      <c r="E40" s="123" t="s">
        <v>2694</v>
      </c>
      <c r="F40" s="123" t="s">
        <v>2695</v>
      </c>
      <c r="G40" s="125" t="s">
        <v>1171</v>
      </c>
    </row>
    <row r="41" spans="1:7" ht="409.5" x14ac:dyDescent="0.25">
      <c r="A41" s="123">
        <v>40</v>
      </c>
      <c r="B41" s="123" t="s">
        <v>2696</v>
      </c>
      <c r="C41" s="123" t="s">
        <v>2697</v>
      </c>
      <c r="D41" s="124" t="s">
        <v>2482</v>
      </c>
      <c r="E41" s="123" t="s">
        <v>2698</v>
      </c>
      <c r="F41" s="123" t="s">
        <v>2699</v>
      </c>
      <c r="G41" s="125" t="s">
        <v>1171</v>
      </c>
    </row>
    <row r="42" spans="1:7" ht="409.5" x14ac:dyDescent="0.25">
      <c r="A42" s="123">
        <v>41</v>
      </c>
      <c r="B42" s="123" t="s">
        <v>2700</v>
      </c>
      <c r="C42" s="123" t="s">
        <v>2701</v>
      </c>
      <c r="D42" s="124" t="s">
        <v>2482</v>
      </c>
      <c r="E42" s="123" t="s">
        <v>2702</v>
      </c>
      <c r="F42" s="123" t="s">
        <v>2703</v>
      </c>
      <c r="G42" s="125" t="s">
        <v>1171</v>
      </c>
    </row>
    <row r="43" spans="1:7" ht="409.5" x14ac:dyDescent="0.25">
      <c r="A43" s="123">
        <v>42</v>
      </c>
      <c r="B43" s="123" t="s">
        <v>2704</v>
      </c>
      <c r="C43" s="123" t="s">
        <v>2705</v>
      </c>
      <c r="D43" s="124" t="s">
        <v>2482</v>
      </c>
      <c r="E43" s="123" t="s">
        <v>2706</v>
      </c>
      <c r="F43" s="123" t="s">
        <v>2707</v>
      </c>
      <c r="G43" s="125" t="s">
        <v>1171</v>
      </c>
    </row>
    <row r="44" spans="1:7" ht="409.5" x14ac:dyDescent="0.25">
      <c r="A44" s="123">
        <v>43</v>
      </c>
      <c r="B44" s="123" t="s">
        <v>2708</v>
      </c>
      <c r="C44" s="123" t="s">
        <v>2709</v>
      </c>
      <c r="D44" s="124" t="s">
        <v>2482</v>
      </c>
      <c r="E44" s="123" t="s">
        <v>2710</v>
      </c>
      <c r="F44" s="123" t="s">
        <v>2711</v>
      </c>
      <c r="G44" s="125" t="s">
        <v>1171</v>
      </c>
    </row>
    <row r="45" spans="1:7" ht="409.5" x14ac:dyDescent="0.25">
      <c r="A45" s="123">
        <v>44</v>
      </c>
      <c r="B45" s="123" t="s">
        <v>2712</v>
      </c>
      <c r="C45" s="123" t="s">
        <v>2713</v>
      </c>
      <c r="D45" s="124" t="s">
        <v>2482</v>
      </c>
      <c r="E45" s="123" t="s">
        <v>2714</v>
      </c>
      <c r="F45" s="123" t="s">
        <v>2715</v>
      </c>
      <c r="G45" s="125" t="s">
        <v>1171</v>
      </c>
    </row>
    <row r="46" spans="1:7" ht="409.5" x14ac:dyDescent="0.25">
      <c r="A46" s="123">
        <v>45</v>
      </c>
      <c r="B46" s="123" t="s">
        <v>2716</v>
      </c>
      <c r="C46" s="123" t="s">
        <v>2717</v>
      </c>
      <c r="D46" s="124" t="s">
        <v>2482</v>
      </c>
      <c r="E46" s="123" t="s">
        <v>2718</v>
      </c>
      <c r="F46" s="123" t="s">
        <v>2719</v>
      </c>
      <c r="G46" s="125" t="s">
        <v>1171</v>
      </c>
    </row>
    <row r="47" spans="1:7" ht="409.5" x14ac:dyDescent="0.25">
      <c r="A47" s="123">
        <v>46</v>
      </c>
      <c r="B47" s="123" t="s">
        <v>2720</v>
      </c>
      <c r="C47" s="123" t="s">
        <v>2721</v>
      </c>
      <c r="D47" s="124" t="s">
        <v>2482</v>
      </c>
      <c r="E47" s="123" t="s">
        <v>2722</v>
      </c>
      <c r="F47" s="123" t="s">
        <v>2723</v>
      </c>
      <c r="G47" s="125" t="s">
        <v>1171</v>
      </c>
    </row>
    <row r="48" spans="1:7" ht="409.5" x14ac:dyDescent="0.25">
      <c r="A48" s="123">
        <v>47</v>
      </c>
      <c r="B48" s="123" t="s">
        <v>2724</v>
      </c>
      <c r="C48" s="123" t="s">
        <v>2725</v>
      </c>
      <c r="D48" s="124" t="s">
        <v>2482</v>
      </c>
      <c r="E48" s="123" t="s">
        <v>2726</v>
      </c>
      <c r="F48" s="123" t="s">
        <v>2727</v>
      </c>
      <c r="G48" s="125" t="s">
        <v>1171</v>
      </c>
    </row>
    <row r="49" spans="1:7" ht="409.5" x14ac:dyDescent="0.25">
      <c r="A49" s="123">
        <v>48</v>
      </c>
      <c r="B49" s="123" t="s">
        <v>2728</v>
      </c>
      <c r="C49" s="123" t="s">
        <v>2729</v>
      </c>
      <c r="D49" s="124" t="s">
        <v>2482</v>
      </c>
      <c r="E49" s="123" t="s">
        <v>2730</v>
      </c>
      <c r="F49" s="123" t="s">
        <v>2731</v>
      </c>
      <c r="G49" s="125" t="s">
        <v>1171</v>
      </c>
    </row>
    <row r="50" spans="1:7" ht="409.5" x14ac:dyDescent="0.25">
      <c r="A50" s="123">
        <v>49</v>
      </c>
      <c r="B50" s="123" t="s">
        <v>2732</v>
      </c>
      <c r="C50" s="123" t="s">
        <v>2733</v>
      </c>
      <c r="D50" s="124" t="s">
        <v>2482</v>
      </c>
      <c r="E50" s="123" t="s">
        <v>2734</v>
      </c>
      <c r="F50" s="123" t="s">
        <v>2735</v>
      </c>
      <c r="G50" s="125" t="s">
        <v>1171</v>
      </c>
    </row>
    <row r="51" spans="1:7" ht="409.5" x14ac:dyDescent="0.25">
      <c r="A51" s="123">
        <v>50</v>
      </c>
      <c r="B51" s="123" t="s">
        <v>2736</v>
      </c>
      <c r="C51" s="123" t="s">
        <v>2737</v>
      </c>
      <c r="D51" s="124" t="s">
        <v>2482</v>
      </c>
      <c r="E51" s="123" t="s">
        <v>2738</v>
      </c>
      <c r="F51" s="123" t="s">
        <v>2739</v>
      </c>
      <c r="G51" s="125" t="s">
        <v>1171</v>
      </c>
    </row>
    <row r="52" spans="1:7" ht="409.5" x14ac:dyDescent="0.25">
      <c r="A52" s="123">
        <v>51</v>
      </c>
      <c r="B52" s="123" t="s">
        <v>2740</v>
      </c>
      <c r="C52" s="123" t="s">
        <v>2741</v>
      </c>
      <c r="D52" s="124" t="s">
        <v>2482</v>
      </c>
      <c r="E52" s="123" t="s">
        <v>2742</v>
      </c>
      <c r="F52" s="123" t="s">
        <v>2743</v>
      </c>
      <c r="G52" s="125" t="s">
        <v>1171</v>
      </c>
    </row>
    <row r="53" spans="1:7" ht="409.5" x14ac:dyDescent="0.25">
      <c r="A53" s="123">
        <v>52</v>
      </c>
      <c r="B53" s="123" t="s">
        <v>2744</v>
      </c>
      <c r="C53" s="123" t="s">
        <v>2745</v>
      </c>
      <c r="D53" s="124" t="s">
        <v>2482</v>
      </c>
      <c r="E53" s="123" t="s">
        <v>2746</v>
      </c>
      <c r="F53" s="123" t="s">
        <v>2747</v>
      </c>
      <c r="G53" s="125" t="s">
        <v>1171</v>
      </c>
    </row>
    <row r="54" spans="1:7" ht="409.5" x14ac:dyDescent="0.25">
      <c r="A54" s="123">
        <v>53</v>
      </c>
      <c r="B54" s="123" t="s">
        <v>2748</v>
      </c>
      <c r="C54" s="123" t="s">
        <v>2749</v>
      </c>
      <c r="D54" s="124" t="s">
        <v>2482</v>
      </c>
      <c r="E54" s="123" t="s">
        <v>2750</v>
      </c>
      <c r="F54" s="123" t="s">
        <v>2751</v>
      </c>
      <c r="G54" s="125" t="s">
        <v>1171</v>
      </c>
    </row>
    <row r="55" spans="1:7" ht="409.5" x14ac:dyDescent="0.25">
      <c r="A55" s="123">
        <v>54</v>
      </c>
      <c r="B55" s="123" t="s">
        <v>2752</v>
      </c>
      <c r="C55" s="123" t="s">
        <v>2753</v>
      </c>
      <c r="D55" s="124" t="s">
        <v>2482</v>
      </c>
      <c r="E55" s="123" t="s">
        <v>2754</v>
      </c>
      <c r="F55" s="123" t="s">
        <v>2755</v>
      </c>
      <c r="G55" s="125" t="s">
        <v>1171</v>
      </c>
    </row>
    <row r="56" spans="1:7" ht="409.5" x14ac:dyDescent="0.25">
      <c r="A56" s="123">
        <v>55</v>
      </c>
      <c r="B56" s="123" t="s">
        <v>2756</v>
      </c>
      <c r="C56" s="123" t="s">
        <v>2757</v>
      </c>
      <c r="D56" s="124" t="s">
        <v>2482</v>
      </c>
      <c r="E56" s="123" t="s">
        <v>2758</v>
      </c>
      <c r="F56" s="123" t="s">
        <v>2759</v>
      </c>
      <c r="G56" s="125" t="s">
        <v>1171</v>
      </c>
    </row>
    <row r="57" spans="1:7" ht="409.5" x14ac:dyDescent="0.25">
      <c r="A57" s="123">
        <v>56</v>
      </c>
      <c r="B57" s="123" t="s">
        <v>2760</v>
      </c>
      <c r="C57" s="123" t="s">
        <v>2761</v>
      </c>
      <c r="D57" s="124" t="s">
        <v>2482</v>
      </c>
      <c r="E57" s="123" t="s">
        <v>2762</v>
      </c>
      <c r="F57" s="123" t="s">
        <v>2763</v>
      </c>
      <c r="G57" s="125" t="s">
        <v>1171</v>
      </c>
    </row>
    <row r="58" spans="1:7" ht="409.5" x14ac:dyDescent="0.25">
      <c r="A58" s="123">
        <v>57</v>
      </c>
      <c r="B58" s="123" t="s">
        <v>2764</v>
      </c>
      <c r="C58" s="123" t="s">
        <v>2765</v>
      </c>
      <c r="D58" s="124" t="s">
        <v>2482</v>
      </c>
      <c r="E58" s="123" t="s">
        <v>2766</v>
      </c>
      <c r="F58" s="123" t="s">
        <v>2767</v>
      </c>
      <c r="G58" s="125" t="s">
        <v>1171</v>
      </c>
    </row>
    <row r="59" spans="1:7" ht="409.5" x14ac:dyDescent="0.25">
      <c r="A59" s="123">
        <v>58</v>
      </c>
      <c r="B59" s="123" t="s">
        <v>2768</v>
      </c>
      <c r="C59" s="123" t="s">
        <v>2769</v>
      </c>
      <c r="D59" s="124" t="s">
        <v>2482</v>
      </c>
      <c r="E59" s="123" t="s">
        <v>2770</v>
      </c>
      <c r="F59" s="123" t="s">
        <v>2771</v>
      </c>
      <c r="G59" s="125" t="s">
        <v>1171</v>
      </c>
    </row>
    <row r="60" spans="1:7" ht="409.5" x14ac:dyDescent="0.25">
      <c r="A60" s="123">
        <v>59</v>
      </c>
      <c r="B60" s="123" t="s">
        <v>2772</v>
      </c>
      <c r="C60" s="123" t="s">
        <v>2773</v>
      </c>
      <c r="D60" s="124" t="s">
        <v>2482</v>
      </c>
      <c r="E60" s="123" t="s">
        <v>2774</v>
      </c>
      <c r="F60" s="123" t="s">
        <v>2775</v>
      </c>
      <c r="G60" s="125" t="s">
        <v>1171</v>
      </c>
    </row>
    <row r="61" spans="1:7" ht="409.5" x14ac:dyDescent="0.25">
      <c r="A61" s="123">
        <v>60</v>
      </c>
      <c r="B61" s="123" t="s">
        <v>2776</v>
      </c>
      <c r="C61" s="123" t="s">
        <v>2777</v>
      </c>
      <c r="D61" s="124" t="s">
        <v>2482</v>
      </c>
      <c r="E61" s="123" t="s">
        <v>2778</v>
      </c>
      <c r="F61" s="123" t="s">
        <v>2779</v>
      </c>
      <c r="G61" s="125" t="s">
        <v>1171</v>
      </c>
    </row>
    <row r="62" spans="1:7" ht="409.5" x14ac:dyDescent="0.25">
      <c r="A62" s="123">
        <v>61</v>
      </c>
      <c r="B62" s="123" t="s">
        <v>2780</v>
      </c>
      <c r="C62" s="123" t="s">
        <v>2781</v>
      </c>
      <c r="D62" s="124" t="s">
        <v>2482</v>
      </c>
      <c r="E62" s="123" t="s">
        <v>2782</v>
      </c>
      <c r="F62" s="123" t="s">
        <v>2783</v>
      </c>
      <c r="G62" s="125" t="s">
        <v>1171</v>
      </c>
    </row>
    <row r="63" spans="1:7" ht="409.5" x14ac:dyDescent="0.25">
      <c r="A63" s="123">
        <v>62</v>
      </c>
      <c r="B63" s="123" t="s">
        <v>2784</v>
      </c>
      <c r="C63" s="123" t="s">
        <v>2785</v>
      </c>
      <c r="D63" s="124" t="s">
        <v>2482</v>
      </c>
      <c r="E63" s="123" t="s">
        <v>2786</v>
      </c>
      <c r="F63" s="123" t="s">
        <v>2787</v>
      </c>
      <c r="G63" s="125" t="s">
        <v>1171</v>
      </c>
    </row>
    <row r="64" spans="1:7" ht="362.25" x14ac:dyDescent="0.25">
      <c r="A64" s="123">
        <v>63</v>
      </c>
      <c r="B64" s="123" t="s">
        <v>2788</v>
      </c>
      <c r="C64" s="123" t="s">
        <v>2789</v>
      </c>
      <c r="D64" s="124" t="s">
        <v>2482</v>
      </c>
      <c r="E64" s="123" t="s">
        <v>2790</v>
      </c>
      <c r="F64" s="123" t="s">
        <v>2791</v>
      </c>
      <c r="G64" s="125" t="s">
        <v>1171</v>
      </c>
    </row>
    <row r="65" spans="1:7" ht="409.5" x14ac:dyDescent="0.25">
      <c r="A65" s="123">
        <v>64</v>
      </c>
      <c r="B65" s="123" t="s">
        <v>2792</v>
      </c>
      <c r="C65" s="123" t="s">
        <v>2793</v>
      </c>
      <c r="D65" s="124" t="s">
        <v>2482</v>
      </c>
      <c r="E65" s="123" t="s">
        <v>2794</v>
      </c>
      <c r="F65" s="123" t="s">
        <v>2795</v>
      </c>
      <c r="G65" s="125" t="s">
        <v>1171</v>
      </c>
    </row>
    <row r="66" spans="1:7" ht="409.5" x14ac:dyDescent="0.25">
      <c r="A66" s="123">
        <v>65</v>
      </c>
      <c r="B66" s="123" t="s">
        <v>2796</v>
      </c>
      <c r="C66" s="123" t="s">
        <v>2797</v>
      </c>
      <c r="D66" s="124" t="s">
        <v>2482</v>
      </c>
      <c r="E66" s="123" t="s">
        <v>2798</v>
      </c>
      <c r="F66" s="123" t="s">
        <v>2799</v>
      </c>
      <c r="G66" s="125" t="s">
        <v>1171</v>
      </c>
    </row>
    <row r="67" spans="1:7" ht="409.5" x14ac:dyDescent="0.25">
      <c r="A67" s="123">
        <v>66</v>
      </c>
      <c r="B67" s="123" t="s">
        <v>2800</v>
      </c>
      <c r="C67" s="123" t="s">
        <v>2801</v>
      </c>
      <c r="D67" s="124" t="s">
        <v>2482</v>
      </c>
      <c r="E67" s="123" t="s">
        <v>2802</v>
      </c>
      <c r="F67" s="123" t="s">
        <v>2803</v>
      </c>
      <c r="G67" s="125" t="s">
        <v>1171</v>
      </c>
    </row>
    <row r="68" spans="1:7" ht="409.5" x14ac:dyDescent="0.25">
      <c r="A68" s="123">
        <v>67</v>
      </c>
      <c r="B68" s="123" t="s">
        <v>2804</v>
      </c>
      <c r="C68" s="123" t="s">
        <v>2805</v>
      </c>
      <c r="D68" s="124" t="s">
        <v>2482</v>
      </c>
      <c r="E68" s="123" t="s">
        <v>2806</v>
      </c>
      <c r="F68" s="123" t="s">
        <v>2807</v>
      </c>
      <c r="G68" s="125" t="s">
        <v>1171</v>
      </c>
    </row>
    <row r="69" spans="1:7" ht="393.75" x14ac:dyDescent="0.25">
      <c r="A69" s="123">
        <v>68</v>
      </c>
      <c r="B69" s="123" t="s">
        <v>2808</v>
      </c>
      <c r="C69" s="123" t="s">
        <v>2809</v>
      </c>
      <c r="D69" s="124" t="s">
        <v>2482</v>
      </c>
      <c r="E69" s="123" t="s">
        <v>2810</v>
      </c>
      <c r="F69" s="123" t="s">
        <v>2811</v>
      </c>
      <c r="G69" s="125" t="s">
        <v>1171</v>
      </c>
    </row>
    <row r="70" spans="1:7" ht="409.5" x14ac:dyDescent="0.25">
      <c r="A70" s="123">
        <v>69</v>
      </c>
      <c r="B70" s="123" t="s">
        <v>2812</v>
      </c>
      <c r="C70" s="123" t="s">
        <v>2813</v>
      </c>
      <c r="D70" s="124" t="s">
        <v>2471</v>
      </c>
      <c r="E70" s="123" t="s">
        <v>2814</v>
      </c>
      <c r="F70" s="123" t="s">
        <v>2815</v>
      </c>
      <c r="G70" s="125" t="s">
        <v>1171</v>
      </c>
    </row>
    <row r="71" spans="1:7" ht="409.5" x14ac:dyDescent="0.25">
      <c r="A71" s="123">
        <v>70</v>
      </c>
      <c r="B71" s="123" t="s">
        <v>2816</v>
      </c>
      <c r="C71" s="123" t="s">
        <v>2817</v>
      </c>
      <c r="D71" s="124" t="s">
        <v>2471</v>
      </c>
      <c r="E71" s="123" t="s">
        <v>2818</v>
      </c>
      <c r="F71" s="123" t="s">
        <v>2819</v>
      </c>
      <c r="G71" s="125" t="s">
        <v>1171</v>
      </c>
    </row>
    <row r="72" spans="1:7" ht="409.5" x14ac:dyDescent="0.25">
      <c r="A72" s="123">
        <v>71</v>
      </c>
      <c r="B72" s="123" t="s">
        <v>2820</v>
      </c>
      <c r="C72" s="123" t="s">
        <v>2821</v>
      </c>
      <c r="D72" s="124" t="s">
        <v>2471</v>
      </c>
      <c r="E72" s="123" t="s">
        <v>2822</v>
      </c>
      <c r="F72" s="123" t="s">
        <v>2823</v>
      </c>
      <c r="G72" s="125" t="s">
        <v>1171</v>
      </c>
    </row>
    <row r="73" spans="1:7" ht="393.75" x14ac:dyDescent="0.25">
      <c r="A73" s="123">
        <v>72</v>
      </c>
      <c r="B73" s="123" t="s">
        <v>2824</v>
      </c>
      <c r="C73" s="123" t="s">
        <v>2825</v>
      </c>
      <c r="D73" s="124" t="s">
        <v>2471</v>
      </c>
      <c r="E73" s="123" t="s">
        <v>2826</v>
      </c>
      <c r="F73" s="123" t="s">
        <v>2827</v>
      </c>
      <c r="G73" s="125" t="s">
        <v>1171</v>
      </c>
    </row>
    <row r="74" spans="1:7" ht="409.5" x14ac:dyDescent="0.25">
      <c r="A74" s="123">
        <v>73</v>
      </c>
      <c r="B74" s="123" t="s">
        <v>2828</v>
      </c>
      <c r="C74" s="123" t="s">
        <v>2829</v>
      </c>
      <c r="D74" s="124" t="s">
        <v>2471</v>
      </c>
      <c r="E74" s="123" t="s">
        <v>2830</v>
      </c>
      <c r="F74" s="123" t="s">
        <v>2831</v>
      </c>
      <c r="G74" s="125" t="s">
        <v>1171</v>
      </c>
    </row>
    <row r="75" spans="1:7" ht="409.5" x14ac:dyDescent="0.25">
      <c r="A75" s="123">
        <v>74</v>
      </c>
      <c r="B75" s="123" t="s">
        <v>2832</v>
      </c>
      <c r="C75" s="123" t="s">
        <v>2833</v>
      </c>
      <c r="D75" s="124" t="s">
        <v>2471</v>
      </c>
      <c r="E75" s="123" t="s">
        <v>2834</v>
      </c>
      <c r="F75" s="123" t="s">
        <v>2835</v>
      </c>
      <c r="G75" s="125" t="s">
        <v>1171</v>
      </c>
    </row>
    <row r="76" spans="1:7" ht="409.5" x14ac:dyDescent="0.25">
      <c r="A76" s="123">
        <v>75</v>
      </c>
      <c r="B76" s="123" t="s">
        <v>2836</v>
      </c>
      <c r="C76" s="123" t="s">
        <v>2837</v>
      </c>
      <c r="D76" s="124" t="s">
        <v>2471</v>
      </c>
      <c r="E76" s="123" t="s">
        <v>2838</v>
      </c>
      <c r="F76" s="123" t="s">
        <v>2839</v>
      </c>
      <c r="G76" s="125" t="s">
        <v>1171</v>
      </c>
    </row>
    <row r="77" spans="1:7" ht="409.5" x14ac:dyDescent="0.25">
      <c r="A77" s="123">
        <v>76</v>
      </c>
      <c r="B77" s="123" t="s">
        <v>2840</v>
      </c>
      <c r="C77" s="123" t="s">
        <v>2841</v>
      </c>
      <c r="D77" s="124" t="s">
        <v>2471</v>
      </c>
      <c r="E77" s="123" t="s">
        <v>2842</v>
      </c>
      <c r="F77" s="123" t="s">
        <v>2843</v>
      </c>
      <c r="G77" s="125" t="s">
        <v>1171</v>
      </c>
    </row>
    <row r="78" spans="1:7" ht="409.5" x14ac:dyDescent="0.25">
      <c r="A78" s="123">
        <v>77</v>
      </c>
      <c r="B78" s="123" t="s">
        <v>2844</v>
      </c>
      <c r="C78" s="123" t="s">
        <v>2845</v>
      </c>
      <c r="D78" s="124" t="s">
        <v>2471</v>
      </c>
      <c r="E78" s="123" t="s">
        <v>2846</v>
      </c>
      <c r="F78" s="123" t="s">
        <v>2847</v>
      </c>
      <c r="G78" s="125" t="s">
        <v>1171</v>
      </c>
    </row>
    <row r="79" spans="1:7" ht="409.5" x14ac:dyDescent="0.25">
      <c r="A79" s="123">
        <v>78</v>
      </c>
      <c r="B79" s="123" t="s">
        <v>2848</v>
      </c>
      <c r="C79" s="123" t="s">
        <v>2849</v>
      </c>
      <c r="D79" s="124" t="s">
        <v>2471</v>
      </c>
      <c r="E79" s="123" t="s">
        <v>2850</v>
      </c>
      <c r="F79" s="123" t="s">
        <v>2851</v>
      </c>
      <c r="G79" s="125" t="s">
        <v>1171</v>
      </c>
    </row>
    <row r="80" spans="1:7" ht="409.5" x14ac:dyDescent="0.25">
      <c r="A80" s="123">
        <v>79</v>
      </c>
      <c r="B80" s="123" t="s">
        <v>2852</v>
      </c>
      <c r="C80" s="123" t="s">
        <v>2853</v>
      </c>
      <c r="D80" s="124" t="s">
        <v>2471</v>
      </c>
      <c r="E80" s="123" t="s">
        <v>2854</v>
      </c>
      <c r="F80" s="123" t="s">
        <v>2855</v>
      </c>
      <c r="G80" s="125" t="s">
        <v>1171</v>
      </c>
    </row>
    <row r="81" spans="1:7" ht="409.5" x14ac:dyDescent="0.25">
      <c r="A81" s="123">
        <v>80</v>
      </c>
      <c r="B81" s="123" t="s">
        <v>2856</v>
      </c>
      <c r="C81" s="123" t="s">
        <v>2857</v>
      </c>
      <c r="D81" s="124" t="s">
        <v>2471</v>
      </c>
      <c r="E81" s="123" t="s">
        <v>2858</v>
      </c>
      <c r="F81" s="123" t="s">
        <v>2859</v>
      </c>
      <c r="G81" s="125" t="s">
        <v>1171</v>
      </c>
    </row>
    <row r="82" spans="1:7" ht="409.5" x14ac:dyDescent="0.25">
      <c r="A82" s="123">
        <v>81</v>
      </c>
      <c r="B82" s="123" t="s">
        <v>2860</v>
      </c>
      <c r="C82" s="123" t="s">
        <v>2861</v>
      </c>
      <c r="D82" s="124" t="s">
        <v>2471</v>
      </c>
      <c r="E82" s="123" t="s">
        <v>2862</v>
      </c>
      <c r="F82" s="123" t="s">
        <v>2863</v>
      </c>
      <c r="G82" s="125" t="s">
        <v>1171</v>
      </c>
    </row>
    <row r="83" spans="1:7" ht="362.25" x14ac:dyDescent="0.25">
      <c r="A83" s="123">
        <v>82</v>
      </c>
      <c r="B83" s="123" t="s">
        <v>2864</v>
      </c>
      <c r="C83" s="123" t="s">
        <v>2865</v>
      </c>
      <c r="D83" s="124" t="s">
        <v>2471</v>
      </c>
      <c r="E83" s="123" t="s">
        <v>2866</v>
      </c>
      <c r="F83" s="123" t="s">
        <v>2867</v>
      </c>
      <c r="G83" s="125" t="s">
        <v>1171</v>
      </c>
    </row>
    <row r="84" spans="1:7" ht="362.25" x14ac:dyDescent="0.25">
      <c r="A84" s="123">
        <v>83</v>
      </c>
      <c r="B84" s="123" t="s">
        <v>2868</v>
      </c>
      <c r="C84" s="123" t="s">
        <v>2869</v>
      </c>
      <c r="D84" s="124" t="s">
        <v>2471</v>
      </c>
      <c r="E84" s="123" t="s">
        <v>2870</v>
      </c>
      <c r="F84" s="123" t="s">
        <v>2871</v>
      </c>
      <c r="G84" s="125" t="s">
        <v>1171</v>
      </c>
    </row>
    <row r="85" spans="1:7" ht="362.25" x14ac:dyDescent="0.25">
      <c r="A85" s="123">
        <v>84</v>
      </c>
      <c r="B85" s="123" t="s">
        <v>2872</v>
      </c>
      <c r="C85" s="123" t="s">
        <v>2873</v>
      </c>
      <c r="D85" s="124" t="s">
        <v>2471</v>
      </c>
      <c r="E85" s="123" t="s">
        <v>2874</v>
      </c>
      <c r="F85" s="123" t="s">
        <v>2875</v>
      </c>
      <c r="G85" s="125" t="s">
        <v>1171</v>
      </c>
    </row>
    <row r="86" spans="1:7" ht="409.5" x14ac:dyDescent="0.25">
      <c r="A86" s="123">
        <v>85</v>
      </c>
      <c r="B86" s="123" t="s">
        <v>2876</v>
      </c>
      <c r="C86" s="123" t="s">
        <v>2877</v>
      </c>
      <c r="D86" s="124" t="s">
        <v>2471</v>
      </c>
      <c r="E86" s="123" t="s">
        <v>2878</v>
      </c>
      <c r="F86" s="123" t="s">
        <v>2879</v>
      </c>
      <c r="G86" s="125" t="s">
        <v>1171</v>
      </c>
    </row>
    <row r="87" spans="1:7" ht="409.5" x14ac:dyDescent="0.25">
      <c r="A87" s="123">
        <v>86</v>
      </c>
      <c r="B87" s="123" t="s">
        <v>2880</v>
      </c>
      <c r="C87" s="123" t="s">
        <v>2881</v>
      </c>
      <c r="D87" s="124" t="s">
        <v>2471</v>
      </c>
      <c r="E87" s="123" t="s">
        <v>2882</v>
      </c>
      <c r="F87" s="123" t="s">
        <v>2883</v>
      </c>
      <c r="G87" s="125" t="s">
        <v>1171</v>
      </c>
    </row>
    <row r="88" spans="1:7" ht="393.75" x14ac:dyDescent="0.25">
      <c r="A88" s="123">
        <v>87</v>
      </c>
      <c r="B88" s="123" t="s">
        <v>2884</v>
      </c>
      <c r="C88" s="123" t="s">
        <v>2885</v>
      </c>
      <c r="D88" s="124" t="s">
        <v>2471</v>
      </c>
      <c r="E88" s="123" t="s">
        <v>2886</v>
      </c>
      <c r="F88" s="123" t="s">
        <v>2887</v>
      </c>
      <c r="G88" s="125" t="s">
        <v>1171</v>
      </c>
    </row>
    <row r="89" spans="1:7" ht="393.75" x14ac:dyDescent="0.25">
      <c r="A89" s="123">
        <v>88</v>
      </c>
      <c r="B89" s="123" t="s">
        <v>2888</v>
      </c>
      <c r="C89" s="123" t="s">
        <v>2889</v>
      </c>
      <c r="D89" s="124" t="s">
        <v>2471</v>
      </c>
      <c r="E89" s="123" t="s">
        <v>2890</v>
      </c>
      <c r="F89" s="123" t="s">
        <v>2891</v>
      </c>
      <c r="G89" s="125" t="s">
        <v>1171</v>
      </c>
    </row>
    <row r="90" spans="1:7" ht="378" x14ac:dyDescent="0.25">
      <c r="A90" s="123">
        <v>89</v>
      </c>
      <c r="B90" s="123" t="s">
        <v>2892</v>
      </c>
      <c r="C90" s="123" t="s">
        <v>2893</v>
      </c>
      <c r="D90" s="124" t="s">
        <v>2471</v>
      </c>
      <c r="E90" s="123" t="s">
        <v>2894</v>
      </c>
      <c r="F90" s="123" t="s">
        <v>2887</v>
      </c>
      <c r="G90" s="125" t="s">
        <v>1171</v>
      </c>
    </row>
    <row r="91" spans="1:7" ht="378" x14ac:dyDescent="0.25">
      <c r="A91" s="123">
        <v>90</v>
      </c>
      <c r="B91" s="123" t="s">
        <v>2895</v>
      </c>
      <c r="C91" s="123" t="s">
        <v>2896</v>
      </c>
      <c r="D91" s="124" t="s">
        <v>2471</v>
      </c>
      <c r="E91" s="123" t="s">
        <v>2897</v>
      </c>
      <c r="F91" s="123" t="s">
        <v>2898</v>
      </c>
      <c r="G91" s="125" t="s">
        <v>1171</v>
      </c>
    </row>
    <row r="92" spans="1:7" ht="378" x14ac:dyDescent="0.25">
      <c r="A92" s="123">
        <v>91</v>
      </c>
      <c r="B92" s="123" t="s">
        <v>2899</v>
      </c>
      <c r="C92" s="123" t="s">
        <v>2900</v>
      </c>
      <c r="D92" s="124" t="s">
        <v>2471</v>
      </c>
      <c r="E92" s="123" t="s">
        <v>2901</v>
      </c>
      <c r="F92" s="123" t="s">
        <v>2902</v>
      </c>
      <c r="G92" s="125" t="s">
        <v>1171</v>
      </c>
    </row>
    <row r="93" spans="1:7" ht="378" x14ac:dyDescent="0.25">
      <c r="A93" s="123">
        <v>92</v>
      </c>
      <c r="B93" s="123" t="s">
        <v>2903</v>
      </c>
      <c r="C93" s="123" t="s">
        <v>2904</v>
      </c>
      <c r="D93" s="124" t="s">
        <v>2471</v>
      </c>
      <c r="E93" s="123" t="s">
        <v>2905</v>
      </c>
      <c r="F93" s="123" t="s">
        <v>2902</v>
      </c>
      <c r="G93" s="125" t="s">
        <v>1171</v>
      </c>
    </row>
    <row r="94" spans="1:7" ht="393.75" x14ac:dyDescent="0.25">
      <c r="A94" s="123">
        <v>93</v>
      </c>
      <c r="B94" s="123" t="s">
        <v>2906</v>
      </c>
      <c r="C94" s="123" t="s">
        <v>2907</v>
      </c>
      <c r="D94" s="124" t="s">
        <v>2471</v>
      </c>
      <c r="E94" s="123" t="s">
        <v>2908</v>
      </c>
      <c r="F94" s="123" t="s">
        <v>2909</v>
      </c>
      <c r="G94" s="125" t="s">
        <v>1171</v>
      </c>
    </row>
    <row r="95" spans="1:7" ht="378" x14ac:dyDescent="0.25">
      <c r="A95" s="123">
        <v>94</v>
      </c>
      <c r="B95" s="123" t="s">
        <v>2910</v>
      </c>
      <c r="C95" s="123" t="s">
        <v>2911</v>
      </c>
      <c r="D95" s="124" t="s">
        <v>2471</v>
      </c>
      <c r="E95" s="123" t="s">
        <v>2912</v>
      </c>
      <c r="F95" s="123" t="s">
        <v>2913</v>
      </c>
      <c r="G95" s="125" t="s">
        <v>1171</v>
      </c>
    </row>
    <row r="96" spans="1:7" ht="315" x14ac:dyDescent="0.25">
      <c r="A96" s="123">
        <v>95</v>
      </c>
      <c r="B96" s="123" t="s">
        <v>2914</v>
      </c>
      <c r="C96" s="123" t="s">
        <v>2915</v>
      </c>
      <c r="D96" s="124" t="s">
        <v>2471</v>
      </c>
      <c r="E96" s="123" t="s">
        <v>2916</v>
      </c>
      <c r="F96" s="123" t="s">
        <v>2917</v>
      </c>
      <c r="G96" s="125" t="s">
        <v>1171</v>
      </c>
    </row>
    <row r="97" spans="1:7" ht="362.25" x14ac:dyDescent="0.25">
      <c r="A97" s="123">
        <v>96</v>
      </c>
      <c r="B97" s="123" t="s">
        <v>2918</v>
      </c>
      <c r="C97" s="123" t="s">
        <v>2919</v>
      </c>
      <c r="D97" s="124" t="s">
        <v>2471</v>
      </c>
      <c r="E97" s="123" t="s">
        <v>2920</v>
      </c>
      <c r="F97" s="123" t="s">
        <v>2921</v>
      </c>
      <c r="G97" s="125" t="s">
        <v>1171</v>
      </c>
    </row>
    <row r="98" spans="1:7" ht="330.75" x14ac:dyDescent="0.25">
      <c r="A98" s="123">
        <v>97</v>
      </c>
      <c r="B98" s="123" t="s">
        <v>2922</v>
      </c>
      <c r="C98" s="123" t="s">
        <v>2923</v>
      </c>
      <c r="D98" s="124" t="s">
        <v>2471</v>
      </c>
      <c r="E98" s="123" t="s">
        <v>2924</v>
      </c>
      <c r="F98" s="123" t="s">
        <v>2925</v>
      </c>
      <c r="G98" s="125" t="s">
        <v>1171</v>
      </c>
    </row>
    <row r="99" spans="1:7" ht="378" x14ac:dyDescent="0.25">
      <c r="A99" s="123">
        <v>98</v>
      </c>
      <c r="B99" s="123" t="s">
        <v>2926</v>
      </c>
      <c r="C99" s="123" t="s">
        <v>2927</v>
      </c>
      <c r="D99" s="124" t="s">
        <v>2471</v>
      </c>
      <c r="E99" s="123" t="s">
        <v>2928</v>
      </c>
      <c r="F99" s="123" t="s">
        <v>2929</v>
      </c>
      <c r="G99" s="125" t="s">
        <v>1171</v>
      </c>
    </row>
    <row r="100" spans="1:7" ht="409.5" x14ac:dyDescent="0.25">
      <c r="A100" s="123">
        <v>99</v>
      </c>
      <c r="B100" s="123" t="s">
        <v>2930</v>
      </c>
      <c r="C100" s="123" t="s">
        <v>2931</v>
      </c>
      <c r="D100" s="124" t="s">
        <v>2471</v>
      </c>
      <c r="E100" s="123" t="s">
        <v>2932</v>
      </c>
      <c r="F100" s="123" t="s">
        <v>2933</v>
      </c>
      <c r="G100" s="125" t="s">
        <v>1171</v>
      </c>
    </row>
    <row r="101" spans="1:7" ht="346.5" x14ac:dyDescent="0.25">
      <c r="A101" s="123">
        <v>100</v>
      </c>
      <c r="B101" s="123" t="s">
        <v>2934</v>
      </c>
      <c r="C101" s="123" t="s">
        <v>2935</v>
      </c>
      <c r="D101" s="124" t="s">
        <v>2471</v>
      </c>
      <c r="E101" s="123" t="s">
        <v>2936</v>
      </c>
      <c r="F101" s="123" t="s">
        <v>2937</v>
      </c>
      <c r="G101" s="125" t="s">
        <v>1171</v>
      </c>
    </row>
    <row r="102" spans="1:7" ht="346.5" x14ac:dyDescent="0.25">
      <c r="A102" s="123">
        <v>101</v>
      </c>
      <c r="B102" s="123" t="s">
        <v>2938</v>
      </c>
      <c r="C102" s="123" t="s">
        <v>2939</v>
      </c>
      <c r="D102" s="124" t="s">
        <v>2471</v>
      </c>
      <c r="E102" s="123" t="s">
        <v>2940</v>
      </c>
      <c r="F102" s="123" t="s">
        <v>2941</v>
      </c>
      <c r="G102" s="125" t="s">
        <v>1171</v>
      </c>
    </row>
    <row r="103" spans="1:7" ht="409.5" x14ac:dyDescent="0.25">
      <c r="A103" s="123">
        <v>102</v>
      </c>
      <c r="B103" s="123" t="s">
        <v>2942</v>
      </c>
      <c r="C103" s="123" t="s">
        <v>2943</v>
      </c>
      <c r="D103" s="124" t="s">
        <v>2471</v>
      </c>
      <c r="E103" s="123" t="s">
        <v>2944</v>
      </c>
      <c r="F103" s="123" t="s">
        <v>2945</v>
      </c>
      <c r="G103" s="125" t="s">
        <v>1171</v>
      </c>
    </row>
    <row r="104" spans="1:7" ht="409.5" x14ac:dyDescent="0.25">
      <c r="A104" s="123">
        <v>103</v>
      </c>
      <c r="B104" s="123" t="s">
        <v>2946</v>
      </c>
      <c r="C104" s="123" t="s">
        <v>2947</v>
      </c>
      <c r="D104" s="124" t="s">
        <v>2471</v>
      </c>
      <c r="E104" s="123" t="s">
        <v>2948</v>
      </c>
      <c r="F104" s="123" t="s">
        <v>2945</v>
      </c>
      <c r="G104" s="125" t="s">
        <v>1171</v>
      </c>
    </row>
    <row r="105" spans="1:7" ht="409.5" x14ac:dyDescent="0.25">
      <c r="A105" s="123">
        <v>104</v>
      </c>
      <c r="B105" s="123" t="s">
        <v>2949</v>
      </c>
      <c r="C105" s="123" t="s">
        <v>2950</v>
      </c>
      <c r="D105" s="124" t="s">
        <v>2471</v>
      </c>
      <c r="E105" s="123" t="s">
        <v>2951</v>
      </c>
      <c r="F105" s="123" t="s">
        <v>2945</v>
      </c>
      <c r="G105" s="125" t="s">
        <v>1171</v>
      </c>
    </row>
    <row r="106" spans="1:7" ht="409.5" x14ac:dyDescent="0.25">
      <c r="A106" s="123">
        <v>105</v>
      </c>
      <c r="B106" s="123" t="s">
        <v>2952</v>
      </c>
      <c r="C106" s="123" t="s">
        <v>2953</v>
      </c>
      <c r="D106" s="124" t="s">
        <v>2471</v>
      </c>
      <c r="E106" s="123" t="s">
        <v>2954</v>
      </c>
      <c r="F106" s="123" t="s">
        <v>2955</v>
      </c>
      <c r="G106" s="125" t="s">
        <v>1171</v>
      </c>
    </row>
    <row r="107" spans="1:7" ht="409.5" x14ac:dyDescent="0.25">
      <c r="A107" s="123">
        <v>106</v>
      </c>
      <c r="B107" s="123" t="s">
        <v>2956</v>
      </c>
      <c r="C107" s="123" t="s">
        <v>2957</v>
      </c>
      <c r="D107" s="124" t="s">
        <v>2471</v>
      </c>
      <c r="E107" s="123" t="s">
        <v>2958</v>
      </c>
      <c r="F107" s="123" t="s">
        <v>2955</v>
      </c>
      <c r="G107" s="125" t="s">
        <v>1171</v>
      </c>
    </row>
    <row r="108" spans="1:7" ht="409.5" x14ac:dyDescent="0.25">
      <c r="A108" s="123">
        <v>107</v>
      </c>
      <c r="B108" s="123" t="s">
        <v>2959</v>
      </c>
      <c r="C108" s="123" t="s">
        <v>2960</v>
      </c>
      <c r="D108" s="124" t="s">
        <v>2471</v>
      </c>
      <c r="E108" s="123" t="s">
        <v>2961</v>
      </c>
      <c r="F108" s="123" t="s">
        <v>2955</v>
      </c>
      <c r="G108" s="125" t="s">
        <v>1171</v>
      </c>
    </row>
    <row r="109" spans="1:7" ht="409.5" x14ac:dyDescent="0.25">
      <c r="A109" s="123">
        <v>108</v>
      </c>
      <c r="B109" s="123" t="s">
        <v>2962</v>
      </c>
      <c r="C109" s="123" t="s">
        <v>2963</v>
      </c>
      <c r="D109" s="124" t="s">
        <v>2471</v>
      </c>
      <c r="E109" s="123" t="s">
        <v>2964</v>
      </c>
      <c r="F109" s="123" t="s">
        <v>2965</v>
      </c>
      <c r="G109" s="125" t="s">
        <v>1171</v>
      </c>
    </row>
    <row r="110" spans="1:7" ht="409.5" x14ac:dyDescent="0.25">
      <c r="A110" s="123">
        <v>109</v>
      </c>
      <c r="B110" s="123" t="s">
        <v>2966</v>
      </c>
      <c r="C110" s="123" t="s">
        <v>2967</v>
      </c>
      <c r="D110" s="124" t="s">
        <v>2471</v>
      </c>
      <c r="E110" s="123" t="s">
        <v>2968</v>
      </c>
      <c r="F110" s="123" t="s">
        <v>2955</v>
      </c>
      <c r="G110" s="125" t="s">
        <v>1171</v>
      </c>
    </row>
    <row r="111" spans="1:7" ht="409.5" x14ac:dyDescent="0.25">
      <c r="A111" s="123">
        <v>110</v>
      </c>
      <c r="B111" s="123" t="s">
        <v>2969</v>
      </c>
      <c r="C111" s="123" t="s">
        <v>2970</v>
      </c>
      <c r="D111" s="124" t="s">
        <v>2471</v>
      </c>
      <c r="E111" s="123" t="s">
        <v>2971</v>
      </c>
      <c r="F111" s="123" t="s">
        <v>2972</v>
      </c>
      <c r="G111" s="125" t="s">
        <v>1171</v>
      </c>
    </row>
    <row r="112" spans="1:7" ht="362.25" x14ac:dyDescent="0.25">
      <c r="A112" s="123">
        <v>111</v>
      </c>
      <c r="B112" s="123" t="s">
        <v>2973</v>
      </c>
      <c r="C112" s="123" t="s">
        <v>2974</v>
      </c>
      <c r="D112" s="124" t="s">
        <v>2471</v>
      </c>
      <c r="E112" s="123" t="s">
        <v>2975</v>
      </c>
      <c r="F112" s="123" t="s">
        <v>2976</v>
      </c>
      <c r="G112" s="125" t="s">
        <v>1171</v>
      </c>
    </row>
    <row r="113" spans="1:7" ht="393.75" x14ac:dyDescent="0.25">
      <c r="A113" s="123">
        <v>112</v>
      </c>
      <c r="B113" s="123" t="s">
        <v>2977</v>
      </c>
      <c r="C113" s="123" t="s">
        <v>2978</v>
      </c>
      <c r="D113" s="124" t="s">
        <v>2471</v>
      </c>
      <c r="E113" s="123" t="s">
        <v>2979</v>
      </c>
      <c r="F113" s="123" t="s">
        <v>2980</v>
      </c>
      <c r="G113" s="125" t="s">
        <v>1171</v>
      </c>
    </row>
    <row r="114" spans="1:7" ht="393.75" x14ac:dyDescent="0.25">
      <c r="A114" s="123">
        <v>113</v>
      </c>
      <c r="B114" s="123" t="s">
        <v>2981</v>
      </c>
      <c r="C114" s="123" t="s">
        <v>2982</v>
      </c>
      <c r="D114" s="124" t="s">
        <v>2471</v>
      </c>
      <c r="E114" s="123" t="s">
        <v>2983</v>
      </c>
      <c r="F114" s="123" t="s">
        <v>2984</v>
      </c>
      <c r="G114" s="125" t="s">
        <v>1171</v>
      </c>
    </row>
    <row r="115" spans="1:7" ht="330.75" x14ac:dyDescent="0.25">
      <c r="A115" s="123">
        <v>114</v>
      </c>
      <c r="B115" s="123" t="s">
        <v>2985</v>
      </c>
      <c r="C115" s="123" t="s">
        <v>2986</v>
      </c>
      <c r="D115" s="124" t="s">
        <v>2471</v>
      </c>
      <c r="E115" s="123" t="s">
        <v>2987</v>
      </c>
      <c r="F115" s="123" t="s">
        <v>2988</v>
      </c>
      <c r="G115" s="125" t="s">
        <v>1171</v>
      </c>
    </row>
    <row r="116" spans="1:7" ht="378" x14ac:dyDescent="0.25">
      <c r="A116" s="123">
        <v>115</v>
      </c>
      <c r="B116" s="123" t="s">
        <v>2989</v>
      </c>
      <c r="C116" s="123" t="s">
        <v>2990</v>
      </c>
      <c r="D116" s="124" t="s">
        <v>2471</v>
      </c>
      <c r="E116" s="123" t="s">
        <v>2991</v>
      </c>
      <c r="F116" s="123" t="s">
        <v>2992</v>
      </c>
      <c r="G116" s="125" t="s">
        <v>1171</v>
      </c>
    </row>
    <row r="117" spans="1:7" ht="409.5" x14ac:dyDescent="0.25">
      <c r="A117" s="123">
        <v>116</v>
      </c>
      <c r="B117" s="123" t="s">
        <v>2993</v>
      </c>
      <c r="C117" s="123" t="s">
        <v>2994</v>
      </c>
      <c r="D117" s="124" t="s">
        <v>2471</v>
      </c>
      <c r="E117" s="123" t="s">
        <v>2995</v>
      </c>
      <c r="F117" s="123" t="s">
        <v>2996</v>
      </c>
      <c r="G117" s="125" t="s">
        <v>1171</v>
      </c>
    </row>
    <row r="118" spans="1:7" ht="409.5" x14ac:dyDescent="0.25">
      <c r="A118" s="123">
        <v>117</v>
      </c>
      <c r="B118" s="123" t="s">
        <v>2997</v>
      </c>
      <c r="C118" s="123" t="s">
        <v>2998</v>
      </c>
      <c r="D118" s="124" t="s">
        <v>2471</v>
      </c>
      <c r="E118" s="123" t="s">
        <v>2999</v>
      </c>
      <c r="F118" s="123" t="s">
        <v>3000</v>
      </c>
      <c r="G118" s="125" t="s">
        <v>1171</v>
      </c>
    </row>
    <row r="119" spans="1:7" ht="409.5" x14ac:dyDescent="0.25">
      <c r="A119" s="123">
        <v>118</v>
      </c>
      <c r="B119" s="123" t="s">
        <v>3001</v>
      </c>
      <c r="C119" s="123" t="s">
        <v>3002</v>
      </c>
      <c r="D119" s="124" t="s">
        <v>2471</v>
      </c>
      <c r="E119" s="123" t="s">
        <v>3003</v>
      </c>
      <c r="F119" s="123" t="s">
        <v>3004</v>
      </c>
      <c r="G119" s="125" t="s">
        <v>1171</v>
      </c>
    </row>
    <row r="120" spans="1:7" ht="409.5" x14ac:dyDescent="0.25">
      <c r="A120" s="123">
        <v>119</v>
      </c>
      <c r="B120" s="123" t="s">
        <v>3005</v>
      </c>
      <c r="C120" s="123" t="s">
        <v>3006</v>
      </c>
      <c r="D120" s="124" t="s">
        <v>2471</v>
      </c>
      <c r="E120" s="123" t="s">
        <v>3007</v>
      </c>
      <c r="F120" s="123" t="s">
        <v>3008</v>
      </c>
      <c r="G120" s="125" t="s">
        <v>1171</v>
      </c>
    </row>
    <row r="121" spans="1:7" ht="409.5" x14ac:dyDescent="0.25">
      <c r="A121" s="123">
        <v>120</v>
      </c>
      <c r="B121" s="123" t="s">
        <v>3009</v>
      </c>
      <c r="C121" s="123" t="s">
        <v>3010</v>
      </c>
      <c r="D121" s="124" t="s">
        <v>2471</v>
      </c>
      <c r="E121" s="123" t="s">
        <v>3011</v>
      </c>
      <c r="F121" s="123" t="s">
        <v>3012</v>
      </c>
      <c r="G121" s="125" t="s">
        <v>1171</v>
      </c>
    </row>
    <row r="122" spans="1:7" ht="409.5" x14ac:dyDescent="0.25">
      <c r="A122" s="123">
        <v>121</v>
      </c>
      <c r="B122" s="123" t="s">
        <v>3013</v>
      </c>
      <c r="C122" s="123" t="s">
        <v>3014</v>
      </c>
      <c r="D122" s="124" t="s">
        <v>2471</v>
      </c>
      <c r="E122" s="123" t="s">
        <v>3015</v>
      </c>
      <c r="F122" s="123" t="s">
        <v>3016</v>
      </c>
      <c r="G122" s="125" t="s">
        <v>1171</v>
      </c>
    </row>
    <row r="123" spans="1:7" ht="409.5" x14ac:dyDescent="0.25">
      <c r="A123" s="123">
        <v>122</v>
      </c>
      <c r="B123" s="123" t="s">
        <v>3017</v>
      </c>
      <c r="C123" s="123" t="s">
        <v>3018</v>
      </c>
      <c r="D123" s="124" t="s">
        <v>2471</v>
      </c>
      <c r="E123" s="123" t="s">
        <v>3019</v>
      </c>
      <c r="F123" s="123" t="s">
        <v>3020</v>
      </c>
      <c r="G123" s="125" t="s">
        <v>1171</v>
      </c>
    </row>
    <row r="124" spans="1:7" ht="409.5" x14ac:dyDescent="0.25">
      <c r="A124" s="123">
        <v>123</v>
      </c>
      <c r="B124" s="123" t="s">
        <v>3021</v>
      </c>
      <c r="C124" s="123" t="s">
        <v>3022</v>
      </c>
      <c r="D124" s="124" t="s">
        <v>2471</v>
      </c>
      <c r="E124" s="123" t="s">
        <v>3023</v>
      </c>
      <c r="F124" s="123" t="s">
        <v>3024</v>
      </c>
      <c r="G124" s="125" t="s">
        <v>1171</v>
      </c>
    </row>
    <row r="125" spans="1:7" ht="409.5" x14ac:dyDescent="0.25">
      <c r="A125" s="123">
        <v>124</v>
      </c>
      <c r="B125" s="123" t="s">
        <v>3025</v>
      </c>
      <c r="C125" s="123" t="s">
        <v>3026</v>
      </c>
      <c r="D125" s="124" t="s">
        <v>2471</v>
      </c>
      <c r="E125" s="123" t="s">
        <v>3027</v>
      </c>
      <c r="F125" s="123" t="s">
        <v>3028</v>
      </c>
      <c r="G125" s="125" t="s">
        <v>1171</v>
      </c>
    </row>
    <row r="126" spans="1:7" ht="409.5" x14ac:dyDescent="0.25">
      <c r="A126" s="123">
        <v>125</v>
      </c>
      <c r="B126" s="123" t="s">
        <v>3029</v>
      </c>
      <c r="C126" s="123" t="s">
        <v>3030</v>
      </c>
      <c r="D126" s="124" t="s">
        <v>2471</v>
      </c>
      <c r="E126" s="123" t="s">
        <v>3031</v>
      </c>
      <c r="F126" s="123" t="s">
        <v>3032</v>
      </c>
      <c r="G126" s="125" t="s">
        <v>1171</v>
      </c>
    </row>
    <row r="127" spans="1:7" ht="409.5" x14ac:dyDescent="0.25">
      <c r="A127" s="123">
        <v>126</v>
      </c>
      <c r="B127" s="123" t="s">
        <v>3033</v>
      </c>
      <c r="C127" s="123" t="s">
        <v>3034</v>
      </c>
      <c r="D127" s="124" t="s">
        <v>2471</v>
      </c>
      <c r="E127" s="123" t="s">
        <v>3035</v>
      </c>
      <c r="F127" s="123" t="s">
        <v>3036</v>
      </c>
      <c r="G127" s="125" t="s">
        <v>1171</v>
      </c>
    </row>
    <row r="128" spans="1:7" ht="409.5" x14ac:dyDescent="0.25">
      <c r="A128" s="123">
        <v>127</v>
      </c>
      <c r="B128" s="123" t="s">
        <v>3037</v>
      </c>
      <c r="C128" s="123" t="s">
        <v>3038</v>
      </c>
      <c r="D128" s="124" t="s">
        <v>2471</v>
      </c>
      <c r="E128" s="123" t="s">
        <v>3039</v>
      </c>
      <c r="F128" s="123" t="s">
        <v>3040</v>
      </c>
      <c r="G128" s="125" t="s">
        <v>1171</v>
      </c>
    </row>
    <row r="129" spans="1:7" ht="409.5" x14ac:dyDescent="0.25">
      <c r="A129" s="123">
        <v>128</v>
      </c>
      <c r="B129" s="123" t="s">
        <v>3041</v>
      </c>
      <c r="C129" s="123" t="s">
        <v>3042</v>
      </c>
      <c r="D129" s="124" t="s">
        <v>2471</v>
      </c>
      <c r="E129" s="123" t="s">
        <v>3043</v>
      </c>
      <c r="F129" s="123" t="s">
        <v>3044</v>
      </c>
      <c r="G129" s="125" t="s">
        <v>1171</v>
      </c>
    </row>
    <row r="130" spans="1:7" ht="409.5" x14ac:dyDescent="0.25">
      <c r="A130" s="123">
        <v>129</v>
      </c>
      <c r="B130" s="123" t="s">
        <v>3045</v>
      </c>
      <c r="C130" s="123" t="s">
        <v>3046</v>
      </c>
      <c r="D130" s="124" t="s">
        <v>2471</v>
      </c>
      <c r="E130" s="123" t="s">
        <v>3047</v>
      </c>
      <c r="F130" s="123" t="s">
        <v>3048</v>
      </c>
      <c r="G130" s="125" t="s">
        <v>1171</v>
      </c>
    </row>
    <row r="131" spans="1:7" ht="409.5" x14ac:dyDescent="0.25">
      <c r="A131" s="123">
        <v>130</v>
      </c>
      <c r="B131" s="123" t="s">
        <v>3049</v>
      </c>
      <c r="C131" s="123" t="s">
        <v>3050</v>
      </c>
      <c r="D131" s="124" t="s">
        <v>2471</v>
      </c>
      <c r="E131" s="123" t="s">
        <v>3051</v>
      </c>
      <c r="F131" s="123" t="s">
        <v>3052</v>
      </c>
      <c r="G131" s="125" t="s">
        <v>1171</v>
      </c>
    </row>
    <row r="132" spans="1:7" ht="409.5" x14ac:dyDescent="0.25">
      <c r="A132" s="123">
        <v>131</v>
      </c>
      <c r="B132" s="123" t="s">
        <v>3053</v>
      </c>
      <c r="C132" s="123" t="s">
        <v>3054</v>
      </c>
      <c r="D132" s="124" t="s">
        <v>2471</v>
      </c>
      <c r="E132" s="123" t="s">
        <v>3055</v>
      </c>
      <c r="F132" s="123" t="s">
        <v>3056</v>
      </c>
      <c r="G132" s="125" t="s">
        <v>1171</v>
      </c>
    </row>
    <row r="133" spans="1:7" ht="409.5" x14ac:dyDescent="0.25">
      <c r="A133" s="123">
        <v>132</v>
      </c>
      <c r="B133" s="123" t="s">
        <v>3057</v>
      </c>
      <c r="C133" s="123" t="s">
        <v>3058</v>
      </c>
      <c r="D133" s="124" t="s">
        <v>2471</v>
      </c>
      <c r="E133" s="123" t="s">
        <v>3059</v>
      </c>
      <c r="F133" s="123" t="s">
        <v>3060</v>
      </c>
      <c r="G133" s="125" t="s">
        <v>1171</v>
      </c>
    </row>
    <row r="134" spans="1:7" ht="409.5" x14ac:dyDescent="0.25">
      <c r="A134" s="123">
        <v>133</v>
      </c>
      <c r="B134" s="123" t="s">
        <v>3061</v>
      </c>
      <c r="C134" s="123" t="s">
        <v>3062</v>
      </c>
      <c r="D134" s="124" t="s">
        <v>2471</v>
      </c>
      <c r="E134" s="123" t="s">
        <v>3063</v>
      </c>
      <c r="F134" s="123" t="s">
        <v>3064</v>
      </c>
      <c r="G134" s="125" t="s">
        <v>1171</v>
      </c>
    </row>
    <row r="135" spans="1:7" ht="409.5" x14ac:dyDescent="0.25">
      <c r="A135" s="123">
        <v>134</v>
      </c>
      <c r="B135" s="123" t="s">
        <v>3065</v>
      </c>
      <c r="C135" s="123" t="s">
        <v>3066</v>
      </c>
      <c r="D135" s="124" t="s">
        <v>2471</v>
      </c>
      <c r="E135" s="123" t="s">
        <v>3067</v>
      </c>
      <c r="F135" s="123" t="s">
        <v>3068</v>
      </c>
      <c r="G135" s="125" t="s">
        <v>1171</v>
      </c>
    </row>
    <row r="136" spans="1:7" ht="409.5" x14ac:dyDescent="0.25">
      <c r="A136" s="123">
        <v>135</v>
      </c>
      <c r="B136" s="123" t="s">
        <v>3069</v>
      </c>
      <c r="C136" s="123" t="s">
        <v>3070</v>
      </c>
      <c r="D136" s="124" t="s">
        <v>2471</v>
      </c>
      <c r="E136" s="123" t="s">
        <v>3071</v>
      </c>
      <c r="F136" s="123" t="s">
        <v>3072</v>
      </c>
      <c r="G136" s="125" t="s">
        <v>1171</v>
      </c>
    </row>
    <row r="137" spans="1:7" ht="409.5" x14ac:dyDescent="0.25">
      <c r="A137" s="123">
        <v>136</v>
      </c>
      <c r="B137" s="123" t="s">
        <v>3073</v>
      </c>
      <c r="C137" s="123" t="s">
        <v>3074</v>
      </c>
      <c r="D137" s="124" t="s">
        <v>2471</v>
      </c>
      <c r="E137" s="123" t="s">
        <v>3075</v>
      </c>
      <c r="F137" s="123" t="s">
        <v>3076</v>
      </c>
      <c r="G137" s="125" t="s">
        <v>1171</v>
      </c>
    </row>
    <row r="138" spans="1:7" ht="409.5" x14ac:dyDescent="0.25">
      <c r="A138" s="123">
        <v>137</v>
      </c>
      <c r="B138" s="123" t="s">
        <v>3077</v>
      </c>
      <c r="C138" s="123" t="s">
        <v>3078</v>
      </c>
      <c r="D138" s="124" t="s">
        <v>2471</v>
      </c>
      <c r="E138" s="123" t="s">
        <v>3079</v>
      </c>
      <c r="F138" s="123" t="s">
        <v>3080</v>
      </c>
      <c r="G138" s="125" t="s">
        <v>1171</v>
      </c>
    </row>
    <row r="139" spans="1:7" ht="409.5" x14ac:dyDescent="0.25">
      <c r="A139" s="123">
        <v>138</v>
      </c>
      <c r="B139" s="123" t="s">
        <v>3081</v>
      </c>
      <c r="C139" s="123" t="s">
        <v>3082</v>
      </c>
      <c r="D139" s="124" t="s">
        <v>2471</v>
      </c>
      <c r="E139" s="123" t="s">
        <v>3083</v>
      </c>
      <c r="F139" s="123" t="s">
        <v>3084</v>
      </c>
      <c r="G139" s="125" t="s">
        <v>1171</v>
      </c>
    </row>
    <row r="140" spans="1:7" ht="409.5" x14ac:dyDescent="0.25">
      <c r="A140" s="123">
        <v>139</v>
      </c>
      <c r="B140" s="123" t="s">
        <v>3085</v>
      </c>
      <c r="C140" s="123" t="s">
        <v>3086</v>
      </c>
      <c r="D140" s="124" t="s">
        <v>2471</v>
      </c>
      <c r="E140" s="123" t="s">
        <v>3087</v>
      </c>
      <c r="F140" s="123" t="s">
        <v>3088</v>
      </c>
      <c r="G140" s="125" t="s">
        <v>1171</v>
      </c>
    </row>
    <row r="141" spans="1:7" ht="409.5" x14ac:dyDescent="0.25">
      <c r="A141" s="123">
        <v>140</v>
      </c>
      <c r="B141" s="123" t="s">
        <v>3089</v>
      </c>
      <c r="C141" s="123" t="s">
        <v>3090</v>
      </c>
      <c r="D141" s="124" t="s">
        <v>2471</v>
      </c>
      <c r="E141" s="123" t="s">
        <v>3091</v>
      </c>
      <c r="F141" s="123" t="s">
        <v>3092</v>
      </c>
      <c r="G141" s="125" t="s">
        <v>1171</v>
      </c>
    </row>
    <row r="142" spans="1:7" ht="409.5" x14ac:dyDescent="0.25">
      <c r="A142" s="123">
        <v>141</v>
      </c>
      <c r="B142" s="123" t="s">
        <v>3093</v>
      </c>
      <c r="C142" s="123" t="s">
        <v>3094</v>
      </c>
      <c r="D142" s="124" t="s">
        <v>2471</v>
      </c>
      <c r="E142" s="123" t="s">
        <v>3095</v>
      </c>
      <c r="F142" s="123" t="s">
        <v>3096</v>
      </c>
      <c r="G142" s="125" t="s">
        <v>1171</v>
      </c>
    </row>
    <row r="143" spans="1:7" ht="409.5" x14ac:dyDescent="0.25">
      <c r="A143" s="123">
        <v>142</v>
      </c>
      <c r="B143" s="123" t="s">
        <v>3097</v>
      </c>
      <c r="C143" s="123" t="s">
        <v>3098</v>
      </c>
      <c r="D143" s="124" t="s">
        <v>2471</v>
      </c>
      <c r="E143" s="123" t="s">
        <v>3099</v>
      </c>
      <c r="F143" s="123" t="s">
        <v>3100</v>
      </c>
      <c r="G143" s="125" t="s">
        <v>1171</v>
      </c>
    </row>
    <row r="144" spans="1:7" ht="409.5" x14ac:dyDescent="0.25">
      <c r="A144" s="123">
        <v>143</v>
      </c>
      <c r="B144" s="123" t="s">
        <v>3101</v>
      </c>
      <c r="C144" s="123" t="s">
        <v>3102</v>
      </c>
      <c r="D144" s="124" t="s">
        <v>2471</v>
      </c>
      <c r="E144" s="123" t="s">
        <v>3103</v>
      </c>
      <c r="F144" s="123" t="s">
        <v>3104</v>
      </c>
      <c r="G144" s="125" t="s">
        <v>1171</v>
      </c>
    </row>
    <row r="145" spans="1:7" ht="409.5" x14ac:dyDescent="0.25">
      <c r="A145" s="123">
        <v>144</v>
      </c>
      <c r="B145" s="123" t="s">
        <v>3105</v>
      </c>
      <c r="C145" s="123" t="s">
        <v>3106</v>
      </c>
      <c r="D145" s="124" t="s">
        <v>2471</v>
      </c>
      <c r="E145" s="123" t="s">
        <v>3107</v>
      </c>
      <c r="F145" s="123" t="s">
        <v>3108</v>
      </c>
      <c r="G145" s="125" t="s">
        <v>1171</v>
      </c>
    </row>
    <row r="146" spans="1:7" ht="409.5" x14ac:dyDescent="0.25">
      <c r="A146" s="123">
        <v>145</v>
      </c>
      <c r="B146" s="123" t="s">
        <v>3109</v>
      </c>
      <c r="C146" s="123" t="s">
        <v>3110</v>
      </c>
      <c r="D146" s="124" t="s">
        <v>2471</v>
      </c>
      <c r="E146" s="123" t="s">
        <v>3111</v>
      </c>
      <c r="F146" s="123" t="s">
        <v>3112</v>
      </c>
      <c r="G146" s="125" t="s">
        <v>1171</v>
      </c>
    </row>
    <row r="147" spans="1:7" ht="409.5" x14ac:dyDescent="0.25">
      <c r="A147" s="123">
        <v>146</v>
      </c>
      <c r="B147" s="123" t="s">
        <v>3113</v>
      </c>
      <c r="C147" s="123" t="s">
        <v>3114</v>
      </c>
      <c r="D147" s="124" t="s">
        <v>2471</v>
      </c>
      <c r="E147" s="123" t="s">
        <v>3115</v>
      </c>
      <c r="F147" s="123" t="s">
        <v>3116</v>
      </c>
      <c r="G147" s="125" t="s">
        <v>1171</v>
      </c>
    </row>
    <row r="148" spans="1:7" ht="409.5" x14ac:dyDescent="0.25">
      <c r="A148" s="123">
        <v>147</v>
      </c>
      <c r="B148" s="123" t="s">
        <v>2577</v>
      </c>
      <c r="C148" s="123" t="s">
        <v>3117</v>
      </c>
      <c r="D148" s="124" t="s">
        <v>2471</v>
      </c>
      <c r="E148" s="123" t="s">
        <v>3118</v>
      </c>
      <c r="F148" s="123" t="s">
        <v>3119</v>
      </c>
      <c r="G148" s="125" t="s">
        <v>1171</v>
      </c>
    </row>
    <row r="149" spans="1:7" ht="409.5" x14ac:dyDescent="0.25">
      <c r="A149" s="123">
        <v>148</v>
      </c>
      <c r="B149" s="123" t="s">
        <v>3120</v>
      </c>
      <c r="C149" s="123" t="s">
        <v>3121</v>
      </c>
      <c r="D149" s="124" t="s">
        <v>2471</v>
      </c>
      <c r="E149" s="123" t="s">
        <v>3122</v>
      </c>
      <c r="F149" s="123" t="s">
        <v>3123</v>
      </c>
      <c r="G149" s="125" t="s">
        <v>1171</v>
      </c>
    </row>
    <row r="150" spans="1:7" ht="409.5" x14ac:dyDescent="0.25">
      <c r="A150" s="123">
        <v>149</v>
      </c>
      <c r="B150" s="123" t="s">
        <v>3124</v>
      </c>
      <c r="C150" s="123" t="s">
        <v>3125</v>
      </c>
      <c r="D150" s="124" t="s">
        <v>2471</v>
      </c>
      <c r="E150" s="123" t="s">
        <v>3126</v>
      </c>
      <c r="F150" s="123" t="s">
        <v>3127</v>
      </c>
      <c r="G150" s="125" t="s">
        <v>1171</v>
      </c>
    </row>
    <row r="151" spans="1:7" ht="409.5" x14ac:dyDescent="0.25">
      <c r="A151" s="123">
        <v>150</v>
      </c>
      <c r="B151" s="123" t="s">
        <v>3128</v>
      </c>
      <c r="C151" s="123" t="s">
        <v>3129</v>
      </c>
      <c r="D151" s="124" t="s">
        <v>2471</v>
      </c>
      <c r="E151" s="123" t="s">
        <v>3130</v>
      </c>
      <c r="F151" s="123" t="s">
        <v>3131</v>
      </c>
      <c r="G151" s="125" t="s">
        <v>1171</v>
      </c>
    </row>
    <row r="152" spans="1:7" ht="409.5" x14ac:dyDescent="0.25">
      <c r="A152" s="123">
        <v>151</v>
      </c>
      <c r="B152" s="123" t="s">
        <v>2597</v>
      </c>
      <c r="C152" s="123" t="s">
        <v>3132</v>
      </c>
      <c r="D152" s="124" t="s">
        <v>2471</v>
      </c>
      <c r="E152" s="123" t="s">
        <v>3133</v>
      </c>
      <c r="F152" s="123" t="s">
        <v>3134</v>
      </c>
      <c r="G152" s="125" t="s">
        <v>1171</v>
      </c>
    </row>
    <row r="153" spans="1:7" ht="409.5" x14ac:dyDescent="0.25">
      <c r="A153" s="123">
        <v>152</v>
      </c>
      <c r="B153" s="123" t="s">
        <v>3135</v>
      </c>
      <c r="C153" s="123" t="s">
        <v>3136</v>
      </c>
      <c r="D153" s="124" t="s">
        <v>2471</v>
      </c>
      <c r="E153" s="123" t="s">
        <v>3137</v>
      </c>
      <c r="F153" s="123" t="s">
        <v>3138</v>
      </c>
      <c r="G153" s="125" t="s">
        <v>1171</v>
      </c>
    </row>
    <row r="154" spans="1:7" ht="409.5" x14ac:dyDescent="0.25">
      <c r="A154" s="123">
        <v>153</v>
      </c>
      <c r="B154" s="123" t="s">
        <v>3139</v>
      </c>
      <c r="C154" s="123" t="s">
        <v>3140</v>
      </c>
      <c r="D154" s="124" t="s">
        <v>2471</v>
      </c>
      <c r="E154" s="123" t="s">
        <v>3141</v>
      </c>
      <c r="F154" s="123" t="s">
        <v>3142</v>
      </c>
      <c r="G154" s="125" t="s">
        <v>1171</v>
      </c>
    </row>
    <row r="155" spans="1:7" ht="409.5" x14ac:dyDescent="0.25">
      <c r="A155" s="123">
        <v>154</v>
      </c>
      <c r="B155" s="123" t="s">
        <v>3143</v>
      </c>
      <c r="C155" s="123" t="s">
        <v>3144</v>
      </c>
      <c r="D155" s="124" t="s">
        <v>2471</v>
      </c>
      <c r="E155" s="123" t="s">
        <v>3145</v>
      </c>
      <c r="F155" s="123" t="s">
        <v>3146</v>
      </c>
      <c r="G155" s="125" t="s">
        <v>1171</v>
      </c>
    </row>
    <row r="156" spans="1:7" ht="409.5" x14ac:dyDescent="0.25">
      <c r="A156" s="123">
        <v>155</v>
      </c>
      <c r="B156" s="123" t="s">
        <v>2621</v>
      </c>
      <c r="C156" s="123" t="s">
        <v>3147</v>
      </c>
      <c r="D156" s="124" t="s">
        <v>2471</v>
      </c>
      <c r="E156" s="123" t="s">
        <v>3148</v>
      </c>
      <c r="F156" s="123" t="s">
        <v>3149</v>
      </c>
      <c r="G156" s="125" t="s">
        <v>1171</v>
      </c>
    </row>
    <row r="157" spans="1:7" ht="409.5" x14ac:dyDescent="0.25">
      <c r="A157" s="123">
        <v>156</v>
      </c>
      <c r="B157" s="123" t="s">
        <v>3150</v>
      </c>
      <c r="C157" s="123" t="s">
        <v>3151</v>
      </c>
      <c r="D157" s="124" t="s">
        <v>2471</v>
      </c>
      <c r="E157" s="123" t="s">
        <v>3152</v>
      </c>
      <c r="F157" s="123" t="s">
        <v>3153</v>
      </c>
      <c r="G157" s="125" t="s">
        <v>1171</v>
      </c>
    </row>
    <row r="158" spans="1:7" ht="409.5" x14ac:dyDescent="0.25">
      <c r="A158" s="123">
        <v>157</v>
      </c>
      <c r="B158" s="123" t="s">
        <v>3154</v>
      </c>
      <c r="C158" s="123" t="s">
        <v>3155</v>
      </c>
      <c r="D158" s="124" t="s">
        <v>2471</v>
      </c>
      <c r="E158" s="123" t="s">
        <v>3156</v>
      </c>
      <c r="F158" s="123" t="s">
        <v>3157</v>
      </c>
      <c r="G158" s="125" t="s">
        <v>1171</v>
      </c>
    </row>
    <row r="159" spans="1:7" ht="409.5" x14ac:dyDescent="0.25">
      <c r="A159" s="123">
        <v>158</v>
      </c>
      <c r="B159" s="123" t="s">
        <v>3158</v>
      </c>
      <c r="C159" s="123" t="s">
        <v>3159</v>
      </c>
      <c r="D159" s="124" t="s">
        <v>2471</v>
      </c>
      <c r="E159" s="123" t="s">
        <v>3160</v>
      </c>
      <c r="F159" s="123" t="s">
        <v>3161</v>
      </c>
      <c r="G159" s="125" t="s">
        <v>1171</v>
      </c>
    </row>
    <row r="160" spans="1:7" ht="409.5" x14ac:dyDescent="0.25">
      <c r="A160" s="123">
        <v>159</v>
      </c>
      <c r="B160" s="123" t="s">
        <v>3162</v>
      </c>
      <c r="C160" s="123" t="s">
        <v>3163</v>
      </c>
      <c r="D160" s="124" t="s">
        <v>2471</v>
      </c>
      <c r="E160" s="123" t="s">
        <v>3164</v>
      </c>
      <c r="F160" s="123" t="s">
        <v>3165</v>
      </c>
      <c r="G160" s="125" t="s">
        <v>1171</v>
      </c>
    </row>
    <row r="161" spans="1:7" ht="409.5" x14ac:dyDescent="0.25">
      <c r="A161" s="123">
        <v>160</v>
      </c>
      <c r="B161" s="123" t="s">
        <v>3166</v>
      </c>
      <c r="C161" s="123" t="s">
        <v>3167</v>
      </c>
      <c r="D161" s="124" t="s">
        <v>2475</v>
      </c>
      <c r="E161" s="123" t="s">
        <v>3168</v>
      </c>
      <c r="F161" s="123" t="s">
        <v>3169</v>
      </c>
      <c r="G161" s="125" t="s">
        <v>1171</v>
      </c>
    </row>
    <row r="162" spans="1:7" ht="409.5" x14ac:dyDescent="0.25">
      <c r="A162" s="123">
        <v>161</v>
      </c>
      <c r="B162" s="123" t="s">
        <v>3170</v>
      </c>
      <c r="C162" s="123" t="s">
        <v>3171</v>
      </c>
      <c r="D162" s="124" t="s">
        <v>2475</v>
      </c>
      <c r="E162" s="123" t="s">
        <v>3172</v>
      </c>
      <c r="F162" s="123" t="s">
        <v>3173</v>
      </c>
      <c r="G162" s="125" t="s">
        <v>1171</v>
      </c>
    </row>
    <row r="163" spans="1:7" ht="409.5" x14ac:dyDescent="0.25">
      <c r="A163" s="123">
        <v>162</v>
      </c>
      <c r="B163" s="123" t="s">
        <v>3174</v>
      </c>
      <c r="C163" s="123" t="s">
        <v>3175</v>
      </c>
      <c r="D163" s="124" t="s">
        <v>2475</v>
      </c>
      <c r="E163" s="123" t="s">
        <v>3176</v>
      </c>
      <c r="F163" s="123" t="s">
        <v>3177</v>
      </c>
      <c r="G163" s="125" t="s">
        <v>1171</v>
      </c>
    </row>
    <row r="164" spans="1:7" ht="378" x14ac:dyDescent="0.25">
      <c r="A164" s="123">
        <v>163</v>
      </c>
      <c r="B164" s="123" t="s">
        <v>3178</v>
      </c>
      <c r="C164" s="123" t="s">
        <v>3179</v>
      </c>
      <c r="D164" s="124" t="s">
        <v>2475</v>
      </c>
      <c r="E164" s="123" t="s">
        <v>3180</v>
      </c>
      <c r="F164" s="123" t="s">
        <v>3181</v>
      </c>
      <c r="G164" s="125" t="s">
        <v>1171</v>
      </c>
    </row>
    <row r="165" spans="1:7" ht="409.5" x14ac:dyDescent="0.25">
      <c r="A165" s="123">
        <v>164</v>
      </c>
      <c r="B165" s="123" t="s">
        <v>3182</v>
      </c>
      <c r="C165" s="123" t="s">
        <v>3183</v>
      </c>
      <c r="D165" s="124" t="s">
        <v>2475</v>
      </c>
      <c r="E165" s="123" t="s">
        <v>3184</v>
      </c>
      <c r="F165" s="123" t="s">
        <v>3185</v>
      </c>
      <c r="G165" s="125" t="s">
        <v>1171</v>
      </c>
    </row>
    <row r="166" spans="1:7" ht="409.5" x14ac:dyDescent="0.25">
      <c r="A166" s="123">
        <v>165</v>
      </c>
      <c r="B166" s="123" t="s">
        <v>3186</v>
      </c>
      <c r="C166" s="123" t="s">
        <v>3187</v>
      </c>
      <c r="D166" s="124" t="s">
        <v>2475</v>
      </c>
      <c r="E166" s="123" t="s">
        <v>3188</v>
      </c>
      <c r="F166" s="123" t="s">
        <v>3189</v>
      </c>
      <c r="G166" s="125" t="s">
        <v>1171</v>
      </c>
    </row>
    <row r="167" spans="1:7" ht="409.5" x14ac:dyDescent="0.25">
      <c r="A167" s="123">
        <v>166</v>
      </c>
      <c r="B167" s="123" t="s">
        <v>3190</v>
      </c>
      <c r="C167" s="123" t="s">
        <v>3191</v>
      </c>
      <c r="D167" s="124" t="s">
        <v>2475</v>
      </c>
      <c r="E167" s="123" t="s">
        <v>3192</v>
      </c>
      <c r="F167" s="123" t="s">
        <v>3193</v>
      </c>
      <c r="G167" s="125" t="s">
        <v>1171</v>
      </c>
    </row>
    <row r="168" spans="1:7" ht="409.5" x14ac:dyDescent="0.25">
      <c r="A168" s="123">
        <v>167</v>
      </c>
      <c r="B168" s="123" t="s">
        <v>3194</v>
      </c>
      <c r="C168" s="123" t="s">
        <v>3195</v>
      </c>
      <c r="D168" s="124" t="s">
        <v>2475</v>
      </c>
      <c r="E168" s="123" t="s">
        <v>3196</v>
      </c>
      <c r="F168" s="123" t="s">
        <v>3197</v>
      </c>
      <c r="G168" s="125" t="s">
        <v>1171</v>
      </c>
    </row>
    <row r="169" spans="1:7" ht="409.5" x14ac:dyDescent="0.25">
      <c r="A169" s="123">
        <v>168</v>
      </c>
      <c r="B169" s="123" t="s">
        <v>3198</v>
      </c>
      <c r="C169" s="123" t="s">
        <v>3199</v>
      </c>
      <c r="D169" s="124" t="s">
        <v>2475</v>
      </c>
      <c r="E169" s="123" t="s">
        <v>3200</v>
      </c>
      <c r="F169" s="123" t="s">
        <v>3201</v>
      </c>
      <c r="G169" s="125" t="s">
        <v>1171</v>
      </c>
    </row>
    <row r="170" spans="1:7" ht="409.5" x14ac:dyDescent="0.25">
      <c r="A170" s="123">
        <v>169</v>
      </c>
      <c r="B170" s="123" t="s">
        <v>3202</v>
      </c>
      <c r="C170" s="123" t="s">
        <v>3203</v>
      </c>
      <c r="D170" s="124" t="s">
        <v>2475</v>
      </c>
      <c r="E170" s="123" t="s">
        <v>3204</v>
      </c>
      <c r="F170" s="123" t="s">
        <v>3205</v>
      </c>
      <c r="G170" s="125" t="s">
        <v>1171</v>
      </c>
    </row>
    <row r="171" spans="1:7" ht="409.5" x14ac:dyDescent="0.25">
      <c r="A171" s="123">
        <v>170</v>
      </c>
      <c r="B171" s="123" t="s">
        <v>3128</v>
      </c>
      <c r="C171" s="123" t="s">
        <v>3206</v>
      </c>
      <c r="D171" s="124" t="s">
        <v>2475</v>
      </c>
      <c r="E171" s="123" t="s">
        <v>3207</v>
      </c>
      <c r="F171" s="123" t="s">
        <v>3208</v>
      </c>
      <c r="G171" s="125" t="s">
        <v>1171</v>
      </c>
    </row>
    <row r="172" spans="1:7" ht="409.5" x14ac:dyDescent="0.25">
      <c r="A172" s="123">
        <v>171</v>
      </c>
      <c r="B172" s="123" t="s">
        <v>3209</v>
      </c>
      <c r="C172" s="123" t="s">
        <v>3210</v>
      </c>
      <c r="D172" s="124" t="s">
        <v>2475</v>
      </c>
      <c r="E172" s="123" t="s">
        <v>3211</v>
      </c>
      <c r="F172" s="123" t="s">
        <v>3212</v>
      </c>
      <c r="G172" s="125" t="s">
        <v>1171</v>
      </c>
    </row>
    <row r="173" spans="1:7" ht="409.5" x14ac:dyDescent="0.25">
      <c r="A173" s="123">
        <v>172</v>
      </c>
      <c r="B173" s="123" t="s">
        <v>3213</v>
      </c>
      <c r="C173" s="123" t="s">
        <v>3214</v>
      </c>
      <c r="D173" s="124" t="s">
        <v>2475</v>
      </c>
      <c r="E173" s="123" t="s">
        <v>3215</v>
      </c>
      <c r="F173" s="123" t="s">
        <v>3216</v>
      </c>
      <c r="G173" s="125" t="s">
        <v>1171</v>
      </c>
    </row>
    <row r="174" spans="1:7" ht="409.5" x14ac:dyDescent="0.25">
      <c r="A174" s="123">
        <v>173</v>
      </c>
      <c r="B174" s="123" t="s">
        <v>3217</v>
      </c>
      <c r="C174" s="123" t="s">
        <v>3218</v>
      </c>
      <c r="D174" s="124" t="s">
        <v>2475</v>
      </c>
      <c r="E174" s="123" t="s">
        <v>3219</v>
      </c>
      <c r="F174" s="123" t="s">
        <v>3220</v>
      </c>
      <c r="G174" s="125" t="s">
        <v>1171</v>
      </c>
    </row>
    <row r="175" spans="1:7" ht="409.5" x14ac:dyDescent="0.25">
      <c r="A175" s="123">
        <v>174</v>
      </c>
      <c r="B175" s="123" t="s">
        <v>3221</v>
      </c>
      <c r="C175" s="123" t="s">
        <v>3222</v>
      </c>
      <c r="D175" s="124" t="s">
        <v>2475</v>
      </c>
      <c r="E175" s="123" t="s">
        <v>3223</v>
      </c>
      <c r="F175" s="123" t="s">
        <v>3224</v>
      </c>
      <c r="G175" s="125" t="s">
        <v>1171</v>
      </c>
    </row>
    <row r="176" spans="1:7" ht="409.5" x14ac:dyDescent="0.25">
      <c r="A176" s="123">
        <v>175</v>
      </c>
      <c r="B176" s="123" t="s">
        <v>3225</v>
      </c>
      <c r="C176" s="123" t="s">
        <v>3226</v>
      </c>
      <c r="D176" s="124" t="s">
        <v>2475</v>
      </c>
      <c r="E176" s="123" t="s">
        <v>3227</v>
      </c>
      <c r="F176" s="123" t="s">
        <v>3228</v>
      </c>
      <c r="G176" s="125" t="s">
        <v>1171</v>
      </c>
    </row>
    <row r="177" spans="1:7" ht="409.5" x14ac:dyDescent="0.25">
      <c r="A177" s="123">
        <v>176</v>
      </c>
      <c r="B177" s="123" t="s">
        <v>3229</v>
      </c>
      <c r="C177" s="123" t="s">
        <v>3230</v>
      </c>
      <c r="D177" s="124" t="s">
        <v>2475</v>
      </c>
      <c r="E177" s="123" t="s">
        <v>3231</v>
      </c>
      <c r="F177" s="123" t="s">
        <v>3232</v>
      </c>
      <c r="G177" s="125" t="s">
        <v>1171</v>
      </c>
    </row>
    <row r="178" spans="1:7" ht="409.5" x14ac:dyDescent="0.25">
      <c r="A178" s="123">
        <v>177</v>
      </c>
      <c r="B178" s="123" t="s">
        <v>3233</v>
      </c>
      <c r="C178" s="123" t="s">
        <v>3234</v>
      </c>
      <c r="D178" s="124" t="s">
        <v>2475</v>
      </c>
      <c r="E178" s="123" t="s">
        <v>3235</v>
      </c>
      <c r="F178" s="123" t="s">
        <v>3236</v>
      </c>
      <c r="G178" s="125" t="s">
        <v>1171</v>
      </c>
    </row>
    <row r="179" spans="1:7" ht="409.5" x14ac:dyDescent="0.25">
      <c r="A179" s="123">
        <v>178</v>
      </c>
      <c r="B179" s="123" t="s">
        <v>3237</v>
      </c>
      <c r="C179" s="123" t="s">
        <v>3238</v>
      </c>
      <c r="D179" s="124" t="s">
        <v>2475</v>
      </c>
      <c r="E179" s="123" t="s">
        <v>3239</v>
      </c>
      <c r="F179" s="123" t="s">
        <v>3240</v>
      </c>
      <c r="G179" s="125" t="s">
        <v>1171</v>
      </c>
    </row>
    <row r="180" spans="1:7" ht="409.5" x14ac:dyDescent="0.25">
      <c r="A180" s="123">
        <v>179</v>
      </c>
      <c r="B180" s="123" t="s">
        <v>3241</v>
      </c>
      <c r="C180" s="123" t="s">
        <v>3242</v>
      </c>
      <c r="D180" s="124" t="s">
        <v>2475</v>
      </c>
      <c r="E180" s="123" t="s">
        <v>3243</v>
      </c>
      <c r="F180" s="123" t="s">
        <v>3244</v>
      </c>
      <c r="G180" s="125" t="s">
        <v>1171</v>
      </c>
    </row>
    <row r="181" spans="1:7" ht="409.5" x14ac:dyDescent="0.25">
      <c r="A181" s="123">
        <v>180</v>
      </c>
      <c r="B181" s="123" t="s">
        <v>3245</v>
      </c>
      <c r="C181" s="123" t="s">
        <v>3246</v>
      </c>
      <c r="D181" s="124" t="s">
        <v>2475</v>
      </c>
      <c r="E181" s="123" t="s">
        <v>3247</v>
      </c>
      <c r="F181" s="123" t="s">
        <v>3248</v>
      </c>
      <c r="G181" s="125" t="s">
        <v>1171</v>
      </c>
    </row>
    <row r="182" spans="1:7" ht="409.5" x14ac:dyDescent="0.25">
      <c r="A182" s="123">
        <v>181</v>
      </c>
      <c r="B182" s="123" t="s">
        <v>3249</v>
      </c>
      <c r="C182" s="123" t="s">
        <v>3250</v>
      </c>
      <c r="D182" s="124" t="s">
        <v>2475</v>
      </c>
      <c r="E182" s="123" t="s">
        <v>3251</v>
      </c>
      <c r="F182" s="123" t="s">
        <v>3252</v>
      </c>
      <c r="G182" s="125" t="s">
        <v>1171</v>
      </c>
    </row>
    <row r="183" spans="1:7" ht="409.5" x14ac:dyDescent="0.25">
      <c r="A183" s="123">
        <v>182</v>
      </c>
      <c r="B183" s="123" t="s">
        <v>3253</v>
      </c>
      <c r="C183" s="123" t="s">
        <v>3254</v>
      </c>
      <c r="D183" s="124" t="s">
        <v>2475</v>
      </c>
      <c r="E183" s="123" t="s">
        <v>3255</v>
      </c>
      <c r="F183" s="123" t="s">
        <v>3256</v>
      </c>
      <c r="G183" s="125" t="s">
        <v>1171</v>
      </c>
    </row>
    <row r="184" spans="1:7" ht="409.5" x14ac:dyDescent="0.25">
      <c r="A184" s="123">
        <v>183</v>
      </c>
      <c r="B184" s="123" t="s">
        <v>3257</v>
      </c>
      <c r="C184" s="123" t="s">
        <v>3258</v>
      </c>
      <c r="D184" s="124" t="s">
        <v>2475</v>
      </c>
      <c r="E184" s="123" t="s">
        <v>3259</v>
      </c>
      <c r="F184" s="123" t="s">
        <v>3260</v>
      </c>
      <c r="G184" s="125" t="s">
        <v>1171</v>
      </c>
    </row>
    <row r="185" spans="1:7" ht="409.5" x14ac:dyDescent="0.25">
      <c r="A185" s="123">
        <v>184</v>
      </c>
      <c r="B185" s="123" t="s">
        <v>3261</v>
      </c>
      <c r="C185" s="123" t="s">
        <v>3262</v>
      </c>
      <c r="D185" s="124" t="s">
        <v>2475</v>
      </c>
      <c r="E185" s="123" t="s">
        <v>3263</v>
      </c>
      <c r="F185" s="123" t="s">
        <v>3264</v>
      </c>
      <c r="G185" s="125" t="s">
        <v>1171</v>
      </c>
    </row>
    <row r="186" spans="1:7" ht="409.5" x14ac:dyDescent="0.25">
      <c r="A186" s="123">
        <v>185</v>
      </c>
      <c r="B186" s="123" t="s">
        <v>3265</v>
      </c>
      <c r="C186" s="123" t="s">
        <v>3266</v>
      </c>
      <c r="D186" s="124" t="s">
        <v>2475</v>
      </c>
      <c r="E186" s="123" t="s">
        <v>3267</v>
      </c>
      <c r="F186" s="123" t="s">
        <v>3268</v>
      </c>
      <c r="G186" s="125" t="s">
        <v>1171</v>
      </c>
    </row>
    <row r="187" spans="1:7" ht="409.5" x14ac:dyDescent="0.25">
      <c r="A187" s="123">
        <v>186</v>
      </c>
      <c r="B187" s="123" t="s">
        <v>3269</v>
      </c>
      <c r="C187" s="123" t="s">
        <v>3270</v>
      </c>
      <c r="D187" s="124" t="s">
        <v>2475</v>
      </c>
      <c r="E187" s="123" t="s">
        <v>3271</v>
      </c>
      <c r="F187" s="123" t="s">
        <v>3272</v>
      </c>
      <c r="G187" s="125" t="s">
        <v>1171</v>
      </c>
    </row>
    <row r="188" spans="1:7" ht="409.5" x14ac:dyDescent="0.25">
      <c r="A188" s="123">
        <v>187</v>
      </c>
      <c r="B188" s="123" t="s">
        <v>3273</v>
      </c>
      <c r="C188" s="123" t="s">
        <v>3274</v>
      </c>
      <c r="D188" s="124" t="s">
        <v>2475</v>
      </c>
      <c r="E188" s="123" t="s">
        <v>3275</v>
      </c>
      <c r="F188" s="123" t="s">
        <v>3276</v>
      </c>
      <c r="G188" s="125" t="s">
        <v>1171</v>
      </c>
    </row>
    <row r="189" spans="1:7" ht="409.5" x14ac:dyDescent="0.25">
      <c r="A189" s="123">
        <v>188</v>
      </c>
      <c r="B189" s="123" t="s">
        <v>3277</v>
      </c>
      <c r="C189" s="123" t="s">
        <v>3278</v>
      </c>
      <c r="D189" s="124" t="s">
        <v>2475</v>
      </c>
      <c r="E189" s="123" t="s">
        <v>3279</v>
      </c>
      <c r="F189" s="123" t="s">
        <v>3280</v>
      </c>
      <c r="G189" s="125" t="s">
        <v>1171</v>
      </c>
    </row>
    <row r="190" spans="1:7" ht="409.5" x14ac:dyDescent="0.25">
      <c r="A190" s="123">
        <v>189</v>
      </c>
      <c r="B190" s="123" t="s">
        <v>3281</v>
      </c>
      <c r="C190" s="123" t="s">
        <v>3282</v>
      </c>
      <c r="D190" s="124" t="s">
        <v>2475</v>
      </c>
      <c r="E190" s="123" t="s">
        <v>3283</v>
      </c>
      <c r="F190" s="123" t="s">
        <v>3284</v>
      </c>
      <c r="G190" s="125" t="s">
        <v>1171</v>
      </c>
    </row>
    <row r="191" spans="1:7" ht="409.5" x14ac:dyDescent="0.25">
      <c r="A191" s="123">
        <v>190</v>
      </c>
      <c r="B191" s="123" t="s">
        <v>3285</v>
      </c>
      <c r="C191" s="123" t="s">
        <v>3286</v>
      </c>
      <c r="D191" s="124" t="s">
        <v>2475</v>
      </c>
      <c r="E191" s="123" t="s">
        <v>3287</v>
      </c>
      <c r="F191" s="123" t="s">
        <v>3288</v>
      </c>
      <c r="G191" s="125" t="s">
        <v>1171</v>
      </c>
    </row>
    <row r="192" spans="1:7" ht="409.5" x14ac:dyDescent="0.25">
      <c r="A192" s="123">
        <v>191</v>
      </c>
      <c r="B192" s="123" t="s">
        <v>3289</v>
      </c>
      <c r="C192" s="123" t="s">
        <v>3290</v>
      </c>
      <c r="D192" s="124" t="s">
        <v>2475</v>
      </c>
      <c r="E192" s="123" t="s">
        <v>3291</v>
      </c>
      <c r="F192" s="123" t="s">
        <v>3292</v>
      </c>
      <c r="G192" s="125" t="s">
        <v>1171</v>
      </c>
    </row>
    <row r="193" spans="1:7" ht="409.5" x14ac:dyDescent="0.25">
      <c r="A193" s="123">
        <v>192</v>
      </c>
      <c r="B193" s="123" t="s">
        <v>3293</v>
      </c>
      <c r="C193" s="123" t="s">
        <v>3294</v>
      </c>
      <c r="D193" s="124" t="s">
        <v>2475</v>
      </c>
      <c r="E193" s="123" t="s">
        <v>3295</v>
      </c>
      <c r="F193" s="123" t="s">
        <v>3296</v>
      </c>
      <c r="G193" s="125" t="s">
        <v>1171</v>
      </c>
    </row>
    <row r="194" spans="1:7" ht="409.5" x14ac:dyDescent="0.25">
      <c r="A194" s="123">
        <v>193</v>
      </c>
      <c r="B194" s="123" t="s">
        <v>3297</v>
      </c>
      <c r="C194" s="123" t="s">
        <v>3298</v>
      </c>
      <c r="D194" s="124" t="s">
        <v>2475</v>
      </c>
      <c r="E194" s="123" t="s">
        <v>3299</v>
      </c>
      <c r="F194" s="123" t="s">
        <v>3300</v>
      </c>
      <c r="G194" s="125" t="s">
        <v>1171</v>
      </c>
    </row>
    <row r="195" spans="1:7" ht="409.5" x14ac:dyDescent="0.25">
      <c r="A195" s="123">
        <v>194</v>
      </c>
      <c r="B195" s="123" t="s">
        <v>3301</v>
      </c>
      <c r="C195" s="123" t="s">
        <v>3302</v>
      </c>
      <c r="D195" s="124" t="s">
        <v>2475</v>
      </c>
      <c r="E195" s="123" t="s">
        <v>3303</v>
      </c>
      <c r="F195" s="123" t="s">
        <v>3304</v>
      </c>
      <c r="G195" s="125" t="s">
        <v>1171</v>
      </c>
    </row>
    <row r="196" spans="1:7" ht="409.5" x14ac:dyDescent="0.25">
      <c r="A196" s="123">
        <v>195</v>
      </c>
      <c r="B196" s="123" t="s">
        <v>3305</v>
      </c>
      <c r="C196" s="123" t="s">
        <v>3306</v>
      </c>
      <c r="D196" s="124" t="s">
        <v>2475</v>
      </c>
      <c r="E196" s="123" t="s">
        <v>3307</v>
      </c>
      <c r="F196" s="123" t="s">
        <v>3308</v>
      </c>
      <c r="G196" s="125" t="s">
        <v>1171</v>
      </c>
    </row>
    <row r="197" spans="1:7" ht="409.5" x14ac:dyDescent="0.25">
      <c r="A197" s="123">
        <v>196</v>
      </c>
      <c r="B197" s="123" t="s">
        <v>3309</v>
      </c>
      <c r="C197" s="123" t="s">
        <v>3310</v>
      </c>
      <c r="D197" s="124" t="s">
        <v>2475</v>
      </c>
      <c r="E197" s="123" t="s">
        <v>3311</v>
      </c>
      <c r="F197" s="123" t="s">
        <v>3312</v>
      </c>
      <c r="G197" s="125" t="s">
        <v>1171</v>
      </c>
    </row>
    <row r="198" spans="1:7" ht="409.5" x14ac:dyDescent="0.25">
      <c r="A198" s="123">
        <v>197</v>
      </c>
      <c r="B198" s="123" t="s">
        <v>3313</v>
      </c>
      <c r="C198" s="123" t="s">
        <v>3314</v>
      </c>
      <c r="D198" s="124" t="s">
        <v>2475</v>
      </c>
      <c r="E198" s="123" t="s">
        <v>3315</v>
      </c>
      <c r="F198" s="123" t="s">
        <v>3316</v>
      </c>
      <c r="G198" s="125" t="s">
        <v>1171</v>
      </c>
    </row>
    <row r="199" spans="1:7" ht="409.5" x14ac:dyDescent="0.25">
      <c r="A199" s="123">
        <v>198</v>
      </c>
      <c r="B199" s="123" t="s">
        <v>3317</v>
      </c>
      <c r="C199" s="123" t="s">
        <v>3318</v>
      </c>
      <c r="D199" s="124" t="s">
        <v>2475</v>
      </c>
      <c r="E199" s="123" t="s">
        <v>3319</v>
      </c>
      <c r="F199" s="123" t="s">
        <v>3320</v>
      </c>
      <c r="G199" s="125" t="s">
        <v>1171</v>
      </c>
    </row>
    <row r="200" spans="1:7" ht="409.5" x14ac:dyDescent="0.25">
      <c r="A200" s="123">
        <v>199</v>
      </c>
      <c r="B200" s="123" t="s">
        <v>3321</v>
      </c>
      <c r="C200" s="123" t="s">
        <v>3322</v>
      </c>
      <c r="D200" s="124" t="s">
        <v>2475</v>
      </c>
      <c r="E200" s="123" t="s">
        <v>3323</v>
      </c>
      <c r="F200" s="123" t="s">
        <v>3324</v>
      </c>
      <c r="G200" s="125" t="s">
        <v>1171</v>
      </c>
    </row>
    <row r="201" spans="1:7" ht="409.5" x14ac:dyDescent="0.25">
      <c r="A201" s="123">
        <v>200</v>
      </c>
      <c r="B201" s="123" t="s">
        <v>3325</v>
      </c>
      <c r="C201" s="123" t="s">
        <v>3326</v>
      </c>
      <c r="D201" s="124" t="s">
        <v>2475</v>
      </c>
      <c r="E201" s="123" t="s">
        <v>3327</v>
      </c>
      <c r="F201" s="123" t="s">
        <v>3328</v>
      </c>
      <c r="G201" s="125" t="s">
        <v>1171</v>
      </c>
    </row>
    <row r="202" spans="1:7" ht="409.5" x14ac:dyDescent="0.25">
      <c r="A202" s="123">
        <v>201</v>
      </c>
      <c r="B202" s="123" t="s">
        <v>3329</v>
      </c>
      <c r="C202" s="123" t="s">
        <v>3330</v>
      </c>
      <c r="D202" s="124" t="s">
        <v>2475</v>
      </c>
      <c r="E202" s="123" t="s">
        <v>3331</v>
      </c>
      <c r="F202" s="123" t="s">
        <v>3332</v>
      </c>
      <c r="G202" s="125" t="s">
        <v>1171</v>
      </c>
    </row>
    <row r="203" spans="1:7" ht="409.5" x14ac:dyDescent="0.25">
      <c r="A203" s="123">
        <v>202</v>
      </c>
      <c r="B203" s="123" t="s">
        <v>3333</v>
      </c>
      <c r="C203" s="123" t="s">
        <v>3334</v>
      </c>
      <c r="D203" s="124" t="s">
        <v>2475</v>
      </c>
      <c r="E203" s="123" t="s">
        <v>3335</v>
      </c>
      <c r="F203" s="123" t="s">
        <v>3336</v>
      </c>
      <c r="G203" s="125" t="s">
        <v>1171</v>
      </c>
    </row>
    <row r="204" spans="1:7" ht="409.5" x14ac:dyDescent="0.25">
      <c r="A204" s="123">
        <v>203</v>
      </c>
      <c r="B204" s="123" t="s">
        <v>3337</v>
      </c>
      <c r="C204" s="123" t="s">
        <v>3338</v>
      </c>
      <c r="D204" s="124" t="s">
        <v>2475</v>
      </c>
      <c r="E204" s="123" t="s">
        <v>3339</v>
      </c>
      <c r="F204" s="123" t="s">
        <v>3340</v>
      </c>
      <c r="G204" s="125" t="s">
        <v>1171</v>
      </c>
    </row>
    <row r="205" spans="1:7" ht="409.5" x14ac:dyDescent="0.25">
      <c r="A205" s="123">
        <v>204</v>
      </c>
      <c r="B205" s="123" t="s">
        <v>3341</v>
      </c>
      <c r="C205" s="123" t="s">
        <v>3342</v>
      </c>
      <c r="D205" s="124" t="s">
        <v>2475</v>
      </c>
      <c r="E205" s="123" t="s">
        <v>3343</v>
      </c>
      <c r="F205" s="123" t="s">
        <v>3344</v>
      </c>
      <c r="G205" s="125" t="s">
        <v>1171</v>
      </c>
    </row>
    <row r="206" spans="1:7" ht="409.5" x14ac:dyDescent="0.25">
      <c r="A206" s="123">
        <v>205</v>
      </c>
      <c r="B206" s="123" t="s">
        <v>3345</v>
      </c>
      <c r="C206" s="123" t="s">
        <v>3346</v>
      </c>
      <c r="D206" s="124" t="s">
        <v>2475</v>
      </c>
      <c r="E206" s="123" t="s">
        <v>3347</v>
      </c>
      <c r="F206" s="123" t="s">
        <v>3348</v>
      </c>
      <c r="G206" s="125" t="s">
        <v>1171</v>
      </c>
    </row>
    <row r="207" spans="1:7" ht="409.5" x14ac:dyDescent="0.25">
      <c r="A207" s="123">
        <v>206</v>
      </c>
      <c r="B207" s="123" t="s">
        <v>3349</v>
      </c>
      <c r="C207" s="123" t="s">
        <v>3350</v>
      </c>
      <c r="D207" s="124" t="s">
        <v>2475</v>
      </c>
      <c r="E207" s="123" t="s">
        <v>3351</v>
      </c>
      <c r="F207" s="123" t="s">
        <v>3352</v>
      </c>
      <c r="G207" s="125" t="s">
        <v>1171</v>
      </c>
    </row>
    <row r="208" spans="1:7" ht="409.5" x14ac:dyDescent="0.25">
      <c r="A208" s="123">
        <v>207</v>
      </c>
      <c r="B208" s="123" t="s">
        <v>3353</v>
      </c>
      <c r="C208" s="123" t="s">
        <v>3354</v>
      </c>
      <c r="D208" s="124" t="s">
        <v>2475</v>
      </c>
      <c r="E208" s="123" t="s">
        <v>3355</v>
      </c>
      <c r="F208" s="123" t="s">
        <v>3356</v>
      </c>
      <c r="G208" s="125" t="s">
        <v>1171</v>
      </c>
    </row>
    <row r="209" spans="1:7" ht="409.5" x14ac:dyDescent="0.25">
      <c r="A209" s="123">
        <v>208</v>
      </c>
      <c r="B209" s="123" t="s">
        <v>3357</v>
      </c>
      <c r="C209" s="123" t="s">
        <v>3358</v>
      </c>
      <c r="D209" s="124" t="s">
        <v>2475</v>
      </c>
      <c r="E209" s="123" t="s">
        <v>3359</v>
      </c>
      <c r="F209" s="123" t="s">
        <v>3360</v>
      </c>
      <c r="G209" s="125" t="s">
        <v>1171</v>
      </c>
    </row>
    <row r="210" spans="1:7" ht="409.5" x14ac:dyDescent="0.25">
      <c r="A210" s="123">
        <v>209</v>
      </c>
      <c r="B210" s="126" t="s">
        <v>3361</v>
      </c>
      <c r="C210" s="126" t="s">
        <v>3362</v>
      </c>
      <c r="D210" s="127" t="s">
        <v>2475</v>
      </c>
      <c r="E210" s="126" t="s">
        <v>3363</v>
      </c>
      <c r="F210" s="126" t="s">
        <v>3364</v>
      </c>
      <c r="G210" s="125" t="s">
        <v>1171</v>
      </c>
    </row>
    <row r="211" spans="1:7" ht="409.5" x14ac:dyDescent="0.25">
      <c r="A211" s="123">
        <v>210</v>
      </c>
      <c r="B211" s="126" t="s">
        <v>3365</v>
      </c>
      <c r="C211" s="126" t="s">
        <v>3366</v>
      </c>
      <c r="D211" s="127" t="s">
        <v>2475</v>
      </c>
      <c r="E211" s="126" t="s">
        <v>3367</v>
      </c>
      <c r="F211" s="126" t="s">
        <v>3368</v>
      </c>
      <c r="G211" s="125" t="s">
        <v>1171</v>
      </c>
    </row>
    <row r="212" spans="1:7" ht="409.5" x14ac:dyDescent="0.25">
      <c r="A212" s="123">
        <v>211</v>
      </c>
      <c r="B212" s="126" t="s">
        <v>3369</v>
      </c>
      <c r="C212" s="126" t="s">
        <v>3370</v>
      </c>
      <c r="D212" s="127" t="s">
        <v>2475</v>
      </c>
      <c r="E212" s="126" t="s">
        <v>3371</v>
      </c>
      <c r="F212" s="126" t="s">
        <v>3372</v>
      </c>
      <c r="G212" s="125" t="s">
        <v>1171</v>
      </c>
    </row>
    <row r="213" spans="1:7" ht="409.5" x14ac:dyDescent="0.25">
      <c r="A213" s="123">
        <v>212</v>
      </c>
      <c r="B213" s="126" t="s">
        <v>3373</v>
      </c>
      <c r="C213" s="126" t="s">
        <v>3374</v>
      </c>
      <c r="D213" s="127" t="s">
        <v>2475</v>
      </c>
      <c r="E213" s="126" t="s">
        <v>3375</v>
      </c>
      <c r="F213" s="126" t="s">
        <v>3376</v>
      </c>
      <c r="G213" s="125" t="s">
        <v>1171</v>
      </c>
    </row>
    <row r="214" spans="1:7" ht="409.5" x14ac:dyDescent="0.25">
      <c r="A214" s="123">
        <v>213</v>
      </c>
      <c r="B214" s="126" t="s">
        <v>3377</v>
      </c>
      <c r="C214" s="126" t="s">
        <v>3378</v>
      </c>
      <c r="D214" s="127" t="s">
        <v>2475</v>
      </c>
      <c r="E214" s="126" t="s">
        <v>3379</v>
      </c>
      <c r="F214" s="126" t="s">
        <v>3380</v>
      </c>
      <c r="G214" s="125" t="s">
        <v>1171</v>
      </c>
    </row>
    <row r="215" spans="1:7" ht="409.5" x14ac:dyDescent="0.25">
      <c r="A215" s="123">
        <v>214</v>
      </c>
      <c r="B215" s="126" t="s">
        <v>3381</v>
      </c>
      <c r="C215" s="126" t="s">
        <v>3382</v>
      </c>
      <c r="D215" s="127" t="s">
        <v>2475</v>
      </c>
      <c r="E215" s="126" t="s">
        <v>3383</v>
      </c>
      <c r="F215" s="126" t="s">
        <v>3384</v>
      </c>
      <c r="G215" s="125" t="s">
        <v>1171</v>
      </c>
    </row>
    <row r="216" spans="1:7" ht="409.5" x14ac:dyDescent="0.25">
      <c r="A216" s="123">
        <v>215</v>
      </c>
      <c r="B216" s="126" t="s">
        <v>3385</v>
      </c>
      <c r="C216" s="126" t="s">
        <v>3386</v>
      </c>
      <c r="D216" s="127" t="s">
        <v>2475</v>
      </c>
      <c r="E216" s="126" t="s">
        <v>3387</v>
      </c>
      <c r="F216" s="126" t="s">
        <v>3388</v>
      </c>
      <c r="G216" s="125" t="s">
        <v>1171</v>
      </c>
    </row>
    <row r="217" spans="1:7" ht="409.5" x14ac:dyDescent="0.25">
      <c r="A217" s="123">
        <v>216</v>
      </c>
      <c r="B217" s="126" t="s">
        <v>3389</v>
      </c>
      <c r="C217" s="126" t="s">
        <v>3390</v>
      </c>
      <c r="D217" s="127" t="s">
        <v>2475</v>
      </c>
      <c r="E217" s="126" t="s">
        <v>3391</v>
      </c>
      <c r="F217" s="126" t="s">
        <v>3392</v>
      </c>
      <c r="G217" s="125" t="s">
        <v>1171</v>
      </c>
    </row>
    <row r="218" spans="1:7" ht="346.5" x14ac:dyDescent="0.25">
      <c r="A218" s="123">
        <v>217</v>
      </c>
      <c r="B218" s="126" t="s">
        <v>3393</v>
      </c>
      <c r="C218" s="126" t="s">
        <v>3394</v>
      </c>
      <c r="D218" s="127" t="s">
        <v>2475</v>
      </c>
      <c r="E218" s="126" t="s">
        <v>3395</v>
      </c>
      <c r="F218" s="126" t="s">
        <v>3396</v>
      </c>
      <c r="G218" s="125" t="s">
        <v>1171</v>
      </c>
    </row>
    <row r="219" spans="1:7" ht="378" x14ac:dyDescent="0.25">
      <c r="A219" s="123">
        <v>218</v>
      </c>
      <c r="B219" s="126" t="s">
        <v>3397</v>
      </c>
      <c r="C219" s="126" t="s">
        <v>3398</v>
      </c>
      <c r="D219" s="127" t="s">
        <v>2475</v>
      </c>
      <c r="E219" s="126" t="s">
        <v>3399</v>
      </c>
      <c r="F219" s="126" t="s">
        <v>3400</v>
      </c>
      <c r="G219" s="125" t="s">
        <v>1171</v>
      </c>
    </row>
    <row r="220" spans="1:7" ht="378" x14ac:dyDescent="0.25">
      <c r="A220" s="123">
        <v>219</v>
      </c>
      <c r="B220" s="126" t="s">
        <v>3401</v>
      </c>
      <c r="C220" s="126" t="s">
        <v>3402</v>
      </c>
      <c r="D220" s="127" t="s">
        <v>2475</v>
      </c>
      <c r="E220" s="126" t="s">
        <v>3403</v>
      </c>
      <c r="F220" s="126" t="s">
        <v>3404</v>
      </c>
      <c r="G220" s="125" t="s">
        <v>1171</v>
      </c>
    </row>
    <row r="221" spans="1:7" ht="378" x14ac:dyDescent="0.25">
      <c r="A221" s="123">
        <v>220</v>
      </c>
      <c r="B221" s="126" t="s">
        <v>3405</v>
      </c>
      <c r="C221" s="126" t="s">
        <v>3406</v>
      </c>
      <c r="D221" s="127" t="s">
        <v>2475</v>
      </c>
      <c r="E221" s="126" t="s">
        <v>3407</v>
      </c>
      <c r="F221" s="126" t="s">
        <v>3408</v>
      </c>
      <c r="G221" s="125" t="s">
        <v>1171</v>
      </c>
    </row>
    <row r="222" spans="1:7" ht="346.5" x14ac:dyDescent="0.25">
      <c r="A222" s="123">
        <v>221</v>
      </c>
      <c r="B222" s="126" t="s">
        <v>3409</v>
      </c>
      <c r="C222" s="126" t="s">
        <v>3410</v>
      </c>
      <c r="D222" s="127" t="s">
        <v>2475</v>
      </c>
      <c r="E222" s="126" t="s">
        <v>3411</v>
      </c>
      <c r="F222" s="126" t="s">
        <v>3412</v>
      </c>
      <c r="G222" s="125" t="s">
        <v>1171</v>
      </c>
    </row>
    <row r="223" spans="1:7" ht="330.75" x14ac:dyDescent="0.25">
      <c r="A223" s="123">
        <v>222</v>
      </c>
      <c r="B223" s="126" t="s">
        <v>3413</v>
      </c>
      <c r="C223" s="126" t="s">
        <v>3414</v>
      </c>
      <c r="D223" s="127" t="s">
        <v>2475</v>
      </c>
      <c r="E223" s="126" t="s">
        <v>3415</v>
      </c>
      <c r="F223" s="126" t="s">
        <v>3416</v>
      </c>
      <c r="G223" s="125" t="s">
        <v>1171</v>
      </c>
    </row>
    <row r="224" spans="1:7" ht="378" x14ac:dyDescent="0.25">
      <c r="A224" s="123">
        <v>223</v>
      </c>
      <c r="B224" s="126" t="s">
        <v>3417</v>
      </c>
      <c r="C224" s="126" t="s">
        <v>3418</v>
      </c>
      <c r="D224" s="127" t="s">
        <v>2475</v>
      </c>
      <c r="E224" s="126" t="s">
        <v>3419</v>
      </c>
      <c r="F224" s="126" t="s">
        <v>3420</v>
      </c>
      <c r="G224" s="125" t="s">
        <v>1171</v>
      </c>
    </row>
    <row r="225" spans="1:7" ht="299.25" x14ac:dyDescent="0.25">
      <c r="A225" s="123">
        <v>224</v>
      </c>
      <c r="B225" s="126" t="s">
        <v>3421</v>
      </c>
      <c r="C225" s="126" t="s">
        <v>3422</v>
      </c>
      <c r="D225" s="127" t="s">
        <v>2475</v>
      </c>
      <c r="E225" s="126" t="s">
        <v>3423</v>
      </c>
      <c r="F225" s="126" t="s">
        <v>3424</v>
      </c>
      <c r="G225" s="125" t="s">
        <v>1171</v>
      </c>
    </row>
    <row r="226" spans="1:7" ht="315" x14ac:dyDescent="0.25">
      <c r="A226" s="123">
        <v>225</v>
      </c>
      <c r="B226" s="126" t="s">
        <v>3425</v>
      </c>
      <c r="C226" s="126" t="s">
        <v>3426</v>
      </c>
      <c r="D226" s="127" t="s">
        <v>2475</v>
      </c>
      <c r="E226" s="126" t="s">
        <v>3427</v>
      </c>
      <c r="F226" s="126" t="s">
        <v>3428</v>
      </c>
      <c r="G226" s="125" t="s">
        <v>1171</v>
      </c>
    </row>
    <row r="227" spans="1:7" ht="315" x14ac:dyDescent="0.25">
      <c r="A227" s="123">
        <v>226</v>
      </c>
      <c r="B227" s="126" t="s">
        <v>3429</v>
      </c>
      <c r="C227" s="126" t="s">
        <v>3430</v>
      </c>
      <c r="D227" s="127" t="s">
        <v>2475</v>
      </c>
      <c r="E227" s="126" t="s">
        <v>3427</v>
      </c>
      <c r="F227" s="126" t="s">
        <v>3431</v>
      </c>
      <c r="G227" s="125" t="s">
        <v>1171</v>
      </c>
    </row>
    <row r="228" spans="1:7" ht="330.75" x14ac:dyDescent="0.25">
      <c r="A228" s="123">
        <v>227</v>
      </c>
      <c r="B228" s="126" t="s">
        <v>3432</v>
      </c>
      <c r="C228" s="126" t="s">
        <v>3433</v>
      </c>
      <c r="D228" s="127" t="s">
        <v>2475</v>
      </c>
      <c r="E228" s="126" t="s">
        <v>3434</v>
      </c>
      <c r="F228" s="126" t="s">
        <v>3435</v>
      </c>
      <c r="G228" s="125" t="s">
        <v>1171</v>
      </c>
    </row>
    <row r="229" spans="1:7" ht="393.75" x14ac:dyDescent="0.25">
      <c r="A229" s="123">
        <v>228</v>
      </c>
      <c r="B229" s="126" t="s">
        <v>3436</v>
      </c>
      <c r="C229" s="126" t="s">
        <v>3437</v>
      </c>
      <c r="D229" s="127" t="s">
        <v>2475</v>
      </c>
      <c r="E229" s="126" t="s">
        <v>3438</v>
      </c>
      <c r="F229" s="126" t="s">
        <v>3439</v>
      </c>
      <c r="G229" s="125" t="s">
        <v>1171</v>
      </c>
    </row>
    <row r="230" spans="1:7" ht="315" x14ac:dyDescent="0.25">
      <c r="A230" s="123">
        <v>229</v>
      </c>
      <c r="B230" s="126" t="s">
        <v>3440</v>
      </c>
      <c r="C230" s="126" t="s">
        <v>3441</v>
      </c>
      <c r="D230" s="127" t="s">
        <v>2475</v>
      </c>
      <c r="E230" s="126" t="s">
        <v>3438</v>
      </c>
      <c r="F230" s="126" t="s">
        <v>3442</v>
      </c>
      <c r="G230" s="125" t="s">
        <v>1171</v>
      </c>
    </row>
    <row r="231" spans="1:7" ht="409.5" x14ac:dyDescent="0.25">
      <c r="A231" s="123">
        <v>230</v>
      </c>
      <c r="B231" s="126" t="s">
        <v>3443</v>
      </c>
      <c r="C231" s="126" t="s">
        <v>3444</v>
      </c>
      <c r="D231" s="127" t="s">
        <v>2475</v>
      </c>
      <c r="E231" s="126" t="s">
        <v>3445</v>
      </c>
      <c r="F231" s="126" t="s">
        <v>3446</v>
      </c>
      <c r="G231" s="125" t="s">
        <v>1171</v>
      </c>
    </row>
    <row r="232" spans="1:7" ht="409.5" x14ac:dyDescent="0.25">
      <c r="A232" s="123">
        <v>231</v>
      </c>
      <c r="B232" s="126" t="s">
        <v>3447</v>
      </c>
      <c r="C232" s="126" t="s">
        <v>3448</v>
      </c>
      <c r="D232" s="127" t="s">
        <v>2475</v>
      </c>
      <c r="E232" s="126" t="s">
        <v>3449</v>
      </c>
      <c r="F232" s="126" t="s">
        <v>3450</v>
      </c>
      <c r="G232" s="125" t="s">
        <v>1171</v>
      </c>
    </row>
    <row r="233" spans="1:7" ht="409.5" x14ac:dyDescent="0.25">
      <c r="A233" s="123">
        <v>232</v>
      </c>
      <c r="B233" s="126" t="s">
        <v>3451</v>
      </c>
      <c r="C233" s="126" t="s">
        <v>3452</v>
      </c>
      <c r="D233" s="127" t="s">
        <v>2475</v>
      </c>
      <c r="E233" s="126" t="s">
        <v>3453</v>
      </c>
      <c r="F233" s="126" t="s">
        <v>3454</v>
      </c>
      <c r="G233" s="125" t="s">
        <v>1171</v>
      </c>
    </row>
    <row r="234" spans="1:7" ht="409.5" x14ac:dyDescent="0.25">
      <c r="A234" s="123">
        <v>233</v>
      </c>
      <c r="B234" s="126" t="s">
        <v>3455</v>
      </c>
      <c r="C234" s="126" t="s">
        <v>3456</v>
      </c>
      <c r="D234" s="127" t="s">
        <v>2475</v>
      </c>
      <c r="E234" s="126" t="s">
        <v>3457</v>
      </c>
      <c r="F234" s="126" t="s">
        <v>3458</v>
      </c>
      <c r="G234" s="125" t="s">
        <v>1171</v>
      </c>
    </row>
    <row r="235" spans="1:7" ht="409.5" x14ac:dyDescent="0.25">
      <c r="A235" s="123">
        <v>234</v>
      </c>
      <c r="B235" s="126" t="s">
        <v>3459</v>
      </c>
      <c r="C235" s="126" t="s">
        <v>3460</v>
      </c>
      <c r="D235" s="127" t="s">
        <v>2475</v>
      </c>
      <c r="E235" s="126" t="s">
        <v>3461</v>
      </c>
      <c r="F235" s="126" t="s">
        <v>3462</v>
      </c>
      <c r="G235" s="125" t="s">
        <v>1171</v>
      </c>
    </row>
    <row r="236" spans="1:7" ht="409.5" x14ac:dyDescent="0.25">
      <c r="A236" s="123">
        <v>235</v>
      </c>
      <c r="B236" s="126" t="s">
        <v>3463</v>
      </c>
      <c r="C236" s="126" t="s">
        <v>3464</v>
      </c>
      <c r="D236" s="127" t="s">
        <v>2475</v>
      </c>
      <c r="E236" s="126" t="s">
        <v>3465</v>
      </c>
      <c r="F236" s="126" t="s">
        <v>3466</v>
      </c>
      <c r="G236" s="125" t="s">
        <v>1171</v>
      </c>
    </row>
    <row r="237" spans="1:7" ht="409.5" x14ac:dyDescent="0.25">
      <c r="A237" s="123">
        <v>236</v>
      </c>
      <c r="B237" s="126" t="s">
        <v>3467</v>
      </c>
      <c r="C237" s="126" t="s">
        <v>3468</v>
      </c>
      <c r="D237" s="127" t="s">
        <v>2475</v>
      </c>
      <c r="E237" s="126" t="s">
        <v>3469</v>
      </c>
      <c r="F237" s="126" t="s">
        <v>3470</v>
      </c>
      <c r="G237" s="125" t="s">
        <v>1171</v>
      </c>
    </row>
    <row r="238" spans="1:7" ht="409.5" x14ac:dyDescent="0.25">
      <c r="A238" s="123">
        <v>237</v>
      </c>
      <c r="B238" s="126" t="s">
        <v>3471</v>
      </c>
      <c r="C238" s="126" t="s">
        <v>3472</v>
      </c>
      <c r="D238" s="127" t="s">
        <v>2475</v>
      </c>
      <c r="E238" s="126" t="s">
        <v>3473</v>
      </c>
      <c r="F238" s="126" t="s">
        <v>3474</v>
      </c>
      <c r="G238" s="125" t="s">
        <v>1171</v>
      </c>
    </row>
    <row r="239" spans="1:7" ht="409.5" x14ac:dyDescent="0.25">
      <c r="A239" s="123">
        <v>238</v>
      </c>
      <c r="B239" s="126" t="s">
        <v>3475</v>
      </c>
      <c r="C239" s="126" t="s">
        <v>3476</v>
      </c>
      <c r="D239" s="127" t="s">
        <v>2475</v>
      </c>
      <c r="E239" s="126" t="s">
        <v>3477</v>
      </c>
      <c r="F239" s="126" t="s">
        <v>3478</v>
      </c>
      <c r="G239" s="125" t="s">
        <v>1171</v>
      </c>
    </row>
    <row r="240" spans="1:7" ht="393.75" x14ac:dyDescent="0.25">
      <c r="A240" s="123">
        <v>239</v>
      </c>
      <c r="B240" s="126" t="s">
        <v>3479</v>
      </c>
      <c r="C240" s="126" t="s">
        <v>3480</v>
      </c>
      <c r="D240" s="127" t="s">
        <v>2475</v>
      </c>
      <c r="E240" s="126" t="s">
        <v>3481</v>
      </c>
      <c r="F240" s="126" t="s">
        <v>3482</v>
      </c>
      <c r="G240" s="125" t="s">
        <v>1171</v>
      </c>
    </row>
    <row r="241" spans="1:7" ht="409.5" x14ac:dyDescent="0.25">
      <c r="A241" s="123">
        <v>240</v>
      </c>
      <c r="B241" s="126" t="s">
        <v>3483</v>
      </c>
      <c r="C241" s="126" t="s">
        <v>3484</v>
      </c>
      <c r="D241" s="127" t="s">
        <v>2475</v>
      </c>
      <c r="E241" s="126" t="s">
        <v>3485</v>
      </c>
      <c r="F241" s="126" t="s">
        <v>3486</v>
      </c>
      <c r="G241" s="125" t="s">
        <v>1171</v>
      </c>
    </row>
    <row r="242" spans="1:7" ht="409.5" x14ac:dyDescent="0.25">
      <c r="A242" s="123">
        <v>241</v>
      </c>
      <c r="B242" s="126" t="s">
        <v>3487</v>
      </c>
      <c r="C242" s="126" t="s">
        <v>3488</v>
      </c>
      <c r="D242" s="127" t="s">
        <v>2475</v>
      </c>
      <c r="E242" s="126" t="s">
        <v>3489</v>
      </c>
      <c r="F242" s="126" t="s">
        <v>3490</v>
      </c>
      <c r="G242" s="125" t="s">
        <v>1171</v>
      </c>
    </row>
    <row r="243" spans="1:7" ht="409.5" x14ac:dyDescent="0.25">
      <c r="A243" s="123">
        <v>242</v>
      </c>
      <c r="B243" s="126" t="s">
        <v>3491</v>
      </c>
      <c r="C243" s="126" t="s">
        <v>3492</v>
      </c>
      <c r="D243" s="127" t="s">
        <v>2475</v>
      </c>
      <c r="E243" s="126" t="s">
        <v>3493</v>
      </c>
      <c r="F243" s="126" t="s">
        <v>3494</v>
      </c>
      <c r="G243" s="125" t="s">
        <v>1171</v>
      </c>
    </row>
    <row r="244" spans="1:7" ht="409.5" x14ac:dyDescent="0.25">
      <c r="A244" s="123">
        <v>243</v>
      </c>
      <c r="B244" s="126" t="s">
        <v>3495</v>
      </c>
      <c r="C244" s="126" t="s">
        <v>3496</v>
      </c>
      <c r="D244" s="127" t="s">
        <v>2475</v>
      </c>
      <c r="E244" s="126" t="s">
        <v>3497</v>
      </c>
      <c r="F244" s="126" t="s">
        <v>3498</v>
      </c>
      <c r="G244" s="125" t="s">
        <v>1171</v>
      </c>
    </row>
    <row r="245" spans="1:7" ht="409.5" x14ac:dyDescent="0.25">
      <c r="A245" s="123">
        <v>244</v>
      </c>
      <c r="B245" s="126" t="s">
        <v>3499</v>
      </c>
      <c r="C245" s="126" t="s">
        <v>3500</v>
      </c>
      <c r="D245" s="127" t="s">
        <v>2475</v>
      </c>
      <c r="E245" s="126" t="s">
        <v>3501</v>
      </c>
      <c r="F245" s="126" t="s">
        <v>3502</v>
      </c>
      <c r="G245" s="125" t="s">
        <v>1171</v>
      </c>
    </row>
    <row r="246" spans="1:7" ht="409.5" x14ac:dyDescent="0.25">
      <c r="A246" s="123">
        <v>245</v>
      </c>
      <c r="B246" s="126" t="s">
        <v>3503</v>
      </c>
      <c r="C246" s="126" t="s">
        <v>3504</v>
      </c>
      <c r="D246" s="127" t="s">
        <v>2475</v>
      </c>
      <c r="E246" s="126" t="s">
        <v>3505</v>
      </c>
      <c r="F246" s="126" t="s">
        <v>3506</v>
      </c>
      <c r="G246" s="125" t="s">
        <v>1171</v>
      </c>
    </row>
    <row r="247" spans="1:7" ht="409.5" x14ac:dyDescent="0.25">
      <c r="A247" s="123">
        <v>246</v>
      </c>
      <c r="B247" s="126" t="s">
        <v>3507</v>
      </c>
      <c r="C247" s="126" t="s">
        <v>3508</v>
      </c>
      <c r="D247" s="127" t="s">
        <v>2475</v>
      </c>
      <c r="E247" s="126" t="s">
        <v>3509</v>
      </c>
      <c r="F247" s="126" t="s">
        <v>3510</v>
      </c>
      <c r="G247" s="125" t="s">
        <v>1171</v>
      </c>
    </row>
    <row r="248" spans="1:7" ht="409.5" x14ac:dyDescent="0.25">
      <c r="A248" s="123">
        <v>247</v>
      </c>
      <c r="B248" s="126" t="s">
        <v>3511</v>
      </c>
      <c r="C248" s="126" t="s">
        <v>3512</v>
      </c>
      <c r="D248" s="127" t="s">
        <v>2475</v>
      </c>
      <c r="E248" s="126" t="s">
        <v>3513</v>
      </c>
      <c r="F248" s="126" t="s">
        <v>3514</v>
      </c>
      <c r="G248" s="125" t="s">
        <v>1171</v>
      </c>
    </row>
    <row r="249" spans="1:7" ht="378" x14ac:dyDescent="0.25">
      <c r="A249" s="123">
        <v>248</v>
      </c>
      <c r="B249" s="126" t="s">
        <v>3515</v>
      </c>
      <c r="C249" s="126" t="s">
        <v>3516</v>
      </c>
      <c r="D249" s="127" t="s">
        <v>2475</v>
      </c>
      <c r="E249" s="126" t="s">
        <v>3517</v>
      </c>
      <c r="F249" s="126" t="s">
        <v>3518</v>
      </c>
      <c r="G249" s="125" t="s">
        <v>1171</v>
      </c>
    </row>
    <row r="250" spans="1:7" ht="346.5" x14ac:dyDescent="0.25">
      <c r="A250" s="123">
        <v>249</v>
      </c>
      <c r="B250" s="126" t="s">
        <v>3519</v>
      </c>
      <c r="C250" s="126" t="s">
        <v>3520</v>
      </c>
      <c r="D250" s="127" t="s">
        <v>2475</v>
      </c>
      <c r="E250" s="126" t="s">
        <v>3521</v>
      </c>
      <c r="F250" s="126" t="s">
        <v>3522</v>
      </c>
      <c r="G250" s="125" t="s">
        <v>1171</v>
      </c>
    </row>
    <row r="251" spans="1:7" ht="409.5" x14ac:dyDescent="0.25">
      <c r="A251" s="123">
        <v>250</v>
      </c>
      <c r="B251" s="126" t="s">
        <v>3523</v>
      </c>
      <c r="C251" s="126" t="s">
        <v>3524</v>
      </c>
      <c r="D251" s="127" t="s">
        <v>2475</v>
      </c>
      <c r="E251" s="126" t="s">
        <v>3525</v>
      </c>
      <c r="F251" s="126" t="s">
        <v>3526</v>
      </c>
      <c r="G251" s="125" t="s">
        <v>1171</v>
      </c>
    </row>
    <row r="252" spans="1:7" ht="409.5" x14ac:dyDescent="0.25">
      <c r="A252" s="123">
        <v>251</v>
      </c>
      <c r="B252" s="126" t="s">
        <v>3527</v>
      </c>
      <c r="C252" s="126" t="s">
        <v>3528</v>
      </c>
      <c r="D252" s="127" t="s">
        <v>2475</v>
      </c>
      <c r="E252" s="126" t="s">
        <v>3529</v>
      </c>
      <c r="F252" s="126" t="s">
        <v>3530</v>
      </c>
      <c r="G252" s="125" t="s">
        <v>1171</v>
      </c>
    </row>
    <row r="253" spans="1:7" ht="409.5" x14ac:dyDescent="0.25">
      <c r="A253" s="123">
        <v>252</v>
      </c>
      <c r="B253" s="126" t="s">
        <v>3531</v>
      </c>
      <c r="C253" s="126" t="s">
        <v>3532</v>
      </c>
      <c r="D253" s="127" t="s">
        <v>2475</v>
      </c>
      <c r="E253" s="126" t="s">
        <v>3533</v>
      </c>
      <c r="F253" s="126" t="s">
        <v>3534</v>
      </c>
      <c r="G253" s="125" t="s">
        <v>1171</v>
      </c>
    </row>
    <row r="254" spans="1:7" ht="346.5" x14ac:dyDescent="0.25">
      <c r="A254" s="123">
        <v>253</v>
      </c>
      <c r="B254" s="126" t="s">
        <v>3535</v>
      </c>
      <c r="C254" s="126" t="s">
        <v>3536</v>
      </c>
      <c r="D254" s="127" t="s">
        <v>2445</v>
      </c>
      <c r="E254" s="126" t="s">
        <v>3537</v>
      </c>
      <c r="F254" s="126" t="s">
        <v>3538</v>
      </c>
      <c r="G254" s="125" t="s">
        <v>1171</v>
      </c>
    </row>
    <row r="255" spans="1:7" ht="409.5" x14ac:dyDescent="0.25">
      <c r="A255" s="123">
        <v>254</v>
      </c>
      <c r="B255" s="126" t="s">
        <v>3539</v>
      </c>
      <c r="C255" s="126" t="s">
        <v>3540</v>
      </c>
      <c r="D255" s="127" t="s">
        <v>2445</v>
      </c>
      <c r="E255" s="126" t="s">
        <v>3541</v>
      </c>
      <c r="F255" s="126" t="s">
        <v>3542</v>
      </c>
      <c r="G255" s="125" t="s">
        <v>1171</v>
      </c>
    </row>
    <row r="256" spans="1:7" ht="409.5" x14ac:dyDescent="0.25">
      <c r="A256" s="123">
        <v>255</v>
      </c>
      <c r="B256" s="126" t="s">
        <v>3543</v>
      </c>
      <c r="C256" s="126" t="s">
        <v>3544</v>
      </c>
      <c r="D256" s="127" t="s">
        <v>2445</v>
      </c>
      <c r="E256" s="126" t="s">
        <v>3545</v>
      </c>
      <c r="F256" s="126" t="s">
        <v>3546</v>
      </c>
      <c r="G256" s="125" t="s">
        <v>1171</v>
      </c>
    </row>
    <row r="257" spans="1:7" ht="393.75" x14ac:dyDescent="0.25">
      <c r="A257" s="123">
        <v>256</v>
      </c>
      <c r="B257" s="126" t="s">
        <v>3547</v>
      </c>
      <c r="C257" s="126" t="s">
        <v>3548</v>
      </c>
      <c r="D257" s="127" t="s">
        <v>2445</v>
      </c>
      <c r="E257" s="126" t="s">
        <v>3549</v>
      </c>
      <c r="F257" s="126" t="s">
        <v>3550</v>
      </c>
      <c r="G257" s="125" t="s">
        <v>1171</v>
      </c>
    </row>
    <row r="258" spans="1:7" ht="283.5" x14ac:dyDescent="0.25">
      <c r="A258" s="123">
        <v>257</v>
      </c>
      <c r="B258" s="126" t="s">
        <v>3551</v>
      </c>
      <c r="C258" s="126" t="s">
        <v>3552</v>
      </c>
      <c r="D258" s="127" t="s">
        <v>2445</v>
      </c>
      <c r="E258" s="126" t="s">
        <v>3553</v>
      </c>
      <c r="F258" s="126" t="s">
        <v>3554</v>
      </c>
      <c r="G258" s="125" t="s">
        <v>1171</v>
      </c>
    </row>
    <row r="259" spans="1:7" ht="362.25" x14ac:dyDescent="0.25">
      <c r="A259" s="123">
        <v>258</v>
      </c>
      <c r="B259" s="126" t="s">
        <v>3555</v>
      </c>
      <c r="C259" s="126" t="s">
        <v>3556</v>
      </c>
      <c r="D259" s="127" t="s">
        <v>2445</v>
      </c>
      <c r="E259" s="126" t="s">
        <v>3557</v>
      </c>
      <c r="F259" s="126" t="s">
        <v>3558</v>
      </c>
      <c r="G259" s="125" t="s">
        <v>1171</v>
      </c>
    </row>
    <row r="260" spans="1:7" ht="330.75" x14ac:dyDescent="0.25">
      <c r="A260" s="123">
        <v>259</v>
      </c>
      <c r="B260" s="126" t="s">
        <v>3559</v>
      </c>
      <c r="C260" s="126" t="s">
        <v>3560</v>
      </c>
      <c r="D260" s="127" t="s">
        <v>2445</v>
      </c>
      <c r="E260" s="126" t="s">
        <v>3561</v>
      </c>
      <c r="F260" s="126" t="s">
        <v>3562</v>
      </c>
      <c r="G260" s="125" t="s">
        <v>1171</v>
      </c>
    </row>
    <row r="261" spans="1:7" ht="409.5" x14ac:dyDescent="0.25">
      <c r="A261" s="123">
        <v>260</v>
      </c>
      <c r="B261" s="126" t="s">
        <v>3563</v>
      </c>
      <c r="C261" s="126" t="s">
        <v>3564</v>
      </c>
      <c r="D261" s="127" t="s">
        <v>2445</v>
      </c>
      <c r="E261" s="126" t="s">
        <v>3565</v>
      </c>
      <c r="F261" s="126" t="s">
        <v>3566</v>
      </c>
      <c r="G261" s="125" t="s">
        <v>1171</v>
      </c>
    </row>
    <row r="262" spans="1:7" ht="378" x14ac:dyDescent="0.25">
      <c r="A262" s="123">
        <v>261</v>
      </c>
      <c r="B262" s="126" t="s">
        <v>3567</v>
      </c>
      <c r="C262" s="126" t="s">
        <v>3568</v>
      </c>
      <c r="D262" s="127" t="s">
        <v>2445</v>
      </c>
      <c r="E262" s="126" t="s">
        <v>3569</v>
      </c>
      <c r="F262" s="126" t="s">
        <v>3570</v>
      </c>
      <c r="G262" s="125" t="s">
        <v>1171</v>
      </c>
    </row>
    <row r="263" spans="1:7" ht="409.5" x14ac:dyDescent="0.25">
      <c r="A263" s="123">
        <v>262</v>
      </c>
      <c r="B263" s="126" t="s">
        <v>3571</v>
      </c>
      <c r="C263" s="126" t="s">
        <v>3572</v>
      </c>
      <c r="D263" s="127" t="s">
        <v>2445</v>
      </c>
      <c r="E263" s="126" t="s">
        <v>3573</v>
      </c>
      <c r="F263" s="126" t="s">
        <v>3574</v>
      </c>
      <c r="G263" s="125" t="s">
        <v>1171</v>
      </c>
    </row>
    <row r="264" spans="1:7" ht="409.5" x14ac:dyDescent="0.25">
      <c r="A264" s="123">
        <v>263</v>
      </c>
      <c r="B264" s="126" t="s">
        <v>3575</v>
      </c>
      <c r="C264" s="126" t="s">
        <v>3576</v>
      </c>
      <c r="D264" s="127" t="s">
        <v>2445</v>
      </c>
      <c r="E264" s="126" t="s">
        <v>3577</v>
      </c>
      <c r="F264" s="126" t="s">
        <v>3578</v>
      </c>
      <c r="G264" s="125" t="s">
        <v>1171</v>
      </c>
    </row>
    <row r="265" spans="1:7" ht="330.75" x14ac:dyDescent="0.25">
      <c r="A265" s="123">
        <v>264</v>
      </c>
      <c r="B265" s="126" t="s">
        <v>3579</v>
      </c>
      <c r="C265" s="126" t="s">
        <v>3580</v>
      </c>
      <c r="D265" s="127" t="s">
        <v>2445</v>
      </c>
      <c r="E265" s="126" t="s">
        <v>3581</v>
      </c>
      <c r="F265" s="126" t="s">
        <v>3582</v>
      </c>
      <c r="G265" s="125" t="s">
        <v>1171</v>
      </c>
    </row>
    <row r="266" spans="1:7" ht="409.5" x14ac:dyDescent="0.25">
      <c r="A266" s="123">
        <v>265</v>
      </c>
      <c r="B266" s="126" t="s">
        <v>3583</v>
      </c>
      <c r="C266" s="126" t="s">
        <v>3584</v>
      </c>
      <c r="D266" s="127" t="s">
        <v>2445</v>
      </c>
      <c r="E266" s="126" t="s">
        <v>3585</v>
      </c>
      <c r="F266" s="126" t="s">
        <v>3586</v>
      </c>
      <c r="G266" s="125" t="s">
        <v>1171</v>
      </c>
    </row>
    <row r="267" spans="1:7" ht="393.75" x14ac:dyDescent="0.25">
      <c r="A267" s="123">
        <v>266</v>
      </c>
      <c r="B267" s="126" t="s">
        <v>3587</v>
      </c>
      <c r="C267" s="126" t="s">
        <v>3588</v>
      </c>
      <c r="D267" s="127" t="s">
        <v>2445</v>
      </c>
      <c r="E267" s="126" t="s">
        <v>3589</v>
      </c>
      <c r="F267" s="126" t="s">
        <v>3590</v>
      </c>
      <c r="G267" s="125" t="s">
        <v>1171</v>
      </c>
    </row>
    <row r="268" spans="1:7" ht="346.5" x14ac:dyDescent="0.25">
      <c r="A268" s="123">
        <v>267</v>
      </c>
      <c r="B268" s="126" t="s">
        <v>3591</v>
      </c>
      <c r="C268" s="126" t="s">
        <v>3592</v>
      </c>
      <c r="D268" s="127" t="s">
        <v>2445</v>
      </c>
      <c r="E268" s="126" t="s">
        <v>3593</v>
      </c>
      <c r="F268" s="126" t="s">
        <v>3594</v>
      </c>
      <c r="G268" s="125" t="s">
        <v>1171</v>
      </c>
    </row>
    <row r="269" spans="1:7" ht="315" x14ac:dyDescent="0.25">
      <c r="A269" s="123">
        <v>268</v>
      </c>
      <c r="B269" s="126" t="s">
        <v>3595</v>
      </c>
      <c r="C269" s="126" t="s">
        <v>3596</v>
      </c>
      <c r="D269" s="127" t="s">
        <v>2445</v>
      </c>
      <c r="E269" s="126" t="s">
        <v>3597</v>
      </c>
      <c r="F269" s="126" t="s">
        <v>3598</v>
      </c>
      <c r="G269" s="125" t="s">
        <v>1171</v>
      </c>
    </row>
    <row r="270" spans="1:7" ht="393.75" x14ac:dyDescent="0.25">
      <c r="A270" s="123">
        <v>269</v>
      </c>
      <c r="B270" s="126" t="s">
        <v>3599</v>
      </c>
      <c r="C270" s="126" t="s">
        <v>3600</v>
      </c>
      <c r="D270" s="127" t="s">
        <v>2445</v>
      </c>
      <c r="E270" s="126" t="s">
        <v>3601</v>
      </c>
      <c r="F270" s="126" t="s">
        <v>3602</v>
      </c>
      <c r="G270" s="125" t="s">
        <v>1171</v>
      </c>
    </row>
    <row r="271" spans="1:7" ht="362.25" x14ac:dyDescent="0.25">
      <c r="A271" s="123">
        <v>270</v>
      </c>
      <c r="B271" s="126" t="s">
        <v>3603</v>
      </c>
      <c r="C271" s="126" t="s">
        <v>3604</v>
      </c>
      <c r="D271" s="127" t="s">
        <v>2445</v>
      </c>
      <c r="E271" s="126" t="s">
        <v>3605</v>
      </c>
      <c r="F271" s="126" t="s">
        <v>3606</v>
      </c>
      <c r="G271" s="125" t="s">
        <v>1171</v>
      </c>
    </row>
    <row r="272" spans="1:7" ht="393.75" x14ac:dyDescent="0.25">
      <c r="A272" s="123">
        <v>271</v>
      </c>
      <c r="B272" s="126" t="s">
        <v>3607</v>
      </c>
      <c r="C272" s="126" t="s">
        <v>3608</v>
      </c>
      <c r="D272" s="127" t="s">
        <v>2445</v>
      </c>
      <c r="E272" s="126" t="s">
        <v>3609</v>
      </c>
      <c r="F272" s="126" t="s">
        <v>3610</v>
      </c>
      <c r="G272" s="125" t="s">
        <v>1171</v>
      </c>
    </row>
    <row r="273" spans="1:7" ht="409.5" x14ac:dyDescent="0.25">
      <c r="A273" s="123">
        <v>272</v>
      </c>
      <c r="B273" s="126" t="s">
        <v>3611</v>
      </c>
      <c r="C273" s="126" t="s">
        <v>3612</v>
      </c>
      <c r="D273" s="127" t="s">
        <v>2445</v>
      </c>
      <c r="E273" s="126" t="s">
        <v>3613</v>
      </c>
      <c r="F273" s="126" t="s">
        <v>3614</v>
      </c>
      <c r="G273" s="125" t="s">
        <v>1171</v>
      </c>
    </row>
    <row r="274" spans="1:7" ht="315" x14ac:dyDescent="0.25">
      <c r="A274" s="123">
        <v>273</v>
      </c>
      <c r="B274" s="126" t="s">
        <v>3615</v>
      </c>
      <c r="C274" s="126" t="s">
        <v>3616</v>
      </c>
      <c r="D274" s="127" t="s">
        <v>2445</v>
      </c>
      <c r="E274" s="126" t="s">
        <v>3617</v>
      </c>
      <c r="F274" s="126" t="s">
        <v>3618</v>
      </c>
      <c r="G274" s="125" t="s">
        <v>1171</v>
      </c>
    </row>
    <row r="275" spans="1:7" ht="267.75" x14ac:dyDescent="0.25">
      <c r="A275" s="123">
        <v>274</v>
      </c>
      <c r="B275" s="126" t="s">
        <v>3619</v>
      </c>
      <c r="C275" s="126" t="s">
        <v>3620</v>
      </c>
      <c r="D275" s="127" t="s">
        <v>2445</v>
      </c>
      <c r="E275" s="126" t="s">
        <v>3621</v>
      </c>
      <c r="F275" s="126" t="s">
        <v>3622</v>
      </c>
      <c r="G275" s="125" t="s">
        <v>1171</v>
      </c>
    </row>
    <row r="276" spans="1:7" ht="315" x14ac:dyDescent="0.25">
      <c r="A276" s="123">
        <v>275</v>
      </c>
      <c r="B276" s="126" t="s">
        <v>3623</v>
      </c>
      <c r="C276" s="126" t="s">
        <v>3624</v>
      </c>
      <c r="D276" s="127" t="s">
        <v>2445</v>
      </c>
      <c r="E276" s="126" t="s">
        <v>3625</v>
      </c>
      <c r="F276" s="126" t="s">
        <v>3626</v>
      </c>
      <c r="G276" s="125" t="s">
        <v>1171</v>
      </c>
    </row>
    <row r="277" spans="1:7" ht="315" x14ac:dyDescent="0.25">
      <c r="A277" s="123">
        <v>276</v>
      </c>
      <c r="B277" s="126" t="s">
        <v>3627</v>
      </c>
      <c r="C277" s="126" t="s">
        <v>3628</v>
      </c>
      <c r="D277" s="127" t="s">
        <v>2445</v>
      </c>
      <c r="E277" s="126" t="s">
        <v>3629</v>
      </c>
      <c r="F277" s="126" t="s">
        <v>3630</v>
      </c>
      <c r="G277" s="125" t="s">
        <v>1171</v>
      </c>
    </row>
    <row r="278" spans="1:7" ht="283.5" x14ac:dyDescent="0.25">
      <c r="A278" s="123">
        <v>277</v>
      </c>
      <c r="B278" s="126" t="s">
        <v>3631</v>
      </c>
      <c r="C278" s="126" t="s">
        <v>3632</v>
      </c>
      <c r="D278" s="127" t="s">
        <v>2445</v>
      </c>
      <c r="E278" s="126" t="s">
        <v>3633</v>
      </c>
      <c r="F278" s="126" t="s">
        <v>3634</v>
      </c>
      <c r="G278" s="125" t="s">
        <v>1171</v>
      </c>
    </row>
    <row r="279" spans="1:7" ht="330.75" x14ac:dyDescent="0.25">
      <c r="A279" s="123">
        <v>278</v>
      </c>
      <c r="B279" s="126" t="s">
        <v>3635</v>
      </c>
      <c r="C279" s="126" t="s">
        <v>3636</v>
      </c>
      <c r="D279" s="127" t="s">
        <v>2445</v>
      </c>
      <c r="E279" s="126" t="s">
        <v>3637</v>
      </c>
      <c r="F279" s="126" t="s">
        <v>3638</v>
      </c>
      <c r="G279" s="125" t="s">
        <v>1171</v>
      </c>
    </row>
    <row r="280" spans="1:7" ht="330.75" x14ac:dyDescent="0.25">
      <c r="A280" s="123">
        <v>279</v>
      </c>
      <c r="B280" s="126" t="s">
        <v>3639</v>
      </c>
      <c r="C280" s="126" t="s">
        <v>3640</v>
      </c>
      <c r="D280" s="127" t="s">
        <v>2445</v>
      </c>
      <c r="E280" s="126" t="s">
        <v>3641</v>
      </c>
      <c r="F280" s="126" t="s">
        <v>3642</v>
      </c>
      <c r="G280" s="125" t="s">
        <v>1171</v>
      </c>
    </row>
    <row r="281" spans="1:7" ht="299.25" x14ac:dyDescent="0.25">
      <c r="A281" s="123">
        <v>280</v>
      </c>
      <c r="B281" s="126" t="s">
        <v>3643</v>
      </c>
      <c r="C281" s="126" t="s">
        <v>3644</v>
      </c>
      <c r="D281" s="127" t="s">
        <v>2445</v>
      </c>
      <c r="E281" s="126" t="s">
        <v>3645</v>
      </c>
      <c r="F281" s="126" t="s">
        <v>3646</v>
      </c>
      <c r="G281" s="125" t="s">
        <v>1171</v>
      </c>
    </row>
    <row r="282" spans="1:7" ht="299.25" x14ac:dyDescent="0.25">
      <c r="A282" s="123">
        <v>281</v>
      </c>
      <c r="B282" s="126" t="s">
        <v>3647</v>
      </c>
      <c r="C282" s="126" t="s">
        <v>3648</v>
      </c>
      <c r="D282" s="127" t="s">
        <v>2445</v>
      </c>
      <c r="E282" s="126" t="s">
        <v>3649</v>
      </c>
      <c r="F282" s="126" t="s">
        <v>3650</v>
      </c>
      <c r="G282" s="125" t="s">
        <v>1171</v>
      </c>
    </row>
    <row r="283" spans="1:7" ht="409.5" x14ac:dyDescent="0.25">
      <c r="A283" s="123">
        <v>282</v>
      </c>
      <c r="B283" s="126" t="s">
        <v>3651</v>
      </c>
      <c r="C283" s="126" t="s">
        <v>3652</v>
      </c>
      <c r="D283" s="127" t="s">
        <v>2445</v>
      </c>
      <c r="E283" s="126" t="s">
        <v>3653</v>
      </c>
      <c r="F283" s="126" t="s">
        <v>3654</v>
      </c>
      <c r="G283" s="125" t="s">
        <v>1171</v>
      </c>
    </row>
    <row r="284" spans="1:7" ht="330.75" x14ac:dyDescent="0.25">
      <c r="A284" s="123">
        <v>283</v>
      </c>
      <c r="B284" s="126" t="s">
        <v>3655</v>
      </c>
      <c r="C284" s="126" t="s">
        <v>3656</v>
      </c>
      <c r="D284" s="127" t="s">
        <v>2445</v>
      </c>
      <c r="E284" s="126" t="s">
        <v>3657</v>
      </c>
      <c r="F284" s="126" t="s">
        <v>3658</v>
      </c>
      <c r="G284" s="125" t="s">
        <v>1171</v>
      </c>
    </row>
    <row r="285" spans="1:7" ht="409.5" x14ac:dyDescent="0.25">
      <c r="A285" s="123">
        <v>284</v>
      </c>
      <c r="B285" s="126" t="s">
        <v>3659</v>
      </c>
      <c r="C285" s="126" t="s">
        <v>3660</v>
      </c>
      <c r="D285" s="127" t="s">
        <v>2445</v>
      </c>
      <c r="E285" s="126" t="s">
        <v>3661</v>
      </c>
      <c r="F285" s="126" t="s">
        <v>3662</v>
      </c>
      <c r="G285" s="125" t="s">
        <v>1171</v>
      </c>
    </row>
    <row r="286" spans="1:7" ht="409.5" x14ac:dyDescent="0.25">
      <c r="A286" s="123">
        <v>285</v>
      </c>
      <c r="B286" s="126" t="s">
        <v>3663</v>
      </c>
      <c r="C286" s="126" t="s">
        <v>3664</v>
      </c>
      <c r="D286" s="127" t="s">
        <v>2445</v>
      </c>
      <c r="E286" s="126" t="s">
        <v>3665</v>
      </c>
      <c r="F286" s="126" t="s">
        <v>3666</v>
      </c>
      <c r="G286" s="125" t="s">
        <v>1171</v>
      </c>
    </row>
    <row r="287" spans="1:7" ht="315" x14ac:dyDescent="0.25">
      <c r="A287" s="123">
        <v>286</v>
      </c>
      <c r="B287" s="126" t="s">
        <v>3667</v>
      </c>
      <c r="C287" s="126" t="s">
        <v>3668</v>
      </c>
      <c r="D287" s="127" t="s">
        <v>2445</v>
      </c>
      <c r="E287" s="126" t="s">
        <v>3669</v>
      </c>
      <c r="F287" s="126" t="s">
        <v>3670</v>
      </c>
      <c r="G287" s="125" t="s">
        <v>1171</v>
      </c>
    </row>
    <row r="288" spans="1:7" ht="409.5" x14ac:dyDescent="0.25">
      <c r="A288" s="123">
        <v>287</v>
      </c>
      <c r="B288" s="126" t="s">
        <v>3671</v>
      </c>
      <c r="C288" s="126" t="s">
        <v>3672</v>
      </c>
      <c r="D288" s="127" t="s">
        <v>2445</v>
      </c>
      <c r="E288" s="126" t="s">
        <v>3673</v>
      </c>
      <c r="F288" s="126" t="s">
        <v>3674</v>
      </c>
      <c r="G288" s="125" t="s">
        <v>1171</v>
      </c>
    </row>
    <row r="289" spans="1:7" ht="283.5" x14ac:dyDescent="0.25">
      <c r="A289" s="123">
        <v>288</v>
      </c>
      <c r="B289" s="126" t="s">
        <v>3675</v>
      </c>
      <c r="C289" s="126" t="s">
        <v>3676</v>
      </c>
      <c r="D289" s="127" t="s">
        <v>2445</v>
      </c>
      <c r="E289" s="126" t="s">
        <v>3677</v>
      </c>
      <c r="F289" s="126" t="s">
        <v>3678</v>
      </c>
      <c r="G289" s="125" t="s">
        <v>1171</v>
      </c>
    </row>
    <row r="290" spans="1:7" ht="330.75" x14ac:dyDescent="0.25">
      <c r="A290" s="123">
        <v>289</v>
      </c>
      <c r="B290" s="126" t="s">
        <v>3679</v>
      </c>
      <c r="C290" s="126" t="s">
        <v>3680</v>
      </c>
      <c r="D290" s="127" t="s">
        <v>2445</v>
      </c>
      <c r="E290" s="126" t="s">
        <v>3681</v>
      </c>
      <c r="F290" s="126" t="s">
        <v>3682</v>
      </c>
      <c r="G290" s="125" t="s">
        <v>1171</v>
      </c>
    </row>
    <row r="291" spans="1:7" ht="283.5" x14ac:dyDescent="0.25">
      <c r="A291" s="123">
        <v>290</v>
      </c>
      <c r="B291" s="126" t="s">
        <v>3683</v>
      </c>
      <c r="C291" s="126" t="s">
        <v>3684</v>
      </c>
      <c r="D291" s="127" t="s">
        <v>2445</v>
      </c>
      <c r="E291" s="126" t="s">
        <v>3685</v>
      </c>
      <c r="F291" s="126" t="s">
        <v>3686</v>
      </c>
      <c r="G291" s="125" t="s">
        <v>1171</v>
      </c>
    </row>
    <row r="292" spans="1:7" ht="362.25" x14ac:dyDescent="0.25">
      <c r="A292" s="123">
        <v>291</v>
      </c>
      <c r="B292" s="126" t="s">
        <v>3687</v>
      </c>
      <c r="C292" s="126" t="s">
        <v>3688</v>
      </c>
      <c r="D292" s="127" t="s">
        <v>2445</v>
      </c>
      <c r="E292" s="126" t="s">
        <v>3689</v>
      </c>
      <c r="F292" s="126" t="s">
        <v>3690</v>
      </c>
      <c r="G292" s="125" t="s">
        <v>1171</v>
      </c>
    </row>
    <row r="293" spans="1:7" ht="252" x14ac:dyDescent="0.25">
      <c r="A293" s="123">
        <v>292</v>
      </c>
      <c r="B293" s="126" t="s">
        <v>3691</v>
      </c>
      <c r="C293" s="126" t="s">
        <v>3692</v>
      </c>
      <c r="D293" s="127" t="s">
        <v>2445</v>
      </c>
      <c r="E293" s="126" t="s">
        <v>3693</v>
      </c>
      <c r="F293" s="126" t="s">
        <v>3694</v>
      </c>
      <c r="G293" s="125" t="s">
        <v>1171</v>
      </c>
    </row>
    <row r="294" spans="1:7" ht="362.25" x14ac:dyDescent="0.25">
      <c r="A294" s="123">
        <v>293</v>
      </c>
      <c r="B294" s="126" t="s">
        <v>3695</v>
      </c>
      <c r="C294" s="126" t="s">
        <v>3696</v>
      </c>
      <c r="D294" s="127" t="s">
        <v>2445</v>
      </c>
      <c r="E294" s="126" t="s">
        <v>3697</v>
      </c>
      <c r="F294" s="126" t="s">
        <v>3698</v>
      </c>
      <c r="G294" s="125" t="s">
        <v>1171</v>
      </c>
    </row>
    <row r="295" spans="1:7" ht="299.25" x14ac:dyDescent="0.25">
      <c r="A295" s="123">
        <v>294</v>
      </c>
      <c r="B295" s="126" t="s">
        <v>3699</v>
      </c>
      <c r="C295" s="126" t="s">
        <v>3700</v>
      </c>
      <c r="D295" s="127" t="s">
        <v>2445</v>
      </c>
      <c r="E295" s="126" t="s">
        <v>3701</v>
      </c>
      <c r="F295" s="126" t="s">
        <v>3702</v>
      </c>
      <c r="G295" s="125" t="s">
        <v>1171</v>
      </c>
    </row>
    <row r="296" spans="1:7" ht="283.5" x14ac:dyDescent="0.25">
      <c r="A296" s="123">
        <v>295</v>
      </c>
      <c r="B296" s="126" t="s">
        <v>3703</v>
      </c>
      <c r="C296" s="126" t="s">
        <v>3704</v>
      </c>
      <c r="D296" s="127" t="s">
        <v>2445</v>
      </c>
      <c r="E296" s="126" t="s">
        <v>3705</v>
      </c>
      <c r="F296" s="126" t="s">
        <v>3706</v>
      </c>
      <c r="G296" s="125" t="s">
        <v>1171</v>
      </c>
    </row>
    <row r="297" spans="1:7" ht="409.5" x14ac:dyDescent="0.25">
      <c r="A297" s="123">
        <v>296</v>
      </c>
      <c r="B297" s="126" t="s">
        <v>3707</v>
      </c>
      <c r="C297" s="126" t="s">
        <v>3708</v>
      </c>
      <c r="D297" s="127" t="s">
        <v>2445</v>
      </c>
      <c r="E297" s="126" t="s">
        <v>3709</v>
      </c>
      <c r="F297" s="126" t="s">
        <v>3710</v>
      </c>
      <c r="G297" s="125" t="s">
        <v>1171</v>
      </c>
    </row>
    <row r="298" spans="1:7" ht="283.5" x14ac:dyDescent="0.25">
      <c r="A298" s="123">
        <v>297</v>
      </c>
      <c r="B298" s="126" t="s">
        <v>3711</v>
      </c>
      <c r="C298" s="126" t="s">
        <v>3712</v>
      </c>
      <c r="D298" s="127" t="s">
        <v>2445</v>
      </c>
      <c r="E298" s="126" t="s">
        <v>3713</v>
      </c>
      <c r="F298" s="126" t="s">
        <v>3714</v>
      </c>
      <c r="G298" s="125" t="s">
        <v>1171</v>
      </c>
    </row>
    <row r="299" spans="1:7" ht="283.5" x14ac:dyDescent="0.25">
      <c r="A299" s="123">
        <v>298</v>
      </c>
      <c r="B299" s="126" t="s">
        <v>3715</v>
      </c>
      <c r="C299" s="126" t="s">
        <v>3716</v>
      </c>
      <c r="D299" s="127" t="s">
        <v>2445</v>
      </c>
      <c r="E299" s="126" t="s">
        <v>3717</v>
      </c>
      <c r="F299" s="126" t="s">
        <v>3718</v>
      </c>
      <c r="G299" s="125" t="s">
        <v>1171</v>
      </c>
    </row>
    <row r="300" spans="1:7" ht="236.25" x14ac:dyDescent="0.25">
      <c r="A300" s="123">
        <v>299</v>
      </c>
      <c r="B300" s="126" t="s">
        <v>3719</v>
      </c>
      <c r="C300" s="126" t="s">
        <v>3720</v>
      </c>
      <c r="D300" s="127" t="s">
        <v>2445</v>
      </c>
      <c r="E300" s="126" t="s">
        <v>3721</v>
      </c>
      <c r="F300" s="126" t="s">
        <v>3722</v>
      </c>
      <c r="G300" s="125" t="s">
        <v>1171</v>
      </c>
    </row>
    <row r="301" spans="1:7" ht="252" x14ac:dyDescent="0.25">
      <c r="A301" s="123">
        <v>300</v>
      </c>
      <c r="B301" s="126" t="s">
        <v>3723</v>
      </c>
      <c r="C301" s="126" t="s">
        <v>3724</v>
      </c>
      <c r="D301" s="127" t="s">
        <v>2445</v>
      </c>
      <c r="E301" s="126" t="s">
        <v>3725</v>
      </c>
      <c r="F301" s="126" t="s">
        <v>3726</v>
      </c>
      <c r="G301" s="125" t="s">
        <v>1171</v>
      </c>
    </row>
    <row r="302" spans="1:7" ht="236.25" x14ac:dyDescent="0.25">
      <c r="A302" s="123">
        <v>301</v>
      </c>
      <c r="B302" s="126" t="s">
        <v>3727</v>
      </c>
      <c r="C302" s="126" t="s">
        <v>3728</v>
      </c>
      <c r="D302" s="127" t="s">
        <v>2445</v>
      </c>
      <c r="E302" s="126" t="s">
        <v>3729</v>
      </c>
      <c r="F302" s="126" t="s">
        <v>3730</v>
      </c>
      <c r="G302" s="125" t="s">
        <v>1171</v>
      </c>
    </row>
    <row r="303" spans="1:7" ht="330.75" x14ac:dyDescent="0.25">
      <c r="A303" s="123">
        <v>302</v>
      </c>
      <c r="B303" s="126" t="s">
        <v>3731</v>
      </c>
      <c r="C303" s="126" t="s">
        <v>3732</v>
      </c>
      <c r="D303" s="127" t="s">
        <v>2445</v>
      </c>
      <c r="E303" s="126" t="s">
        <v>3733</v>
      </c>
      <c r="F303" s="126" t="s">
        <v>3734</v>
      </c>
      <c r="G303" s="125" t="s">
        <v>1171</v>
      </c>
    </row>
    <row r="304" spans="1:7" ht="267.75" x14ac:dyDescent="0.25">
      <c r="A304" s="123">
        <v>303</v>
      </c>
      <c r="B304" s="126" t="s">
        <v>3735</v>
      </c>
      <c r="C304" s="126" t="s">
        <v>3736</v>
      </c>
      <c r="D304" s="127" t="s">
        <v>2445</v>
      </c>
      <c r="E304" s="126" t="s">
        <v>3737</v>
      </c>
      <c r="F304" s="126" t="s">
        <v>3738</v>
      </c>
      <c r="G304" s="125" t="s">
        <v>1171</v>
      </c>
    </row>
    <row r="305" spans="1:7" ht="409.5" x14ac:dyDescent="0.25">
      <c r="A305" s="123">
        <v>304</v>
      </c>
      <c r="B305" s="126" t="s">
        <v>3739</v>
      </c>
      <c r="C305" s="126" t="s">
        <v>3740</v>
      </c>
      <c r="D305" s="127" t="s">
        <v>2445</v>
      </c>
      <c r="E305" s="126" t="s">
        <v>3741</v>
      </c>
      <c r="F305" s="126" t="s">
        <v>3742</v>
      </c>
      <c r="G305" s="125" t="s">
        <v>1171</v>
      </c>
    </row>
    <row r="306" spans="1:7" ht="409.5" x14ac:dyDescent="0.25">
      <c r="A306" s="123">
        <v>305</v>
      </c>
      <c r="B306" s="126" t="s">
        <v>3743</v>
      </c>
      <c r="C306" s="126" t="s">
        <v>3744</v>
      </c>
      <c r="D306" s="127" t="s">
        <v>2445</v>
      </c>
      <c r="E306" s="126" t="s">
        <v>3745</v>
      </c>
      <c r="F306" s="126" t="s">
        <v>3746</v>
      </c>
      <c r="G306" s="125" t="s">
        <v>1171</v>
      </c>
    </row>
    <row r="307" spans="1:7" ht="283.5" x14ac:dyDescent="0.25">
      <c r="A307" s="123">
        <v>306</v>
      </c>
      <c r="B307" s="126" t="s">
        <v>3747</v>
      </c>
      <c r="C307" s="126" t="s">
        <v>3748</v>
      </c>
      <c r="D307" s="127" t="s">
        <v>2445</v>
      </c>
      <c r="E307" s="126" t="s">
        <v>3749</v>
      </c>
      <c r="F307" s="126" t="s">
        <v>3750</v>
      </c>
      <c r="G307" s="125" t="s">
        <v>1171</v>
      </c>
    </row>
    <row r="308" spans="1:7" ht="409.5" x14ac:dyDescent="0.25">
      <c r="A308" s="123">
        <v>307</v>
      </c>
      <c r="B308" s="126" t="s">
        <v>3751</v>
      </c>
      <c r="C308" s="126" t="s">
        <v>3752</v>
      </c>
      <c r="D308" s="127" t="s">
        <v>2445</v>
      </c>
      <c r="E308" s="126" t="s">
        <v>3753</v>
      </c>
      <c r="F308" s="126" t="s">
        <v>3754</v>
      </c>
      <c r="G308" s="125" t="s">
        <v>1171</v>
      </c>
    </row>
    <row r="309" spans="1:7" ht="267.75" x14ac:dyDescent="0.25">
      <c r="A309" s="123">
        <v>308</v>
      </c>
      <c r="B309" s="126" t="s">
        <v>3755</v>
      </c>
      <c r="C309" s="126" t="s">
        <v>3756</v>
      </c>
      <c r="D309" s="127" t="s">
        <v>2445</v>
      </c>
      <c r="E309" s="126" t="s">
        <v>3757</v>
      </c>
      <c r="F309" s="126" t="s">
        <v>3758</v>
      </c>
      <c r="G309" s="125" t="s">
        <v>1171</v>
      </c>
    </row>
    <row r="310" spans="1:7" ht="299.25" x14ac:dyDescent="0.25">
      <c r="A310" s="123">
        <v>309</v>
      </c>
      <c r="B310" s="126" t="s">
        <v>3759</v>
      </c>
      <c r="C310" s="126" t="s">
        <v>3760</v>
      </c>
      <c r="D310" s="127" t="s">
        <v>2445</v>
      </c>
      <c r="E310" s="126" t="s">
        <v>3761</v>
      </c>
      <c r="F310" s="126" t="s">
        <v>3762</v>
      </c>
      <c r="G310" s="125" t="s">
        <v>1171</v>
      </c>
    </row>
    <row r="311" spans="1:7" ht="330.75" x14ac:dyDescent="0.25">
      <c r="A311" s="123">
        <v>310</v>
      </c>
      <c r="B311" s="126" t="s">
        <v>3763</v>
      </c>
      <c r="C311" s="126" t="s">
        <v>3764</v>
      </c>
      <c r="D311" s="127" t="s">
        <v>2445</v>
      </c>
      <c r="E311" s="126" t="s">
        <v>3765</v>
      </c>
      <c r="F311" s="126" t="s">
        <v>3766</v>
      </c>
      <c r="G311" s="125" t="s">
        <v>1171</v>
      </c>
    </row>
    <row r="312" spans="1:7" ht="204.75" x14ac:dyDescent="0.25">
      <c r="A312" s="123">
        <v>311</v>
      </c>
      <c r="B312" s="126" t="s">
        <v>3767</v>
      </c>
      <c r="C312" s="126" t="s">
        <v>3768</v>
      </c>
      <c r="D312" s="127" t="s">
        <v>2445</v>
      </c>
      <c r="E312" s="126" t="s">
        <v>3769</v>
      </c>
      <c r="F312" s="126" t="s">
        <v>3770</v>
      </c>
      <c r="G312" s="125" t="s">
        <v>1171</v>
      </c>
    </row>
    <row r="313" spans="1:7" ht="409.5" x14ac:dyDescent="0.25">
      <c r="A313" s="123">
        <v>312</v>
      </c>
      <c r="B313" s="126" t="s">
        <v>3771</v>
      </c>
      <c r="C313" s="126" t="s">
        <v>3772</v>
      </c>
      <c r="D313" s="127" t="s">
        <v>2445</v>
      </c>
      <c r="E313" s="126" t="s">
        <v>3773</v>
      </c>
      <c r="F313" s="126" t="s">
        <v>3774</v>
      </c>
      <c r="G313" s="125" t="s">
        <v>1171</v>
      </c>
    </row>
    <row r="314" spans="1:7" ht="409.5" x14ac:dyDescent="0.25">
      <c r="A314" s="123">
        <v>313</v>
      </c>
      <c r="B314" s="126" t="s">
        <v>3775</v>
      </c>
      <c r="C314" s="126" t="s">
        <v>3776</v>
      </c>
      <c r="D314" s="127" t="s">
        <v>2445</v>
      </c>
      <c r="E314" s="126" t="s">
        <v>3777</v>
      </c>
      <c r="F314" s="126" t="s">
        <v>3778</v>
      </c>
      <c r="G314" s="125" t="s">
        <v>1171</v>
      </c>
    </row>
    <row r="315" spans="1:7" ht="315" x14ac:dyDescent="0.25">
      <c r="A315" s="123">
        <v>314</v>
      </c>
      <c r="B315" s="126" t="s">
        <v>3779</v>
      </c>
      <c r="C315" s="126" t="s">
        <v>3780</v>
      </c>
      <c r="D315" s="127" t="s">
        <v>2445</v>
      </c>
      <c r="E315" s="126" t="s">
        <v>3781</v>
      </c>
      <c r="F315" s="126" t="s">
        <v>3782</v>
      </c>
      <c r="G315" s="125" t="s">
        <v>1171</v>
      </c>
    </row>
    <row r="316" spans="1:7" ht="299.25" x14ac:dyDescent="0.25">
      <c r="A316" s="123">
        <v>315</v>
      </c>
      <c r="B316" s="126" t="s">
        <v>3783</v>
      </c>
      <c r="C316" s="126" t="s">
        <v>3784</v>
      </c>
      <c r="D316" s="127" t="s">
        <v>2445</v>
      </c>
      <c r="E316" s="126" t="s">
        <v>3785</v>
      </c>
      <c r="F316" s="126" t="s">
        <v>3786</v>
      </c>
      <c r="G316" s="125" t="s">
        <v>1171</v>
      </c>
    </row>
    <row r="317" spans="1:7" ht="299.25" x14ac:dyDescent="0.25">
      <c r="A317" s="123">
        <v>316</v>
      </c>
      <c r="B317" s="126" t="s">
        <v>3787</v>
      </c>
      <c r="C317" s="126" t="s">
        <v>3788</v>
      </c>
      <c r="D317" s="127" t="s">
        <v>2445</v>
      </c>
      <c r="E317" s="126" t="s">
        <v>3789</v>
      </c>
      <c r="F317" s="126" t="s">
        <v>3790</v>
      </c>
      <c r="G317" s="125" t="s">
        <v>1171</v>
      </c>
    </row>
    <row r="318" spans="1:7" ht="409.5" x14ac:dyDescent="0.25">
      <c r="A318" s="123">
        <v>317</v>
      </c>
      <c r="B318" s="126" t="s">
        <v>3791</v>
      </c>
      <c r="C318" s="126" t="s">
        <v>3792</v>
      </c>
      <c r="D318" s="127" t="s">
        <v>2445</v>
      </c>
      <c r="E318" s="126" t="s">
        <v>3793</v>
      </c>
      <c r="F318" s="126" t="s">
        <v>3794</v>
      </c>
      <c r="G318" s="125" t="s">
        <v>1171</v>
      </c>
    </row>
    <row r="319" spans="1:7" ht="283.5" x14ac:dyDescent="0.25">
      <c r="A319" s="123">
        <v>318</v>
      </c>
      <c r="B319" s="126" t="s">
        <v>3795</v>
      </c>
      <c r="C319" s="126" t="s">
        <v>3796</v>
      </c>
      <c r="D319" s="127" t="s">
        <v>2445</v>
      </c>
      <c r="E319" s="126" t="s">
        <v>3797</v>
      </c>
      <c r="F319" s="126" t="s">
        <v>3798</v>
      </c>
      <c r="G319" s="125" t="s">
        <v>1171</v>
      </c>
    </row>
    <row r="320" spans="1:7" ht="220.5" x14ac:dyDescent="0.25">
      <c r="A320" s="123">
        <v>319</v>
      </c>
      <c r="B320" s="126" t="s">
        <v>3799</v>
      </c>
      <c r="C320" s="126" t="s">
        <v>3800</v>
      </c>
      <c r="D320" s="127" t="s">
        <v>2445</v>
      </c>
      <c r="E320" s="126" t="s">
        <v>3801</v>
      </c>
      <c r="F320" s="126" t="s">
        <v>3802</v>
      </c>
      <c r="G320" s="125" t="s">
        <v>1171</v>
      </c>
    </row>
    <row r="321" spans="1:7" ht="204.75" x14ac:dyDescent="0.25">
      <c r="A321" s="123">
        <v>320</v>
      </c>
      <c r="B321" s="126" t="s">
        <v>3803</v>
      </c>
      <c r="C321" s="126" t="s">
        <v>3804</v>
      </c>
      <c r="D321" s="127" t="s">
        <v>2445</v>
      </c>
      <c r="E321" s="126" t="s">
        <v>3805</v>
      </c>
      <c r="F321" s="126" t="s">
        <v>3806</v>
      </c>
      <c r="G321" s="125" t="s">
        <v>1171</v>
      </c>
    </row>
    <row r="322" spans="1:7" ht="236.25" x14ac:dyDescent="0.25">
      <c r="A322" s="123">
        <v>321</v>
      </c>
      <c r="B322" s="126" t="s">
        <v>3807</v>
      </c>
      <c r="C322" s="126" t="s">
        <v>3808</v>
      </c>
      <c r="D322" s="127" t="s">
        <v>2445</v>
      </c>
      <c r="E322" s="126" t="s">
        <v>3809</v>
      </c>
      <c r="F322" s="126" t="s">
        <v>3810</v>
      </c>
      <c r="G322" s="125" t="s">
        <v>1171</v>
      </c>
    </row>
    <row r="323" spans="1:7" ht="252" x14ac:dyDescent="0.25">
      <c r="A323" s="123">
        <v>322</v>
      </c>
      <c r="B323" s="126" t="s">
        <v>3811</v>
      </c>
      <c r="C323" s="126" t="s">
        <v>3812</v>
      </c>
      <c r="D323" s="127" t="s">
        <v>2445</v>
      </c>
      <c r="E323" s="126" t="s">
        <v>3813</v>
      </c>
      <c r="F323" s="126" t="s">
        <v>3814</v>
      </c>
      <c r="G323" s="125" t="s">
        <v>1171</v>
      </c>
    </row>
    <row r="324" spans="1:7" ht="283.5" x14ac:dyDescent="0.25">
      <c r="A324" s="123">
        <v>323</v>
      </c>
      <c r="B324" s="126" t="s">
        <v>3815</v>
      </c>
      <c r="C324" s="126" t="s">
        <v>3816</v>
      </c>
      <c r="D324" s="127" t="s">
        <v>2445</v>
      </c>
      <c r="E324" s="126" t="s">
        <v>3817</v>
      </c>
      <c r="F324" s="126" t="s">
        <v>3818</v>
      </c>
      <c r="G324" s="125" t="s">
        <v>1171</v>
      </c>
    </row>
    <row r="325" spans="1:7" ht="236.25" x14ac:dyDescent="0.25">
      <c r="A325" s="123">
        <v>324</v>
      </c>
      <c r="B325" s="126" t="s">
        <v>3819</v>
      </c>
      <c r="C325" s="126" t="s">
        <v>3816</v>
      </c>
      <c r="D325" s="127" t="s">
        <v>2445</v>
      </c>
      <c r="E325" s="126" t="s">
        <v>3820</v>
      </c>
      <c r="F325" s="126" t="s">
        <v>3821</v>
      </c>
      <c r="G325" s="125" t="s">
        <v>1171</v>
      </c>
    </row>
    <row r="326" spans="1:7" ht="252" x14ac:dyDescent="0.25">
      <c r="A326" s="123">
        <v>325</v>
      </c>
      <c r="B326" s="126" t="s">
        <v>3822</v>
      </c>
      <c r="C326" s="126" t="s">
        <v>3823</v>
      </c>
      <c r="D326" s="127" t="s">
        <v>2445</v>
      </c>
      <c r="E326" s="126" t="s">
        <v>3824</v>
      </c>
      <c r="F326" s="126" t="s">
        <v>3825</v>
      </c>
      <c r="G326" s="125" t="s">
        <v>1171</v>
      </c>
    </row>
    <row r="327" spans="1:7" ht="220.5" x14ac:dyDescent="0.25">
      <c r="A327" s="123">
        <v>326</v>
      </c>
      <c r="B327" s="126" t="s">
        <v>3579</v>
      </c>
      <c r="C327" s="126" t="s">
        <v>3826</v>
      </c>
      <c r="D327" s="127" t="s">
        <v>2445</v>
      </c>
      <c r="E327" s="126" t="s">
        <v>3827</v>
      </c>
      <c r="F327" s="126" t="s">
        <v>3828</v>
      </c>
      <c r="G327" s="125" t="s">
        <v>1171</v>
      </c>
    </row>
    <row r="328" spans="1:7" ht="220.5" x14ac:dyDescent="0.25">
      <c r="A328" s="123">
        <v>327</v>
      </c>
      <c r="B328" s="126" t="s">
        <v>3829</v>
      </c>
      <c r="C328" s="126" t="s">
        <v>3830</v>
      </c>
      <c r="D328" s="127" t="s">
        <v>2445</v>
      </c>
      <c r="E328" s="126" t="s">
        <v>3831</v>
      </c>
      <c r="F328" s="126" t="s">
        <v>3832</v>
      </c>
      <c r="G328" s="125" t="s">
        <v>1171</v>
      </c>
    </row>
    <row r="329" spans="1:7" ht="220.5" x14ac:dyDescent="0.25">
      <c r="A329" s="123">
        <v>328</v>
      </c>
      <c r="B329" s="126" t="s">
        <v>3833</v>
      </c>
      <c r="C329" s="126" t="s">
        <v>3834</v>
      </c>
      <c r="D329" s="127" t="s">
        <v>2445</v>
      </c>
      <c r="E329" s="126" t="s">
        <v>3835</v>
      </c>
      <c r="F329" s="126" t="s">
        <v>3836</v>
      </c>
      <c r="G329" s="125" t="s">
        <v>1171</v>
      </c>
    </row>
    <row r="330" spans="1:7" ht="204.75" x14ac:dyDescent="0.25">
      <c r="A330" s="123">
        <v>329</v>
      </c>
      <c r="B330" s="126" t="s">
        <v>3837</v>
      </c>
      <c r="C330" s="126" t="s">
        <v>3838</v>
      </c>
      <c r="D330" s="127" t="s">
        <v>2445</v>
      </c>
      <c r="E330" s="126" t="s">
        <v>3839</v>
      </c>
      <c r="F330" s="126" t="s">
        <v>3840</v>
      </c>
      <c r="G330" s="125" t="s">
        <v>1171</v>
      </c>
    </row>
    <row r="331" spans="1:7" ht="409.5" x14ac:dyDescent="0.25">
      <c r="A331" s="123">
        <v>330</v>
      </c>
      <c r="B331" s="126" t="s">
        <v>3841</v>
      </c>
      <c r="C331" s="126" t="s">
        <v>3842</v>
      </c>
      <c r="D331" s="127" t="s">
        <v>2445</v>
      </c>
      <c r="E331" s="126" t="s">
        <v>3843</v>
      </c>
      <c r="F331" s="126" t="s">
        <v>3844</v>
      </c>
      <c r="G331" s="125" t="s">
        <v>1171</v>
      </c>
    </row>
    <row r="332" spans="1:7" ht="283.5" x14ac:dyDescent="0.25">
      <c r="A332" s="123">
        <v>331</v>
      </c>
      <c r="B332" s="126" t="s">
        <v>3845</v>
      </c>
      <c r="C332" s="126" t="s">
        <v>3846</v>
      </c>
      <c r="D332" s="127" t="s">
        <v>2445</v>
      </c>
      <c r="E332" s="126" t="s">
        <v>3847</v>
      </c>
      <c r="F332" s="126" t="s">
        <v>3848</v>
      </c>
      <c r="G332" s="125" t="s">
        <v>1171</v>
      </c>
    </row>
    <row r="333" spans="1:7" ht="283.5" x14ac:dyDescent="0.25">
      <c r="A333" s="123">
        <v>332</v>
      </c>
      <c r="B333" s="126" t="s">
        <v>3849</v>
      </c>
      <c r="C333" s="126" t="s">
        <v>3850</v>
      </c>
      <c r="D333" s="127" t="s">
        <v>2445</v>
      </c>
      <c r="E333" s="126" t="s">
        <v>3851</v>
      </c>
      <c r="F333" s="126" t="s">
        <v>3852</v>
      </c>
      <c r="G333" s="125" t="s">
        <v>1171</v>
      </c>
    </row>
    <row r="334" spans="1:7" ht="283.5" x14ac:dyDescent="0.25">
      <c r="A334" s="123">
        <v>333</v>
      </c>
      <c r="B334" s="126" t="s">
        <v>3853</v>
      </c>
      <c r="C334" s="126" t="s">
        <v>3854</v>
      </c>
      <c r="D334" s="127" t="s">
        <v>2445</v>
      </c>
      <c r="E334" s="126" t="s">
        <v>3855</v>
      </c>
      <c r="F334" s="126" t="s">
        <v>3856</v>
      </c>
      <c r="G334" s="125" t="s">
        <v>1171</v>
      </c>
    </row>
    <row r="335" spans="1:7" ht="252" x14ac:dyDescent="0.25">
      <c r="A335" s="123">
        <v>334</v>
      </c>
      <c r="B335" s="126" t="s">
        <v>3857</v>
      </c>
      <c r="C335" s="126" t="s">
        <v>3858</v>
      </c>
      <c r="D335" s="127" t="s">
        <v>2445</v>
      </c>
      <c r="E335" s="126" t="s">
        <v>3859</v>
      </c>
      <c r="F335" s="126" t="s">
        <v>3860</v>
      </c>
      <c r="G335" s="125" t="s">
        <v>1171</v>
      </c>
    </row>
    <row r="336" spans="1:7" ht="252" x14ac:dyDescent="0.25">
      <c r="A336" s="123">
        <v>335</v>
      </c>
      <c r="B336" s="126" t="s">
        <v>3861</v>
      </c>
      <c r="C336" s="126" t="s">
        <v>3862</v>
      </c>
      <c r="D336" s="127" t="s">
        <v>2445</v>
      </c>
      <c r="E336" s="126" t="s">
        <v>3863</v>
      </c>
      <c r="F336" s="126" t="s">
        <v>3864</v>
      </c>
      <c r="G336" s="125" t="s">
        <v>1171</v>
      </c>
    </row>
    <row r="337" spans="1:7" ht="283.5" x14ac:dyDescent="0.25">
      <c r="A337" s="123">
        <v>336</v>
      </c>
      <c r="B337" s="126" t="s">
        <v>3865</v>
      </c>
      <c r="C337" s="126" t="s">
        <v>3866</v>
      </c>
      <c r="D337" s="127" t="s">
        <v>2445</v>
      </c>
      <c r="E337" s="126" t="s">
        <v>3867</v>
      </c>
      <c r="F337" s="126" t="s">
        <v>3868</v>
      </c>
      <c r="G337" s="125" t="s">
        <v>1171</v>
      </c>
    </row>
    <row r="338" spans="1:7" ht="236.25" x14ac:dyDescent="0.25">
      <c r="A338" s="123">
        <v>337</v>
      </c>
      <c r="B338" s="126" t="s">
        <v>3869</v>
      </c>
      <c r="C338" s="126" t="s">
        <v>3870</v>
      </c>
      <c r="D338" s="127" t="s">
        <v>2445</v>
      </c>
      <c r="E338" s="126" t="s">
        <v>3871</v>
      </c>
      <c r="F338" s="126" t="s">
        <v>3872</v>
      </c>
      <c r="G338" s="125" t="s">
        <v>1171</v>
      </c>
    </row>
    <row r="339" spans="1:7" ht="204.75" x14ac:dyDescent="0.25">
      <c r="A339" s="123">
        <v>338</v>
      </c>
      <c r="B339" s="126" t="s">
        <v>3873</v>
      </c>
      <c r="C339" s="126" t="s">
        <v>3874</v>
      </c>
      <c r="D339" s="127" t="s">
        <v>2445</v>
      </c>
      <c r="E339" s="126" t="s">
        <v>3875</v>
      </c>
      <c r="F339" s="126" t="s">
        <v>3876</v>
      </c>
      <c r="G339" s="125" t="s">
        <v>1171</v>
      </c>
    </row>
    <row r="340" spans="1:7" ht="252" x14ac:dyDescent="0.25">
      <c r="A340" s="123">
        <v>339</v>
      </c>
      <c r="B340" s="126" t="s">
        <v>3877</v>
      </c>
      <c r="C340" s="126" t="s">
        <v>3878</v>
      </c>
      <c r="D340" s="127" t="s">
        <v>2445</v>
      </c>
      <c r="E340" s="126" t="s">
        <v>3879</v>
      </c>
      <c r="F340" s="126" t="s">
        <v>3880</v>
      </c>
      <c r="G340" s="125" t="s">
        <v>1171</v>
      </c>
    </row>
    <row r="341" spans="1:7" ht="220.5" x14ac:dyDescent="0.25">
      <c r="A341" s="123">
        <v>340</v>
      </c>
      <c r="B341" s="126" t="s">
        <v>3881</v>
      </c>
      <c r="C341" s="126" t="s">
        <v>3882</v>
      </c>
      <c r="D341" s="127" t="s">
        <v>2445</v>
      </c>
      <c r="E341" s="126" t="s">
        <v>3883</v>
      </c>
      <c r="F341" s="126" t="s">
        <v>3884</v>
      </c>
      <c r="G341" s="125" t="s">
        <v>1171</v>
      </c>
    </row>
    <row r="342" spans="1:7" ht="252" x14ac:dyDescent="0.25">
      <c r="A342" s="123">
        <v>341</v>
      </c>
      <c r="B342" s="126" t="s">
        <v>3885</v>
      </c>
      <c r="C342" s="126" t="s">
        <v>3886</v>
      </c>
      <c r="D342" s="127" t="s">
        <v>2445</v>
      </c>
      <c r="E342" s="126" t="s">
        <v>3887</v>
      </c>
      <c r="F342" s="126" t="s">
        <v>3888</v>
      </c>
      <c r="G342" s="125" t="s">
        <v>1171</v>
      </c>
    </row>
    <row r="343" spans="1:7" ht="409.5" x14ac:dyDescent="0.25">
      <c r="A343" s="123">
        <v>342</v>
      </c>
      <c r="B343" s="126" t="s">
        <v>3889</v>
      </c>
      <c r="C343" s="126" t="s">
        <v>3890</v>
      </c>
      <c r="D343" s="127" t="s">
        <v>2445</v>
      </c>
      <c r="E343" s="126" t="s">
        <v>3891</v>
      </c>
      <c r="F343" s="126" t="s">
        <v>3892</v>
      </c>
      <c r="G343" s="125" t="s">
        <v>1171</v>
      </c>
    </row>
    <row r="344" spans="1:7" ht="252" x14ac:dyDescent="0.25">
      <c r="A344" s="123">
        <v>343</v>
      </c>
      <c r="B344" s="126" t="s">
        <v>3819</v>
      </c>
      <c r="C344" s="126" t="s">
        <v>3893</v>
      </c>
      <c r="D344" s="127" t="s">
        <v>2445</v>
      </c>
      <c r="E344" s="126" t="s">
        <v>3894</v>
      </c>
      <c r="F344" s="126" t="s">
        <v>3895</v>
      </c>
      <c r="G344" s="125" t="s">
        <v>1171</v>
      </c>
    </row>
    <row r="345" spans="1:7" ht="409.5" x14ac:dyDescent="0.25">
      <c r="A345" s="123">
        <v>344</v>
      </c>
      <c r="B345" s="126" t="s">
        <v>3896</v>
      </c>
      <c r="C345" s="126" t="s">
        <v>3897</v>
      </c>
      <c r="D345" s="127" t="s">
        <v>2445</v>
      </c>
      <c r="E345" s="126" t="s">
        <v>3898</v>
      </c>
      <c r="F345" s="126" t="s">
        <v>3899</v>
      </c>
      <c r="G345" s="125" t="s">
        <v>1171</v>
      </c>
    </row>
    <row r="346" spans="1:7" ht="330.75" x14ac:dyDescent="0.25">
      <c r="A346" s="123">
        <v>345</v>
      </c>
      <c r="B346" s="126" t="s">
        <v>3900</v>
      </c>
      <c r="C346" s="126" t="s">
        <v>3901</v>
      </c>
      <c r="D346" s="127" t="s">
        <v>2445</v>
      </c>
      <c r="E346" s="126" t="s">
        <v>3902</v>
      </c>
      <c r="F346" s="126" t="s">
        <v>3903</v>
      </c>
      <c r="G346" s="125" t="s">
        <v>1171</v>
      </c>
    </row>
    <row r="347" spans="1:7" ht="299.25" x14ac:dyDescent="0.25">
      <c r="A347" s="123">
        <v>346</v>
      </c>
      <c r="B347" s="126" t="s">
        <v>3904</v>
      </c>
      <c r="C347" s="126" t="s">
        <v>3905</v>
      </c>
      <c r="D347" s="127" t="s">
        <v>2445</v>
      </c>
      <c r="E347" s="126" t="s">
        <v>3906</v>
      </c>
      <c r="F347" s="126" t="s">
        <v>3907</v>
      </c>
      <c r="G347" s="125" t="s">
        <v>1171</v>
      </c>
    </row>
    <row r="348" spans="1:7" ht="204.75" x14ac:dyDescent="0.25">
      <c r="A348" s="123">
        <v>347</v>
      </c>
      <c r="B348" s="126" t="s">
        <v>3908</v>
      </c>
      <c r="C348" s="126" t="s">
        <v>3909</v>
      </c>
      <c r="D348" s="127" t="s">
        <v>2445</v>
      </c>
      <c r="E348" s="126" t="s">
        <v>3910</v>
      </c>
      <c r="F348" s="126" t="s">
        <v>3911</v>
      </c>
      <c r="G348" s="125" t="s">
        <v>1171</v>
      </c>
    </row>
    <row r="349" spans="1:7" ht="204.75" x14ac:dyDescent="0.25">
      <c r="A349" s="123">
        <v>348</v>
      </c>
      <c r="B349" s="126" t="s">
        <v>3912</v>
      </c>
      <c r="C349" s="126" t="s">
        <v>3913</v>
      </c>
      <c r="D349" s="127" t="s">
        <v>2445</v>
      </c>
      <c r="E349" s="126" t="s">
        <v>3914</v>
      </c>
      <c r="F349" s="126" t="s">
        <v>3915</v>
      </c>
      <c r="G349" s="125" t="s">
        <v>1171</v>
      </c>
    </row>
    <row r="350" spans="1:7" ht="252" x14ac:dyDescent="0.25">
      <c r="A350" s="123">
        <v>349</v>
      </c>
      <c r="B350" s="126" t="s">
        <v>3916</v>
      </c>
      <c r="C350" s="126" t="s">
        <v>3917</v>
      </c>
      <c r="D350" s="127" t="s">
        <v>2445</v>
      </c>
      <c r="E350" s="126" t="s">
        <v>3918</v>
      </c>
      <c r="F350" s="126" t="s">
        <v>3919</v>
      </c>
      <c r="G350" s="125" t="s">
        <v>1171</v>
      </c>
    </row>
    <row r="351" spans="1:7" ht="252" x14ac:dyDescent="0.25">
      <c r="A351" s="123">
        <v>350</v>
      </c>
      <c r="B351" s="126" t="s">
        <v>3920</v>
      </c>
      <c r="C351" s="126" t="s">
        <v>3921</v>
      </c>
      <c r="D351" s="127" t="s">
        <v>2445</v>
      </c>
      <c r="E351" s="126" t="s">
        <v>3922</v>
      </c>
      <c r="F351" s="126" t="s">
        <v>3923</v>
      </c>
      <c r="G351" s="125" t="s">
        <v>1171</v>
      </c>
    </row>
    <row r="352" spans="1:7" ht="252" x14ac:dyDescent="0.25">
      <c r="A352" s="123">
        <v>351</v>
      </c>
      <c r="B352" s="126" t="s">
        <v>3924</v>
      </c>
      <c r="C352" s="126" t="s">
        <v>3925</v>
      </c>
      <c r="D352" s="127" t="s">
        <v>2445</v>
      </c>
      <c r="E352" s="126" t="s">
        <v>3926</v>
      </c>
      <c r="F352" s="126" t="s">
        <v>3927</v>
      </c>
      <c r="G352" s="125" t="s">
        <v>1171</v>
      </c>
    </row>
    <row r="353" spans="1:7" ht="236.25" x14ac:dyDescent="0.25">
      <c r="A353" s="123">
        <v>352</v>
      </c>
      <c r="B353" s="126" t="s">
        <v>3928</v>
      </c>
      <c r="C353" s="126" t="s">
        <v>3929</v>
      </c>
      <c r="D353" s="127" t="s">
        <v>2445</v>
      </c>
      <c r="E353" s="126" t="s">
        <v>3930</v>
      </c>
      <c r="F353" s="126" t="s">
        <v>3931</v>
      </c>
      <c r="G353" s="125" t="s">
        <v>1171</v>
      </c>
    </row>
    <row r="354" spans="1:7" ht="267.75" x14ac:dyDescent="0.25">
      <c r="A354" s="123">
        <v>353</v>
      </c>
      <c r="B354" s="126" t="s">
        <v>3932</v>
      </c>
      <c r="C354" s="126" t="s">
        <v>3933</v>
      </c>
      <c r="D354" s="127" t="s">
        <v>2445</v>
      </c>
      <c r="E354" s="126" t="s">
        <v>3934</v>
      </c>
      <c r="F354" s="126" t="s">
        <v>3935</v>
      </c>
      <c r="G354" s="125" t="s">
        <v>1171</v>
      </c>
    </row>
    <row r="355" spans="1:7" ht="267.75" x14ac:dyDescent="0.25">
      <c r="A355" s="123">
        <v>354</v>
      </c>
      <c r="B355" s="126" t="s">
        <v>3936</v>
      </c>
      <c r="C355" s="126" t="s">
        <v>3937</v>
      </c>
      <c r="D355" s="127" t="s">
        <v>2445</v>
      </c>
      <c r="E355" s="126" t="s">
        <v>3938</v>
      </c>
      <c r="F355" s="126" t="s">
        <v>3939</v>
      </c>
      <c r="G355" s="125" t="s">
        <v>1171</v>
      </c>
    </row>
    <row r="356" spans="1:7" ht="220.5" x14ac:dyDescent="0.25">
      <c r="A356" s="123">
        <v>355</v>
      </c>
      <c r="B356" s="126" t="s">
        <v>3940</v>
      </c>
      <c r="C356" s="126" t="s">
        <v>3941</v>
      </c>
      <c r="D356" s="127" t="s">
        <v>2445</v>
      </c>
      <c r="E356" s="126" t="s">
        <v>3942</v>
      </c>
      <c r="F356" s="126" t="s">
        <v>3943</v>
      </c>
      <c r="G356" s="125" t="s">
        <v>1171</v>
      </c>
    </row>
    <row r="357" spans="1:7" ht="236.25" x14ac:dyDescent="0.25">
      <c r="A357" s="123">
        <v>356</v>
      </c>
      <c r="B357" s="126" t="s">
        <v>3944</v>
      </c>
      <c r="C357" s="126" t="s">
        <v>3945</v>
      </c>
      <c r="D357" s="127" t="s">
        <v>2445</v>
      </c>
      <c r="E357" s="126" t="s">
        <v>3946</v>
      </c>
      <c r="F357" s="126" t="s">
        <v>3947</v>
      </c>
      <c r="G357" s="125" t="s">
        <v>1171</v>
      </c>
    </row>
    <row r="358" spans="1:7" ht="409.5" x14ac:dyDescent="0.25">
      <c r="A358" s="123">
        <v>357</v>
      </c>
      <c r="B358" s="126" t="s">
        <v>3948</v>
      </c>
      <c r="C358" s="126" t="s">
        <v>3949</v>
      </c>
      <c r="D358" s="127" t="s">
        <v>2445</v>
      </c>
      <c r="E358" s="126" t="s">
        <v>3950</v>
      </c>
      <c r="F358" s="126" t="s">
        <v>3951</v>
      </c>
      <c r="G358" s="125" t="s">
        <v>1171</v>
      </c>
    </row>
    <row r="359" spans="1:7" ht="409.5" x14ac:dyDescent="0.25">
      <c r="A359" s="123">
        <v>358</v>
      </c>
      <c r="B359" s="126" t="s">
        <v>3952</v>
      </c>
      <c r="C359" s="126" t="s">
        <v>3953</v>
      </c>
      <c r="D359" s="127" t="s">
        <v>2445</v>
      </c>
      <c r="E359" s="126" t="s">
        <v>3954</v>
      </c>
      <c r="F359" s="126" t="s">
        <v>3955</v>
      </c>
      <c r="G359" s="125" t="s">
        <v>1171</v>
      </c>
    </row>
    <row r="360" spans="1:7" ht="252" x14ac:dyDescent="0.25">
      <c r="A360" s="123">
        <v>359</v>
      </c>
      <c r="B360" s="126" t="s">
        <v>3956</v>
      </c>
      <c r="C360" s="126" t="s">
        <v>3957</v>
      </c>
      <c r="D360" s="127" t="s">
        <v>2445</v>
      </c>
      <c r="E360" s="126" t="s">
        <v>3958</v>
      </c>
      <c r="F360" s="126" t="s">
        <v>3959</v>
      </c>
      <c r="G360" s="125" t="s">
        <v>1171</v>
      </c>
    </row>
    <row r="361" spans="1:7" ht="409.5" x14ac:dyDescent="0.25">
      <c r="A361" s="123">
        <v>360</v>
      </c>
      <c r="B361" s="126" t="s">
        <v>3960</v>
      </c>
      <c r="C361" s="126" t="s">
        <v>3961</v>
      </c>
      <c r="D361" s="127" t="s">
        <v>2445</v>
      </c>
      <c r="E361" s="126" t="s">
        <v>3962</v>
      </c>
      <c r="F361" s="126" t="s">
        <v>3963</v>
      </c>
      <c r="G361" s="125" t="s">
        <v>1171</v>
      </c>
    </row>
    <row r="362" spans="1:7" ht="315" x14ac:dyDescent="0.25">
      <c r="A362" s="123">
        <v>361</v>
      </c>
      <c r="B362" s="126" t="s">
        <v>3964</v>
      </c>
      <c r="C362" s="126" t="s">
        <v>3965</v>
      </c>
      <c r="D362" s="127" t="s">
        <v>2445</v>
      </c>
      <c r="E362" s="126" t="s">
        <v>3966</v>
      </c>
      <c r="F362" s="126" t="s">
        <v>3967</v>
      </c>
      <c r="G362" s="125" t="s">
        <v>1171</v>
      </c>
    </row>
    <row r="363" spans="1:7" ht="236.25" x14ac:dyDescent="0.25">
      <c r="A363" s="123">
        <v>362</v>
      </c>
      <c r="B363" s="126" t="s">
        <v>3968</v>
      </c>
      <c r="C363" s="126" t="s">
        <v>3969</v>
      </c>
      <c r="D363" s="127" t="s">
        <v>2445</v>
      </c>
      <c r="E363" s="126" t="s">
        <v>3970</v>
      </c>
      <c r="F363" s="126" t="s">
        <v>3971</v>
      </c>
      <c r="G363" s="125" t="s">
        <v>1171</v>
      </c>
    </row>
    <row r="364" spans="1:7" ht="157.5" x14ac:dyDescent="0.25">
      <c r="A364" s="123">
        <v>363</v>
      </c>
      <c r="B364" s="126" t="s">
        <v>3972</v>
      </c>
      <c r="C364" s="126" t="s">
        <v>3973</v>
      </c>
      <c r="D364" s="127" t="s">
        <v>2445</v>
      </c>
      <c r="E364" s="126" t="s">
        <v>3974</v>
      </c>
      <c r="F364" s="126" t="s">
        <v>3975</v>
      </c>
      <c r="G364" s="125" t="s">
        <v>1171</v>
      </c>
    </row>
    <row r="365" spans="1:7" ht="409.5" x14ac:dyDescent="0.25">
      <c r="A365" s="123">
        <v>364</v>
      </c>
      <c r="B365" s="126" t="s">
        <v>3976</v>
      </c>
      <c r="C365" s="126" t="s">
        <v>3977</v>
      </c>
      <c r="D365" s="127" t="s">
        <v>2445</v>
      </c>
      <c r="E365" s="126" t="s">
        <v>3978</v>
      </c>
      <c r="F365" s="126" t="s">
        <v>3979</v>
      </c>
      <c r="G365" s="125" t="s">
        <v>1171</v>
      </c>
    </row>
    <row r="366" spans="1:7" ht="378" x14ac:dyDescent="0.25">
      <c r="A366" s="123">
        <v>365</v>
      </c>
      <c r="B366" s="126" t="s">
        <v>3980</v>
      </c>
      <c r="C366" s="126" t="s">
        <v>3981</v>
      </c>
      <c r="D366" s="127" t="s">
        <v>2445</v>
      </c>
      <c r="E366" s="126" t="s">
        <v>3982</v>
      </c>
      <c r="F366" s="126" t="s">
        <v>3983</v>
      </c>
      <c r="G366" s="125" t="s">
        <v>1171</v>
      </c>
    </row>
    <row r="367" spans="1:7" ht="409.5" x14ac:dyDescent="0.25">
      <c r="A367" s="123">
        <v>366</v>
      </c>
      <c r="B367" s="126" t="s">
        <v>3984</v>
      </c>
      <c r="C367" s="126" t="s">
        <v>3985</v>
      </c>
      <c r="D367" s="127" t="s">
        <v>2445</v>
      </c>
      <c r="E367" s="126" t="s">
        <v>3986</v>
      </c>
      <c r="F367" s="126" t="s">
        <v>3987</v>
      </c>
      <c r="G367" s="125" t="s">
        <v>1171</v>
      </c>
    </row>
    <row r="368" spans="1:7" ht="409.5" x14ac:dyDescent="0.25">
      <c r="A368" s="123">
        <v>367</v>
      </c>
      <c r="B368" s="126" t="s">
        <v>3988</v>
      </c>
      <c r="C368" s="126" t="s">
        <v>3989</v>
      </c>
      <c r="D368" s="127" t="s">
        <v>2445</v>
      </c>
      <c r="E368" s="126" t="s">
        <v>3990</v>
      </c>
      <c r="F368" s="126" t="s">
        <v>3991</v>
      </c>
      <c r="G368" s="125" t="s">
        <v>1171</v>
      </c>
    </row>
    <row r="369" spans="1:7" ht="409.5" x14ac:dyDescent="0.25">
      <c r="A369" s="123">
        <v>368</v>
      </c>
      <c r="B369" s="126" t="s">
        <v>3992</v>
      </c>
      <c r="C369" s="126" t="s">
        <v>3993</v>
      </c>
      <c r="D369" s="127" t="s">
        <v>2445</v>
      </c>
      <c r="E369" s="126" t="s">
        <v>3994</v>
      </c>
      <c r="F369" s="126" t="s">
        <v>3995</v>
      </c>
      <c r="G369" s="125" t="s">
        <v>1171</v>
      </c>
    </row>
    <row r="370" spans="1:7" ht="267.75" x14ac:dyDescent="0.25">
      <c r="A370" s="123">
        <v>369</v>
      </c>
      <c r="B370" s="126" t="s">
        <v>3996</v>
      </c>
      <c r="C370" s="126" t="s">
        <v>3997</v>
      </c>
      <c r="D370" s="127" t="s">
        <v>2445</v>
      </c>
      <c r="E370" s="126" t="s">
        <v>3998</v>
      </c>
      <c r="F370" s="126" t="s">
        <v>3999</v>
      </c>
      <c r="G370" s="125" t="s">
        <v>1171</v>
      </c>
    </row>
    <row r="371" spans="1:7" ht="267.75" x14ac:dyDescent="0.25">
      <c r="A371" s="123">
        <v>370</v>
      </c>
      <c r="B371" s="126" t="s">
        <v>4000</v>
      </c>
      <c r="C371" s="126" t="s">
        <v>4001</v>
      </c>
      <c r="D371" s="127" t="s">
        <v>2445</v>
      </c>
      <c r="E371" s="126" t="s">
        <v>4002</v>
      </c>
      <c r="F371" s="126" t="s">
        <v>4003</v>
      </c>
      <c r="G371" s="125" t="s">
        <v>1171</v>
      </c>
    </row>
    <row r="372" spans="1:7" ht="252" x14ac:dyDescent="0.25">
      <c r="A372" s="123">
        <v>371</v>
      </c>
      <c r="B372" s="126" t="s">
        <v>4004</v>
      </c>
      <c r="C372" s="126" t="s">
        <v>4005</v>
      </c>
      <c r="D372" s="127" t="s">
        <v>2445</v>
      </c>
      <c r="E372" s="126" t="s">
        <v>4006</v>
      </c>
      <c r="F372" s="126" t="s">
        <v>4007</v>
      </c>
      <c r="G372" s="125" t="s">
        <v>1171</v>
      </c>
    </row>
    <row r="373" spans="1:7" ht="220.5" x14ac:dyDescent="0.25">
      <c r="A373" s="123">
        <v>372</v>
      </c>
      <c r="B373" s="126" t="s">
        <v>4008</v>
      </c>
      <c r="C373" s="126" t="s">
        <v>4009</v>
      </c>
      <c r="D373" s="127" t="s">
        <v>2445</v>
      </c>
      <c r="E373" s="126" t="s">
        <v>4010</v>
      </c>
      <c r="F373" s="126" t="s">
        <v>4011</v>
      </c>
      <c r="G373" s="125" t="s">
        <v>1171</v>
      </c>
    </row>
    <row r="374" spans="1:7" ht="220.5" x14ac:dyDescent="0.25">
      <c r="A374" s="123">
        <v>373</v>
      </c>
      <c r="B374" s="126" t="s">
        <v>4012</v>
      </c>
      <c r="C374" s="126" t="s">
        <v>4013</v>
      </c>
      <c r="D374" s="127" t="s">
        <v>2445</v>
      </c>
      <c r="E374" s="126" t="s">
        <v>4014</v>
      </c>
      <c r="F374" s="126" t="s">
        <v>4015</v>
      </c>
      <c r="G374" s="125" t="s">
        <v>1171</v>
      </c>
    </row>
    <row r="375" spans="1:7" ht="173.25" x14ac:dyDescent="0.25">
      <c r="A375" s="123">
        <v>374</v>
      </c>
      <c r="B375" s="126" t="s">
        <v>4016</v>
      </c>
      <c r="C375" s="126" t="s">
        <v>4017</v>
      </c>
      <c r="D375" s="127" t="s">
        <v>2445</v>
      </c>
      <c r="E375" s="126" t="s">
        <v>4018</v>
      </c>
      <c r="F375" s="126" t="s">
        <v>4019</v>
      </c>
      <c r="G375" s="125" t="s">
        <v>1171</v>
      </c>
    </row>
    <row r="376" spans="1:7" ht="220.5" x14ac:dyDescent="0.25">
      <c r="A376" s="123">
        <v>375</v>
      </c>
      <c r="B376" s="126" t="s">
        <v>4020</v>
      </c>
      <c r="C376" s="126" t="s">
        <v>4021</v>
      </c>
      <c r="D376" s="127" t="s">
        <v>2445</v>
      </c>
      <c r="E376" s="126" t="s">
        <v>4022</v>
      </c>
      <c r="F376" s="126" t="s">
        <v>4023</v>
      </c>
      <c r="G376" s="125" t="s">
        <v>1171</v>
      </c>
    </row>
    <row r="377" spans="1:7" ht="173.25" x14ac:dyDescent="0.25">
      <c r="A377" s="123">
        <v>376</v>
      </c>
      <c r="B377" s="126" t="s">
        <v>4024</v>
      </c>
      <c r="C377" s="126" t="s">
        <v>4025</v>
      </c>
      <c r="D377" s="127" t="s">
        <v>2445</v>
      </c>
      <c r="E377" s="126" t="s">
        <v>4026</v>
      </c>
      <c r="F377" s="126" t="s">
        <v>4027</v>
      </c>
      <c r="G377" s="125" t="s">
        <v>1171</v>
      </c>
    </row>
    <row r="378" spans="1:7" ht="236.25" x14ac:dyDescent="0.25">
      <c r="A378" s="123">
        <v>377</v>
      </c>
      <c r="B378" s="126" t="s">
        <v>4028</v>
      </c>
      <c r="C378" s="126" t="s">
        <v>4029</v>
      </c>
      <c r="D378" s="127" t="s">
        <v>2445</v>
      </c>
      <c r="E378" s="126" t="s">
        <v>4030</v>
      </c>
      <c r="F378" s="126" t="s">
        <v>4031</v>
      </c>
      <c r="G378" s="125" t="s">
        <v>1171</v>
      </c>
    </row>
    <row r="379" spans="1:7" ht="189" x14ac:dyDescent="0.25">
      <c r="A379" s="123">
        <v>378</v>
      </c>
      <c r="B379" s="126" t="s">
        <v>4032</v>
      </c>
      <c r="C379" s="126" t="s">
        <v>4033</v>
      </c>
      <c r="D379" s="127" t="s">
        <v>2445</v>
      </c>
      <c r="E379" s="126" t="s">
        <v>4034</v>
      </c>
      <c r="F379" s="126" t="s">
        <v>4035</v>
      </c>
      <c r="G379" s="125" t="s">
        <v>1171</v>
      </c>
    </row>
    <row r="380" spans="1:7" ht="141.75" x14ac:dyDescent="0.25">
      <c r="A380" s="123">
        <v>379</v>
      </c>
      <c r="B380" s="126" t="s">
        <v>4036</v>
      </c>
      <c r="C380" s="126" t="s">
        <v>4037</v>
      </c>
      <c r="D380" s="127" t="s">
        <v>2445</v>
      </c>
      <c r="E380" s="126" t="s">
        <v>4038</v>
      </c>
      <c r="F380" s="126" t="s">
        <v>4039</v>
      </c>
      <c r="G380" s="125" t="s">
        <v>1171</v>
      </c>
    </row>
    <row r="381" spans="1:7" ht="141.75" x14ac:dyDescent="0.25">
      <c r="A381" s="123">
        <v>380</v>
      </c>
      <c r="B381" s="126" t="s">
        <v>4040</v>
      </c>
      <c r="C381" s="126" t="s">
        <v>4041</v>
      </c>
      <c r="D381" s="127" t="s">
        <v>2445</v>
      </c>
      <c r="E381" s="126" t="s">
        <v>4042</v>
      </c>
      <c r="F381" s="126" t="s">
        <v>4043</v>
      </c>
      <c r="G381" s="125" t="s">
        <v>1171</v>
      </c>
    </row>
    <row r="382" spans="1:7" ht="204.75" x14ac:dyDescent="0.25">
      <c r="A382" s="123">
        <v>381</v>
      </c>
      <c r="B382" s="126" t="s">
        <v>4044</v>
      </c>
      <c r="C382" s="126" t="s">
        <v>4045</v>
      </c>
      <c r="D382" s="127" t="s">
        <v>2445</v>
      </c>
      <c r="E382" s="126" t="s">
        <v>4046</v>
      </c>
      <c r="F382" s="126" t="s">
        <v>4047</v>
      </c>
      <c r="G382" s="125" t="s">
        <v>1171</v>
      </c>
    </row>
    <row r="383" spans="1:7" ht="252" x14ac:dyDescent="0.25">
      <c r="A383" s="123">
        <v>382</v>
      </c>
      <c r="B383" s="126" t="s">
        <v>4048</v>
      </c>
      <c r="C383" s="126" t="s">
        <v>4049</v>
      </c>
      <c r="D383" s="127" t="s">
        <v>2445</v>
      </c>
      <c r="E383" s="126" t="s">
        <v>4050</v>
      </c>
      <c r="F383" s="126" t="s">
        <v>4051</v>
      </c>
      <c r="G383" s="125" t="s">
        <v>1171</v>
      </c>
    </row>
    <row r="384" spans="1:7" ht="409.5" x14ac:dyDescent="0.25">
      <c r="A384" s="123">
        <v>383</v>
      </c>
      <c r="B384" s="126" t="s">
        <v>4052</v>
      </c>
      <c r="C384" s="126" t="s">
        <v>4053</v>
      </c>
      <c r="D384" s="127" t="s">
        <v>2445</v>
      </c>
      <c r="E384" s="126" t="s">
        <v>4054</v>
      </c>
      <c r="F384" s="126" t="s">
        <v>4055</v>
      </c>
      <c r="G384" s="125" t="s">
        <v>1171</v>
      </c>
    </row>
    <row r="385" spans="1:7" ht="283.5" x14ac:dyDescent="0.25">
      <c r="A385" s="123">
        <v>384</v>
      </c>
      <c r="B385" s="126" t="s">
        <v>4056</v>
      </c>
      <c r="C385" s="126" t="s">
        <v>4057</v>
      </c>
      <c r="D385" s="127" t="s">
        <v>2445</v>
      </c>
      <c r="E385" s="126" t="s">
        <v>4058</v>
      </c>
      <c r="F385" s="126" t="s">
        <v>4059</v>
      </c>
      <c r="G385" s="125" t="s">
        <v>1171</v>
      </c>
    </row>
    <row r="386" spans="1:7" ht="141.75" x14ac:dyDescent="0.25">
      <c r="A386" s="123">
        <v>385</v>
      </c>
      <c r="B386" s="126" t="s">
        <v>4060</v>
      </c>
      <c r="C386" s="126" t="s">
        <v>4061</v>
      </c>
      <c r="D386" s="127" t="s">
        <v>2445</v>
      </c>
      <c r="E386" s="126" t="s">
        <v>4062</v>
      </c>
      <c r="F386" s="126" t="s">
        <v>4063</v>
      </c>
      <c r="G386" s="125" t="s">
        <v>1171</v>
      </c>
    </row>
    <row r="387" spans="1:7" ht="252" x14ac:dyDescent="0.25">
      <c r="A387" s="123">
        <v>386</v>
      </c>
      <c r="B387" s="126" t="s">
        <v>4064</v>
      </c>
      <c r="C387" s="126" t="s">
        <v>4065</v>
      </c>
      <c r="D387" s="127" t="s">
        <v>2445</v>
      </c>
      <c r="E387" s="126" t="s">
        <v>4066</v>
      </c>
      <c r="F387" s="126" t="s">
        <v>4067</v>
      </c>
      <c r="G387" s="125" t="s">
        <v>1171</v>
      </c>
    </row>
    <row r="388" spans="1:7" ht="220.5" x14ac:dyDescent="0.25">
      <c r="A388" s="123">
        <v>387</v>
      </c>
      <c r="B388" s="126" t="s">
        <v>4068</v>
      </c>
      <c r="C388" s="126" t="s">
        <v>4069</v>
      </c>
      <c r="D388" s="127" t="s">
        <v>2445</v>
      </c>
      <c r="E388" s="126" t="s">
        <v>4070</v>
      </c>
      <c r="F388" s="126" t="s">
        <v>4071</v>
      </c>
      <c r="G388" s="125" t="s">
        <v>1171</v>
      </c>
    </row>
    <row r="389" spans="1:7" ht="346.5" x14ac:dyDescent="0.25">
      <c r="A389" s="123">
        <v>388</v>
      </c>
      <c r="B389" s="126" t="s">
        <v>4072</v>
      </c>
      <c r="C389" s="126" t="s">
        <v>4073</v>
      </c>
      <c r="D389" s="127" t="s">
        <v>2445</v>
      </c>
      <c r="E389" s="126" t="s">
        <v>4074</v>
      </c>
      <c r="F389" s="126" t="s">
        <v>4075</v>
      </c>
      <c r="G389" s="125" t="s">
        <v>1171</v>
      </c>
    </row>
    <row r="390" spans="1:7" ht="409.5" x14ac:dyDescent="0.25">
      <c r="A390" s="123">
        <v>389</v>
      </c>
      <c r="B390" s="126" t="s">
        <v>4076</v>
      </c>
      <c r="C390" s="126" t="s">
        <v>4077</v>
      </c>
      <c r="D390" s="127" t="s">
        <v>2445</v>
      </c>
      <c r="E390" s="126" t="s">
        <v>4078</v>
      </c>
      <c r="F390" s="126" t="s">
        <v>4079</v>
      </c>
      <c r="G390" s="125" t="s">
        <v>1171</v>
      </c>
    </row>
    <row r="391" spans="1:7" ht="299.25" x14ac:dyDescent="0.25">
      <c r="A391" s="123">
        <v>390</v>
      </c>
      <c r="B391" s="126" t="s">
        <v>4080</v>
      </c>
      <c r="C391" s="126" t="s">
        <v>4081</v>
      </c>
      <c r="D391" s="127" t="s">
        <v>2445</v>
      </c>
      <c r="E391" s="126" t="s">
        <v>4082</v>
      </c>
      <c r="F391" s="126" t="s">
        <v>4083</v>
      </c>
      <c r="G391" s="125" t="s">
        <v>1171</v>
      </c>
    </row>
    <row r="392" spans="1:7" ht="409.5" x14ac:dyDescent="0.25">
      <c r="A392" s="123">
        <v>391</v>
      </c>
      <c r="B392" s="126" t="s">
        <v>4084</v>
      </c>
      <c r="C392" s="126" t="s">
        <v>4085</v>
      </c>
      <c r="D392" s="127" t="s">
        <v>2445</v>
      </c>
      <c r="E392" s="126" t="s">
        <v>4086</v>
      </c>
      <c r="F392" s="126" t="s">
        <v>4087</v>
      </c>
      <c r="G392" s="125" t="s">
        <v>1171</v>
      </c>
    </row>
    <row r="393" spans="1:7" ht="220.5" x14ac:dyDescent="0.25">
      <c r="A393" s="123">
        <v>392</v>
      </c>
      <c r="B393" s="126" t="s">
        <v>4088</v>
      </c>
      <c r="C393" s="126" t="s">
        <v>4089</v>
      </c>
      <c r="D393" s="127" t="s">
        <v>2445</v>
      </c>
      <c r="E393" s="126" t="s">
        <v>4090</v>
      </c>
      <c r="F393" s="126" t="s">
        <v>4091</v>
      </c>
      <c r="G393" s="125" t="s">
        <v>1171</v>
      </c>
    </row>
    <row r="394" spans="1:7" ht="204.75" x14ac:dyDescent="0.25">
      <c r="A394" s="123">
        <v>393</v>
      </c>
      <c r="B394" s="126" t="s">
        <v>4092</v>
      </c>
      <c r="C394" s="126" t="s">
        <v>4093</v>
      </c>
      <c r="D394" s="127" t="s">
        <v>2445</v>
      </c>
      <c r="E394" s="126" t="s">
        <v>4094</v>
      </c>
      <c r="F394" s="126" t="s">
        <v>4095</v>
      </c>
      <c r="G394" s="125" t="s">
        <v>1171</v>
      </c>
    </row>
    <row r="395" spans="1:7" ht="94.5" x14ac:dyDescent="0.25">
      <c r="A395" s="123">
        <v>394</v>
      </c>
      <c r="B395" s="126" t="s">
        <v>4096</v>
      </c>
      <c r="C395" s="126" t="s">
        <v>4097</v>
      </c>
      <c r="D395" s="127" t="s">
        <v>2445</v>
      </c>
      <c r="E395" s="126" t="s">
        <v>4098</v>
      </c>
      <c r="F395" s="126" t="s">
        <v>4099</v>
      </c>
      <c r="G395" s="125" t="s">
        <v>1171</v>
      </c>
    </row>
    <row r="396" spans="1:7" ht="126" x14ac:dyDescent="0.25">
      <c r="A396" s="123">
        <v>395</v>
      </c>
      <c r="B396" s="126" t="s">
        <v>4100</v>
      </c>
      <c r="C396" s="126" t="s">
        <v>4101</v>
      </c>
      <c r="D396" s="127" t="s">
        <v>2445</v>
      </c>
      <c r="E396" s="126" t="s">
        <v>4102</v>
      </c>
      <c r="F396" s="126" t="s">
        <v>4103</v>
      </c>
      <c r="G396" s="125" t="s">
        <v>1171</v>
      </c>
    </row>
    <row r="397" spans="1:7" ht="267.75" x14ac:dyDescent="0.25">
      <c r="A397" s="123">
        <v>396</v>
      </c>
      <c r="B397" s="126" t="s">
        <v>4104</v>
      </c>
      <c r="C397" s="126" t="s">
        <v>4105</v>
      </c>
      <c r="D397" s="127" t="s">
        <v>2445</v>
      </c>
      <c r="E397" s="126" t="s">
        <v>4106</v>
      </c>
      <c r="F397" s="126" t="s">
        <v>4107</v>
      </c>
      <c r="G397" s="125" t="s">
        <v>1171</v>
      </c>
    </row>
    <row r="398" spans="1:7" ht="157.5" x14ac:dyDescent="0.25">
      <c r="A398" s="123">
        <v>397</v>
      </c>
      <c r="B398" s="126" t="s">
        <v>4108</v>
      </c>
      <c r="C398" s="126" t="s">
        <v>4109</v>
      </c>
      <c r="D398" s="127" t="s">
        <v>2445</v>
      </c>
      <c r="E398" s="126" t="s">
        <v>4110</v>
      </c>
      <c r="F398" s="126" t="s">
        <v>4111</v>
      </c>
      <c r="G398" s="125" t="s">
        <v>1171</v>
      </c>
    </row>
    <row r="399" spans="1:7" ht="189" x14ac:dyDescent="0.25">
      <c r="A399" s="123">
        <v>398</v>
      </c>
      <c r="B399" s="126" t="s">
        <v>4112</v>
      </c>
      <c r="C399" s="126" t="s">
        <v>4113</v>
      </c>
      <c r="D399" s="127" t="s">
        <v>2445</v>
      </c>
      <c r="E399" s="126" t="s">
        <v>4114</v>
      </c>
      <c r="F399" s="126" t="s">
        <v>4115</v>
      </c>
      <c r="G399" s="125" t="s">
        <v>1171</v>
      </c>
    </row>
    <row r="400" spans="1:7" ht="204.75" x14ac:dyDescent="0.25">
      <c r="A400" s="123">
        <v>399</v>
      </c>
      <c r="B400" s="126" t="s">
        <v>4116</v>
      </c>
      <c r="C400" s="126" t="s">
        <v>4117</v>
      </c>
      <c r="D400" s="127" t="s">
        <v>2445</v>
      </c>
      <c r="E400" s="126" t="s">
        <v>4118</v>
      </c>
      <c r="F400" s="126" t="s">
        <v>4119</v>
      </c>
      <c r="G400" s="125" t="s">
        <v>1171</v>
      </c>
    </row>
    <row r="401" spans="1:7" ht="157.5" x14ac:dyDescent="0.25">
      <c r="A401" s="123">
        <v>400</v>
      </c>
      <c r="B401" s="126" t="s">
        <v>4120</v>
      </c>
      <c r="C401" s="126" t="s">
        <v>4121</v>
      </c>
      <c r="D401" s="127" t="s">
        <v>2445</v>
      </c>
      <c r="E401" s="126" t="s">
        <v>4122</v>
      </c>
      <c r="F401" s="126" t="s">
        <v>4123</v>
      </c>
      <c r="G401" s="125" t="s">
        <v>1171</v>
      </c>
    </row>
    <row r="402" spans="1:7" ht="189" x14ac:dyDescent="0.25">
      <c r="A402" s="123">
        <v>401</v>
      </c>
      <c r="B402" s="126" t="s">
        <v>4124</v>
      </c>
      <c r="C402" s="126" t="s">
        <v>4125</v>
      </c>
      <c r="D402" s="127" t="s">
        <v>2445</v>
      </c>
      <c r="E402" s="126" t="s">
        <v>4126</v>
      </c>
      <c r="F402" s="126" t="s">
        <v>4127</v>
      </c>
      <c r="G402" s="125" t="s">
        <v>1171</v>
      </c>
    </row>
    <row r="403" spans="1:7" ht="173.25" x14ac:dyDescent="0.25">
      <c r="A403" s="123">
        <v>402</v>
      </c>
      <c r="B403" s="126" t="s">
        <v>4128</v>
      </c>
      <c r="C403" s="126" t="s">
        <v>4129</v>
      </c>
      <c r="D403" s="127" t="s">
        <v>2445</v>
      </c>
      <c r="E403" s="126" t="s">
        <v>4130</v>
      </c>
      <c r="F403" s="126" t="s">
        <v>4131</v>
      </c>
      <c r="G403" s="125" t="s">
        <v>1171</v>
      </c>
    </row>
    <row r="404" spans="1:7" ht="220.5" x14ac:dyDescent="0.25">
      <c r="A404" s="123">
        <v>403</v>
      </c>
      <c r="B404" s="126" t="s">
        <v>4132</v>
      </c>
      <c r="C404" s="126" t="s">
        <v>4133</v>
      </c>
      <c r="D404" s="127" t="s">
        <v>2445</v>
      </c>
      <c r="E404" s="126" t="s">
        <v>4134</v>
      </c>
      <c r="F404" s="126" t="s">
        <v>4135</v>
      </c>
      <c r="G404" s="125" t="s">
        <v>1171</v>
      </c>
    </row>
    <row r="405" spans="1:7" ht="94.5" x14ac:dyDescent="0.25">
      <c r="A405" s="123">
        <v>404</v>
      </c>
      <c r="B405" s="126" t="s">
        <v>4136</v>
      </c>
      <c r="C405" s="126" t="s">
        <v>4137</v>
      </c>
      <c r="D405" s="127" t="s">
        <v>2445</v>
      </c>
      <c r="E405" s="126" t="s">
        <v>4138</v>
      </c>
      <c r="F405" s="126" t="s">
        <v>4139</v>
      </c>
      <c r="G405" s="125" t="s">
        <v>1171</v>
      </c>
    </row>
    <row r="406" spans="1:7" ht="267.75" x14ac:dyDescent="0.25">
      <c r="A406" s="123">
        <v>405</v>
      </c>
      <c r="B406" s="126" t="s">
        <v>4140</v>
      </c>
      <c r="C406" s="126" t="s">
        <v>4141</v>
      </c>
      <c r="D406" s="127" t="s">
        <v>2445</v>
      </c>
      <c r="E406" s="126" t="s">
        <v>4142</v>
      </c>
      <c r="F406" s="126" t="s">
        <v>4143</v>
      </c>
      <c r="G406" s="125" t="s">
        <v>1171</v>
      </c>
    </row>
    <row r="407" spans="1:7" ht="409.5" x14ac:dyDescent="0.25">
      <c r="A407" s="123">
        <v>406</v>
      </c>
      <c r="B407" s="126" t="s">
        <v>4144</v>
      </c>
      <c r="C407" s="126" t="s">
        <v>4145</v>
      </c>
      <c r="D407" s="127" t="s">
        <v>2445</v>
      </c>
      <c r="E407" s="126" t="s">
        <v>4146</v>
      </c>
      <c r="F407" s="126" t="s">
        <v>4147</v>
      </c>
      <c r="G407" s="125" t="s">
        <v>1171</v>
      </c>
    </row>
    <row r="408" spans="1:7" ht="126" x14ac:dyDescent="0.25">
      <c r="A408" s="123">
        <v>407</v>
      </c>
      <c r="B408" s="126" t="s">
        <v>4148</v>
      </c>
      <c r="C408" s="126" t="s">
        <v>4149</v>
      </c>
      <c r="D408" s="127" t="s">
        <v>2445</v>
      </c>
      <c r="E408" s="126" t="s">
        <v>4150</v>
      </c>
      <c r="F408" s="126" t="s">
        <v>4151</v>
      </c>
      <c r="G408" s="125" t="s">
        <v>1171</v>
      </c>
    </row>
    <row r="409" spans="1:7" ht="220.5" x14ac:dyDescent="0.25">
      <c r="A409" s="123">
        <v>408</v>
      </c>
      <c r="B409" s="126" t="s">
        <v>4152</v>
      </c>
      <c r="C409" s="126" t="s">
        <v>4153</v>
      </c>
      <c r="D409" s="127" t="s">
        <v>2445</v>
      </c>
      <c r="E409" s="126" t="s">
        <v>4154</v>
      </c>
      <c r="F409" s="126" t="s">
        <v>4155</v>
      </c>
      <c r="G409" s="125" t="s">
        <v>1171</v>
      </c>
    </row>
    <row r="410" spans="1:7" ht="409.5" x14ac:dyDescent="0.25">
      <c r="A410" s="123">
        <v>409</v>
      </c>
      <c r="B410" s="126" t="s">
        <v>4156</v>
      </c>
      <c r="C410" s="126" t="s">
        <v>4157</v>
      </c>
      <c r="D410" s="127" t="s">
        <v>2445</v>
      </c>
      <c r="E410" s="126" t="s">
        <v>4158</v>
      </c>
      <c r="F410" s="126" t="s">
        <v>4159</v>
      </c>
      <c r="G410" s="125" t="s">
        <v>1171</v>
      </c>
    </row>
    <row r="411" spans="1:7" ht="409.5" x14ac:dyDescent="0.25">
      <c r="A411" s="123">
        <v>410</v>
      </c>
      <c r="B411" s="126" t="s">
        <v>4160</v>
      </c>
      <c r="C411" s="126" t="s">
        <v>4161</v>
      </c>
      <c r="D411" s="127" t="s">
        <v>2445</v>
      </c>
      <c r="E411" s="126" t="s">
        <v>4162</v>
      </c>
      <c r="F411" s="126" t="s">
        <v>4163</v>
      </c>
      <c r="G411" s="125" t="s">
        <v>1171</v>
      </c>
    </row>
    <row r="412" spans="1:7" ht="252" x14ac:dyDescent="0.25">
      <c r="A412" s="123">
        <v>411</v>
      </c>
      <c r="B412" s="126" t="s">
        <v>4164</v>
      </c>
      <c r="C412" s="126" t="s">
        <v>4165</v>
      </c>
      <c r="D412" s="127" t="s">
        <v>2445</v>
      </c>
      <c r="E412" s="126" t="s">
        <v>4166</v>
      </c>
      <c r="F412" s="126" t="s">
        <v>4167</v>
      </c>
      <c r="G412" s="125" t="s">
        <v>1171</v>
      </c>
    </row>
    <row r="413" spans="1:7" ht="204.75" x14ac:dyDescent="0.25">
      <c r="A413" s="123">
        <v>412</v>
      </c>
      <c r="B413" s="126" t="s">
        <v>4168</v>
      </c>
      <c r="C413" s="126" t="s">
        <v>4169</v>
      </c>
      <c r="D413" s="127" t="s">
        <v>2445</v>
      </c>
      <c r="E413" s="126" t="s">
        <v>4170</v>
      </c>
      <c r="F413" s="126" t="s">
        <v>4171</v>
      </c>
      <c r="G413" s="125" t="s">
        <v>1171</v>
      </c>
    </row>
    <row r="414" spans="1:7" ht="204.75" x14ac:dyDescent="0.25">
      <c r="A414" s="123">
        <v>413</v>
      </c>
      <c r="B414" s="126" t="s">
        <v>4172</v>
      </c>
      <c r="C414" s="126" t="s">
        <v>4173</v>
      </c>
      <c r="D414" s="127" t="s">
        <v>2445</v>
      </c>
      <c r="E414" s="126" t="s">
        <v>4174</v>
      </c>
      <c r="F414" s="126" t="s">
        <v>4175</v>
      </c>
      <c r="G414" s="125" t="s">
        <v>1171</v>
      </c>
    </row>
    <row r="415" spans="1:7" ht="299.25" x14ac:dyDescent="0.25">
      <c r="A415" s="123">
        <v>414</v>
      </c>
      <c r="B415" s="126" t="s">
        <v>4176</v>
      </c>
      <c r="C415" s="126" t="s">
        <v>4177</v>
      </c>
      <c r="D415" s="127" t="s">
        <v>2445</v>
      </c>
      <c r="E415" s="126" t="s">
        <v>4178</v>
      </c>
      <c r="F415" s="126" t="s">
        <v>4179</v>
      </c>
      <c r="G415" s="125" t="s">
        <v>1171</v>
      </c>
    </row>
    <row r="416" spans="1:7" ht="126" x14ac:dyDescent="0.25">
      <c r="A416" s="123">
        <v>415</v>
      </c>
      <c r="B416" s="126" t="s">
        <v>4180</v>
      </c>
      <c r="C416" s="126" t="s">
        <v>4181</v>
      </c>
      <c r="D416" s="127" t="s">
        <v>2445</v>
      </c>
      <c r="E416" s="126" t="s">
        <v>4182</v>
      </c>
      <c r="F416" s="126" t="s">
        <v>4183</v>
      </c>
      <c r="G416" s="125" t="s">
        <v>1171</v>
      </c>
    </row>
    <row r="417" spans="1:7" ht="409.5" x14ac:dyDescent="0.25">
      <c r="A417" s="123">
        <v>416</v>
      </c>
      <c r="B417" s="126" t="s">
        <v>4184</v>
      </c>
      <c r="C417" s="126" t="s">
        <v>4185</v>
      </c>
      <c r="D417" s="127" t="s">
        <v>2445</v>
      </c>
      <c r="E417" s="126" t="s">
        <v>4186</v>
      </c>
      <c r="F417" s="126" t="s">
        <v>4187</v>
      </c>
      <c r="G417" s="125" t="s">
        <v>1171</v>
      </c>
    </row>
    <row r="418" spans="1:7" ht="236.25" x14ac:dyDescent="0.25">
      <c r="A418" s="123">
        <v>417</v>
      </c>
      <c r="B418" s="126" t="s">
        <v>4188</v>
      </c>
      <c r="C418" s="126" t="s">
        <v>4189</v>
      </c>
      <c r="D418" s="127" t="s">
        <v>2445</v>
      </c>
      <c r="E418" s="126" t="s">
        <v>4190</v>
      </c>
      <c r="F418" s="126" t="s">
        <v>4191</v>
      </c>
      <c r="G418" s="125" t="s">
        <v>1171</v>
      </c>
    </row>
    <row r="419" spans="1:7" ht="409.5" x14ac:dyDescent="0.25">
      <c r="A419" s="123">
        <v>418</v>
      </c>
      <c r="B419" s="126" t="s">
        <v>4192</v>
      </c>
      <c r="C419" s="126" t="s">
        <v>4193</v>
      </c>
      <c r="D419" s="127" t="s">
        <v>2445</v>
      </c>
      <c r="E419" s="126" t="s">
        <v>4194</v>
      </c>
      <c r="F419" s="126" t="s">
        <v>4195</v>
      </c>
      <c r="G419" s="125" t="s">
        <v>1171</v>
      </c>
    </row>
    <row r="420" spans="1:7" ht="220.5" x14ac:dyDescent="0.25">
      <c r="A420" s="123">
        <v>419</v>
      </c>
      <c r="B420" s="126" t="s">
        <v>4196</v>
      </c>
      <c r="C420" s="126" t="s">
        <v>4197</v>
      </c>
      <c r="D420" s="127" t="s">
        <v>2445</v>
      </c>
      <c r="E420" s="126" t="s">
        <v>4198</v>
      </c>
      <c r="F420" s="126" t="s">
        <v>4199</v>
      </c>
      <c r="G420" s="125" t="s">
        <v>1171</v>
      </c>
    </row>
    <row r="421" spans="1:7" ht="409.5" x14ac:dyDescent="0.25">
      <c r="A421" s="123">
        <v>420</v>
      </c>
      <c r="B421" s="126" t="s">
        <v>4200</v>
      </c>
      <c r="C421" s="126" t="s">
        <v>4201</v>
      </c>
      <c r="D421" s="127" t="s">
        <v>2445</v>
      </c>
      <c r="E421" s="126" t="s">
        <v>4202</v>
      </c>
      <c r="F421" s="126" t="s">
        <v>4203</v>
      </c>
      <c r="G421" s="125" t="s">
        <v>1171</v>
      </c>
    </row>
    <row r="422" spans="1:7" ht="409.5" x14ac:dyDescent="0.25">
      <c r="A422" s="123">
        <v>421</v>
      </c>
      <c r="B422" s="126" t="s">
        <v>4204</v>
      </c>
      <c r="C422" s="126" t="s">
        <v>4205</v>
      </c>
      <c r="D422" s="127" t="s">
        <v>2445</v>
      </c>
      <c r="E422" s="126" t="s">
        <v>4206</v>
      </c>
      <c r="F422" s="126" t="s">
        <v>4207</v>
      </c>
      <c r="G422" s="125" t="s">
        <v>1171</v>
      </c>
    </row>
    <row r="423" spans="1:7" ht="189" x14ac:dyDescent="0.25">
      <c r="A423" s="123">
        <v>422</v>
      </c>
      <c r="B423" s="126" t="s">
        <v>4208</v>
      </c>
      <c r="C423" s="126" t="s">
        <v>4209</v>
      </c>
      <c r="D423" s="127" t="s">
        <v>2445</v>
      </c>
      <c r="E423" s="126" t="s">
        <v>4210</v>
      </c>
      <c r="F423" s="126" t="s">
        <v>4211</v>
      </c>
      <c r="G423" s="125" t="s">
        <v>1171</v>
      </c>
    </row>
    <row r="424" spans="1:7" ht="409.5" x14ac:dyDescent="0.25">
      <c r="A424" s="123">
        <v>423</v>
      </c>
      <c r="B424" s="126" t="s">
        <v>4212</v>
      </c>
      <c r="C424" s="126" t="s">
        <v>4213</v>
      </c>
      <c r="D424" s="127" t="s">
        <v>2445</v>
      </c>
      <c r="E424" s="126" t="s">
        <v>4214</v>
      </c>
      <c r="F424" s="126" t="s">
        <v>4215</v>
      </c>
      <c r="G424" s="125" t="s">
        <v>1171</v>
      </c>
    </row>
    <row r="425" spans="1:7" ht="409.5" x14ac:dyDescent="0.25">
      <c r="A425" s="123">
        <v>424</v>
      </c>
      <c r="B425" s="126" t="s">
        <v>4216</v>
      </c>
      <c r="C425" s="126" t="s">
        <v>4217</v>
      </c>
      <c r="D425" s="127" t="s">
        <v>2445</v>
      </c>
      <c r="E425" s="126" t="s">
        <v>4218</v>
      </c>
      <c r="F425" s="126" t="s">
        <v>4219</v>
      </c>
      <c r="G425" s="125" t="s">
        <v>1171</v>
      </c>
    </row>
    <row r="426" spans="1:7" ht="393.75" x14ac:dyDescent="0.25">
      <c r="A426" s="123">
        <v>425</v>
      </c>
      <c r="B426" s="126" t="s">
        <v>4220</v>
      </c>
      <c r="C426" s="126" t="s">
        <v>4221</v>
      </c>
      <c r="D426" s="127" t="s">
        <v>2445</v>
      </c>
      <c r="E426" s="126" t="s">
        <v>4222</v>
      </c>
      <c r="F426" s="126" t="s">
        <v>4223</v>
      </c>
      <c r="G426" s="125" t="s">
        <v>1171</v>
      </c>
    </row>
    <row r="427" spans="1:7" ht="157.5" x14ac:dyDescent="0.25">
      <c r="A427" s="123">
        <v>426</v>
      </c>
      <c r="B427" s="126" t="s">
        <v>4224</v>
      </c>
      <c r="C427" s="126" t="s">
        <v>4225</v>
      </c>
      <c r="D427" s="127" t="s">
        <v>2445</v>
      </c>
      <c r="E427" s="126" t="s">
        <v>4226</v>
      </c>
      <c r="F427" s="126" t="s">
        <v>4227</v>
      </c>
      <c r="G427" s="125" t="s">
        <v>1171</v>
      </c>
    </row>
    <row r="428" spans="1:7" ht="204.75" x14ac:dyDescent="0.25">
      <c r="A428" s="123">
        <v>427</v>
      </c>
      <c r="B428" s="126" t="s">
        <v>4228</v>
      </c>
      <c r="C428" s="126" t="s">
        <v>4229</v>
      </c>
      <c r="D428" s="127" t="s">
        <v>2445</v>
      </c>
      <c r="E428" s="126" t="s">
        <v>4230</v>
      </c>
      <c r="F428" s="126" t="s">
        <v>4231</v>
      </c>
      <c r="G428" s="125" t="s">
        <v>1171</v>
      </c>
    </row>
    <row r="429" spans="1:7" ht="173.25" x14ac:dyDescent="0.25">
      <c r="A429" s="123">
        <v>428</v>
      </c>
      <c r="B429" s="126" t="s">
        <v>4232</v>
      </c>
      <c r="C429" s="126" t="s">
        <v>4233</v>
      </c>
      <c r="D429" s="127" t="s">
        <v>2445</v>
      </c>
      <c r="E429" s="126" t="s">
        <v>4234</v>
      </c>
      <c r="F429" s="126" t="s">
        <v>4235</v>
      </c>
      <c r="G429" s="125" t="s">
        <v>1171</v>
      </c>
    </row>
    <row r="430" spans="1:7" ht="236.25" x14ac:dyDescent="0.25">
      <c r="A430" s="123">
        <v>429</v>
      </c>
      <c r="B430" s="126" t="s">
        <v>4236</v>
      </c>
      <c r="C430" s="126" t="s">
        <v>4237</v>
      </c>
      <c r="D430" s="127" t="s">
        <v>2445</v>
      </c>
      <c r="E430" s="126" t="s">
        <v>4238</v>
      </c>
      <c r="F430" s="126" t="s">
        <v>4239</v>
      </c>
      <c r="G430" s="125" t="s">
        <v>1171</v>
      </c>
    </row>
    <row r="431" spans="1:7" ht="236.25" x14ac:dyDescent="0.25">
      <c r="A431" s="123">
        <v>430</v>
      </c>
      <c r="B431" s="126" t="s">
        <v>4240</v>
      </c>
      <c r="C431" s="126" t="s">
        <v>4241</v>
      </c>
      <c r="D431" s="127" t="s">
        <v>2445</v>
      </c>
      <c r="E431" s="126" t="s">
        <v>4242</v>
      </c>
      <c r="F431" s="126" t="s">
        <v>4243</v>
      </c>
      <c r="G431" s="125" t="s">
        <v>1171</v>
      </c>
    </row>
    <row r="432" spans="1:7" ht="330.75" x14ac:dyDescent="0.25">
      <c r="A432" s="123">
        <v>431</v>
      </c>
      <c r="B432" s="126" t="s">
        <v>4244</v>
      </c>
      <c r="C432" s="126" t="s">
        <v>4245</v>
      </c>
      <c r="D432" s="127" t="s">
        <v>2445</v>
      </c>
      <c r="E432" s="126" t="s">
        <v>4246</v>
      </c>
      <c r="F432" s="126" t="s">
        <v>4247</v>
      </c>
      <c r="G432" s="125" t="s">
        <v>1171</v>
      </c>
    </row>
    <row r="433" spans="1:7" ht="141.75" x14ac:dyDescent="0.25">
      <c r="A433" s="123">
        <v>432</v>
      </c>
      <c r="B433" s="126" t="s">
        <v>4248</v>
      </c>
      <c r="C433" s="126" t="s">
        <v>4249</v>
      </c>
      <c r="D433" s="127" t="s">
        <v>2445</v>
      </c>
      <c r="E433" s="126" t="s">
        <v>4250</v>
      </c>
      <c r="F433" s="126" t="s">
        <v>4251</v>
      </c>
      <c r="G433" s="125" t="s">
        <v>1171</v>
      </c>
    </row>
    <row r="434" spans="1:7" ht="299.25" x14ac:dyDescent="0.25">
      <c r="A434" s="123">
        <v>433</v>
      </c>
      <c r="B434" s="126" t="s">
        <v>4252</v>
      </c>
      <c r="C434" s="126" t="s">
        <v>4253</v>
      </c>
      <c r="D434" s="127" t="s">
        <v>2445</v>
      </c>
      <c r="E434" s="126" t="s">
        <v>4254</v>
      </c>
      <c r="F434" s="126" t="s">
        <v>4255</v>
      </c>
      <c r="G434" s="125" t="s">
        <v>1171</v>
      </c>
    </row>
    <row r="435" spans="1:7" ht="220.5" x14ac:dyDescent="0.25">
      <c r="A435" s="123">
        <v>434</v>
      </c>
      <c r="B435" s="126" t="s">
        <v>4256</v>
      </c>
      <c r="C435" s="126" t="s">
        <v>4257</v>
      </c>
      <c r="D435" s="127" t="s">
        <v>2445</v>
      </c>
      <c r="E435" s="126" t="s">
        <v>4258</v>
      </c>
      <c r="F435" s="126" t="s">
        <v>4259</v>
      </c>
      <c r="G435" s="125" t="s">
        <v>1171</v>
      </c>
    </row>
    <row r="436" spans="1:7" ht="189" x14ac:dyDescent="0.25">
      <c r="A436" s="123">
        <v>435</v>
      </c>
      <c r="B436" s="126" t="s">
        <v>4260</v>
      </c>
      <c r="C436" s="126" t="s">
        <v>4261</v>
      </c>
      <c r="D436" s="127" t="s">
        <v>2445</v>
      </c>
      <c r="E436" s="126" t="s">
        <v>4262</v>
      </c>
      <c r="F436" s="126" t="s">
        <v>4263</v>
      </c>
      <c r="G436" s="125" t="s">
        <v>1171</v>
      </c>
    </row>
    <row r="437" spans="1:7" ht="236.25" x14ac:dyDescent="0.25">
      <c r="A437" s="123">
        <v>436</v>
      </c>
      <c r="B437" s="126" t="s">
        <v>4264</v>
      </c>
      <c r="C437" s="126" t="s">
        <v>4265</v>
      </c>
      <c r="D437" s="127" t="s">
        <v>2445</v>
      </c>
      <c r="E437" s="126" t="s">
        <v>4266</v>
      </c>
      <c r="F437" s="126" t="s">
        <v>4267</v>
      </c>
      <c r="G437" s="125" t="s">
        <v>1171</v>
      </c>
    </row>
    <row r="438" spans="1:7" ht="283.5" x14ac:dyDescent="0.25">
      <c r="A438" s="123">
        <v>437</v>
      </c>
      <c r="B438" s="126" t="s">
        <v>4268</v>
      </c>
      <c r="C438" s="126" t="s">
        <v>4269</v>
      </c>
      <c r="D438" s="127" t="s">
        <v>2445</v>
      </c>
      <c r="E438" s="126" t="s">
        <v>4270</v>
      </c>
      <c r="F438" s="126" t="s">
        <v>4271</v>
      </c>
      <c r="G438" s="125" t="s">
        <v>1171</v>
      </c>
    </row>
    <row r="439" spans="1:7" ht="110.25" x14ac:dyDescent="0.25">
      <c r="A439" s="123">
        <v>438</v>
      </c>
      <c r="B439" s="126" t="s">
        <v>4272</v>
      </c>
      <c r="C439" s="126" t="s">
        <v>4273</v>
      </c>
      <c r="D439" s="127" t="s">
        <v>2445</v>
      </c>
      <c r="E439" s="126" t="s">
        <v>4274</v>
      </c>
      <c r="F439" s="126" t="s">
        <v>4275</v>
      </c>
      <c r="G439" s="125" t="s">
        <v>1171</v>
      </c>
    </row>
    <row r="440" spans="1:7" ht="204.75" x14ac:dyDescent="0.25">
      <c r="A440" s="123">
        <v>439</v>
      </c>
      <c r="B440" s="126" t="s">
        <v>4276</v>
      </c>
      <c r="C440" s="126" t="s">
        <v>4277</v>
      </c>
      <c r="D440" s="127" t="s">
        <v>2445</v>
      </c>
      <c r="E440" s="126" t="s">
        <v>4278</v>
      </c>
      <c r="F440" s="126" t="s">
        <v>4279</v>
      </c>
      <c r="G440" s="125" t="s">
        <v>1171</v>
      </c>
    </row>
    <row r="441" spans="1:7" ht="173.25" x14ac:dyDescent="0.25">
      <c r="A441" s="123">
        <v>440</v>
      </c>
      <c r="B441" s="126" t="s">
        <v>4280</v>
      </c>
      <c r="C441" s="126" t="s">
        <v>4281</v>
      </c>
      <c r="D441" s="127" t="s">
        <v>2445</v>
      </c>
      <c r="E441" s="126" t="s">
        <v>4282</v>
      </c>
      <c r="F441" s="126" t="s">
        <v>4283</v>
      </c>
      <c r="G441" s="125" t="s">
        <v>1171</v>
      </c>
    </row>
    <row r="442" spans="1:7" ht="189" x14ac:dyDescent="0.25">
      <c r="A442" s="123">
        <v>441</v>
      </c>
      <c r="B442" s="126" t="s">
        <v>4284</v>
      </c>
      <c r="C442" s="126" t="s">
        <v>4285</v>
      </c>
      <c r="D442" s="127" t="s">
        <v>2445</v>
      </c>
      <c r="E442" s="126" t="s">
        <v>4286</v>
      </c>
      <c r="F442" s="126" t="s">
        <v>4287</v>
      </c>
      <c r="G442" s="125" t="s">
        <v>1171</v>
      </c>
    </row>
    <row r="443" spans="1:7" ht="157.5" x14ac:dyDescent="0.25">
      <c r="A443" s="123">
        <v>442</v>
      </c>
      <c r="B443" s="126" t="s">
        <v>4288</v>
      </c>
      <c r="C443" s="126" t="s">
        <v>4289</v>
      </c>
      <c r="D443" s="127" t="s">
        <v>2445</v>
      </c>
      <c r="E443" s="126" t="s">
        <v>4290</v>
      </c>
      <c r="F443" s="126" t="s">
        <v>4291</v>
      </c>
      <c r="G443" s="125" t="s">
        <v>1171</v>
      </c>
    </row>
    <row r="444" spans="1:7" ht="141.75" x14ac:dyDescent="0.25">
      <c r="A444" s="123">
        <v>443</v>
      </c>
      <c r="B444" s="126" t="s">
        <v>4292</v>
      </c>
      <c r="C444" s="126" t="s">
        <v>4293</v>
      </c>
      <c r="D444" s="127" t="s">
        <v>2445</v>
      </c>
      <c r="E444" s="126" t="s">
        <v>4294</v>
      </c>
      <c r="F444" s="126" t="s">
        <v>4295</v>
      </c>
      <c r="G444" s="125" t="s">
        <v>1171</v>
      </c>
    </row>
    <row r="445" spans="1:7" ht="409.5" x14ac:dyDescent="0.25">
      <c r="A445" s="123">
        <v>444</v>
      </c>
      <c r="B445" s="126" t="s">
        <v>4296</v>
      </c>
      <c r="C445" s="126" t="s">
        <v>4297</v>
      </c>
      <c r="D445" s="127" t="s">
        <v>2445</v>
      </c>
      <c r="E445" s="126" t="s">
        <v>4298</v>
      </c>
      <c r="F445" s="126" t="s">
        <v>4299</v>
      </c>
      <c r="G445" s="125" t="s">
        <v>1171</v>
      </c>
    </row>
    <row r="446" spans="1:7" ht="378" x14ac:dyDescent="0.25">
      <c r="A446" s="123">
        <v>445</v>
      </c>
      <c r="B446" s="126" t="s">
        <v>4300</v>
      </c>
      <c r="C446" s="126" t="s">
        <v>4301</v>
      </c>
      <c r="D446" s="127" t="s">
        <v>2445</v>
      </c>
      <c r="E446" s="126" t="s">
        <v>4302</v>
      </c>
      <c r="F446" s="126" t="s">
        <v>4303</v>
      </c>
      <c r="G446" s="125" t="s">
        <v>1171</v>
      </c>
    </row>
    <row r="447" spans="1:7" ht="220.5" x14ac:dyDescent="0.25">
      <c r="A447" s="123">
        <v>446</v>
      </c>
      <c r="B447" s="126" t="s">
        <v>4304</v>
      </c>
      <c r="C447" s="126" t="s">
        <v>4305</v>
      </c>
      <c r="D447" s="127" t="s">
        <v>2445</v>
      </c>
      <c r="E447" s="126" t="s">
        <v>4306</v>
      </c>
      <c r="F447" s="126" t="s">
        <v>4307</v>
      </c>
      <c r="G447" s="125" t="s">
        <v>1171</v>
      </c>
    </row>
    <row r="448" spans="1:7" ht="409.5" x14ac:dyDescent="0.25">
      <c r="A448" s="123">
        <v>447</v>
      </c>
      <c r="B448" s="126" t="s">
        <v>4308</v>
      </c>
      <c r="C448" s="126" t="s">
        <v>4309</v>
      </c>
      <c r="D448" s="127" t="s">
        <v>2445</v>
      </c>
      <c r="E448" s="126" t="s">
        <v>4310</v>
      </c>
      <c r="F448" s="126" t="s">
        <v>4311</v>
      </c>
      <c r="G448" s="125" t="s">
        <v>1171</v>
      </c>
    </row>
    <row r="449" spans="1:7" ht="252" x14ac:dyDescent="0.25">
      <c r="A449" s="123">
        <v>448</v>
      </c>
      <c r="B449" s="126" t="s">
        <v>4312</v>
      </c>
      <c r="C449" s="126" t="s">
        <v>4313</v>
      </c>
      <c r="D449" s="127" t="s">
        <v>2445</v>
      </c>
      <c r="E449" s="126" t="s">
        <v>4314</v>
      </c>
      <c r="F449" s="126" t="s">
        <v>4315</v>
      </c>
      <c r="G449" s="125" t="s">
        <v>1171</v>
      </c>
    </row>
    <row r="450" spans="1:7" ht="157.5" x14ac:dyDescent="0.25">
      <c r="A450" s="123">
        <v>449</v>
      </c>
      <c r="B450" s="126" t="s">
        <v>4316</v>
      </c>
      <c r="C450" s="126" t="s">
        <v>4317</v>
      </c>
      <c r="D450" s="127" t="s">
        <v>2445</v>
      </c>
      <c r="E450" s="126" t="s">
        <v>4318</v>
      </c>
      <c r="F450" s="126" t="s">
        <v>4319</v>
      </c>
      <c r="G450" s="125" t="s">
        <v>1171</v>
      </c>
    </row>
    <row r="451" spans="1:7" ht="173.25" x14ac:dyDescent="0.25">
      <c r="A451" s="123">
        <v>450</v>
      </c>
      <c r="B451" s="126" t="s">
        <v>4320</v>
      </c>
      <c r="C451" s="126" t="s">
        <v>4321</v>
      </c>
      <c r="D451" s="127" t="s">
        <v>2445</v>
      </c>
      <c r="E451" s="126" t="s">
        <v>4322</v>
      </c>
      <c r="F451" s="126" t="s">
        <v>4323</v>
      </c>
      <c r="G451" s="125" t="s">
        <v>1171</v>
      </c>
    </row>
    <row r="452" spans="1:7" ht="267.75" x14ac:dyDescent="0.25">
      <c r="A452" s="123">
        <v>451</v>
      </c>
      <c r="B452" s="126" t="s">
        <v>4324</v>
      </c>
      <c r="C452" s="126" t="s">
        <v>4325</v>
      </c>
      <c r="D452" s="127" t="s">
        <v>2445</v>
      </c>
      <c r="E452" s="126" t="s">
        <v>4326</v>
      </c>
      <c r="F452" s="126" t="s">
        <v>4327</v>
      </c>
      <c r="G452" s="125" t="s">
        <v>1171</v>
      </c>
    </row>
    <row r="453" spans="1:7" ht="94.5" x14ac:dyDescent="0.25">
      <c r="A453" s="123">
        <v>452</v>
      </c>
      <c r="B453" s="126" t="s">
        <v>4328</v>
      </c>
      <c r="C453" s="126" t="s">
        <v>4329</v>
      </c>
      <c r="D453" s="127" t="s">
        <v>2445</v>
      </c>
      <c r="E453" s="126" t="s">
        <v>4330</v>
      </c>
      <c r="F453" s="126" t="s">
        <v>4331</v>
      </c>
      <c r="G453" s="125" t="s">
        <v>1171</v>
      </c>
    </row>
    <row r="454" spans="1:7" ht="220.5" x14ac:dyDescent="0.25">
      <c r="A454" s="123">
        <v>453</v>
      </c>
      <c r="B454" s="126" t="s">
        <v>4332</v>
      </c>
      <c r="C454" s="126" t="s">
        <v>4333</v>
      </c>
      <c r="D454" s="127" t="s">
        <v>2445</v>
      </c>
      <c r="E454" s="126" t="s">
        <v>4334</v>
      </c>
      <c r="F454" s="126" t="s">
        <v>4335</v>
      </c>
      <c r="G454" s="125" t="s">
        <v>1171</v>
      </c>
    </row>
    <row r="455" spans="1:7" ht="110.25" x14ac:dyDescent="0.25">
      <c r="A455" s="123">
        <v>454</v>
      </c>
      <c r="B455" s="126" t="s">
        <v>4336</v>
      </c>
      <c r="C455" s="126" t="s">
        <v>4337</v>
      </c>
      <c r="D455" s="127" t="s">
        <v>2445</v>
      </c>
      <c r="E455" s="126" t="s">
        <v>4338</v>
      </c>
      <c r="F455" s="126" t="s">
        <v>4339</v>
      </c>
      <c r="G455" s="125" t="s">
        <v>1171</v>
      </c>
    </row>
    <row r="456" spans="1:7" ht="110.25" x14ac:dyDescent="0.25">
      <c r="A456" s="123">
        <v>455</v>
      </c>
      <c r="B456" s="126" t="s">
        <v>4340</v>
      </c>
      <c r="C456" s="126" t="s">
        <v>4341</v>
      </c>
      <c r="D456" s="127" t="s">
        <v>2445</v>
      </c>
      <c r="E456" s="126" t="s">
        <v>4342</v>
      </c>
      <c r="F456" s="126" t="s">
        <v>4343</v>
      </c>
      <c r="G456" s="125" t="s">
        <v>1171</v>
      </c>
    </row>
    <row r="457" spans="1:7" ht="94.5" x14ac:dyDescent="0.25">
      <c r="A457" s="123">
        <v>456</v>
      </c>
      <c r="B457" s="126" t="s">
        <v>4344</v>
      </c>
      <c r="C457" s="126" t="s">
        <v>4345</v>
      </c>
      <c r="D457" s="127" t="s">
        <v>2445</v>
      </c>
      <c r="E457" s="126" t="s">
        <v>4346</v>
      </c>
      <c r="F457" s="126" t="s">
        <v>4347</v>
      </c>
      <c r="G457" s="125" t="s">
        <v>1171</v>
      </c>
    </row>
    <row r="458" spans="1:7" ht="110.25" x14ac:dyDescent="0.25">
      <c r="A458" s="123">
        <v>457</v>
      </c>
      <c r="B458" s="126" t="s">
        <v>4348</v>
      </c>
      <c r="C458" s="126" t="s">
        <v>4349</v>
      </c>
      <c r="D458" s="127" t="s">
        <v>2445</v>
      </c>
      <c r="E458" s="126" t="s">
        <v>4350</v>
      </c>
      <c r="F458" s="126" t="s">
        <v>4351</v>
      </c>
      <c r="G458" s="125" t="s">
        <v>1171</v>
      </c>
    </row>
    <row r="459" spans="1:7" ht="110.25" x14ac:dyDescent="0.25">
      <c r="A459" s="123">
        <v>458</v>
      </c>
      <c r="B459" s="126" t="s">
        <v>4352</v>
      </c>
      <c r="C459" s="126" t="s">
        <v>4353</v>
      </c>
      <c r="D459" s="127" t="s">
        <v>2445</v>
      </c>
      <c r="E459" s="126" t="s">
        <v>4354</v>
      </c>
      <c r="F459" s="126" t="s">
        <v>4355</v>
      </c>
      <c r="G459" s="125" t="s">
        <v>1171</v>
      </c>
    </row>
    <row r="460" spans="1:7" ht="94.5" x14ac:dyDescent="0.25">
      <c r="A460" s="123">
        <v>459</v>
      </c>
      <c r="B460" s="126" t="s">
        <v>4356</v>
      </c>
      <c r="C460" s="126" t="s">
        <v>4357</v>
      </c>
      <c r="D460" s="127" t="s">
        <v>2445</v>
      </c>
      <c r="E460" s="126" t="s">
        <v>4358</v>
      </c>
      <c r="F460" s="126" t="s">
        <v>4359</v>
      </c>
      <c r="G460" s="125" t="s">
        <v>1171</v>
      </c>
    </row>
    <row r="461" spans="1:7" ht="126" x14ac:dyDescent="0.25">
      <c r="A461" s="123">
        <v>460</v>
      </c>
      <c r="B461" s="126" t="s">
        <v>4360</v>
      </c>
      <c r="C461" s="126" t="s">
        <v>4361</v>
      </c>
      <c r="D461" s="127" t="s">
        <v>2445</v>
      </c>
      <c r="E461" s="126" t="s">
        <v>4362</v>
      </c>
      <c r="F461" s="126" t="s">
        <v>4363</v>
      </c>
      <c r="G461" s="125" t="s">
        <v>1171</v>
      </c>
    </row>
    <row r="462" spans="1:7" ht="220.5" x14ac:dyDescent="0.25">
      <c r="A462" s="123">
        <v>461</v>
      </c>
      <c r="B462" s="126" t="s">
        <v>4364</v>
      </c>
      <c r="C462" s="126" t="s">
        <v>4365</v>
      </c>
      <c r="D462" s="127" t="s">
        <v>2445</v>
      </c>
      <c r="E462" s="126" t="s">
        <v>4366</v>
      </c>
      <c r="F462" s="126" t="s">
        <v>4367</v>
      </c>
      <c r="G462" s="125" t="s">
        <v>1171</v>
      </c>
    </row>
    <row r="463" spans="1:7" ht="204.75" x14ac:dyDescent="0.25">
      <c r="A463" s="123">
        <v>462</v>
      </c>
      <c r="B463" s="126" t="s">
        <v>4368</v>
      </c>
      <c r="C463" s="126" t="s">
        <v>4369</v>
      </c>
      <c r="D463" s="127" t="s">
        <v>2445</v>
      </c>
      <c r="E463" s="126" t="s">
        <v>4370</v>
      </c>
      <c r="F463" s="126" t="s">
        <v>4371</v>
      </c>
      <c r="G463" s="125" t="s">
        <v>1171</v>
      </c>
    </row>
    <row r="464" spans="1:7" ht="126" x14ac:dyDescent="0.25">
      <c r="A464" s="123">
        <v>463</v>
      </c>
      <c r="B464" s="126" t="s">
        <v>4372</v>
      </c>
      <c r="C464" s="126" t="s">
        <v>4373</v>
      </c>
      <c r="D464" s="127" t="s">
        <v>2445</v>
      </c>
      <c r="E464" s="126" t="s">
        <v>4374</v>
      </c>
      <c r="F464" s="126" t="s">
        <v>4375</v>
      </c>
      <c r="G464" s="125" t="s">
        <v>1171</v>
      </c>
    </row>
    <row r="465" spans="1:7" ht="78.75" x14ac:dyDescent="0.25">
      <c r="A465" s="123">
        <v>464</v>
      </c>
      <c r="B465" s="126" t="s">
        <v>4376</v>
      </c>
      <c r="C465" s="126" t="s">
        <v>4377</v>
      </c>
      <c r="D465" s="127" t="s">
        <v>2445</v>
      </c>
      <c r="E465" s="126" t="s">
        <v>4378</v>
      </c>
      <c r="F465" s="126" t="s">
        <v>4379</v>
      </c>
      <c r="G465" s="125" t="s">
        <v>1171</v>
      </c>
    </row>
    <row r="466" spans="1:7" ht="173.25" x14ac:dyDescent="0.25">
      <c r="A466" s="123">
        <v>465</v>
      </c>
      <c r="B466" s="126" t="s">
        <v>4380</v>
      </c>
      <c r="C466" s="126" t="s">
        <v>4381</v>
      </c>
      <c r="D466" s="127" t="s">
        <v>2445</v>
      </c>
      <c r="E466" s="126" t="s">
        <v>4382</v>
      </c>
      <c r="F466" s="126" t="s">
        <v>4383</v>
      </c>
      <c r="G466" s="125" t="s">
        <v>1171</v>
      </c>
    </row>
    <row r="467" spans="1:7" ht="267.75" x14ac:dyDescent="0.25">
      <c r="A467" s="123">
        <v>466</v>
      </c>
      <c r="B467" s="126" t="s">
        <v>4384</v>
      </c>
      <c r="C467" s="126" t="s">
        <v>4385</v>
      </c>
      <c r="D467" s="127" t="s">
        <v>2445</v>
      </c>
      <c r="E467" s="126" t="s">
        <v>4386</v>
      </c>
      <c r="F467" s="126" t="s">
        <v>4387</v>
      </c>
      <c r="G467" s="125" t="s">
        <v>1171</v>
      </c>
    </row>
    <row r="468" spans="1:7" ht="267.75" x14ac:dyDescent="0.25">
      <c r="A468" s="123">
        <v>467</v>
      </c>
      <c r="B468" s="126" t="s">
        <v>4388</v>
      </c>
      <c r="C468" s="126" t="s">
        <v>4389</v>
      </c>
      <c r="D468" s="127" t="s">
        <v>2445</v>
      </c>
      <c r="E468" s="126" t="s">
        <v>4390</v>
      </c>
      <c r="F468" s="126" t="s">
        <v>4391</v>
      </c>
      <c r="G468" s="125" t="s">
        <v>1171</v>
      </c>
    </row>
    <row r="469" spans="1:7" ht="409.5" x14ac:dyDescent="0.25">
      <c r="A469" s="123">
        <v>468</v>
      </c>
      <c r="B469" s="126" t="s">
        <v>4392</v>
      </c>
      <c r="C469" s="126" t="s">
        <v>4393</v>
      </c>
      <c r="D469" s="127" t="s">
        <v>2445</v>
      </c>
      <c r="E469" s="126" t="s">
        <v>4394</v>
      </c>
      <c r="F469" s="126" t="s">
        <v>4395</v>
      </c>
      <c r="G469" s="125" t="s">
        <v>1171</v>
      </c>
    </row>
    <row r="470" spans="1:7" ht="220.5" x14ac:dyDescent="0.25">
      <c r="A470" s="123">
        <v>469</v>
      </c>
      <c r="B470" s="126" t="s">
        <v>4396</v>
      </c>
      <c r="C470" s="126" t="s">
        <v>4397</v>
      </c>
      <c r="D470" s="127" t="s">
        <v>2445</v>
      </c>
      <c r="E470" s="126" t="s">
        <v>4398</v>
      </c>
      <c r="F470" s="126" t="s">
        <v>4399</v>
      </c>
      <c r="G470" s="125" t="s">
        <v>1171</v>
      </c>
    </row>
    <row r="471" spans="1:7" ht="204.75" x14ac:dyDescent="0.25">
      <c r="A471" s="123">
        <v>470</v>
      </c>
      <c r="B471" s="126" t="s">
        <v>4400</v>
      </c>
      <c r="C471" s="126" t="s">
        <v>4401</v>
      </c>
      <c r="D471" s="127" t="s">
        <v>2445</v>
      </c>
      <c r="E471" s="126" t="s">
        <v>4402</v>
      </c>
      <c r="F471" s="126" t="s">
        <v>4403</v>
      </c>
      <c r="G471" s="125" t="s">
        <v>1171</v>
      </c>
    </row>
    <row r="472" spans="1:7" ht="110.25" x14ac:dyDescent="0.25">
      <c r="A472" s="123">
        <v>471</v>
      </c>
      <c r="B472" s="126" t="s">
        <v>4404</v>
      </c>
      <c r="C472" s="126" t="s">
        <v>4405</v>
      </c>
      <c r="D472" s="127" t="s">
        <v>2445</v>
      </c>
      <c r="E472" s="126" t="s">
        <v>4406</v>
      </c>
      <c r="F472" s="126" t="s">
        <v>4407</v>
      </c>
      <c r="G472" s="125" t="s">
        <v>1171</v>
      </c>
    </row>
    <row r="473" spans="1:7" ht="252" x14ac:dyDescent="0.25">
      <c r="A473" s="123">
        <v>472</v>
      </c>
      <c r="B473" s="126" t="s">
        <v>4408</v>
      </c>
      <c r="C473" s="126" t="s">
        <v>4409</v>
      </c>
      <c r="D473" s="127" t="s">
        <v>2445</v>
      </c>
      <c r="E473" s="126" t="s">
        <v>4410</v>
      </c>
      <c r="F473" s="126" t="s">
        <v>4411</v>
      </c>
      <c r="G473" s="125" t="s">
        <v>1171</v>
      </c>
    </row>
    <row r="474" spans="1:7" ht="409.5" x14ac:dyDescent="0.25">
      <c r="A474" s="123">
        <v>473</v>
      </c>
      <c r="B474" s="126" t="s">
        <v>4412</v>
      </c>
      <c r="C474" s="126" t="s">
        <v>4413</v>
      </c>
      <c r="D474" s="127" t="s">
        <v>2445</v>
      </c>
      <c r="E474" s="126" t="s">
        <v>4414</v>
      </c>
      <c r="F474" s="126" t="s">
        <v>4219</v>
      </c>
      <c r="G474" s="125" t="s">
        <v>1171</v>
      </c>
    </row>
    <row r="475" spans="1:7" ht="141.75" x14ac:dyDescent="0.25">
      <c r="A475" s="123">
        <v>474</v>
      </c>
      <c r="B475" s="126" t="s">
        <v>4415</v>
      </c>
      <c r="C475" s="126" t="s">
        <v>4416</v>
      </c>
      <c r="D475" s="127" t="s">
        <v>2445</v>
      </c>
      <c r="E475" s="126" t="s">
        <v>4417</v>
      </c>
      <c r="F475" s="126" t="s">
        <v>4091</v>
      </c>
      <c r="G475" s="125" t="s">
        <v>1171</v>
      </c>
    </row>
    <row r="476" spans="1:7" ht="110.25" x14ac:dyDescent="0.25">
      <c r="A476" s="123">
        <v>475</v>
      </c>
      <c r="B476" s="126" t="s">
        <v>4418</v>
      </c>
      <c r="C476" s="126" t="s">
        <v>4419</v>
      </c>
      <c r="D476" s="127" t="s">
        <v>2445</v>
      </c>
      <c r="E476" s="126" t="s">
        <v>4420</v>
      </c>
      <c r="F476" s="126" t="s">
        <v>4421</v>
      </c>
      <c r="G476" s="125" t="s">
        <v>1171</v>
      </c>
    </row>
    <row r="477" spans="1:7" ht="94.5" x14ac:dyDescent="0.25">
      <c r="A477" s="123">
        <v>476</v>
      </c>
      <c r="B477" s="126" t="s">
        <v>4422</v>
      </c>
      <c r="C477" s="126" t="s">
        <v>4423</v>
      </c>
      <c r="D477" s="127" t="s">
        <v>2445</v>
      </c>
      <c r="E477" s="126" t="s">
        <v>4424</v>
      </c>
      <c r="F477" s="126" t="s">
        <v>4425</v>
      </c>
      <c r="G477" s="125" t="s">
        <v>1171</v>
      </c>
    </row>
    <row r="478" spans="1:7" ht="157.5" x14ac:dyDescent="0.25">
      <c r="A478" s="123">
        <v>477</v>
      </c>
      <c r="B478" s="126" t="s">
        <v>4426</v>
      </c>
      <c r="C478" s="126" t="s">
        <v>4427</v>
      </c>
      <c r="D478" s="127" t="s">
        <v>2445</v>
      </c>
      <c r="E478" s="126" t="s">
        <v>4428</v>
      </c>
      <c r="F478" s="126" t="s">
        <v>4429</v>
      </c>
      <c r="G478" s="125" t="s">
        <v>1171</v>
      </c>
    </row>
    <row r="479" spans="1:7" ht="126" x14ac:dyDescent="0.25">
      <c r="A479" s="123">
        <v>478</v>
      </c>
      <c r="B479" s="126" t="s">
        <v>4430</v>
      </c>
      <c r="C479" s="126" t="s">
        <v>4431</v>
      </c>
      <c r="D479" s="127" t="s">
        <v>2445</v>
      </c>
      <c r="E479" s="126" t="s">
        <v>4432</v>
      </c>
      <c r="F479" s="126" t="s">
        <v>4433</v>
      </c>
      <c r="G479" s="125" t="s">
        <v>1171</v>
      </c>
    </row>
    <row r="480" spans="1:7" ht="141.75" x14ac:dyDescent="0.25">
      <c r="A480" s="123">
        <v>479</v>
      </c>
      <c r="B480" s="126" t="s">
        <v>4434</v>
      </c>
      <c r="C480" s="126" t="s">
        <v>4435</v>
      </c>
      <c r="D480" s="127" t="s">
        <v>2445</v>
      </c>
      <c r="E480" s="126" t="s">
        <v>4436</v>
      </c>
      <c r="F480" s="126" t="s">
        <v>4437</v>
      </c>
      <c r="G480" s="125" t="s">
        <v>1171</v>
      </c>
    </row>
    <row r="481" spans="1:7" ht="189" x14ac:dyDescent="0.25">
      <c r="A481" s="123">
        <v>480</v>
      </c>
      <c r="B481" s="126" t="s">
        <v>4438</v>
      </c>
      <c r="C481" s="126" t="s">
        <v>4439</v>
      </c>
      <c r="D481" s="127" t="s">
        <v>2445</v>
      </c>
      <c r="E481" s="126" t="s">
        <v>4440</v>
      </c>
      <c r="F481" s="126" t="s">
        <v>4441</v>
      </c>
      <c r="G481" s="125" t="s">
        <v>1171</v>
      </c>
    </row>
    <row r="482" spans="1:7" ht="110.25" x14ac:dyDescent="0.25">
      <c r="A482" s="123">
        <v>481</v>
      </c>
      <c r="B482" s="126" t="s">
        <v>4442</v>
      </c>
      <c r="C482" s="126" t="s">
        <v>4443</v>
      </c>
      <c r="D482" s="127" t="s">
        <v>2445</v>
      </c>
      <c r="E482" s="126" t="s">
        <v>4444</v>
      </c>
      <c r="F482" s="126" t="s">
        <v>4445</v>
      </c>
      <c r="G482" s="125" t="s">
        <v>1171</v>
      </c>
    </row>
    <row r="483" spans="1:7" ht="141.75" x14ac:dyDescent="0.25">
      <c r="A483" s="123">
        <v>482</v>
      </c>
      <c r="B483" s="126" t="s">
        <v>4446</v>
      </c>
      <c r="C483" s="126" t="s">
        <v>4447</v>
      </c>
      <c r="D483" s="127" t="s">
        <v>2445</v>
      </c>
      <c r="E483" s="126" t="s">
        <v>4448</v>
      </c>
      <c r="F483" s="126" t="s">
        <v>4375</v>
      </c>
      <c r="G483" s="125" t="s">
        <v>1171</v>
      </c>
    </row>
    <row r="484" spans="1:7" ht="409.5" x14ac:dyDescent="0.25">
      <c r="A484" s="123">
        <v>483</v>
      </c>
      <c r="B484" s="126" t="s">
        <v>4449</v>
      </c>
      <c r="C484" s="126" t="s">
        <v>4450</v>
      </c>
      <c r="D484" s="127" t="s">
        <v>2445</v>
      </c>
      <c r="E484" s="126" t="s">
        <v>4451</v>
      </c>
      <c r="F484" s="126" t="s">
        <v>4452</v>
      </c>
      <c r="G484" s="125" t="s">
        <v>1171</v>
      </c>
    </row>
    <row r="485" spans="1:7" ht="409.5" x14ac:dyDescent="0.25">
      <c r="A485" s="123">
        <v>484</v>
      </c>
      <c r="B485" s="126" t="s">
        <v>4453</v>
      </c>
      <c r="C485" s="126" t="s">
        <v>4454</v>
      </c>
      <c r="D485" s="127" t="s">
        <v>2445</v>
      </c>
      <c r="E485" s="126" t="s">
        <v>4455</v>
      </c>
      <c r="F485" s="126" t="s">
        <v>4456</v>
      </c>
      <c r="G485" s="125" t="s">
        <v>1171</v>
      </c>
    </row>
    <row r="486" spans="1:7" ht="252" x14ac:dyDescent="0.25">
      <c r="A486" s="123">
        <v>485</v>
      </c>
      <c r="B486" s="126" t="s">
        <v>4457</v>
      </c>
      <c r="C486" s="126" t="s">
        <v>4458</v>
      </c>
      <c r="D486" s="127" t="s">
        <v>2445</v>
      </c>
      <c r="E486" s="126" t="s">
        <v>4459</v>
      </c>
      <c r="F486" s="126" t="s">
        <v>4460</v>
      </c>
      <c r="G486" s="125" t="s">
        <v>1171</v>
      </c>
    </row>
    <row r="487" spans="1:7" ht="409.5" x14ac:dyDescent="0.25">
      <c r="A487" s="123">
        <v>486</v>
      </c>
      <c r="B487" s="126" t="s">
        <v>4461</v>
      </c>
      <c r="C487" s="126" t="s">
        <v>4462</v>
      </c>
      <c r="D487" s="127" t="s">
        <v>2445</v>
      </c>
      <c r="E487" s="126" t="s">
        <v>4463</v>
      </c>
      <c r="F487" s="126" t="s">
        <v>4464</v>
      </c>
      <c r="G487" s="125" t="s">
        <v>1171</v>
      </c>
    </row>
    <row r="488" spans="1:7" ht="204.75" x14ac:dyDescent="0.25">
      <c r="A488" s="123">
        <v>487</v>
      </c>
      <c r="B488" s="126" t="s">
        <v>4465</v>
      </c>
      <c r="C488" s="126" t="s">
        <v>4466</v>
      </c>
      <c r="D488" s="127" t="s">
        <v>2445</v>
      </c>
      <c r="E488" s="126" t="s">
        <v>4467</v>
      </c>
      <c r="F488" s="126" t="s">
        <v>4468</v>
      </c>
      <c r="G488" s="125" t="s">
        <v>1171</v>
      </c>
    </row>
    <row r="489" spans="1:7" ht="78.75" x14ac:dyDescent="0.25">
      <c r="A489" s="123">
        <v>488</v>
      </c>
      <c r="B489" s="126" t="s">
        <v>4469</v>
      </c>
      <c r="C489" s="126" t="s">
        <v>4470</v>
      </c>
      <c r="D489" s="127" t="s">
        <v>2445</v>
      </c>
      <c r="E489" s="126" t="s">
        <v>4471</v>
      </c>
      <c r="F489" s="126" t="s">
        <v>4472</v>
      </c>
      <c r="G489" s="125" t="s">
        <v>1171</v>
      </c>
    </row>
    <row r="490" spans="1:7" ht="63" x14ac:dyDescent="0.25">
      <c r="A490" s="123">
        <v>489</v>
      </c>
      <c r="B490" s="126" t="s">
        <v>4461</v>
      </c>
      <c r="C490" s="126" t="s">
        <v>4473</v>
      </c>
      <c r="D490" s="127" t="s">
        <v>2445</v>
      </c>
      <c r="E490" s="126" t="s">
        <v>4474</v>
      </c>
      <c r="F490" s="126" t="s">
        <v>4474</v>
      </c>
      <c r="G490" s="125" t="s">
        <v>1171</v>
      </c>
    </row>
    <row r="491" spans="1:7" ht="173.25" x14ac:dyDescent="0.25">
      <c r="A491" s="123">
        <v>490</v>
      </c>
      <c r="B491" s="126" t="s">
        <v>4475</v>
      </c>
      <c r="C491" s="126" t="s">
        <v>4476</v>
      </c>
      <c r="D491" s="127" t="s">
        <v>2445</v>
      </c>
      <c r="E491" s="126" t="s">
        <v>4477</v>
      </c>
      <c r="F491" s="126" t="s">
        <v>4478</v>
      </c>
      <c r="G491" s="125" t="s">
        <v>1171</v>
      </c>
    </row>
    <row r="492" spans="1:7" ht="409.5" x14ac:dyDescent="0.25">
      <c r="A492" s="123">
        <v>491</v>
      </c>
      <c r="B492" s="126" t="s">
        <v>4479</v>
      </c>
      <c r="C492" s="126" t="s">
        <v>4480</v>
      </c>
      <c r="D492" s="127" t="s">
        <v>2445</v>
      </c>
      <c r="E492" s="126" t="s">
        <v>4481</v>
      </c>
      <c r="F492" s="126" t="s">
        <v>4482</v>
      </c>
      <c r="G492" s="125" t="s">
        <v>1171</v>
      </c>
    </row>
    <row r="493" spans="1:7" ht="393.75" x14ac:dyDescent="0.25">
      <c r="A493" s="123">
        <v>492</v>
      </c>
      <c r="B493" s="126" t="s">
        <v>4483</v>
      </c>
      <c r="C493" s="126" t="s">
        <v>4484</v>
      </c>
      <c r="D493" s="127" t="s">
        <v>2445</v>
      </c>
      <c r="E493" s="126" t="s">
        <v>4485</v>
      </c>
      <c r="F493" s="126" t="s">
        <v>4486</v>
      </c>
      <c r="G493" s="125" t="s">
        <v>1171</v>
      </c>
    </row>
    <row r="494" spans="1:7" ht="141.75" x14ac:dyDescent="0.25">
      <c r="A494" s="123">
        <v>493</v>
      </c>
      <c r="B494" s="126" t="s">
        <v>4487</v>
      </c>
      <c r="C494" s="126" t="s">
        <v>4488</v>
      </c>
      <c r="D494" s="127" t="s">
        <v>2445</v>
      </c>
      <c r="E494" s="126" t="s">
        <v>4489</v>
      </c>
      <c r="F494" s="126" t="s">
        <v>4335</v>
      </c>
      <c r="G494" s="125" t="s">
        <v>1171</v>
      </c>
    </row>
    <row r="495" spans="1:7" ht="204.75" x14ac:dyDescent="0.25">
      <c r="A495" s="123">
        <v>494</v>
      </c>
      <c r="B495" s="126" t="s">
        <v>4490</v>
      </c>
      <c r="C495" s="126" t="s">
        <v>4491</v>
      </c>
      <c r="D495" s="127" t="s">
        <v>2445</v>
      </c>
      <c r="E495" s="126" t="s">
        <v>4492</v>
      </c>
      <c r="F495" s="126" t="s">
        <v>4493</v>
      </c>
      <c r="G495" s="125" t="s">
        <v>1171</v>
      </c>
    </row>
    <row r="496" spans="1:7" ht="173.25" x14ac:dyDescent="0.25">
      <c r="A496" s="123">
        <v>495</v>
      </c>
      <c r="B496" s="126" t="s">
        <v>4494</v>
      </c>
      <c r="C496" s="126" t="s">
        <v>4495</v>
      </c>
      <c r="D496" s="127" t="s">
        <v>2445</v>
      </c>
      <c r="E496" s="126" t="s">
        <v>4496</v>
      </c>
      <c r="F496" s="126" t="s">
        <v>4497</v>
      </c>
      <c r="G496" s="125" t="s">
        <v>1171</v>
      </c>
    </row>
    <row r="497" spans="1:7" ht="204.75" x14ac:dyDescent="0.25">
      <c r="A497" s="123">
        <v>496</v>
      </c>
      <c r="B497" s="126" t="s">
        <v>4498</v>
      </c>
      <c r="C497" s="126" t="s">
        <v>4499</v>
      </c>
      <c r="D497" s="127" t="s">
        <v>2445</v>
      </c>
      <c r="E497" s="126" t="s">
        <v>4500</v>
      </c>
      <c r="F497" s="126" t="s">
        <v>4501</v>
      </c>
      <c r="G497" s="125" t="s">
        <v>1171</v>
      </c>
    </row>
    <row r="498" spans="1:7" ht="220.5" x14ac:dyDescent="0.25">
      <c r="A498" s="123">
        <v>497</v>
      </c>
      <c r="B498" s="126" t="s">
        <v>4502</v>
      </c>
      <c r="C498" s="126" t="s">
        <v>4503</v>
      </c>
      <c r="D498" s="127" t="s">
        <v>2445</v>
      </c>
      <c r="E498" s="126" t="s">
        <v>4504</v>
      </c>
      <c r="F498" s="126" t="s">
        <v>4505</v>
      </c>
      <c r="G498" s="125" t="s">
        <v>1171</v>
      </c>
    </row>
    <row r="499" spans="1:7" ht="141.75" x14ac:dyDescent="0.25">
      <c r="A499" s="123">
        <v>498</v>
      </c>
      <c r="B499" s="126" t="s">
        <v>4506</v>
      </c>
      <c r="C499" s="126" t="s">
        <v>4507</v>
      </c>
      <c r="D499" s="127" t="s">
        <v>2445</v>
      </c>
      <c r="E499" s="126" t="s">
        <v>4508</v>
      </c>
      <c r="F499" s="126" t="s">
        <v>4509</v>
      </c>
      <c r="G499" s="125" t="s">
        <v>1171</v>
      </c>
    </row>
    <row r="500" spans="1:7" ht="299.25" x14ac:dyDescent="0.25">
      <c r="A500" s="123">
        <v>499</v>
      </c>
      <c r="B500" s="126" t="s">
        <v>4510</v>
      </c>
      <c r="C500" s="126" t="s">
        <v>4511</v>
      </c>
      <c r="D500" s="127" t="s">
        <v>2445</v>
      </c>
      <c r="E500" s="126" t="s">
        <v>4512</v>
      </c>
      <c r="F500" s="126" t="s">
        <v>4513</v>
      </c>
      <c r="G500" s="125" t="s">
        <v>1171</v>
      </c>
    </row>
    <row r="501" spans="1:7" ht="346.5" x14ac:dyDescent="0.25">
      <c r="A501" s="123">
        <v>500</v>
      </c>
      <c r="B501" s="126" t="s">
        <v>4514</v>
      </c>
      <c r="C501" s="126" t="s">
        <v>4515</v>
      </c>
      <c r="D501" s="127" t="s">
        <v>2445</v>
      </c>
      <c r="E501" s="126" t="s">
        <v>4516</v>
      </c>
      <c r="F501" s="126" t="s">
        <v>4517</v>
      </c>
      <c r="G501" s="125" t="s">
        <v>1171</v>
      </c>
    </row>
    <row r="502" spans="1:7" ht="393.75" x14ac:dyDescent="0.25">
      <c r="A502" s="123">
        <v>501</v>
      </c>
      <c r="B502" s="126" t="s">
        <v>4518</v>
      </c>
      <c r="C502" s="126" t="s">
        <v>4519</v>
      </c>
      <c r="D502" s="127" t="s">
        <v>2445</v>
      </c>
      <c r="E502" s="126" t="s">
        <v>4520</v>
      </c>
      <c r="F502" s="126" t="s">
        <v>4521</v>
      </c>
      <c r="G502" s="125" t="s">
        <v>1171</v>
      </c>
    </row>
    <row r="503" spans="1:7" ht="267.75" x14ac:dyDescent="0.25">
      <c r="A503" s="123">
        <v>502</v>
      </c>
      <c r="B503" s="126" t="s">
        <v>4522</v>
      </c>
      <c r="C503" s="126" t="s">
        <v>4523</v>
      </c>
      <c r="D503" s="127" t="s">
        <v>2445</v>
      </c>
      <c r="E503" s="126" t="s">
        <v>4524</v>
      </c>
      <c r="F503" s="126" t="s">
        <v>4525</v>
      </c>
      <c r="G503" s="125" t="s">
        <v>1171</v>
      </c>
    </row>
    <row r="504" spans="1:7" ht="283.5" x14ac:dyDescent="0.25">
      <c r="A504" s="123">
        <v>503</v>
      </c>
      <c r="B504" s="126" t="s">
        <v>4526</v>
      </c>
      <c r="C504" s="126" t="s">
        <v>4527</v>
      </c>
      <c r="D504" s="127" t="s">
        <v>2445</v>
      </c>
      <c r="E504" s="126" t="s">
        <v>4528</v>
      </c>
      <c r="F504" s="126" t="s">
        <v>4529</v>
      </c>
      <c r="G504" s="125" t="s">
        <v>1171</v>
      </c>
    </row>
    <row r="505" spans="1:7" ht="236.25" x14ac:dyDescent="0.25">
      <c r="A505" s="123">
        <v>504</v>
      </c>
      <c r="B505" s="126" t="s">
        <v>4530</v>
      </c>
      <c r="C505" s="126" t="s">
        <v>4531</v>
      </c>
      <c r="D505" s="127" t="s">
        <v>2445</v>
      </c>
      <c r="E505" s="126" t="s">
        <v>4532</v>
      </c>
      <c r="F505" s="126" t="s">
        <v>4533</v>
      </c>
      <c r="G505" s="125" t="s">
        <v>1171</v>
      </c>
    </row>
    <row r="506" spans="1:7" ht="299.25" x14ac:dyDescent="0.25">
      <c r="A506" s="123">
        <v>505</v>
      </c>
      <c r="B506" s="126" t="s">
        <v>4534</v>
      </c>
      <c r="C506" s="126" t="s">
        <v>4535</v>
      </c>
      <c r="D506" s="127" t="s">
        <v>2445</v>
      </c>
      <c r="E506" s="126" t="s">
        <v>4536</v>
      </c>
      <c r="F506" s="126" t="s">
        <v>4537</v>
      </c>
      <c r="G506" s="125" t="s">
        <v>1171</v>
      </c>
    </row>
    <row r="507" spans="1:7" ht="409.5" x14ac:dyDescent="0.25">
      <c r="A507" s="123">
        <v>506</v>
      </c>
      <c r="B507" s="126" t="s">
        <v>4538</v>
      </c>
      <c r="C507" s="126" t="s">
        <v>4539</v>
      </c>
      <c r="D507" s="127" t="s">
        <v>2445</v>
      </c>
      <c r="E507" s="126" t="s">
        <v>4540</v>
      </c>
      <c r="F507" s="126" t="s">
        <v>4541</v>
      </c>
      <c r="G507" s="125" t="s">
        <v>1171</v>
      </c>
    </row>
    <row r="508" spans="1:7" ht="409.5" x14ac:dyDescent="0.25">
      <c r="A508" s="123">
        <v>507</v>
      </c>
      <c r="B508" s="126" t="s">
        <v>4542</v>
      </c>
      <c r="C508" s="126" t="s">
        <v>4543</v>
      </c>
      <c r="D508" s="127" t="s">
        <v>2445</v>
      </c>
      <c r="E508" s="126" t="s">
        <v>4544</v>
      </c>
      <c r="F508" s="126" t="s">
        <v>4545</v>
      </c>
      <c r="G508" s="125" t="s">
        <v>1171</v>
      </c>
    </row>
    <row r="509" spans="1:7" ht="409.5" x14ac:dyDescent="0.25">
      <c r="A509" s="123">
        <v>508</v>
      </c>
      <c r="B509" s="126" t="s">
        <v>4546</v>
      </c>
      <c r="C509" s="126" t="s">
        <v>4547</v>
      </c>
      <c r="D509" s="127" t="s">
        <v>2445</v>
      </c>
      <c r="E509" s="126" t="s">
        <v>4548</v>
      </c>
      <c r="F509" s="126" t="s">
        <v>4549</v>
      </c>
      <c r="G509" s="125" t="s">
        <v>1171</v>
      </c>
    </row>
    <row r="510" spans="1:7" ht="315" x14ac:dyDescent="0.25">
      <c r="A510" s="123">
        <v>509</v>
      </c>
      <c r="B510" s="126" t="s">
        <v>4550</v>
      </c>
      <c r="C510" s="126" t="s">
        <v>4551</v>
      </c>
      <c r="D510" s="127" t="s">
        <v>2445</v>
      </c>
      <c r="E510" s="126" t="s">
        <v>4552</v>
      </c>
      <c r="F510" s="126" t="s">
        <v>4553</v>
      </c>
      <c r="G510" s="125" t="s">
        <v>1171</v>
      </c>
    </row>
    <row r="511" spans="1:7" ht="409.5" x14ac:dyDescent="0.25">
      <c r="A511" s="123">
        <v>510</v>
      </c>
      <c r="B511" s="126" t="s">
        <v>4554</v>
      </c>
      <c r="C511" s="126" t="s">
        <v>4555</v>
      </c>
      <c r="D511" s="127" t="s">
        <v>2445</v>
      </c>
      <c r="E511" s="126" t="s">
        <v>4556</v>
      </c>
      <c r="F511" s="126" t="s">
        <v>4557</v>
      </c>
      <c r="G511" s="125" t="s">
        <v>1171</v>
      </c>
    </row>
    <row r="512" spans="1:7" ht="409.5" x14ac:dyDescent="0.25">
      <c r="A512" s="123">
        <v>511</v>
      </c>
      <c r="B512" s="126" t="s">
        <v>4558</v>
      </c>
      <c r="C512" s="126" t="s">
        <v>4559</v>
      </c>
      <c r="D512" s="127" t="s">
        <v>2445</v>
      </c>
      <c r="E512" s="126" t="s">
        <v>4560</v>
      </c>
      <c r="F512" s="126" t="s">
        <v>4561</v>
      </c>
      <c r="G512" s="125" t="s">
        <v>1171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8D8D-CB1D-4975-983C-5D3B8991FB6F}">
  <dimension ref="A1:G39"/>
  <sheetViews>
    <sheetView topLeftCell="B1" workbookViewId="0">
      <selection activeCell="L2" sqref="L2"/>
    </sheetView>
  </sheetViews>
  <sheetFormatPr defaultRowHeight="15" x14ac:dyDescent="0.25"/>
  <cols>
    <col min="1" max="1" width="2" hidden="1" customWidth="1"/>
    <col min="2" max="2" width="39.5703125" customWidth="1"/>
    <col min="3" max="3" width="26" customWidth="1"/>
    <col min="4" max="4" width="28.7109375" customWidth="1"/>
    <col min="5" max="5" width="31.5703125" customWidth="1"/>
    <col min="6" max="6" width="25.7109375" customWidth="1"/>
    <col min="7" max="7" width="27.5703125" customWidth="1"/>
  </cols>
  <sheetData>
    <row r="1" spans="1:7" ht="16.5" x14ac:dyDescent="0.25">
      <c r="A1" s="83" t="s">
        <v>139</v>
      </c>
      <c r="B1" s="83" t="s">
        <v>140</v>
      </c>
      <c r="C1" s="83" t="s">
        <v>141</v>
      </c>
      <c r="D1" s="83" t="s">
        <v>142</v>
      </c>
      <c r="E1" s="83" t="s">
        <v>143</v>
      </c>
      <c r="F1" s="83" t="s">
        <v>144</v>
      </c>
      <c r="G1" s="84" t="s">
        <v>1170</v>
      </c>
    </row>
    <row r="2" spans="1:7" ht="264" x14ac:dyDescent="0.25">
      <c r="A2" s="85">
        <v>1</v>
      </c>
      <c r="B2" s="85" t="s">
        <v>2294</v>
      </c>
      <c r="C2" s="85" t="s">
        <v>2295</v>
      </c>
      <c r="D2" s="86" t="s">
        <v>2255</v>
      </c>
      <c r="E2" s="87" t="s">
        <v>2296</v>
      </c>
      <c r="F2" s="87" t="s">
        <v>2297</v>
      </c>
      <c r="G2" s="88" t="s">
        <v>1171</v>
      </c>
    </row>
    <row r="3" spans="1:7" ht="198" x14ac:dyDescent="0.25">
      <c r="A3" s="85">
        <v>2</v>
      </c>
      <c r="B3" s="85" t="s">
        <v>2298</v>
      </c>
      <c r="C3" s="85" t="s">
        <v>2299</v>
      </c>
      <c r="D3" s="86" t="s">
        <v>2255</v>
      </c>
      <c r="E3" s="87" t="s">
        <v>2300</v>
      </c>
      <c r="F3" s="87" t="s">
        <v>2301</v>
      </c>
      <c r="G3" s="88" t="s">
        <v>1171</v>
      </c>
    </row>
    <row r="4" spans="1:7" ht="214.5" x14ac:dyDescent="0.25">
      <c r="A4" s="85">
        <v>3</v>
      </c>
      <c r="B4" s="85" t="s">
        <v>2302</v>
      </c>
      <c r="C4" s="85" t="s">
        <v>2303</v>
      </c>
      <c r="D4" s="86" t="s">
        <v>2255</v>
      </c>
      <c r="E4" s="87" t="s">
        <v>2304</v>
      </c>
      <c r="F4" s="87" t="s">
        <v>2305</v>
      </c>
      <c r="G4" s="88" t="s">
        <v>1171</v>
      </c>
    </row>
    <row r="5" spans="1:7" ht="198" x14ac:dyDescent="0.25">
      <c r="A5" s="85">
        <v>4</v>
      </c>
      <c r="B5" s="85" t="s">
        <v>2306</v>
      </c>
      <c r="C5" s="85" t="s">
        <v>2307</v>
      </c>
      <c r="D5" s="86" t="s">
        <v>2255</v>
      </c>
      <c r="E5" s="87" t="s">
        <v>2308</v>
      </c>
      <c r="F5" s="87" t="s">
        <v>2309</v>
      </c>
      <c r="G5" s="88" t="s">
        <v>1171</v>
      </c>
    </row>
    <row r="6" spans="1:7" ht="214.5" x14ac:dyDescent="0.25">
      <c r="A6" s="85">
        <v>5</v>
      </c>
      <c r="B6" s="85" t="s">
        <v>2310</v>
      </c>
      <c r="C6" s="85" t="s">
        <v>2311</v>
      </c>
      <c r="D6" s="86" t="s">
        <v>2255</v>
      </c>
      <c r="E6" s="87" t="s">
        <v>2312</v>
      </c>
      <c r="F6" s="87" t="s">
        <v>2313</v>
      </c>
      <c r="G6" s="88" t="s">
        <v>1171</v>
      </c>
    </row>
    <row r="7" spans="1:7" ht="198" x14ac:dyDescent="0.25">
      <c r="A7" s="85">
        <v>6</v>
      </c>
      <c r="B7" s="85" t="s">
        <v>2314</v>
      </c>
      <c r="C7" s="85" t="s">
        <v>2315</v>
      </c>
      <c r="D7" s="86" t="s">
        <v>2255</v>
      </c>
      <c r="E7" s="87" t="s">
        <v>2316</v>
      </c>
      <c r="F7" s="87" t="s">
        <v>2317</v>
      </c>
      <c r="G7" s="88" t="s">
        <v>1171</v>
      </c>
    </row>
    <row r="8" spans="1:7" ht="181.5" x14ac:dyDescent="0.25">
      <c r="A8" s="85">
        <v>7</v>
      </c>
      <c r="B8" s="85" t="s">
        <v>2318</v>
      </c>
      <c r="C8" s="85" t="s">
        <v>2319</v>
      </c>
      <c r="D8" s="86" t="s">
        <v>2255</v>
      </c>
      <c r="E8" s="87" t="s">
        <v>2320</v>
      </c>
      <c r="F8" s="87" t="s">
        <v>2321</v>
      </c>
      <c r="G8" s="88" t="s">
        <v>1171</v>
      </c>
    </row>
    <row r="9" spans="1:7" ht="231" x14ac:dyDescent="0.25">
      <c r="A9" s="85">
        <v>8</v>
      </c>
      <c r="B9" s="85" t="s">
        <v>2322</v>
      </c>
      <c r="C9" s="85" t="s">
        <v>2323</v>
      </c>
      <c r="D9" s="86" t="s">
        <v>2255</v>
      </c>
      <c r="E9" s="87" t="s">
        <v>2324</v>
      </c>
      <c r="F9" s="87" t="s">
        <v>2325</v>
      </c>
      <c r="G9" s="88" t="s">
        <v>1171</v>
      </c>
    </row>
    <row r="10" spans="1:7" ht="181.5" x14ac:dyDescent="0.25">
      <c r="A10" s="85">
        <v>9</v>
      </c>
      <c r="B10" s="85" t="s">
        <v>2326</v>
      </c>
      <c r="C10" s="85" t="s">
        <v>2327</v>
      </c>
      <c r="D10" s="86" t="s">
        <v>2255</v>
      </c>
      <c r="E10" s="87" t="s">
        <v>2328</v>
      </c>
      <c r="F10" s="87" t="s">
        <v>2329</v>
      </c>
      <c r="G10" s="88" t="s">
        <v>1171</v>
      </c>
    </row>
    <row r="11" spans="1:7" ht="165" x14ac:dyDescent="0.25">
      <c r="A11" s="85">
        <v>10</v>
      </c>
      <c r="B11" s="85" t="s">
        <v>2330</v>
      </c>
      <c r="C11" s="85" t="s">
        <v>2331</v>
      </c>
      <c r="D11" s="86" t="s">
        <v>2255</v>
      </c>
      <c r="E11" s="87" t="s">
        <v>2332</v>
      </c>
      <c r="F11" s="87" t="s">
        <v>2333</v>
      </c>
      <c r="G11" s="88" t="s">
        <v>1171</v>
      </c>
    </row>
    <row r="12" spans="1:7" ht="148.5" x14ac:dyDescent="0.25">
      <c r="A12" s="85">
        <v>11</v>
      </c>
      <c r="B12" s="85" t="s">
        <v>2334</v>
      </c>
      <c r="C12" s="85" t="s">
        <v>2335</v>
      </c>
      <c r="D12" s="86" t="s">
        <v>2255</v>
      </c>
      <c r="E12" s="87" t="s">
        <v>2336</v>
      </c>
      <c r="F12" s="87" t="s">
        <v>2337</v>
      </c>
      <c r="G12" s="88" t="s">
        <v>1171</v>
      </c>
    </row>
    <row r="13" spans="1:7" ht="165" x14ac:dyDescent="0.25">
      <c r="A13" s="85">
        <v>12</v>
      </c>
      <c r="B13" s="85" t="s">
        <v>2330</v>
      </c>
      <c r="C13" s="85" t="s">
        <v>2338</v>
      </c>
      <c r="D13" s="86" t="s">
        <v>2255</v>
      </c>
      <c r="E13" s="87" t="s">
        <v>2339</v>
      </c>
      <c r="F13" s="87" t="s">
        <v>2340</v>
      </c>
      <c r="G13" s="88" t="s">
        <v>1171</v>
      </c>
    </row>
    <row r="14" spans="1:7" ht="280.5" x14ac:dyDescent="0.25">
      <c r="A14" s="85">
        <v>13</v>
      </c>
      <c r="B14" s="85" t="s">
        <v>2341</v>
      </c>
      <c r="C14" s="85" t="s">
        <v>2342</v>
      </c>
      <c r="D14" s="86" t="s">
        <v>2255</v>
      </c>
      <c r="E14" s="87" t="s">
        <v>2343</v>
      </c>
      <c r="F14" s="87" t="s">
        <v>2344</v>
      </c>
      <c r="G14" s="88" t="s">
        <v>1171</v>
      </c>
    </row>
    <row r="15" spans="1:7" ht="231" x14ac:dyDescent="0.25">
      <c r="A15" s="85">
        <v>14</v>
      </c>
      <c r="B15" s="85" t="s">
        <v>2345</v>
      </c>
      <c r="C15" s="85" t="s">
        <v>2346</v>
      </c>
      <c r="D15" s="86" t="s">
        <v>2255</v>
      </c>
      <c r="E15" s="87" t="s">
        <v>2347</v>
      </c>
      <c r="F15" s="87" t="s">
        <v>2348</v>
      </c>
      <c r="G15" s="88" t="s">
        <v>1171</v>
      </c>
    </row>
    <row r="16" spans="1:7" ht="247.5" x14ac:dyDescent="0.25">
      <c r="A16" s="85">
        <v>15</v>
      </c>
      <c r="B16" s="85" t="s">
        <v>2349</v>
      </c>
      <c r="C16" s="85" t="s">
        <v>2350</v>
      </c>
      <c r="D16" s="86" t="s">
        <v>2255</v>
      </c>
      <c r="E16" s="87" t="s">
        <v>2351</v>
      </c>
      <c r="F16" s="87" t="s">
        <v>2352</v>
      </c>
      <c r="G16" s="88" t="s">
        <v>1171</v>
      </c>
    </row>
    <row r="17" spans="1:7" ht="231" x14ac:dyDescent="0.25">
      <c r="A17" s="85">
        <v>16</v>
      </c>
      <c r="B17" s="85" t="s">
        <v>2353</v>
      </c>
      <c r="C17" s="85" t="s">
        <v>2354</v>
      </c>
      <c r="D17" s="86" t="s">
        <v>2255</v>
      </c>
      <c r="E17" s="87" t="s">
        <v>2355</v>
      </c>
      <c r="F17" s="87" t="s">
        <v>2356</v>
      </c>
      <c r="G17" s="88" t="s">
        <v>1171</v>
      </c>
    </row>
    <row r="18" spans="1:7" ht="247.5" x14ac:dyDescent="0.25">
      <c r="A18" s="85">
        <v>17</v>
      </c>
      <c r="B18" s="85" t="s">
        <v>2357</v>
      </c>
      <c r="C18" s="85" t="s">
        <v>2358</v>
      </c>
      <c r="D18" s="86" t="s">
        <v>2255</v>
      </c>
      <c r="E18" s="87" t="s">
        <v>2359</v>
      </c>
      <c r="F18" s="87" t="s">
        <v>2360</v>
      </c>
      <c r="G18" s="88" t="s">
        <v>1171</v>
      </c>
    </row>
    <row r="19" spans="1:7" ht="264" x14ac:dyDescent="0.25">
      <c r="A19" s="85">
        <v>18</v>
      </c>
      <c r="B19" s="85" t="s">
        <v>2361</v>
      </c>
      <c r="C19" s="85" t="s">
        <v>2362</v>
      </c>
      <c r="D19" s="86" t="s">
        <v>2255</v>
      </c>
      <c r="E19" s="87" t="s">
        <v>2363</v>
      </c>
      <c r="F19" s="87" t="s">
        <v>2364</v>
      </c>
      <c r="G19" s="88" t="s">
        <v>1171</v>
      </c>
    </row>
    <row r="20" spans="1:7" ht="198" x14ac:dyDescent="0.25">
      <c r="A20" s="85">
        <v>19</v>
      </c>
      <c r="B20" s="85" t="s">
        <v>2365</v>
      </c>
      <c r="C20" s="85" t="s">
        <v>2366</v>
      </c>
      <c r="D20" s="86" t="s">
        <v>2255</v>
      </c>
      <c r="E20" s="87" t="s">
        <v>2367</v>
      </c>
      <c r="F20" s="87" t="s">
        <v>2368</v>
      </c>
      <c r="G20" s="88" t="s">
        <v>1171</v>
      </c>
    </row>
    <row r="21" spans="1:7" ht="165" x14ac:dyDescent="0.25">
      <c r="A21" s="85">
        <v>20</v>
      </c>
      <c r="B21" s="85" t="s">
        <v>2369</v>
      </c>
      <c r="C21" s="85" t="s">
        <v>2370</v>
      </c>
      <c r="D21" s="86" t="s">
        <v>2255</v>
      </c>
      <c r="E21" s="87" t="s">
        <v>2371</v>
      </c>
      <c r="F21" s="87" t="s">
        <v>2372</v>
      </c>
      <c r="G21" s="88" t="s">
        <v>1171</v>
      </c>
    </row>
    <row r="22" spans="1:7" ht="165" x14ac:dyDescent="0.25">
      <c r="A22" s="85">
        <v>21</v>
      </c>
      <c r="B22" s="85" t="s">
        <v>2373</v>
      </c>
      <c r="C22" s="85" t="s">
        <v>2374</v>
      </c>
      <c r="D22" s="86" t="s">
        <v>2255</v>
      </c>
      <c r="E22" s="87" t="s">
        <v>2375</v>
      </c>
      <c r="F22" s="87" t="s">
        <v>2376</v>
      </c>
      <c r="G22" s="88" t="s">
        <v>1171</v>
      </c>
    </row>
    <row r="23" spans="1:7" ht="181.5" x14ac:dyDescent="0.25">
      <c r="A23" s="85">
        <v>22</v>
      </c>
      <c r="B23" s="85" t="s">
        <v>2377</v>
      </c>
      <c r="C23" s="85" t="s">
        <v>2378</v>
      </c>
      <c r="D23" s="86" t="s">
        <v>2255</v>
      </c>
      <c r="E23" s="87" t="s">
        <v>2379</v>
      </c>
      <c r="F23" s="87" t="s">
        <v>2380</v>
      </c>
      <c r="G23" s="88" t="s">
        <v>1171</v>
      </c>
    </row>
    <row r="24" spans="1:7" ht="198" x14ac:dyDescent="0.25">
      <c r="A24" s="85">
        <v>23</v>
      </c>
      <c r="B24" s="85" t="s">
        <v>2381</v>
      </c>
      <c r="C24" s="85" t="s">
        <v>2382</v>
      </c>
      <c r="D24" s="86" t="s">
        <v>2255</v>
      </c>
      <c r="E24" s="87" t="s">
        <v>2383</v>
      </c>
      <c r="F24" s="87" t="s">
        <v>2384</v>
      </c>
      <c r="G24" s="88" t="s">
        <v>1171</v>
      </c>
    </row>
    <row r="25" spans="1:7" ht="198" x14ac:dyDescent="0.25">
      <c r="A25" s="85">
        <v>24</v>
      </c>
      <c r="B25" s="85" t="s">
        <v>2385</v>
      </c>
      <c r="C25" s="85" t="s">
        <v>2386</v>
      </c>
      <c r="D25" s="86" t="s">
        <v>2255</v>
      </c>
      <c r="E25" s="87" t="s">
        <v>2387</v>
      </c>
      <c r="F25" s="87" t="s">
        <v>2388</v>
      </c>
      <c r="G25" s="88" t="s">
        <v>1171</v>
      </c>
    </row>
    <row r="26" spans="1:7" ht="165" x14ac:dyDescent="0.25">
      <c r="A26" s="85">
        <v>25</v>
      </c>
      <c r="B26" s="85" t="s">
        <v>2389</v>
      </c>
      <c r="C26" s="85" t="s">
        <v>2390</v>
      </c>
      <c r="D26" s="86" t="s">
        <v>2255</v>
      </c>
      <c r="E26" s="87" t="s">
        <v>2391</v>
      </c>
      <c r="F26" s="87" t="s">
        <v>2392</v>
      </c>
      <c r="G26" s="88" t="s">
        <v>1171</v>
      </c>
    </row>
    <row r="27" spans="1:7" ht="181.5" x14ac:dyDescent="0.25">
      <c r="A27" s="85">
        <v>26</v>
      </c>
      <c r="B27" s="85" t="s">
        <v>2393</v>
      </c>
      <c r="C27" s="85" t="s">
        <v>2394</v>
      </c>
      <c r="D27" s="86" t="s">
        <v>2255</v>
      </c>
      <c r="E27" s="87" t="s">
        <v>2395</v>
      </c>
      <c r="F27" s="87" t="s">
        <v>2396</v>
      </c>
      <c r="G27" s="88" t="s">
        <v>1171</v>
      </c>
    </row>
    <row r="28" spans="1:7" ht="148.5" x14ac:dyDescent="0.25">
      <c r="A28" s="85">
        <v>27</v>
      </c>
      <c r="B28" s="85" t="s">
        <v>2397</v>
      </c>
      <c r="C28" s="85" t="s">
        <v>2398</v>
      </c>
      <c r="D28" s="86" t="s">
        <v>2255</v>
      </c>
      <c r="E28" s="87" t="s">
        <v>2399</v>
      </c>
      <c r="F28" s="87" t="s">
        <v>2400</v>
      </c>
      <c r="G28" s="88" t="s">
        <v>1171</v>
      </c>
    </row>
    <row r="29" spans="1:7" ht="148.5" x14ac:dyDescent="0.25">
      <c r="A29" s="85">
        <v>28</v>
      </c>
      <c r="B29" s="85" t="s">
        <v>2401</v>
      </c>
      <c r="C29" s="85" t="s">
        <v>2402</v>
      </c>
      <c r="D29" s="86" t="s">
        <v>2255</v>
      </c>
      <c r="E29" s="87" t="s">
        <v>2403</v>
      </c>
      <c r="F29" s="87" t="s">
        <v>2404</v>
      </c>
      <c r="G29" s="88" t="s">
        <v>1171</v>
      </c>
    </row>
    <row r="30" spans="1:7" ht="148.5" x14ac:dyDescent="0.25">
      <c r="A30" s="85">
        <v>29</v>
      </c>
      <c r="B30" s="85" t="s">
        <v>2405</v>
      </c>
      <c r="C30" s="85" t="s">
        <v>2406</v>
      </c>
      <c r="D30" s="86" t="s">
        <v>2255</v>
      </c>
      <c r="E30" s="87" t="s">
        <v>2407</v>
      </c>
      <c r="F30" s="87" t="s">
        <v>2408</v>
      </c>
      <c r="G30" s="88" t="s">
        <v>1171</v>
      </c>
    </row>
    <row r="31" spans="1:7" ht="148.5" x14ac:dyDescent="0.25">
      <c r="A31" s="85">
        <v>30</v>
      </c>
      <c r="B31" s="85" t="s">
        <v>2409</v>
      </c>
      <c r="C31" s="85" t="s">
        <v>2410</v>
      </c>
      <c r="D31" s="86" t="s">
        <v>2255</v>
      </c>
      <c r="E31" s="87" t="s">
        <v>2411</v>
      </c>
      <c r="F31" s="87" t="s">
        <v>2412</v>
      </c>
      <c r="G31" s="88" t="s">
        <v>1171</v>
      </c>
    </row>
    <row r="32" spans="1:7" ht="165" x14ac:dyDescent="0.25">
      <c r="A32" s="85">
        <v>31</v>
      </c>
      <c r="B32" s="85" t="s">
        <v>2413</v>
      </c>
      <c r="C32" s="85" t="s">
        <v>2414</v>
      </c>
      <c r="D32" s="86" t="s">
        <v>2255</v>
      </c>
      <c r="E32" s="87" t="s">
        <v>2415</v>
      </c>
      <c r="F32" s="87" t="s">
        <v>2416</v>
      </c>
      <c r="G32" s="88" t="s">
        <v>1171</v>
      </c>
    </row>
    <row r="33" spans="1:7" ht="181.5" x14ac:dyDescent="0.25">
      <c r="A33" s="85">
        <v>32</v>
      </c>
      <c r="B33" s="85" t="s">
        <v>2417</v>
      </c>
      <c r="C33" s="85" t="s">
        <v>2418</v>
      </c>
      <c r="D33" s="86" t="s">
        <v>2255</v>
      </c>
      <c r="E33" s="87" t="s">
        <v>2419</v>
      </c>
      <c r="F33" s="87" t="s">
        <v>2420</v>
      </c>
      <c r="G33" s="88" t="s">
        <v>1171</v>
      </c>
    </row>
    <row r="34" spans="1:7" ht="132" x14ac:dyDescent="0.25">
      <c r="A34" s="85">
        <v>33</v>
      </c>
      <c r="B34" s="85" t="s">
        <v>2421</v>
      </c>
      <c r="C34" s="85" t="s">
        <v>2422</v>
      </c>
      <c r="D34" s="86" t="s">
        <v>2255</v>
      </c>
      <c r="E34" s="87" t="s">
        <v>2423</v>
      </c>
      <c r="F34" s="87" t="s">
        <v>2424</v>
      </c>
      <c r="G34" s="88" t="s">
        <v>1171</v>
      </c>
    </row>
    <row r="35" spans="1:7" ht="214.5" x14ac:dyDescent="0.25">
      <c r="A35" s="85">
        <v>34</v>
      </c>
      <c r="B35" s="85" t="s">
        <v>2425</v>
      </c>
      <c r="C35" s="85" t="s">
        <v>2426</v>
      </c>
      <c r="D35" s="86" t="s">
        <v>2255</v>
      </c>
      <c r="E35" s="87" t="s">
        <v>2427</v>
      </c>
      <c r="F35" s="87" t="s">
        <v>2428</v>
      </c>
      <c r="G35" s="88" t="s">
        <v>1171</v>
      </c>
    </row>
    <row r="36" spans="1:7" ht="148.5" x14ac:dyDescent="0.25">
      <c r="A36" s="85">
        <v>35</v>
      </c>
      <c r="B36" s="85" t="s">
        <v>2429</v>
      </c>
      <c r="C36" s="85" t="s">
        <v>2430</v>
      </c>
      <c r="D36" s="86" t="s">
        <v>2255</v>
      </c>
      <c r="E36" s="87" t="s">
        <v>2431</v>
      </c>
      <c r="F36" s="87" t="s">
        <v>2432</v>
      </c>
      <c r="G36" s="88" t="s">
        <v>1171</v>
      </c>
    </row>
    <row r="37" spans="1:7" ht="148.5" x14ac:dyDescent="0.25">
      <c r="A37" s="85">
        <v>36</v>
      </c>
      <c r="B37" s="85" t="s">
        <v>2433</v>
      </c>
      <c r="C37" s="85" t="s">
        <v>2434</v>
      </c>
      <c r="D37" s="86" t="s">
        <v>2255</v>
      </c>
      <c r="E37" s="87" t="s">
        <v>2435</v>
      </c>
      <c r="F37" s="87" t="s">
        <v>2436</v>
      </c>
      <c r="G37" s="88" t="s">
        <v>1171</v>
      </c>
    </row>
    <row r="38" spans="1:7" ht="132" x14ac:dyDescent="0.25">
      <c r="A38" s="85">
        <v>37</v>
      </c>
      <c r="B38" s="85" t="s">
        <v>2437</v>
      </c>
      <c r="C38" s="85" t="s">
        <v>2438</v>
      </c>
      <c r="D38" s="86" t="s">
        <v>2255</v>
      </c>
      <c r="E38" s="87" t="s">
        <v>2439</v>
      </c>
      <c r="F38" s="87" t="s">
        <v>2440</v>
      </c>
      <c r="G38" s="88" t="s">
        <v>1171</v>
      </c>
    </row>
    <row r="39" spans="1:7" ht="165" x14ac:dyDescent="0.25">
      <c r="A39" s="87">
        <v>38</v>
      </c>
      <c r="B39" s="87" t="s">
        <v>2441</v>
      </c>
      <c r="C39" s="87" t="s">
        <v>2442</v>
      </c>
      <c r="D39" s="86" t="s">
        <v>2255</v>
      </c>
      <c r="E39" s="87" t="s">
        <v>2443</v>
      </c>
      <c r="F39" s="87" t="s">
        <v>2444</v>
      </c>
      <c r="G39" s="88" t="s">
        <v>1171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9D9F6-15EC-4059-AA51-9F4AD4B99528}">
  <sheetPr>
    <tabColor rgb="FFC0392B"/>
  </sheetPr>
  <dimension ref="B1:H6057"/>
  <sheetViews>
    <sheetView zoomScale="80" zoomScaleNormal="80" workbookViewId="0">
      <selection activeCell="D3" sqref="D3"/>
    </sheetView>
  </sheetViews>
  <sheetFormatPr defaultColWidth="8.5703125" defaultRowHeight="15" x14ac:dyDescent="0.25"/>
  <cols>
    <col min="1" max="1" width="2.42578125" customWidth="1"/>
    <col min="2" max="2" width="4" style="39" customWidth="1"/>
    <col min="3" max="3" width="28.85546875" customWidth="1"/>
    <col min="4" max="4" width="62" customWidth="1"/>
    <col min="5" max="5" width="10.5703125" customWidth="1"/>
    <col min="6" max="6" width="48" customWidth="1"/>
    <col min="7" max="7" width="26" customWidth="1"/>
    <col min="8" max="8" width="11.28515625" style="13" customWidth="1"/>
  </cols>
  <sheetData>
    <row r="1" spans="2:8" s="32" customFormat="1" ht="21.75" customHeight="1" thickBot="1" x14ac:dyDescent="0.3">
      <c r="B1" s="29" t="s">
        <v>139</v>
      </c>
      <c r="C1" s="29" t="s">
        <v>140</v>
      </c>
      <c r="D1" s="29" t="s">
        <v>141</v>
      </c>
      <c r="E1" s="29" t="s">
        <v>142</v>
      </c>
      <c r="F1" s="29" t="s">
        <v>143</v>
      </c>
      <c r="G1" s="30" t="s">
        <v>144</v>
      </c>
      <c r="H1" s="31" t="s">
        <v>1170</v>
      </c>
    </row>
    <row r="2" spans="2:8" ht="111" customHeight="1" thickBot="1" x14ac:dyDescent="0.3">
      <c r="B2" s="36">
        <v>1</v>
      </c>
      <c r="C2" s="40" t="s">
        <v>1174</v>
      </c>
      <c r="D2" s="41" t="s">
        <v>1175</v>
      </c>
      <c r="E2" s="42" t="s">
        <v>116</v>
      </c>
      <c r="F2" s="41" t="s">
        <v>1176</v>
      </c>
      <c r="G2" s="43" t="s">
        <v>1177</v>
      </c>
      <c r="H2" s="44" t="s">
        <v>1171</v>
      </c>
    </row>
    <row r="3" spans="2:8" ht="142.5" customHeight="1" thickBot="1" x14ac:dyDescent="0.3">
      <c r="B3" s="36">
        <v>2</v>
      </c>
      <c r="C3" s="45" t="s">
        <v>1178</v>
      </c>
      <c r="D3" s="46" t="s">
        <v>1179</v>
      </c>
      <c r="E3" s="42" t="s">
        <v>116</v>
      </c>
      <c r="F3" s="46" t="s">
        <v>1180</v>
      </c>
      <c r="G3" s="47" t="s">
        <v>1181</v>
      </c>
      <c r="H3" s="44" t="s">
        <v>1171</v>
      </c>
    </row>
    <row r="4" spans="2:8" ht="142.5" customHeight="1" thickBot="1" x14ac:dyDescent="0.3">
      <c r="B4" s="36">
        <v>3</v>
      </c>
      <c r="C4" s="45" t="s">
        <v>1182</v>
      </c>
      <c r="D4" s="46" t="s">
        <v>1183</v>
      </c>
      <c r="E4" s="42" t="s">
        <v>116</v>
      </c>
      <c r="F4" s="46" t="s">
        <v>1180</v>
      </c>
      <c r="G4" s="47" t="s">
        <v>1181</v>
      </c>
      <c r="H4" s="44" t="s">
        <v>1171</v>
      </c>
    </row>
    <row r="5" spans="2:8" ht="126.75" customHeight="1" thickBot="1" x14ac:dyDescent="0.3">
      <c r="B5" s="36">
        <v>4</v>
      </c>
      <c r="C5" s="45" t="s">
        <v>1184</v>
      </c>
      <c r="D5" s="46" t="s">
        <v>1185</v>
      </c>
      <c r="E5" s="42" t="s">
        <v>116</v>
      </c>
      <c r="F5" s="46" t="s">
        <v>1186</v>
      </c>
      <c r="G5" s="47" t="s">
        <v>1187</v>
      </c>
      <c r="H5" s="44" t="s">
        <v>1171</v>
      </c>
    </row>
    <row r="6" spans="2:8" ht="128.25" customHeight="1" thickBot="1" x14ac:dyDescent="0.3">
      <c r="B6" s="36">
        <v>5</v>
      </c>
      <c r="C6" s="45" t="s">
        <v>1188</v>
      </c>
      <c r="D6" s="46" t="s">
        <v>1189</v>
      </c>
      <c r="E6" s="42" t="s">
        <v>116</v>
      </c>
      <c r="F6" s="46" t="s">
        <v>1190</v>
      </c>
      <c r="G6" s="47" t="s">
        <v>1191</v>
      </c>
      <c r="H6" s="44" t="s">
        <v>1171</v>
      </c>
    </row>
    <row r="7" spans="2:8" ht="124.5" customHeight="1" thickBot="1" x14ac:dyDescent="0.3">
      <c r="B7" s="36">
        <v>6</v>
      </c>
      <c r="C7" s="45" t="s">
        <v>1192</v>
      </c>
      <c r="D7" s="46" t="s">
        <v>1193</v>
      </c>
      <c r="E7" s="42" t="s">
        <v>116</v>
      </c>
      <c r="F7" s="46" t="s">
        <v>1194</v>
      </c>
      <c r="G7" s="47" t="s">
        <v>1195</v>
      </c>
      <c r="H7" s="44" t="s">
        <v>1171</v>
      </c>
    </row>
    <row r="8" spans="2:8" ht="142.5" customHeight="1" thickBot="1" x14ac:dyDescent="0.3">
      <c r="B8" s="36">
        <v>7</v>
      </c>
      <c r="C8" s="45" t="s">
        <v>1196</v>
      </c>
      <c r="D8" s="46" t="s">
        <v>1197</v>
      </c>
      <c r="E8" s="42" t="s">
        <v>116</v>
      </c>
      <c r="F8" s="46" t="s">
        <v>1198</v>
      </c>
      <c r="G8" s="47" t="s">
        <v>1199</v>
      </c>
      <c r="H8" s="44" t="s">
        <v>1171</v>
      </c>
    </row>
    <row r="9" spans="2:8" ht="79.5" customHeight="1" thickBot="1" x14ac:dyDescent="0.3">
      <c r="B9" s="36">
        <v>8</v>
      </c>
      <c r="C9" s="45" t="s">
        <v>1200</v>
      </c>
      <c r="D9" s="46" t="s">
        <v>1201</v>
      </c>
      <c r="E9" s="42" t="s">
        <v>116</v>
      </c>
      <c r="F9" s="46" t="s">
        <v>1202</v>
      </c>
      <c r="G9" s="47" t="s">
        <v>1203</v>
      </c>
      <c r="H9" s="44" t="s">
        <v>1171</v>
      </c>
    </row>
    <row r="10" spans="2:8" ht="96.75" customHeight="1" thickBot="1" x14ac:dyDescent="0.3">
      <c r="B10" s="36">
        <v>9</v>
      </c>
      <c r="C10" s="45" t="s">
        <v>1204</v>
      </c>
      <c r="D10" s="46" t="s">
        <v>1205</v>
      </c>
      <c r="E10" s="42" t="s">
        <v>116</v>
      </c>
      <c r="F10" s="46" t="s">
        <v>1206</v>
      </c>
      <c r="G10" s="47" t="s">
        <v>1207</v>
      </c>
      <c r="H10" s="44" t="s">
        <v>1171</v>
      </c>
    </row>
    <row r="11" spans="2:8" ht="126.75" customHeight="1" thickBot="1" x14ac:dyDescent="0.3">
      <c r="B11" s="37"/>
      <c r="C11" s="45" t="s">
        <v>1208</v>
      </c>
      <c r="D11" s="46" t="s">
        <v>1209</v>
      </c>
      <c r="E11" s="42" t="s">
        <v>116</v>
      </c>
      <c r="F11" s="46" t="s">
        <v>1210</v>
      </c>
      <c r="G11" s="47" t="s">
        <v>1211</v>
      </c>
      <c r="H11" s="44" t="s">
        <v>1171</v>
      </c>
    </row>
    <row r="12" spans="2:8" ht="111" customHeight="1" thickBot="1" x14ac:dyDescent="0.3">
      <c r="B12" s="37"/>
      <c r="C12" s="45" t="s">
        <v>1212</v>
      </c>
      <c r="D12" s="46" t="s">
        <v>1213</v>
      </c>
      <c r="E12" s="42" t="s">
        <v>116</v>
      </c>
      <c r="F12" s="46" t="s">
        <v>1214</v>
      </c>
      <c r="G12" s="47" t="s">
        <v>1215</v>
      </c>
      <c r="H12" s="44" t="s">
        <v>1171</v>
      </c>
    </row>
    <row r="13" spans="2:8" ht="109.5" customHeight="1" thickBot="1" x14ac:dyDescent="0.3">
      <c r="B13" s="37"/>
      <c r="C13" s="45" t="s">
        <v>1216</v>
      </c>
      <c r="D13" s="46" t="s">
        <v>1217</v>
      </c>
      <c r="E13" s="42" t="s">
        <v>116</v>
      </c>
      <c r="F13" s="46" t="s">
        <v>1218</v>
      </c>
      <c r="G13" s="47" t="s">
        <v>1219</v>
      </c>
      <c r="H13" s="44" t="s">
        <v>1171</v>
      </c>
    </row>
    <row r="14" spans="2:8" ht="79.5" customHeight="1" thickBot="1" x14ac:dyDescent="0.3">
      <c r="B14" s="37"/>
      <c r="C14" s="45" t="s">
        <v>1220</v>
      </c>
      <c r="D14" s="46" t="s">
        <v>1221</v>
      </c>
      <c r="E14" s="42" t="s">
        <v>116</v>
      </c>
      <c r="F14" s="46" t="s">
        <v>1222</v>
      </c>
      <c r="G14" s="47" t="s">
        <v>1223</v>
      </c>
      <c r="H14" s="44" t="s">
        <v>1171</v>
      </c>
    </row>
    <row r="15" spans="2:8" ht="114.75" customHeight="1" thickBot="1" x14ac:dyDescent="0.3">
      <c r="B15" s="37"/>
      <c r="C15" s="45" t="s">
        <v>1224</v>
      </c>
      <c r="D15" s="46" t="s">
        <v>1225</v>
      </c>
      <c r="E15" s="42" t="s">
        <v>116</v>
      </c>
      <c r="F15" s="46" t="s">
        <v>1226</v>
      </c>
      <c r="G15" s="47" t="s">
        <v>1227</v>
      </c>
      <c r="H15" s="44" t="s">
        <v>1171</v>
      </c>
    </row>
    <row r="16" spans="2:8" ht="126.75" customHeight="1" thickBot="1" x14ac:dyDescent="0.3">
      <c r="B16" s="37"/>
      <c r="C16" s="45" t="s">
        <v>1228</v>
      </c>
      <c r="D16" s="46" t="s">
        <v>1229</v>
      </c>
      <c r="E16" s="42" t="s">
        <v>116</v>
      </c>
      <c r="F16" s="46" t="s">
        <v>1230</v>
      </c>
      <c r="G16" s="47" t="s">
        <v>1231</v>
      </c>
      <c r="H16" s="44" t="s">
        <v>1171</v>
      </c>
    </row>
    <row r="17" spans="2:8" ht="111" customHeight="1" thickBot="1" x14ac:dyDescent="0.3">
      <c r="B17" s="37"/>
      <c r="C17" s="45" t="s">
        <v>1232</v>
      </c>
      <c r="D17" s="46" t="s">
        <v>1233</v>
      </c>
      <c r="E17" s="42" t="s">
        <v>116</v>
      </c>
      <c r="F17" s="46" t="s">
        <v>1234</v>
      </c>
      <c r="G17" s="47" t="s">
        <v>1235</v>
      </c>
      <c r="H17" s="44" t="s">
        <v>1171</v>
      </c>
    </row>
    <row r="18" spans="2:8" ht="158.25" customHeight="1" thickBot="1" x14ac:dyDescent="0.3">
      <c r="B18" s="37"/>
      <c r="C18" s="45" t="s">
        <v>2232</v>
      </c>
      <c r="D18" s="46" t="s">
        <v>1236</v>
      </c>
      <c r="E18" s="42" t="s">
        <v>116</v>
      </c>
      <c r="F18" s="46" t="s">
        <v>1237</v>
      </c>
      <c r="G18" s="47" t="s">
        <v>1238</v>
      </c>
      <c r="H18" s="44" t="s">
        <v>1171</v>
      </c>
    </row>
    <row r="19" spans="2:8" ht="160.5" customHeight="1" thickBot="1" x14ac:dyDescent="0.3">
      <c r="B19" s="37"/>
      <c r="C19" s="45" t="s">
        <v>2233</v>
      </c>
      <c r="D19" s="46" t="s">
        <v>1239</v>
      </c>
      <c r="E19" s="42" t="s">
        <v>116</v>
      </c>
      <c r="F19" s="46" t="s">
        <v>1240</v>
      </c>
      <c r="G19" s="47" t="s">
        <v>1241</v>
      </c>
      <c r="H19" s="44" t="s">
        <v>1171</v>
      </c>
    </row>
    <row r="20" spans="2:8" ht="158.25" customHeight="1" thickBot="1" x14ac:dyDescent="0.3">
      <c r="B20" s="37"/>
      <c r="C20" s="45" t="s">
        <v>2234</v>
      </c>
      <c r="D20" s="46" t="s">
        <v>1242</v>
      </c>
      <c r="E20" s="42" t="s">
        <v>116</v>
      </c>
      <c r="F20" s="46" t="s">
        <v>1243</v>
      </c>
      <c r="G20" s="47" t="s">
        <v>1244</v>
      </c>
      <c r="H20" s="44" t="s">
        <v>1171</v>
      </c>
    </row>
    <row r="21" spans="2:8" ht="158.25" customHeight="1" thickBot="1" x14ac:dyDescent="0.3">
      <c r="B21" s="37"/>
      <c r="C21" s="45" t="s">
        <v>1245</v>
      </c>
      <c r="D21" s="46" t="s">
        <v>1246</v>
      </c>
      <c r="E21" s="42" t="s">
        <v>116</v>
      </c>
      <c r="F21" s="46" t="s">
        <v>1247</v>
      </c>
      <c r="G21" s="47" t="s">
        <v>1248</v>
      </c>
      <c r="H21" s="44" t="s">
        <v>1171</v>
      </c>
    </row>
    <row r="22" spans="2:8" ht="158.25" customHeight="1" thickBot="1" x14ac:dyDescent="0.3">
      <c r="B22" s="37"/>
      <c r="C22" s="45" t="s">
        <v>1249</v>
      </c>
      <c r="D22" s="46" t="s">
        <v>2235</v>
      </c>
      <c r="E22" s="42" t="s">
        <v>116</v>
      </c>
      <c r="F22" s="46" t="s">
        <v>1250</v>
      </c>
      <c r="G22" s="47" t="s">
        <v>1251</v>
      </c>
      <c r="H22" s="44" t="s">
        <v>1171</v>
      </c>
    </row>
    <row r="23" spans="2:8" ht="111" customHeight="1" thickBot="1" x14ac:dyDescent="0.3">
      <c r="B23" s="37"/>
      <c r="C23" s="45" t="s">
        <v>1252</v>
      </c>
      <c r="D23" s="46" t="s">
        <v>1253</v>
      </c>
      <c r="E23" s="42" t="s">
        <v>116</v>
      </c>
      <c r="F23" s="46" t="s">
        <v>1254</v>
      </c>
      <c r="G23" s="47" t="s">
        <v>1255</v>
      </c>
      <c r="H23" s="44" t="s">
        <v>1171</v>
      </c>
    </row>
    <row r="24" spans="2:8" ht="189.75" customHeight="1" thickBot="1" x14ac:dyDescent="0.3">
      <c r="B24" s="37"/>
      <c r="C24" s="45" t="s">
        <v>1256</v>
      </c>
      <c r="D24" s="46" t="s">
        <v>1257</v>
      </c>
      <c r="E24" s="42" t="s">
        <v>116</v>
      </c>
      <c r="F24" s="46" t="s">
        <v>1258</v>
      </c>
      <c r="G24" s="47" t="s">
        <v>1259</v>
      </c>
      <c r="H24" s="44" t="s">
        <v>1171</v>
      </c>
    </row>
    <row r="25" spans="2:8" ht="158.25" customHeight="1" thickBot="1" x14ac:dyDescent="0.3">
      <c r="B25" s="37"/>
      <c r="C25" s="45" t="s">
        <v>1260</v>
      </c>
      <c r="D25" s="46" t="s">
        <v>1261</v>
      </c>
      <c r="E25" s="42" t="s">
        <v>116</v>
      </c>
      <c r="F25" s="46" t="s">
        <v>1262</v>
      </c>
      <c r="G25" s="47" t="s">
        <v>1263</v>
      </c>
      <c r="H25" s="44" t="s">
        <v>1171</v>
      </c>
    </row>
    <row r="26" spans="2:8" ht="158.25" customHeight="1" thickBot="1" x14ac:dyDescent="0.3">
      <c r="B26" s="37"/>
      <c r="C26" s="45" t="s">
        <v>1264</v>
      </c>
      <c r="D26" s="46" t="s">
        <v>1265</v>
      </c>
      <c r="E26" s="42" t="s">
        <v>116</v>
      </c>
      <c r="F26" s="46" t="s">
        <v>1266</v>
      </c>
      <c r="G26" s="47" t="s">
        <v>1267</v>
      </c>
      <c r="H26" s="44" t="s">
        <v>1171</v>
      </c>
    </row>
    <row r="27" spans="2:8" ht="158.25" customHeight="1" thickBot="1" x14ac:dyDescent="0.3">
      <c r="B27" s="37"/>
      <c r="C27" s="45" t="s">
        <v>1268</v>
      </c>
      <c r="D27" s="46" t="s">
        <v>1269</v>
      </c>
      <c r="E27" s="42" t="s">
        <v>116</v>
      </c>
      <c r="F27" s="46" t="s">
        <v>1266</v>
      </c>
      <c r="G27" s="47" t="s">
        <v>1270</v>
      </c>
      <c r="H27" s="44" t="s">
        <v>1171</v>
      </c>
    </row>
    <row r="28" spans="2:8" ht="189.75" customHeight="1" thickBot="1" x14ac:dyDescent="0.3">
      <c r="B28" s="37"/>
      <c r="C28" s="45" t="s">
        <v>1271</v>
      </c>
      <c r="D28" s="46" t="s">
        <v>1272</v>
      </c>
      <c r="E28" s="42" t="s">
        <v>116</v>
      </c>
      <c r="F28" s="46" t="s">
        <v>1273</v>
      </c>
      <c r="G28" s="47" t="s">
        <v>1274</v>
      </c>
      <c r="H28" s="44" t="s">
        <v>1171</v>
      </c>
    </row>
    <row r="29" spans="2:8" ht="205.5" customHeight="1" thickBot="1" x14ac:dyDescent="0.3">
      <c r="B29" s="37"/>
      <c r="C29" s="45" t="s">
        <v>1275</v>
      </c>
      <c r="D29" s="46" t="s">
        <v>1276</v>
      </c>
      <c r="E29" s="42" t="s">
        <v>116</v>
      </c>
      <c r="F29" s="46" t="s">
        <v>1277</v>
      </c>
      <c r="G29" s="47" t="s">
        <v>1278</v>
      </c>
      <c r="H29" s="44" t="s">
        <v>1171</v>
      </c>
    </row>
    <row r="30" spans="2:8" ht="142.5" customHeight="1" thickBot="1" x14ac:dyDescent="0.3">
      <c r="B30" s="37"/>
      <c r="C30" s="45" t="s">
        <v>1279</v>
      </c>
      <c r="D30" s="46" t="s">
        <v>1280</v>
      </c>
      <c r="E30" s="42" t="s">
        <v>116</v>
      </c>
      <c r="F30" s="46" t="s">
        <v>1281</v>
      </c>
      <c r="G30" s="47" t="s">
        <v>1282</v>
      </c>
      <c r="H30" s="44" t="s">
        <v>1171</v>
      </c>
    </row>
    <row r="31" spans="2:8" ht="174" customHeight="1" thickBot="1" x14ac:dyDescent="0.3">
      <c r="B31" s="37"/>
      <c r="C31" s="45" t="s">
        <v>1283</v>
      </c>
      <c r="D31" s="46" t="s">
        <v>2236</v>
      </c>
      <c r="E31" s="42" t="s">
        <v>116</v>
      </c>
      <c r="F31" s="46" t="s">
        <v>1284</v>
      </c>
      <c r="G31" s="47" t="s">
        <v>1285</v>
      </c>
      <c r="H31" s="44" t="s">
        <v>1171</v>
      </c>
    </row>
    <row r="32" spans="2:8" ht="174" customHeight="1" thickBot="1" x14ac:dyDescent="0.3">
      <c r="B32" s="37"/>
      <c r="C32" s="45" t="s">
        <v>1286</v>
      </c>
      <c r="D32" s="46" t="s">
        <v>1287</v>
      </c>
      <c r="E32" s="42" t="s">
        <v>116</v>
      </c>
      <c r="F32" s="46" t="s">
        <v>1284</v>
      </c>
      <c r="G32" s="47" t="s">
        <v>1288</v>
      </c>
      <c r="H32" s="44" t="s">
        <v>1171</v>
      </c>
    </row>
    <row r="33" spans="2:8" ht="174" customHeight="1" thickBot="1" x14ac:dyDescent="0.3">
      <c r="B33" s="37"/>
      <c r="C33" s="45" t="s">
        <v>1289</v>
      </c>
      <c r="D33" s="46" t="s">
        <v>1290</v>
      </c>
      <c r="E33" s="42" t="s">
        <v>116</v>
      </c>
      <c r="F33" s="46" t="s">
        <v>1291</v>
      </c>
      <c r="G33" s="47" t="s">
        <v>1292</v>
      </c>
      <c r="H33" s="44" t="s">
        <v>1171</v>
      </c>
    </row>
    <row r="34" spans="2:8" ht="158.25" customHeight="1" thickBot="1" x14ac:dyDescent="0.3">
      <c r="B34" s="37"/>
      <c r="C34" s="45" t="s">
        <v>1293</v>
      </c>
      <c r="D34" s="46" t="s">
        <v>1294</v>
      </c>
      <c r="E34" s="42" t="s">
        <v>116</v>
      </c>
      <c r="F34" s="46" t="s">
        <v>1295</v>
      </c>
      <c r="G34" s="47" t="s">
        <v>1296</v>
      </c>
      <c r="H34" s="44" t="s">
        <v>1171</v>
      </c>
    </row>
    <row r="35" spans="2:8" ht="205.5" customHeight="1" thickBot="1" x14ac:dyDescent="0.3">
      <c r="B35" s="37"/>
      <c r="C35" s="45" t="s">
        <v>1297</v>
      </c>
      <c r="D35" s="46" t="s">
        <v>1298</v>
      </c>
      <c r="E35" s="42" t="s">
        <v>116</v>
      </c>
      <c r="F35" s="46" t="s">
        <v>1299</v>
      </c>
      <c r="G35" s="47" t="s">
        <v>1300</v>
      </c>
      <c r="H35" s="44" t="s">
        <v>1171</v>
      </c>
    </row>
    <row r="36" spans="2:8" ht="126.75" customHeight="1" thickBot="1" x14ac:dyDescent="0.3">
      <c r="B36" s="37"/>
      <c r="C36" s="45" t="s">
        <v>1301</v>
      </c>
      <c r="D36" s="46" t="s">
        <v>1302</v>
      </c>
      <c r="E36" s="42" t="s">
        <v>116</v>
      </c>
      <c r="F36" s="46" t="s">
        <v>1303</v>
      </c>
      <c r="G36" s="47" t="s">
        <v>1304</v>
      </c>
      <c r="H36" s="44" t="s">
        <v>1171</v>
      </c>
    </row>
    <row r="37" spans="2:8" ht="205.5" customHeight="1" thickBot="1" x14ac:dyDescent="0.3">
      <c r="B37" s="37"/>
      <c r="C37" s="45" t="s">
        <v>1305</v>
      </c>
      <c r="D37" s="46" t="s">
        <v>1306</v>
      </c>
      <c r="E37" s="42" t="s">
        <v>116</v>
      </c>
      <c r="F37" s="46" t="s">
        <v>1307</v>
      </c>
      <c r="G37" s="47" t="s">
        <v>1308</v>
      </c>
      <c r="H37" s="44" t="s">
        <v>1171</v>
      </c>
    </row>
    <row r="38" spans="2:8" ht="174" customHeight="1" thickBot="1" x14ac:dyDescent="0.3">
      <c r="B38" s="37"/>
      <c r="C38" s="45" t="s">
        <v>1309</v>
      </c>
      <c r="D38" s="46" t="s">
        <v>1310</v>
      </c>
      <c r="E38" s="42" t="s">
        <v>116</v>
      </c>
      <c r="F38" s="46" t="s">
        <v>1311</v>
      </c>
      <c r="G38" s="47" t="s">
        <v>1312</v>
      </c>
      <c r="H38" s="44" t="s">
        <v>1171</v>
      </c>
    </row>
    <row r="39" spans="2:8" ht="158.25" customHeight="1" thickBot="1" x14ac:dyDescent="0.3">
      <c r="B39" s="37"/>
      <c r="C39" s="45" t="s">
        <v>1313</v>
      </c>
      <c r="D39" s="46" t="s">
        <v>1314</v>
      </c>
      <c r="E39" s="42" t="s">
        <v>116</v>
      </c>
      <c r="F39" s="46" t="s">
        <v>1315</v>
      </c>
      <c r="G39" s="47" t="s">
        <v>1316</v>
      </c>
      <c r="H39" s="44" t="s">
        <v>1171</v>
      </c>
    </row>
    <row r="40" spans="2:8" ht="126.75" customHeight="1" thickBot="1" x14ac:dyDescent="0.3">
      <c r="B40" s="37"/>
      <c r="C40" s="45" t="s">
        <v>1317</v>
      </c>
      <c r="D40" s="46" t="s">
        <v>1318</v>
      </c>
      <c r="E40" s="42" t="s">
        <v>116</v>
      </c>
      <c r="F40" s="46" t="s">
        <v>1319</v>
      </c>
      <c r="G40" s="47" t="s">
        <v>1320</v>
      </c>
      <c r="H40" s="44" t="s">
        <v>1171</v>
      </c>
    </row>
    <row r="41" spans="2:8" ht="79.5" customHeight="1" thickBot="1" x14ac:dyDescent="0.3">
      <c r="B41" s="37"/>
      <c r="C41" s="45" t="s">
        <v>1321</v>
      </c>
      <c r="D41" s="46" t="s">
        <v>1322</v>
      </c>
      <c r="E41" s="42" t="s">
        <v>116</v>
      </c>
      <c r="F41" s="46" t="s">
        <v>1323</v>
      </c>
      <c r="G41" s="47" t="s">
        <v>1324</v>
      </c>
      <c r="H41" s="44" t="s">
        <v>1171</v>
      </c>
    </row>
    <row r="42" spans="2:8" ht="63.75" customHeight="1" thickBot="1" x14ac:dyDescent="0.3">
      <c r="B42" s="37"/>
      <c r="C42" s="45" t="s">
        <v>1325</v>
      </c>
      <c r="D42" s="46" t="s">
        <v>1326</v>
      </c>
      <c r="E42" s="42" t="s">
        <v>116</v>
      </c>
      <c r="F42" s="46" t="s">
        <v>1327</v>
      </c>
      <c r="G42" s="47" t="s">
        <v>1328</v>
      </c>
      <c r="H42" s="44" t="s">
        <v>1171</v>
      </c>
    </row>
    <row r="43" spans="2:8" ht="142.5" customHeight="1" thickBot="1" x14ac:dyDescent="0.3">
      <c r="B43" s="37"/>
      <c r="C43" s="45" t="s">
        <v>1329</v>
      </c>
      <c r="D43" s="46" t="s">
        <v>1330</v>
      </c>
      <c r="E43" s="42" t="s">
        <v>116</v>
      </c>
      <c r="F43" s="46" t="s">
        <v>1331</v>
      </c>
      <c r="G43" s="47" t="s">
        <v>1332</v>
      </c>
      <c r="H43" s="44" t="s">
        <v>1171</v>
      </c>
    </row>
    <row r="44" spans="2:8" ht="95.25" customHeight="1" thickBot="1" x14ac:dyDescent="0.3">
      <c r="B44" s="37"/>
      <c r="C44" s="45" t="s">
        <v>1333</v>
      </c>
      <c r="D44" s="46" t="s">
        <v>1334</v>
      </c>
      <c r="E44" s="42" t="s">
        <v>116</v>
      </c>
      <c r="F44" s="46" t="s">
        <v>1335</v>
      </c>
      <c r="G44" s="47" t="s">
        <v>1336</v>
      </c>
      <c r="H44" s="44" t="s">
        <v>1171</v>
      </c>
    </row>
    <row r="45" spans="2:8" ht="95.25" customHeight="1" thickBot="1" x14ac:dyDescent="0.3">
      <c r="B45" s="37"/>
      <c r="C45" s="45" t="s">
        <v>1337</v>
      </c>
      <c r="D45" s="46" t="s">
        <v>1338</v>
      </c>
      <c r="E45" s="42" t="s">
        <v>116</v>
      </c>
      <c r="F45" s="46" t="s">
        <v>1339</v>
      </c>
      <c r="G45" s="47" t="s">
        <v>1340</v>
      </c>
      <c r="H45" s="44" t="s">
        <v>1171</v>
      </c>
    </row>
    <row r="46" spans="2:8" ht="142.5" customHeight="1" thickBot="1" x14ac:dyDescent="0.3">
      <c r="B46" s="37"/>
      <c r="C46" s="45" t="s">
        <v>1341</v>
      </c>
      <c r="D46" s="46" t="s">
        <v>1342</v>
      </c>
      <c r="E46" s="42" t="s">
        <v>116</v>
      </c>
      <c r="F46" s="46" t="s">
        <v>1343</v>
      </c>
      <c r="G46" s="47" t="s">
        <v>1344</v>
      </c>
      <c r="H46" s="44" t="s">
        <v>1171</v>
      </c>
    </row>
    <row r="47" spans="2:8" ht="126.75" customHeight="1" thickBot="1" x14ac:dyDescent="0.3">
      <c r="B47" s="37"/>
      <c r="C47" s="45" t="s">
        <v>1345</v>
      </c>
      <c r="D47" s="46" t="s">
        <v>1346</v>
      </c>
      <c r="E47" s="42" t="s">
        <v>116</v>
      </c>
      <c r="F47" s="46" t="s">
        <v>1347</v>
      </c>
      <c r="G47" s="47" t="s">
        <v>1348</v>
      </c>
      <c r="H47" s="44" t="s">
        <v>1171</v>
      </c>
    </row>
    <row r="48" spans="2:8" ht="126.75" customHeight="1" thickBot="1" x14ac:dyDescent="0.3">
      <c r="B48" s="37"/>
      <c r="C48" s="45" t="s">
        <v>1349</v>
      </c>
      <c r="D48" s="46" t="s">
        <v>1350</v>
      </c>
      <c r="E48" s="42" t="s">
        <v>116</v>
      </c>
      <c r="F48" s="46" t="s">
        <v>1351</v>
      </c>
      <c r="G48" s="47" t="s">
        <v>1352</v>
      </c>
      <c r="H48" s="44" t="s">
        <v>1171</v>
      </c>
    </row>
    <row r="49" spans="2:8" ht="126.75" customHeight="1" thickBot="1" x14ac:dyDescent="0.3">
      <c r="B49" s="37"/>
      <c r="C49" s="45" t="s">
        <v>1353</v>
      </c>
      <c r="D49" s="46" t="s">
        <v>1354</v>
      </c>
      <c r="E49" s="42" t="s">
        <v>116</v>
      </c>
      <c r="F49" s="46" t="s">
        <v>1355</v>
      </c>
      <c r="G49" s="47" t="s">
        <v>1356</v>
      </c>
      <c r="H49" s="44" t="s">
        <v>1171</v>
      </c>
    </row>
    <row r="50" spans="2:8" ht="111" customHeight="1" thickBot="1" x14ac:dyDescent="0.3">
      <c r="B50" s="37"/>
      <c r="C50" s="45" t="s">
        <v>1357</v>
      </c>
      <c r="D50" s="46" t="s">
        <v>1358</v>
      </c>
      <c r="E50" s="42" t="s">
        <v>116</v>
      </c>
      <c r="F50" s="46" t="s">
        <v>1359</v>
      </c>
      <c r="G50" s="47" t="s">
        <v>1360</v>
      </c>
      <c r="H50" s="44" t="s">
        <v>1171</v>
      </c>
    </row>
    <row r="51" spans="2:8" ht="111" customHeight="1" thickBot="1" x14ac:dyDescent="0.3">
      <c r="B51" s="37"/>
      <c r="C51" s="45" t="s">
        <v>1361</v>
      </c>
      <c r="D51" s="46" t="s">
        <v>1362</v>
      </c>
      <c r="E51" s="42" t="s">
        <v>116</v>
      </c>
      <c r="F51" s="46" t="s">
        <v>1363</v>
      </c>
      <c r="G51" s="47" t="s">
        <v>1364</v>
      </c>
      <c r="H51" s="44" t="s">
        <v>1171</v>
      </c>
    </row>
    <row r="52" spans="2:8" ht="111" customHeight="1" thickBot="1" x14ac:dyDescent="0.3">
      <c r="B52" s="37"/>
      <c r="C52" s="45" t="s">
        <v>1365</v>
      </c>
      <c r="D52" s="46" t="s">
        <v>1366</v>
      </c>
      <c r="E52" s="42" t="s">
        <v>116</v>
      </c>
      <c r="F52" s="46" t="s">
        <v>1367</v>
      </c>
      <c r="G52" s="47" t="s">
        <v>1368</v>
      </c>
      <c r="H52" s="44" t="s">
        <v>1171</v>
      </c>
    </row>
    <row r="53" spans="2:8" ht="95.25" customHeight="1" thickBot="1" x14ac:dyDescent="0.3">
      <c r="B53" s="37"/>
      <c r="C53" s="45" t="s">
        <v>1369</v>
      </c>
      <c r="D53" s="46" t="s">
        <v>1370</v>
      </c>
      <c r="E53" s="42" t="s">
        <v>116</v>
      </c>
      <c r="F53" s="46" t="s">
        <v>1371</v>
      </c>
      <c r="G53" s="47" t="s">
        <v>1372</v>
      </c>
      <c r="H53" s="44" t="s">
        <v>1171</v>
      </c>
    </row>
    <row r="54" spans="2:8" ht="79.5" customHeight="1" thickBot="1" x14ac:dyDescent="0.3">
      <c r="B54" s="37"/>
      <c r="C54" s="45" t="s">
        <v>1373</v>
      </c>
      <c r="D54" s="46" t="s">
        <v>1374</v>
      </c>
      <c r="E54" s="42" t="s">
        <v>116</v>
      </c>
      <c r="F54" s="46" t="s">
        <v>1375</v>
      </c>
      <c r="G54" s="47" t="s">
        <v>1376</v>
      </c>
      <c r="H54" s="44" t="s">
        <v>1171</v>
      </c>
    </row>
    <row r="55" spans="2:8" ht="142.5" customHeight="1" thickBot="1" x14ac:dyDescent="0.3">
      <c r="B55" s="37"/>
      <c r="C55" s="45" t="s">
        <v>1377</v>
      </c>
      <c r="D55" s="46" t="s">
        <v>1378</v>
      </c>
      <c r="E55" s="42" t="s">
        <v>116</v>
      </c>
      <c r="F55" s="46" t="s">
        <v>1379</v>
      </c>
      <c r="G55" s="47" t="s">
        <v>1380</v>
      </c>
      <c r="H55" s="44" t="s">
        <v>1171</v>
      </c>
    </row>
    <row r="56" spans="2:8" ht="79.5" customHeight="1" thickBot="1" x14ac:dyDescent="0.3">
      <c r="B56" s="37"/>
      <c r="C56" s="45" t="s">
        <v>1381</v>
      </c>
      <c r="D56" s="46" t="s">
        <v>1382</v>
      </c>
      <c r="E56" s="42" t="s">
        <v>116</v>
      </c>
      <c r="F56" s="46" t="s">
        <v>1383</v>
      </c>
      <c r="G56" s="47" t="s">
        <v>1384</v>
      </c>
      <c r="H56" s="44" t="s">
        <v>1171</v>
      </c>
    </row>
    <row r="57" spans="2:8" ht="63.75" customHeight="1" thickBot="1" x14ac:dyDescent="0.3">
      <c r="B57" s="37"/>
      <c r="C57" s="45" t="s">
        <v>1385</v>
      </c>
      <c r="D57" s="46" t="s">
        <v>1386</v>
      </c>
      <c r="E57" s="42" t="s">
        <v>116</v>
      </c>
      <c r="F57" s="46" t="s">
        <v>1387</v>
      </c>
      <c r="G57" s="47" t="s">
        <v>1388</v>
      </c>
      <c r="H57" s="44" t="s">
        <v>1171</v>
      </c>
    </row>
    <row r="58" spans="2:8" ht="126.75" customHeight="1" thickBot="1" x14ac:dyDescent="0.3">
      <c r="B58" s="37"/>
      <c r="C58" s="45" t="s">
        <v>1389</v>
      </c>
      <c r="D58" s="46" t="s">
        <v>1390</v>
      </c>
      <c r="E58" s="42" t="s">
        <v>116</v>
      </c>
      <c r="F58" s="46" t="s">
        <v>1391</v>
      </c>
      <c r="G58" s="47" t="s">
        <v>1392</v>
      </c>
      <c r="H58" s="44" t="s">
        <v>1171</v>
      </c>
    </row>
    <row r="59" spans="2:8" ht="174" customHeight="1" thickBot="1" x14ac:dyDescent="0.3">
      <c r="B59" s="37"/>
      <c r="C59" s="45" t="s">
        <v>1393</v>
      </c>
      <c r="D59" s="46" t="s">
        <v>1394</v>
      </c>
      <c r="E59" s="42" t="s">
        <v>116</v>
      </c>
      <c r="F59" s="46" t="s">
        <v>1395</v>
      </c>
      <c r="G59" s="47" t="s">
        <v>1396</v>
      </c>
      <c r="H59" s="44" t="s">
        <v>1171</v>
      </c>
    </row>
    <row r="60" spans="2:8" ht="95.25" customHeight="1" thickBot="1" x14ac:dyDescent="0.3">
      <c r="B60" s="37"/>
      <c r="C60" s="45" t="s">
        <v>1397</v>
      </c>
      <c r="D60" s="46" t="s">
        <v>1398</v>
      </c>
      <c r="E60" s="42" t="s">
        <v>116</v>
      </c>
      <c r="F60" s="46" t="s">
        <v>1399</v>
      </c>
      <c r="G60" s="47" t="s">
        <v>1400</v>
      </c>
      <c r="H60" s="44" t="s">
        <v>1171</v>
      </c>
    </row>
    <row r="61" spans="2:8" ht="63.75" customHeight="1" thickBot="1" x14ac:dyDescent="0.3">
      <c r="B61" s="37"/>
      <c r="C61" s="45" t="s">
        <v>1401</v>
      </c>
      <c r="D61" s="46" t="s">
        <v>1402</v>
      </c>
      <c r="E61" s="42" t="s">
        <v>116</v>
      </c>
      <c r="F61" s="46" t="s">
        <v>1403</v>
      </c>
      <c r="G61" s="47" t="s">
        <v>1404</v>
      </c>
      <c r="H61" s="44" t="s">
        <v>1171</v>
      </c>
    </row>
    <row r="62" spans="2:8" ht="63.75" customHeight="1" thickBot="1" x14ac:dyDescent="0.3">
      <c r="B62" s="37"/>
      <c r="C62" s="45" t="s">
        <v>1405</v>
      </c>
      <c r="D62" s="46" t="s">
        <v>1406</v>
      </c>
      <c r="E62" s="42" t="s">
        <v>116</v>
      </c>
      <c r="F62" s="46" t="s">
        <v>1407</v>
      </c>
      <c r="G62" s="47" t="s">
        <v>1408</v>
      </c>
      <c r="H62" s="44" t="s">
        <v>1171</v>
      </c>
    </row>
    <row r="63" spans="2:8" ht="63.75" customHeight="1" thickBot="1" x14ac:dyDescent="0.3">
      <c r="B63" s="37"/>
      <c r="C63" s="45" t="s">
        <v>1409</v>
      </c>
      <c r="D63" s="46" t="s">
        <v>1410</v>
      </c>
      <c r="E63" s="42" t="s">
        <v>116</v>
      </c>
      <c r="F63" s="46" t="s">
        <v>1411</v>
      </c>
      <c r="G63" s="47" t="s">
        <v>1412</v>
      </c>
      <c r="H63" s="44" t="s">
        <v>1171</v>
      </c>
    </row>
    <row r="64" spans="2:8" ht="63.75" customHeight="1" thickBot="1" x14ac:dyDescent="0.3">
      <c r="B64" s="37"/>
      <c r="C64" s="45" t="s">
        <v>1413</v>
      </c>
      <c r="D64" s="46" t="s">
        <v>1414</v>
      </c>
      <c r="E64" s="42" t="s">
        <v>116</v>
      </c>
      <c r="F64" s="46" t="s">
        <v>1411</v>
      </c>
      <c r="G64" s="47" t="s">
        <v>1415</v>
      </c>
      <c r="H64" s="44" t="s">
        <v>1171</v>
      </c>
    </row>
    <row r="65" spans="2:8" ht="63.75" customHeight="1" thickBot="1" x14ac:dyDescent="0.3">
      <c r="B65" s="37"/>
      <c r="C65" s="45" t="s">
        <v>1416</v>
      </c>
      <c r="D65" s="46" t="s">
        <v>1417</v>
      </c>
      <c r="E65" s="42" t="s">
        <v>116</v>
      </c>
      <c r="F65" s="46" t="s">
        <v>1411</v>
      </c>
      <c r="G65" s="47" t="s">
        <v>1418</v>
      </c>
      <c r="H65" s="44" t="s">
        <v>1171</v>
      </c>
    </row>
    <row r="66" spans="2:8" ht="63.75" customHeight="1" thickBot="1" x14ac:dyDescent="0.3">
      <c r="B66" s="37"/>
      <c r="C66" s="45" t="s">
        <v>1419</v>
      </c>
      <c r="D66" s="46" t="s">
        <v>1420</v>
      </c>
      <c r="E66" s="42" t="s">
        <v>116</v>
      </c>
      <c r="F66" s="46" t="s">
        <v>1411</v>
      </c>
      <c r="G66" s="47" t="s">
        <v>1421</v>
      </c>
      <c r="H66" s="44" t="s">
        <v>1171</v>
      </c>
    </row>
    <row r="67" spans="2:8" ht="63.75" customHeight="1" thickBot="1" x14ac:dyDescent="0.3">
      <c r="B67" s="37"/>
      <c r="C67" s="45" t="s">
        <v>1422</v>
      </c>
      <c r="D67" s="46" t="s">
        <v>1423</v>
      </c>
      <c r="E67" s="42" t="s">
        <v>116</v>
      </c>
      <c r="F67" s="46" t="s">
        <v>1411</v>
      </c>
      <c r="G67" s="47" t="s">
        <v>1424</v>
      </c>
      <c r="H67" s="44" t="s">
        <v>1171</v>
      </c>
    </row>
    <row r="68" spans="2:8" ht="79.5" customHeight="1" thickBot="1" x14ac:dyDescent="0.3">
      <c r="B68" s="37"/>
      <c r="C68" s="45" t="s">
        <v>1425</v>
      </c>
      <c r="D68" s="46" t="s">
        <v>1426</v>
      </c>
      <c r="E68" s="42" t="s">
        <v>116</v>
      </c>
      <c r="F68" s="46" t="s">
        <v>1427</v>
      </c>
      <c r="G68" s="47" t="s">
        <v>1428</v>
      </c>
      <c r="H68" s="44" t="s">
        <v>1171</v>
      </c>
    </row>
    <row r="69" spans="2:8" ht="79.5" customHeight="1" thickBot="1" x14ac:dyDescent="0.3">
      <c r="B69" s="37"/>
      <c r="C69" s="45" t="s">
        <v>1429</v>
      </c>
      <c r="D69" s="46" t="s">
        <v>1430</v>
      </c>
      <c r="E69" s="42" t="s">
        <v>116</v>
      </c>
      <c r="F69" s="46" t="s">
        <v>1431</v>
      </c>
      <c r="G69" s="47" t="s">
        <v>1432</v>
      </c>
      <c r="H69" s="44" t="s">
        <v>1171</v>
      </c>
    </row>
    <row r="70" spans="2:8" ht="63.75" customHeight="1" thickBot="1" x14ac:dyDescent="0.3">
      <c r="B70" s="37"/>
      <c r="C70" s="45" t="s">
        <v>1433</v>
      </c>
      <c r="D70" s="46" t="s">
        <v>1434</v>
      </c>
      <c r="E70" s="42" t="s">
        <v>116</v>
      </c>
      <c r="F70" s="46" t="s">
        <v>1435</v>
      </c>
      <c r="G70" s="47" t="s">
        <v>1436</v>
      </c>
      <c r="H70" s="44" t="s">
        <v>1171</v>
      </c>
    </row>
    <row r="71" spans="2:8" ht="95.25" customHeight="1" thickBot="1" x14ac:dyDescent="0.3">
      <c r="B71" s="37"/>
      <c r="C71" s="45" t="s">
        <v>1437</v>
      </c>
      <c r="D71" s="46" t="s">
        <v>1438</v>
      </c>
      <c r="E71" s="42" t="s">
        <v>116</v>
      </c>
      <c r="F71" s="46" t="s">
        <v>1439</v>
      </c>
      <c r="G71" s="47" t="s">
        <v>1440</v>
      </c>
      <c r="H71" s="44" t="s">
        <v>1171</v>
      </c>
    </row>
    <row r="72" spans="2:8" ht="79.5" customHeight="1" thickBot="1" x14ac:dyDescent="0.3">
      <c r="B72" s="37"/>
      <c r="C72" s="45" t="s">
        <v>1441</v>
      </c>
      <c r="D72" s="46" t="s">
        <v>1442</v>
      </c>
      <c r="E72" s="42" t="s">
        <v>116</v>
      </c>
      <c r="F72" s="46" t="s">
        <v>1443</v>
      </c>
      <c r="G72" s="47" t="s">
        <v>1444</v>
      </c>
      <c r="H72" s="44" t="s">
        <v>1171</v>
      </c>
    </row>
    <row r="73" spans="2:8" ht="79.5" customHeight="1" thickBot="1" x14ac:dyDescent="0.3">
      <c r="B73" s="37"/>
      <c r="C73" s="45" t="s">
        <v>1445</v>
      </c>
      <c r="D73" s="46" t="s">
        <v>1446</v>
      </c>
      <c r="E73" s="42" t="s">
        <v>116</v>
      </c>
      <c r="F73" s="46" t="s">
        <v>1447</v>
      </c>
      <c r="G73" s="47" t="s">
        <v>1448</v>
      </c>
      <c r="H73" s="44" t="s">
        <v>1171</v>
      </c>
    </row>
    <row r="74" spans="2:8" ht="79.5" customHeight="1" thickBot="1" x14ac:dyDescent="0.3">
      <c r="B74" s="37"/>
      <c r="C74" s="45" t="s">
        <v>1449</v>
      </c>
      <c r="D74" s="46" t="s">
        <v>1450</v>
      </c>
      <c r="E74" s="42" t="s">
        <v>116</v>
      </c>
      <c r="F74" s="46" t="s">
        <v>1451</v>
      </c>
      <c r="G74" s="47" t="s">
        <v>1452</v>
      </c>
      <c r="H74" s="44" t="s">
        <v>1171</v>
      </c>
    </row>
    <row r="75" spans="2:8" ht="63.75" customHeight="1" thickBot="1" x14ac:dyDescent="0.3">
      <c r="B75" s="37"/>
      <c r="C75" s="45" t="s">
        <v>1453</v>
      </c>
      <c r="D75" s="46" t="s">
        <v>1454</v>
      </c>
      <c r="E75" s="42" t="s">
        <v>116</v>
      </c>
      <c r="F75" s="46" t="s">
        <v>1455</v>
      </c>
      <c r="G75" s="47" t="s">
        <v>1456</v>
      </c>
      <c r="H75" s="44" t="s">
        <v>1171</v>
      </c>
    </row>
    <row r="76" spans="2:8" ht="63.75" customHeight="1" thickBot="1" x14ac:dyDescent="0.3">
      <c r="B76" s="37"/>
      <c r="C76" s="45" t="s">
        <v>1457</v>
      </c>
      <c r="D76" s="46" t="s">
        <v>1458</v>
      </c>
      <c r="E76" s="42" t="s">
        <v>116</v>
      </c>
      <c r="F76" s="46" t="s">
        <v>1459</v>
      </c>
      <c r="G76" s="47" t="s">
        <v>1460</v>
      </c>
      <c r="H76" s="44" t="s">
        <v>1171</v>
      </c>
    </row>
    <row r="77" spans="2:8" ht="79.5" customHeight="1" thickBot="1" x14ac:dyDescent="0.3">
      <c r="B77" s="37"/>
      <c r="C77" s="45" t="s">
        <v>1461</v>
      </c>
      <c r="D77" s="46" t="s">
        <v>1462</v>
      </c>
      <c r="E77" s="42" t="s">
        <v>116</v>
      </c>
      <c r="F77" s="46" t="s">
        <v>1463</v>
      </c>
      <c r="G77" s="47" t="s">
        <v>1464</v>
      </c>
      <c r="H77" s="44" t="s">
        <v>1171</v>
      </c>
    </row>
    <row r="78" spans="2:8" ht="79.5" customHeight="1" thickBot="1" x14ac:dyDescent="0.3">
      <c r="B78" s="37"/>
      <c r="C78" s="45" t="s">
        <v>1465</v>
      </c>
      <c r="D78" s="46" t="s">
        <v>1466</v>
      </c>
      <c r="E78" s="42" t="s">
        <v>116</v>
      </c>
      <c r="F78" s="46" t="s">
        <v>1467</v>
      </c>
      <c r="G78" s="47" t="s">
        <v>1468</v>
      </c>
      <c r="H78" s="44" t="s">
        <v>1171</v>
      </c>
    </row>
    <row r="79" spans="2:8" ht="63.75" customHeight="1" thickBot="1" x14ac:dyDescent="0.3">
      <c r="B79" s="37"/>
      <c r="C79" s="45" t="s">
        <v>1469</v>
      </c>
      <c r="D79" s="46" t="s">
        <v>1470</v>
      </c>
      <c r="E79" s="42" t="s">
        <v>116</v>
      </c>
      <c r="F79" s="46" t="s">
        <v>1471</v>
      </c>
      <c r="G79" s="47" t="s">
        <v>1472</v>
      </c>
      <c r="H79" s="44" t="s">
        <v>1171</v>
      </c>
    </row>
    <row r="80" spans="2:8" ht="111" customHeight="1" thickBot="1" x14ac:dyDescent="0.3">
      <c r="B80" s="37"/>
      <c r="C80" s="45" t="s">
        <v>1473</v>
      </c>
      <c r="D80" s="46" t="s">
        <v>1474</v>
      </c>
      <c r="E80" s="42" t="s">
        <v>116</v>
      </c>
      <c r="F80" s="46" t="s">
        <v>1475</v>
      </c>
      <c r="G80" s="47" t="s">
        <v>1476</v>
      </c>
      <c r="H80" s="44" t="s">
        <v>1171</v>
      </c>
    </row>
    <row r="81" spans="2:8" ht="142.5" customHeight="1" thickBot="1" x14ac:dyDescent="0.3">
      <c r="B81" s="37"/>
      <c r="C81" s="45" t="s">
        <v>1477</v>
      </c>
      <c r="D81" s="46" t="s">
        <v>1478</v>
      </c>
      <c r="E81" s="42" t="s">
        <v>116</v>
      </c>
      <c r="F81" s="46" t="s">
        <v>1479</v>
      </c>
      <c r="G81" s="47" t="s">
        <v>1480</v>
      </c>
      <c r="H81" s="44" t="s">
        <v>1171</v>
      </c>
    </row>
    <row r="82" spans="2:8" ht="79.5" customHeight="1" thickBot="1" x14ac:dyDescent="0.3">
      <c r="B82" s="37"/>
      <c r="C82" s="40" t="s">
        <v>1481</v>
      </c>
      <c r="D82" s="41" t="s">
        <v>1482</v>
      </c>
      <c r="E82" s="42" t="s">
        <v>116</v>
      </c>
      <c r="F82" s="41" t="s">
        <v>1483</v>
      </c>
      <c r="G82" s="43" t="s">
        <v>1484</v>
      </c>
      <c r="H82" s="44" t="s">
        <v>1171</v>
      </c>
    </row>
    <row r="83" spans="2:8" ht="79.5" customHeight="1" thickBot="1" x14ac:dyDescent="0.3">
      <c r="B83" s="37"/>
      <c r="C83" s="45" t="s">
        <v>1485</v>
      </c>
      <c r="D83" s="46" t="s">
        <v>1486</v>
      </c>
      <c r="E83" s="42" t="s">
        <v>116</v>
      </c>
      <c r="F83" s="46" t="s">
        <v>1487</v>
      </c>
      <c r="G83" s="47" t="s">
        <v>1488</v>
      </c>
      <c r="H83" s="44" t="s">
        <v>1171</v>
      </c>
    </row>
    <row r="84" spans="2:8" ht="126.75" customHeight="1" thickBot="1" x14ac:dyDescent="0.3">
      <c r="B84" s="37"/>
      <c r="C84" s="45" t="s">
        <v>1489</v>
      </c>
      <c r="D84" s="46" t="s">
        <v>1490</v>
      </c>
      <c r="E84" s="42" t="s">
        <v>116</v>
      </c>
      <c r="F84" s="46" t="s">
        <v>1491</v>
      </c>
      <c r="G84" s="47" t="s">
        <v>1492</v>
      </c>
      <c r="H84" s="44" t="s">
        <v>1171</v>
      </c>
    </row>
    <row r="85" spans="2:8" ht="111" customHeight="1" thickBot="1" x14ac:dyDescent="0.3">
      <c r="B85" s="37"/>
      <c r="C85" s="45" t="s">
        <v>1493</v>
      </c>
      <c r="D85" s="46" t="s">
        <v>1494</v>
      </c>
      <c r="E85" s="42" t="s">
        <v>116</v>
      </c>
      <c r="F85" s="46" t="s">
        <v>1495</v>
      </c>
      <c r="G85" s="47" t="s">
        <v>1496</v>
      </c>
      <c r="H85" s="44" t="s">
        <v>1171</v>
      </c>
    </row>
    <row r="86" spans="2:8" ht="95.25" customHeight="1" thickBot="1" x14ac:dyDescent="0.3">
      <c r="B86" s="37"/>
      <c r="C86" s="45" t="s">
        <v>1497</v>
      </c>
      <c r="D86" s="46" t="s">
        <v>1498</v>
      </c>
      <c r="E86" s="42" t="s">
        <v>116</v>
      </c>
      <c r="F86" s="46" t="s">
        <v>1194</v>
      </c>
      <c r="G86" s="47" t="s">
        <v>1499</v>
      </c>
      <c r="H86" s="44" t="s">
        <v>1171</v>
      </c>
    </row>
    <row r="87" spans="2:8" ht="126.75" customHeight="1" thickBot="1" x14ac:dyDescent="0.3">
      <c r="B87" s="37"/>
      <c r="C87" s="45" t="s">
        <v>1500</v>
      </c>
      <c r="D87" s="46" t="s">
        <v>1501</v>
      </c>
      <c r="E87" s="42" t="s">
        <v>116</v>
      </c>
      <c r="F87" s="46" t="s">
        <v>1502</v>
      </c>
      <c r="G87" s="47" t="s">
        <v>1503</v>
      </c>
      <c r="H87" s="44" t="s">
        <v>1171</v>
      </c>
    </row>
    <row r="88" spans="2:8" ht="79.5" customHeight="1" thickBot="1" x14ac:dyDescent="0.3">
      <c r="B88" s="37"/>
      <c r="C88" s="45" t="s">
        <v>1504</v>
      </c>
      <c r="D88" s="46" t="s">
        <v>1201</v>
      </c>
      <c r="E88" s="42" t="s">
        <v>116</v>
      </c>
      <c r="F88" s="46" t="s">
        <v>1202</v>
      </c>
      <c r="G88" s="47" t="s">
        <v>1203</v>
      </c>
      <c r="H88" s="44" t="s">
        <v>1171</v>
      </c>
    </row>
    <row r="89" spans="2:8" ht="79.5" customHeight="1" thickBot="1" x14ac:dyDescent="0.3">
      <c r="B89" s="37"/>
      <c r="C89" s="45" t="s">
        <v>1505</v>
      </c>
      <c r="D89" s="46" t="s">
        <v>1506</v>
      </c>
      <c r="E89" s="42" t="s">
        <v>116</v>
      </c>
      <c r="F89" s="46" t="s">
        <v>1206</v>
      </c>
      <c r="G89" s="47" t="s">
        <v>1507</v>
      </c>
      <c r="H89" s="44" t="s">
        <v>1171</v>
      </c>
    </row>
    <row r="90" spans="2:8" ht="126.75" customHeight="1" thickBot="1" x14ac:dyDescent="0.3">
      <c r="B90" s="37"/>
      <c r="C90" s="45" t="s">
        <v>1508</v>
      </c>
      <c r="D90" s="46" t="s">
        <v>1209</v>
      </c>
      <c r="E90" s="42" t="s">
        <v>116</v>
      </c>
      <c r="F90" s="46" t="s">
        <v>1509</v>
      </c>
      <c r="G90" s="47" t="s">
        <v>1211</v>
      </c>
      <c r="H90" s="44" t="s">
        <v>1171</v>
      </c>
    </row>
    <row r="91" spans="2:8" ht="111" customHeight="1" thickBot="1" x14ac:dyDescent="0.3">
      <c r="B91" s="37"/>
      <c r="C91" s="45" t="s">
        <v>1510</v>
      </c>
      <c r="D91" s="46" t="s">
        <v>1213</v>
      </c>
      <c r="E91" s="42" t="s">
        <v>116</v>
      </c>
      <c r="F91" s="46" t="s">
        <v>1214</v>
      </c>
      <c r="G91" s="47" t="s">
        <v>1215</v>
      </c>
      <c r="H91" s="44" t="s">
        <v>1171</v>
      </c>
    </row>
    <row r="92" spans="2:8" ht="111" customHeight="1" thickBot="1" x14ac:dyDescent="0.3">
      <c r="B92" s="37"/>
      <c r="C92" s="45" t="s">
        <v>1511</v>
      </c>
      <c r="D92" s="46" t="s">
        <v>1512</v>
      </c>
      <c r="E92" s="42" t="s">
        <v>116</v>
      </c>
      <c r="F92" s="46" t="s">
        <v>1513</v>
      </c>
      <c r="G92" s="47" t="s">
        <v>1219</v>
      </c>
      <c r="H92" s="44" t="s">
        <v>1171</v>
      </c>
    </row>
    <row r="93" spans="2:8" ht="79.5" customHeight="1" thickBot="1" x14ac:dyDescent="0.3">
      <c r="B93" s="37"/>
      <c r="C93" s="45" t="s">
        <v>1514</v>
      </c>
      <c r="D93" s="46" t="s">
        <v>1221</v>
      </c>
      <c r="E93" s="42" t="s">
        <v>116</v>
      </c>
      <c r="F93" s="46" t="s">
        <v>1222</v>
      </c>
      <c r="G93" s="47" t="s">
        <v>1223</v>
      </c>
      <c r="H93" s="44" t="s">
        <v>1171</v>
      </c>
    </row>
    <row r="94" spans="2:8" ht="111" customHeight="1" thickBot="1" x14ac:dyDescent="0.3">
      <c r="B94" s="37"/>
      <c r="C94" s="45" t="s">
        <v>1515</v>
      </c>
      <c r="D94" s="46" t="s">
        <v>1225</v>
      </c>
      <c r="E94" s="42" t="s">
        <v>116</v>
      </c>
      <c r="F94" s="46" t="s">
        <v>1516</v>
      </c>
      <c r="G94" s="47" t="s">
        <v>1227</v>
      </c>
      <c r="H94" s="44" t="s">
        <v>1171</v>
      </c>
    </row>
    <row r="95" spans="2:8" ht="205.5" customHeight="1" thickBot="1" x14ac:dyDescent="0.3">
      <c r="B95" s="37"/>
      <c r="C95" s="45" t="s">
        <v>1517</v>
      </c>
      <c r="D95" s="46" t="s">
        <v>1518</v>
      </c>
      <c r="E95" s="42" t="s">
        <v>116</v>
      </c>
      <c r="F95" s="46" t="s">
        <v>1519</v>
      </c>
      <c r="G95" s="47" t="s">
        <v>1520</v>
      </c>
      <c r="H95" s="44" t="s">
        <v>1171</v>
      </c>
    </row>
    <row r="96" spans="2:8" ht="158.25" customHeight="1" thickBot="1" x14ac:dyDescent="0.3">
      <c r="B96" s="37"/>
      <c r="C96" s="45" t="s">
        <v>1521</v>
      </c>
      <c r="D96" s="46" t="s">
        <v>1522</v>
      </c>
      <c r="E96" s="42" t="s">
        <v>116</v>
      </c>
      <c r="F96" s="46" t="s">
        <v>1237</v>
      </c>
      <c r="G96" s="47" t="s">
        <v>1523</v>
      </c>
      <c r="H96" s="44" t="s">
        <v>1171</v>
      </c>
    </row>
    <row r="97" spans="2:8" ht="174" customHeight="1" thickBot="1" x14ac:dyDescent="0.3">
      <c r="B97" s="37"/>
      <c r="C97" s="45" t="s">
        <v>1524</v>
      </c>
      <c r="D97" s="46" t="s">
        <v>1525</v>
      </c>
      <c r="E97" s="42" t="s">
        <v>116</v>
      </c>
      <c r="F97" s="46" t="s">
        <v>1526</v>
      </c>
      <c r="G97" s="47" t="s">
        <v>1527</v>
      </c>
      <c r="H97" s="44" t="s">
        <v>1171</v>
      </c>
    </row>
    <row r="98" spans="2:8" ht="142.5" customHeight="1" thickBot="1" x14ac:dyDescent="0.3">
      <c r="B98" s="37"/>
      <c r="C98" s="45" t="s">
        <v>1528</v>
      </c>
      <c r="D98" s="46" t="s">
        <v>1529</v>
      </c>
      <c r="E98" s="42" t="s">
        <v>116</v>
      </c>
      <c r="F98" s="46" t="s">
        <v>1530</v>
      </c>
      <c r="G98" s="47" t="s">
        <v>1531</v>
      </c>
      <c r="H98" s="44" t="s">
        <v>1171</v>
      </c>
    </row>
    <row r="99" spans="2:8" ht="111" customHeight="1" thickBot="1" x14ac:dyDescent="0.3">
      <c r="B99" s="37"/>
      <c r="C99" s="45" t="s">
        <v>1532</v>
      </c>
      <c r="D99" s="46" t="s">
        <v>1533</v>
      </c>
      <c r="E99" s="42" t="s">
        <v>116</v>
      </c>
      <c r="F99" s="46" t="s">
        <v>1534</v>
      </c>
      <c r="G99" s="47" t="s">
        <v>1535</v>
      </c>
      <c r="H99" s="44" t="s">
        <v>1171</v>
      </c>
    </row>
    <row r="100" spans="2:8" ht="189.75" customHeight="1" thickBot="1" x14ac:dyDescent="0.3">
      <c r="B100" s="37"/>
      <c r="C100" s="45" t="s">
        <v>1536</v>
      </c>
      <c r="D100" s="46" t="s">
        <v>1537</v>
      </c>
      <c r="E100" s="42" t="s">
        <v>116</v>
      </c>
      <c r="F100" s="46" t="s">
        <v>1538</v>
      </c>
      <c r="G100" s="47" t="s">
        <v>1539</v>
      </c>
      <c r="H100" s="44" t="s">
        <v>1171</v>
      </c>
    </row>
    <row r="101" spans="2:8" ht="95.25" customHeight="1" thickBot="1" x14ac:dyDescent="0.3">
      <c r="B101" s="37"/>
      <c r="C101" s="45" t="s">
        <v>1540</v>
      </c>
      <c r="D101" s="46" t="s">
        <v>1541</v>
      </c>
      <c r="E101" s="42" t="s">
        <v>116</v>
      </c>
      <c r="F101" s="46" t="s">
        <v>1542</v>
      </c>
      <c r="G101" s="47" t="s">
        <v>1543</v>
      </c>
      <c r="H101" s="44" t="s">
        <v>1171</v>
      </c>
    </row>
    <row r="102" spans="2:8" ht="158.25" customHeight="1" thickBot="1" x14ac:dyDescent="0.3">
      <c r="B102" s="37"/>
      <c r="C102" s="45" t="s">
        <v>1544</v>
      </c>
      <c r="D102" s="46" t="s">
        <v>1314</v>
      </c>
      <c r="E102" s="42" t="s">
        <v>116</v>
      </c>
      <c r="F102" s="46" t="s">
        <v>1545</v>
      </c>
      <c r="G102" s="47" t="s">
        <v>1316</v>
      </c>
      <c r="H102" s="44" t="s">
        <v>1171</v>
      </c>
    </row>
    <row r="103" spans="2:8" ht="126.75" customHeight="1" thickBot="1" x14ac:dyDescent="0.3">
      <c r="B103" s="37"/>
      <c r="C103" s="45" t="s">
        <v>1546</v>
      </c>
      <c r="D103" s="46" t="s">
        <v>1547</v>
      </c>
      <c r="E103" s="42" t="s">
        <v>116</v>
      </c>
      <c r="F103" s="46" t="s">
        <v>1319</v>
      </c>
      <c r="G103" s="47" t="s">
        <v>1320</v>
      </c>
      <c r="H103" s="44" t="s">
        <v>1171</v>
      </c>
    </row>
    <row r="104" spans="2:8" ht="79.5" customHeight="1" thickBot="1" x14ac:dyDescent="0.3">
      <c r="B104" s="37"/>
      <c r="C104" s="45" t="s">
        <v>1548</v>
      </c>
      <c r="D104" s="46" t="s">
        <v>1549</v>
      </c>
      <c r="E104" s="42" t="s">
        <v>116</v>
      </c>
      <c r="F104" s="46" t="s">
        <v>1550</v>
      </c>
      <c r="G104" s="47" t="s">
        <v>1324</v>
      </c>
      <c r="H104" s="44" t="s">
        <v>1171</v>
      </c>
    </row>
    <row r="105" spans="2:8" ht="63.75" customHeight="1" thickBot="1" x14ac:dyDescent="0.3">
      <c r="B105" s="37"/>
      <c r="C105" s="45" t="s">
        <v>1551</v>
      </c>
      <c r="D105" s="46" t="s">
        <v>1552</v>
      </c>
      <c r="E105" s="42" t="s">
        <v>116</v>
      </c>
      <c r="F105" s="46" t="s">
        <v>1327</v>
      </c>
      <c r="G105" s="47" t="s">
        <v>1328</v>
      </c>
      <c r="H105" s="44" t="s">
        <v>1171</v>
      </c>
    </row>
    <row r="106" spans="2:8" ht="142.5" customHeight="1" thickBot="1" x14ac:dyDescent="0.3">
      <c r="B106" s="37"/>
      <c r="C106" s="45" t="s">
        <v>1553</v>
      </c>
      <c r="D106" s="46" t="s">
        <v>1554</v>
      </c>
      <c r="E106" s="42" t="s">
        <v>116</v>
      </c>
      <c r="F106" s="46" t="s">
        <v>1331</v>
      </c>
      <c r="G106" s="47" t="s">
        <v>1332</v>
      </c>
      <c r="H106" s="44" t="s">
        <v>1171</v>
      </c>
    </row>
    <row r="107" spans="2:8" ht="111" customHeight="1" thickBot="1" x14ac:dyDescent="0.3">
      <c r="B107" s="37"/>
      <c r="C107" s="45" t="s">
        <v>1555</v>
      </c>
      <c r="D107" s="46" t="s">
        <v>1556</v>
      </c>
      <c r="E107" s="42" t="s">
        <v>116</v>
      </c>
      <c r="F107" s="46" t="s">
        <v>1557</v>
      </c>
      <c r="G107" s="47" t="s">
        <v>1336</v>
      </c>
      <c r="H107" s="44" t="s">
        <v>1171</v>
      </c>
    </row>
    <row r="108" spans="2:8" ht="95.25" customHeight="1" thickBot="1" x14ac:dyDescent="0.3">
      <c r="B108" s="37"/>
      <c r="C108" s="45" t="s">
        <v>1558</v>
      </c>
      <c r="D108" s="46" t="s">
        <v>1338</v>
      </c>
      <c r="E108" s="42" t="s">
        <v>116</v>
      </c>
      <c r="F108" s="46" t="s">
        <v>1339</v>
      </c>
      <c r="G108" s="47" t="s">
        <v>1340</v>
      </c>
      <c r="H108" s="44" t="s">
        <v>1171</v>
      </c>
    </row>
    <row r="109" spans="2:8" ht="142.5" customHeight="1" thickBot="1" x14ac:dyDescent="0.3">
      <c r="B109" s="37"/>
      <c r="C109" s="45" t="s">
        <v>1559</v>
      </c>
      <c r="D109" s="46" t="s">
        <v>1342</v>
      </c>
      <c r="E109" s="42" t="s">
        <v>116</v>
      </c>
      <c r="F109" s="46" t="s">
        <v>1343</v>
      </c>
      <c r="G109" s="47" t="s">
        <v>1344</v>
      </c>
      <c r="H109" s="44" t="s">
        <v>1171</v>
      </c>
    </row>
    <row r="110" spans="2:8" ht="126.75" customHeight="1" thickBot="1" x14ac:dyDescent="0.3">
      <c r="B110" s="37"/>
      <c r="C110" s="45" t="s">
        <v>1560</v>
      </c>
      <c r="D110" s="46" t="s">
        <v>1346</v>
      </c>
      <c r="E110" s="42" t="s">
        <v>116</v>
      </c>
      <c r="F110" s="46" t="s">
        <v>1347</v>
      </c>
      <c r="G110" s="47" t="s">
        <v>1348</v>
      </c>
      <c r="H110" s="44" t="s">
        <v>1171</v>
      </c>
    </row>
    <row r="111" spans="2:8" ht="126.75" customHeight="1" thickBot="1" x14ac:dyDescent="0.3">
      <c r="B111" s="37"/>
      <c r="C111" s="45" t="s">
        <v>1561</v>
      </c>
      <c r="D111" s="46" t="s">
        <v>1350</v>
      </c>
      <c r="E111" s="42" t="s">
        <v>116</v>
      </c>
      <c r="F111" s="46" t="s">
        <v>1351</v>
      </c>
      <c r="G111" s="47" t="s">
        <v>1352</v>
      </c>
      <c r="H111" s="44" t="s">
        <v>1171</v>
      </c>
    </row>
    <row r="112" spans="2:8" ht="126.75" customHeight="1" thickBot="1" x14ac:dyDescent="0.3">
      <c r="B112" s="37"/>
      <c r="C112" s="45" t="s">
        <v>1562</v>
      </c>
      <c r="D112" s="46" t="s">
        <v>1354</v>
      </c>
      <c r="E112" s="42" t="s">
        <v>116</v>
      </c>
      <c r="F112" s="46" t="s">
        <v>1355</v>
      </c>
      <c r="G112" s="47" t="s">
        <v>1356</v>
      </c>
      <c r="H112" s="44" t="s">
        <v>1171</v>
      </c>
    </row>
    <row r="113" spans="2:8" ht="111" customHeight="1" thickBot="1" x14ac:dyDescent="0.3">
      <c r="B113" s="37"/>
      <c r="C113" s="45" t="s">
        <v>1563</v>
      </c>
      <c r="D113" s="46" t="s">
        <v>1358</v>
      </c>
      <c r="E113" s="42" t="s">
        <v>116</v>
      </c>
      <c r="F113" s="46" t="s">
        <v>1359</v>
      </c>
      <c r="G113" s="47" t="s">
        <v>1360</v>
      </c>
      <c r="H113" s="44" t="s">
        <v>1171</v>
      </c>
    </row>
    <row r="114" spans="2:8" ht="111" customHeight="1" thickBot="1" x14ac:dyDescent="0.3">
      <c r="B114" s="37"/>
      <c r="C114" s="45" t="s">
        <v>1564</v>
      </c>
      <c r="D114" s="46" t="s">
        <v>1362</v>
      </c>
      <c r="E114" s="42" t="s">
        <v>116</v>
      </c>
      <c r="F114" s="46" t="s">
        <v>1363</v>
      </c>
      <c r="G114" s="47" t="s">
        <v>1364</v>
      </c>
      <c r="H114" s="44" t="s">
        <v>1171</v>
      </c>
    </row>
    <row r="115" spans="2:8" ht="111" customHeight="1" thickBot="1" x14ac:dyDescent="0.3">
      <c r="B115" s="37"/>
      <c r="C115" s="45" t="s">
        <v>1565</v>
      </c>
      <c r="D115" s="46" t="s">
        <v>1366</v>
      </c>
      <c r="E115" s="42" t="s">
        <v>116</v>
      </c>
      <c r="F115" s="46" t="s">
        <v>1367</v>
      </c>
      <c r="G115" s="47" t="s">
        <v>1368</v>
      </c>
      <c r="H115" s="44" t="s">
        <v>1171</v>
      </c>
    </row>
    <row r="116" spans="2:8" ht="126" customHeight="1" thickBot="1" x14ac:dyDescent="0.3">
      <c r="B116" s="37"/>
      <c r="C116" s="45" t="s">
        <v>1566</v>
      </c>
      <c r="D116" s="46" t="s">
        <v>1567</v>
      </c>
      <c r="E116" s="42" t="s">
        <v>116</v>
      </c>
      <c r="F116" s="46" t="s">
        <v>1371</v>
      </c>
      <c r="G116" s="47" t="s">
        <v>1372</v>
      </c>
      <c r="H116" s="44" t="s">
        <v>1171</v>
      </c>
    </row>
    <row r="117" spans="2:8" ht="79.5" customHeight="1" thickBot="1" x14ac:dyDescent="0.3">
      <c r="B117" s="37"/>
      <c r="C117" s="45" t="s">
        <v>1568</v>
      </c>
      <c r="D117" s="46" t="s">
        <v>1569</v>
      </c>
      <c r="E117" s="42" t="s">
        <v>116</v>
      </c>
      <c r="F117" s="46" t="s">
        <v>1375</v>
      </c>
      <c r="G117" s="47" t="s">
        <v>1376</v>
      </c>
      <c r="H117" s="44" t="s">
        <v>1171</v>
      </c>
    </row>
    <row r="118" spans="2:8" ht="142.5" customHeight="1" thickBot="1" x14ac:dyDescent="0.3">
      <c r="B118" s="37"/>
      <c r="C118" s="45" t="s">
        <v>1570</v>
      </c>
      <c r="D118" s="46" t="s">
        <v>1571</v>
      </c>
      <c r="E118" s="42" t="s">
        <v>116</v>
      </c>
      <c r="F118" s="46" t="s">
        <v>1379</v>
      </c>
      <c r="G118" s="47" t="s">
        <v>1380</v>
      </c>
      <c r="H118" s="44" t="s">
        <v>1171</v>
      </c>
    </row>
    <row r="119" spans="2:8" ht="79.5" customHeight="1" thickBot="1" x14ac:dyDescent="0.3">
      <c r="B119" s="37"/>
      <c r="C119" s="45" t="s">
        <v>1572</v>
      </c>
      <c r="D119" s="46" t="s">
        <v>1573</v>
      </c>
      <c r="E119" s="42" t="s">
        <v>116</v>
      </c>
      <c r="F119" s="46" t="s">
        <v>1383</v>
      </c>
      <c r="G119" s="47" t="s">
        <v>1384</v>
      </c>
      <c r="H119" s="44" t="s">
        <v>1171</v>
      </c>
    </row>
    <row r="120" spans="2:8" ht="63.75" customHeight="1" thickBot="1" x14ac:dyDescent="0.3">
      <c r="B120" s="37"/>
      <c r="C120" s="45" t="s">
        <v>1574</v>
      </c>
      <c r="D120" s="46" t="s">
        <v>1386</v>
      </c>
      <c r="E120" s="42" t="s">
        <v>116</v>
      </c>
      <c r="F120" s="46" t="s">
        <v>1387</v>
      </c>
      <c r="G120" s="47" t="s">
        <v>1388</v>
      </c>
      <c r="H120" s="44" t="s">
        <v>1171</v>
      </c>
    </row>
    <row r="121" spans="2:8" ht="126.75" customHeight="1" thickBot="1" x14ac:dyDescent="0.3">
      <c r="B121" s="37"/>
      <c r="C121" s="45" t="s">
        <v>1575</v>
      </c>
      <c r="D121" s="46" t="s">
        <v>1576</v>
      </c>
      <c r="E121" s="42" t="s">
        <v>116</v>
      </c>
      <c r="F121" s="46" t="s">
        <v>1391</v>
      </c>
      <c r="G121" s="47" t="s">
        <v>1392</v>
      </c>
      <c r="H121" s="44" t="s">
        <v>1171</v>
      </c>
    </row>
    <row r="122" spans="2:8" ht="174" customHeight="1" thickBot="1" x14ac:dyDescent="0.3">
      <c r="B122" s="37"/>
      <c r="C122" s="45" t="s">
        <v>1577</v>
      </c>
      <c r="D122" s="46" t="s">
        <v>1394</v>
      </c>
      <c r="E122" s="42" t="s">
        <v>116</v>
      </c>
      <c r="F122" s="46" t="s">
        <v>1395</v>
      </c>
      <c r="G122" s="47" t="s">
        <v>1396</v>
      </c>
      <c r="H122" s="44" t="s">
        <v>1171</v>
      </c>
    </row>
    <row r="123" spans="2:8" ht="95.25" customHeight="1" thickBot="1" x14ac:dyDescent="0.3">
      <c r="B123" s="37"/>
      <c r="C123" s="45" t="s">
        <v>1578</v>
      </c>
      <c r="D123" s="46" t="s">
        <v>1579</v>
      </c>
      <c r="E123" s="42" t="s">
        <v>116</v>
      </c>
      <c r="F123" s="46" t="s">
        <v>1399</v>
      </c>
      <c r="G123" s="47" t="s">
        <v>1400</v>
      </c>
      <c r="H123" s="44" t="s">
        <v>1171</v>
      </c>
    </row>
    <row r="124" spans="2:8" ht="79.5" customHeight="1" thickBot="1" x14ac:dyDescent="0.3">
      <c r="B124" s="37"/>
      <c r="C124" s="45" t="s">
        <v>1580</v>
      </c>
      <c r="D124" s="46" t="s">
        <v>1581</v>
      </c>
      <c r="E124" s="42" t="s">
        <v>116</v>
      </c>
      <c r="F124" s="46" t="s">
        <v>1403</v>
      </c>
      <c r="G124" s="47" t="s">
        <v>1582</v>
      </c>
      <c r="H124" s="44" t="s">
        <v>1171</v>
      </c>
    </row>
    <row r="125" spans="2:8" ht="63.75" customHeight="1" thickBot="1" x14ac:dyDescent="0.3">
      <c r="B125" s="37"/>
      <c r="C125" s="45" t="s">
        <v>1583</v>
      </c>
      <c r="D125" s="46" t="s">
        <v>1584</v>
      </c>
      <c r="E125" s="42" t="s">
        <v>116</v>
      </c>
      <c r="F125" s="46" t="s">
        <v>1585</v>
      </c>
      <c r="G125" s="47" t="s">
        <v>1586</v>
      </c>
      <c r="H125" s="44" t="s">
        <v>1171</v>
      </c>
    </row>
    <row r="126" spans="2:8" ht="79.5" customHeight="1" thickBot="1" x14ac:dyDescent="0.3">
      <c r="B126" s="37"/>
      <c r="C126" s="45" t="s">
        <v>1587</v>
      </c>
      <c r="D126" s="46" t="s">
        <v>1588</v>
      </c>
      <c r="E126" s="42" t="s">
        <v>116</v>
      </c>
      <c r="F126" s="46" t="s">
        <v>1589</v>
      </c>
      <c r="G126" s="47" t="s">
        <v>1590</v>
      </c>
      <c r="H126" s="44" t="s">
        <v>1171</v>
      </c>
    </row>
    <row r="127" spans="2:8" ht="79.5" customHeight="1" thickBot="1" x14ac:dyDescent="0.3">
      <c r="B127" s="37"/>
      <c r="C127" s="45" t="s">
        <v>1591</v>
      </c>
      <c r="D127" s="46" t="s">
        <v>1426</v>
      </c>
      <c r="E127" s="42" t="s">
        <v>116</v>
      </c>
      <c r="F127" s="46" t="s">
        <v>1427</v>
      </c>
      <c r="G127" s="47" t="s">
        <v>1428</v>
      </c>
      <c r="H127" s="44" t="s">
        <v>1171</v>
      </c>
    </row>
    <row r="128" spans="2:8" ht="79.5" customHeight="1" thickBot="1" x14ac:dyDescent="0.3">
      <c r="B128" s="37"/>
      <c r="C128" s="45" t="s">
        <v>1592</v>
      </c>
      <c r="D128" s="46" t="s">
        <v>1430</v>
      </c>
      <c r="E128" s="42" t="s">
        <v>116</v>
      </c>
      <c r="F128" s="46" t="s">
        <v>1431</v>
      </c>
      <c r="G128" s="47" t="s">
        <v>1432</v>
      </c>
      <c r="H128" s="44" t="s">
        <v>1171</v>
      </c>
    </row>
    <row r="129" spans="2:8" ht="63.75" customHeight="1" thickBot="1" x14ac:dyDescent="0.3">
      <c r="B129" s="37"/>
      <c r="C129" s="45" t="s">
        <v>1593</v>
      </c>
      <c r="D129" s="46" t="s">
        <v>1594</v>
      </c>
      <c r="E129" s="42" t="s">
        <v>116</v>
      </c>
      <c r="F129" s="46" t="s">
        <v>1435</v>
      </c>
      <c r="G129" s="47" t="s">
        <v>1436</v>
      </c>
      <c r="H129" s="44" t="s">
        <v>1171</v>
      </c>
    </row>
    <row r="130" spans="2:8" ht="95.25" customHeight="1" thickBot="1" x14ac:dyDescent="0.3">
      <c r="B130" s="37"/>
      <c r="C130" s="45" t="s">
        <v>1595</v>
      </c>
      <c r="D130" s="46" t="s">
        <v>1438</v>
      </c>
      <c r="E130" s="42" t="s">
        <v>116</v>
      </c>
      <c r="F130" s="46" t="s">
        <v>1439</v>
      </c>
      <c r="G130" s="47" t="s">
        <v>1440</v>
      </c>
      <c r="H130" s="44" t="s">
        <v>1171</v>
      </c>
    </row>
    <row r="131" spans="2:8" ht="79.5" customHeight="1" thickBot="1" x14ac:dyDescent="0.3">
      <c r="B131" s="37"/>
      <c r="C131" s="45" t="s">
        <v>1596</v>
      </c>
      <c r="D131" s="46" t="s">
        <v>1442</v>
      </c>
      <c r="E131" s="42" t="s">
        <v>116</v>
      </c>
      <c r="F131" s="46" t="s">
        <v>1443</v>
      </c>
      <c r="G131" s="47" t="s">
        <v>1444</v>
      </c>
      <c r="H131" s="44" t="s">
        <v>1171</v>
      </c>
    </row>
    <row r="132" spans="2:8" ht="79.5" customHeight="1" thickBot="1" x14ac:dyDescent="0.3">
      <c r="B132" s="37"/>
      <c r="C132" s="45" t="s">
        <v>1597</v>
      </c>
      <c r="D132" s="46" t="s">
        <v>1446</v>
      </c>
      <c r="E132" s="42" t="s">
        <v>116</v>
      </c>
      <c r="F132" s="46" t="s">
        <v>1447</v>
      </c>
      <c r="G132" s="47" t="s">
        <v>1448</v>
      </c>
      <c r="H132" s="44" t="s">
        <v>1171</v>
      </c>
    </row>
    <row r="133" spans="2:8" ht="79.5" customHeight="1" thickBot="1" x14ac:dyDescent="0.3">
      <c r="B133" s="37"/>
      <c r="C133" s="45" t="s">
        <v>1598</v>
      </c>
      <c r="D133" s="46" t="s">
        <v>1450</v>
      </c>
      <c r="E133" s="42" t="s">
        <v>116</v>
      </c>
      <c r="F133" s="46" t="s">
        <v>1451</v>
      </c>
      <c r="G133" s="47" t="s">
        <v>1452</v>
      </c>
      <c r="H133" s="44" t="s">
        <v>1171</v>
      </c>
    </row>
    <row r="134" spans="2:8" ht="63.75" customHeight="1" thickBot="1" x14ac:dyDescent="0.3">
      <c r="B134" s="37"/>
      <c r="C134" s="45" t="s">
        <v>1599</v>
      </c>
      <c r="D134" s="46" t="s">
        <v>1454</v>
      </c>
      <c r="E134" s="42" t="s">
        <v>116</v>
      </c>
      <c r="F134" s="46" t="s">
        <v>1455</v>
      </c>
      <c r="G134" s="47" t="s">
        <v>1456</v>
      </c>
      <c r="H134" s="44" t="s">
        <v>1171</v>
      </c>
    </row>
    <row r="135" spans="2:8" ht="79.5" customHeight="1" thickBot="1" x14ac:dyDescent="0.3">
      <c r="B135" s="37"/>
      <c r="C135" s="45" t="s">
        <v>1600</v>
      </c>
      <c r="D135" s="46" t="s">
        <v>1458</v>
      </c>
      <c r="E135" s="42" t="s">
        <v>116</v>
      </c>
      <c r="F135" s="46" t="s">
        <v>1459</v>
      </c>
      <c r="G135" s="47" t="s">
        <v>1460</v>
      </c>
      <c r="H135" s="44" t="s">
        <v>1171</v>
      </c>
    </row>
    <row r="136" spans="2:8" ht="79.5" customHeight="1" thickBot="1" x14ac:dyDescent="0.3">
      <c r="B136" s="37"/>
      <c r="C136" s="45" t="s">
        <v>1601</v>
      </c>
      <c r="D136" s="46" t="s">
        <v>1602</v>
      </c>
      <c r="E136" s="42" t="s">
        <v>116</v>
      </c>
      <c r="F136" s="46" t="s">
        <v>1463</v>
      </c>
      <c r="G136" s="47" t="s">
        <v>1464</v>
      </c>
      <c r="H136" s="44" t="s">
        <v>1171</v>
      </c>
    </row>
    <row r="137" spans="2:8" ht="79.5" customHeight="1" thickBot="1" x14ac:dyDescent="0.3">
      <c r="B137" s="37"/>
      <c r="C137" s="45" t="s">
        <v>1603</v>
      </c>
      <c r="D137" s="46" t="s">
        <v>1466</v>
      </c>
      <c r="E137" s="42" t="s">
        <v>116</v>
      </c>
      <c r="F137" s="46" t="s">
        <v>1467</v>
      </c>
      <c r="G137" s="47" t="s">
        <v>1468</v>
      </c>
      <c r="H137" s="44" t="s">
        <v>1171</v>
      </c>
    </row>
    <row r="138" spans="2:8" ht="63.75" customHeight="1" thickBot="1" x14ac:dyDescent="0.3">
      <c r="B138" s="37"/>
      <c r="C138" s="45" t="s">
        <v>1604</v>
      </c>
      <c r="D138" s="46" t="s">
        <v>1470</v>
      </c>
      <c r="E138" s="42" t="s">
        <v>116</v>
      </c>
      <c r="F138" s="46" t="s">
        <v>1471</v>
      </c>
      <c r="G138" s="47" t="s">
        <v>1472</v>
      </c>
      <c r="H138" s="44" t="s">
        <v>1171</v>
      </c>
    </row>
    <row r="139" spans="2:8" ht="111" customHeight="1" thickBot="1" x14ac:dyDescent="0.3">
      <c r="B139" s="37"/>
      <c r="C139" s="45" t="s">
        <v>1605</v>
      </c>
      <c r="D139" s="46" t="s">
        <v>1474</v>
      </c>
      <c r="E139" s="42" t="s">
        <v>116</v>
      </c>
      <c r="F139" s="46" t="s">
        <v>1475</v>
      </c>
      <c r="G139" s="47" t="s">
        <v>1476</v>
      </c>
      <c r="H139" s="44" t="s">
        <v>1171</v>
      </c>
    </row>
    <row r="140" spans="2:8" ht="142.5" customHeight="1" thickBot="1" x14ac:dyDescent="0.3">
      <c r="B140" s="37"/>
      <c r="C140" s="45" t="s">
        <v>1606</v>
      </c>
      <c r="D140" s="46" t="s">
        <v>1607</v>
      </c>
      <c r="E140" s="42" t="s">
        <v>116</v>
      </c>
      <c r="F140" s="46" t="s">
        <v>1479</v>
      </c>
      <c r="G140" s="47" t="s">
        <v>1480</v>
      </c>
      <c r="H140" s="44" t="s">
        <v>1171</v>
      </c>
    </row>
    <row r="141" spans="2:8" ht="95.25" customHeight="1" thickBot="1" x14ac:dyDescent="0.3">
      <c r="B141" s="37"/>
      <c r="C141" s="40" t="s">
        <v>1608</v>
      </c>
      <c r="D141" s="41" t="s">
        <v>1609</v>
      </c>
      <c r="E141" s="42" t="s">
        <v>122</v>
      </c>
      <c r="F141" s="41" t="s">
        <v>1610</v>
      </c>
      <c r="G141" s="43" t="s">
        <v>1611</v>
      </c>
      <c r="H141" s="44" t="s">
        <v>1171</v>
      </c>
    </row>
    <row r="142" spans="2:8" ht="95.25" customHeight="1" thickBot="1" x14ac:dyDescent="0.3">
      <c r="B142" s="37"/>
      <c r="C142" s="45" t="s">
        <v>1612</v>
      </c>
      <c r="D142" s="46" t="s">
        <v>1613</v>
      </c>
      <c r="E142" s="42" t="s">
        <v>122</v>
      </c>
      <c r="F142" s="46" t="s">
        <v>1610</v>
      </c>
      <c r="G142" s="47" t="s">
        <v>1614</v>
      </c>
      <c r="H142" s="44" t="s">
        <v>1171</v>
      </c>
    </row>
    <row r="143" spans="2:8" ht="95.25" customHeight="1" thickBot="1" x14ac:dyDescent="0.3">
      <c r="B143" s="37"/>
      <c r="C143" s="45" t="s">
        <v>1615</v>
      </c>
      <c r="D143" s="46" t="s">
        <v>1616</v>
      </c>
      <c r="E143" s="42" t="s">
        <v>122</v>
      </c>
      <c r="F143" s="46" t="s">
        <v>1617</v>
      </c>
      <c r="G143" s="47" t="s">
        <v>1618</v>
      </c>
      <c r="H143" s="44" t="s">
        <v>1171</v>
      </c>
    </row>
    <row r="144" spans="2:8" ht="95.25" customHeight="1" thickBot="1" x14ac:dyDescent="0.3">
      <c r="B144" s="37"/>
      <c r="C144" s="45" t="s">
        <v>1619</v>
      </c>
      <c r="D144" s="46" t="s">
        <v>2237</v>
      </c>
      <c r="E144" s="42" t="s">
        <v>122</v>
      </c>
      <c r="F144" s="46" t="s">
        <v>1617</v>
      </c>
      <c r="G144" s="47" t="s">
        <v>1620</v>
      </c>
      <c r="H144" s="44" t="s">
        <v>1171</v>
      </c>
    </row>
    <row r="145" spans="2:8" ht="95.25" customHeight="1" thickBot="1" x14ac:dyDescent="0.3">
      <c r="B145" s="37"/>
      <c r="C145" s="45" t="s">
        <v>1621</v>
      </c>
      <c r="D145" s="46" t="s">
        <v>2238</v>
      </c>
      <c r="E145" s="42" t="s">
        <v>122</v>
      </c>
      <c r="F145" s="46" t="s">
        <v>1617</v>
      </c>
      <c r="G145" s="47" t="s">
        <v>1622</v>
      </c>
      <c r="H145" s="44" t="s">
        <v>1171</v>
      </c>
    </row>
    <row r="146" spans="2:8" ht="111" customHeight="1" thickBot="1" x14ac:dyDescent="0.3">
      <c r="B146" s="37"/>
      <c r="C146" s="45" t="s">
        <v>1623</v>
      </c>
      <c r="D146" s="46" t="s">
        <v>1624</v>
      </c>
      <c r="E146" s="42" t="s">
        <v>122</v>
      </c>
      <c r="F146" s="46" t="s">
        <v>1625</v>
      </c>
      <c r="G146" s="47" t="s">
        <v>1626</v>
      </c>
      <c r="H146" s="44" t="s">
        <v>1171</v>
      </c>
    </row>
    <row r="147" spans="2:8" ht="95.25" customHeight="1" thickBot="1" x14ac:dyDescent="0.3">
      <c r="B147" s="37"/>
      <c r="C147" s="45" t="s">
        <v>1627</v>
      </c>
      <c r="D147" s="46" t="s">
        <v>2239</v>
      </c>
      <c r="E147" s="42" t="s">
        <v>122</v>
      </c>
      <c r="F147" s="46" t="s">
        <v>1628</v>
      </c>
      <c r="G147" s="47" t="s">
        <v>1629</v>
      </c>
      <c r="H147" s="44" t="s">
        <v>1171</v>
      </c>
    </row>
    <row r="148" spans="2:8" ht="126.75" customHeight="1" thickBot="1" x14ac:dyDescent="0.3">
      <c r="B148" s="37"/>
      <c r="C148" s="45" t="s">
        <v>1630</v>
      </c>
      <c r="D148" s="46" t="s">
        <v>1631</v>
      </c>
      <c r="E148" s="42" t="s">
        <v>122</v>
      </c>
      <c r="F148" s="46" t="s">
        <v>1186</v>
      </c>
      <c r="G148" s="47" t="s">
        <v>1187</v>
      </c>
      <c r="H148" s="44" t="s">
        <v>1171</v>
      </c>
    </row>
    <row r="149" spans="2:8" ht="111" customHeight="1" thickBot="1" x14ac:dyDescent="0.3">
      <c r="B149" s="37"/>
      <c r="C149" s="45" t="s">
        <v>1632</v>
      </c>
      <c r="D149" s="46" t="s">
        <v>1633</v>
      </c>
      <c r="E149" s="42" t="s">
        <v>122</v>
      </c>
      <c r="F149" s="46" t="s">
        <v>1495</v>
      </c>
      <c r="G149" s="47" t="s">
        <v>1496</v>
      </c>
      <c r="H149" s="44" t="s">
        <v>1171</v>
      </c>
    </row>
    <row r="150" spans="2:8" ht="95.25" customHeight="1" thickBot="1" x14ac:dyDescent="0.3">
      <c r="B150" s="37"/>
      <c r="C150" s="45" t="s">
        <v>1634</v>
      </c>
      <c r="D150" s="46" t="s">
        <v>1498</v>
      </c>
      <c r="E150" s="42" t="s">
        <v>122</v>
      </c>
      <c r="F150" s="46" t="s">
        <v>1194</v>
      </c>
      <c r="G150" s="47" t="s">
        <v>1499</v>
      </c>
      <c r="H150" s="44" t="s">
        <v>1171</v>
      </c>
    </row>
    <row r="151" spans="2:8" ht="221.25" customHeight="1" thickBot="1" x14ac:dyDescent="0.3">
      <c r="B151" s="37"/>
      <c r="C151" s="45" t="s">
        <v>1635</v>
      </c>
      <c r="D151" s="46" t="s">
        <v>1636</v>
      </c>
      <c r="E151" s="42" t="s">
        <v>122</v>
      </c>
      <c r="F151" s="46" t="s">
        <v>1637</v>
      </c>
      <c r="G151" s="47" t="s">
        <v>1638</v>
      </c>
      <c r="H151" s="44" t="s">
        <v>1171</v>
      </c>
    </row>
    <row r="152" spans="2:8" ht="79.5" customHeight="1" thickBot="1" x14ac:dyDescent="0.3">
      <c r="B152" s="37"/>
      <c r="C152" s="45" t="s">
        <v>1639</v>
      </c>
      <c r="D152" s="46" t="s">
        <v>1201</v>
      </c>
      <c r="E152" s="42" t="s">
        <v>122</v>
      </c>
      <c r="F152" s="46" t="s">
        <v>1202</v>
      </c>
      <c r="G152" s="47" t="s">
        <v>1203</v>
      </c>
      <c r="H152" s="44" t="s">
        <v>1171</v>
      </c>
    </row>
    <row r="153" spans="2:8" ht="79.5" customHeight="1" thickBot="1" x14ac:dyDescent="0.3">
      <c r="B153" s="37"/>
      <c r="C153" s="45" t="s">
        <v>1640</v>
      </c>
      <c r="D153" s="46" t="s">
        <v>1506</v>
      </c>
      <c r="E153" s="42" t="s">
        <v>122</v>
      </c>
      <c r="F153" s="46" t="s">
        <v>1206</v>
      </c>
      <c r="G153" s="47" t="s">
        <v>1507</v>
      </c>
      <c r="H153" s="44" t="s">
        <v>1171</v>
      </c>
    </row>
    <row r="154" spans="2:8" ht="126.75" customHeight="1" thickBot="1" x14ac:dyDescent="0.3">
      <c r="B154" s="37"/>
      <c r="C154" s="45" t="s">
        <v>1641</v>
      </c>
      <c r="D154" s="46" t="s">
        <v>1642</v>
      </c>
      <c r="E154" s="42" t="s">
        <v>122</v>
      </c>
      <c r="F154" s="46" t="s">
        <v>1509</v>
      </c>
      <c r="G154" s="47" t="s">
        <v>1211</v>
      </c>
      <c r="H154" s="44" t="s">
        <v>1171</v>
      </c>
    </row>
    <row r="155" spans="2:8" ht="111" customHeight="1" thickBot="1" x14ac:dyDescent="0.3">
      <c r="B155" s="37"/>
      <c r="C155" s="45" t="s">
        <v>1643</v>
      </c>
      <c r="D155" s="46" t="s">
        <v>1213</v>
      </c>
      <c r="E155" s="42" t="s">
        <v>122</v>
      </c>
      <c r="F155" s="46" t="s">
        <v>1214</v>
      </c>
      <c r="G155" s="47" t="s">
        <v>1215</v>
      </c>
      <c r="H155" s="44" t="s">
        <v>1171</v>
      </c>
    </row>
    <row r="156" spans="2:8" ht="111" customHeight="1" thickBot="1" x14ac:dyDescent="0.3">
      <c r="B156" s="37"/>
      <c r="C156" s="45" t="s">
        <v>1644</v>
      </c>
      <c r="D156" s="46" t="s">
        <v>1645</v>
      </c>
      <c r="E156" s="42" t="s">
        <v>122</v>
      </c>
      <c r="F156" s="46" t="s">
        <v>1513</v>
      </c>
      <c r="G156" s="47" t="s">
        <v>1219</v>
      </c>
      <c r="H156" s="44" t="s">
        <v>1171</v>
      </c>
    </row>
    <row r="157" spans="2:8" ht="79.5" customHeight="1" thickBot="1" x14ac:dyDescent="0.3">
      <c r="B157" s="37"/>
      <c r="C157" s="45" t="s">
        <v>1646</v>
      </c>
      <c r="D157" s="46" t="s">
        <v>1221</v>
      </c>
      <c r="E157" s="42" t="s">
        <v>122</v>
      </c>
      <c r="F157" s="46" t="s">
        <v>1222</v>
      </c>
      <c r="G157" s="47" t="s">
        <v>1223</v>
      </c>
      <c r="H157" s="44" t="s">
        <v>1171</v>
      </c>
    </row>
    <row r="158" spans="2:8" ht="111" customHeight="1" thickBot="1" x14ac:dyDescent="0.3">
      <c r="B158" s="37"/>
      <c r="C158" s="45" t="s">
        <v>1647</v>
      </c>
      <c r="D158" s="46" t="s">
        <v>1225</v>
      </c>
      <c r="E158" s="42" t="s">
        <v>122</v>
      </c>
      <c r="F158" s="46" t="s">
        <v>1516</v>
      </c>
      <c r="G158" s="47" t="s">
        <v>1227</v>
      </c>
      <c r="H158" s="44" t="s">
        <v>1171</v>
      </c>
    </row>
    <row r="159" spans="2:8" ht="237" customHeight="1" thickBot="1" x14ac:dyDescent="0.3">
      <c r="B159" s="37"/>
      <c r="C159" s="45" t="s">
        <v>1648</v>
      </c>
      <c r="D159" s="46" t="s">
        <v>1649</v>
      </c>
      <c r="E159" s="42" t="s">
        <v>122</v>
      </c>
      <c r="F159" s="46" t="s">
        <v>1273</v>
      </c>
      <c r="G159" s="47" t="s">
        <v>1274</v>
      </c>
      <c r="H159" s="44" t="s">
        <v>1171</v>
      </c>
    </row>
    <row r="160" spans="2:8" ht="174" customHeight="1" thickBot="1" x14ac:dyDescent="0.3">
      <c r="B160" s="37"/>
      <c r="C160" s="45" t="s">
        <v>1650</v>
      </c>
      <c r="D160" s="46" t="s">
        <v>1651</v>
      </c>
      <c r="E160" s="42" t="s">
        <v>122</v>
      </c>
      <c r="F160" s="46" t="s">
        <v>1277</v>
      </c>
      <c r="G160" s="47" t="s">
        <v>1278</v>
      </c>
      <c r="H160" s="44" t="s">
        <v>1171</v>
      </c>
    </row>
    <row r="161" spans="2:8" ht="111" customHeight="1" thickBot="1" x14ac:dyDescent="0.3">
      <c r="B161" s="37"/>
      <c r="C161" s="45" t="s">
        <v>1652</v>
      </c>
      <c r="D161" s="46" t="s">
        <v>1653</v>
      </c>
      <c r="E161" s="42" t="s">
        <v>122</v>
      </c>
      <c r="F161" s="46" t="s">
        <v>1281</v>
      </c>
      <c r="G161" s="47" t="s">
        <v>1654</v>
      </c>
      <c r="H161" s="44" t="s">
        <v>1171</v>
      </c>
    </row>
    <row r="162" spans="2:8" ht="189.75" customHeight="1" thickBot="1" x14ac:dyDescent="0.3">
      <c r="B162" s="37"/>
      <c r="C162" s="45" t="s">
        <v>1655</v>
      </c>
      <c r="D162" s="46" t="s">
        <v>1656</v>
      </c>
      <c r="E162" s="42" t="s">
        <v>122</v>
      </c>
      <c r="F162" s="46" t="s">
        <v>1284</v>
      </c>
      <c r="G162" s="47" t="s">
        <v>1657</v>
      </c>
      <c r="H162" s="44" t="s">
        <v>1171</v>
      </c>
    </row>
    <row r="163" spans="2:8" ht="142.5" customHeight="1" thickBot="1" x14ac:dyDescent="0.3">
      <c r="B163" s="37"/>
      <c r="C163" s="45" t="s">
        <v>1658</v>
      </c>
      <c r="D163" s="46" t="s">
        <v>1659</v>
      </c>
      <c r="E163" s="42" t="s">
        <v>122</v>
      </c>
      <c r="F163" s="46" t="s">
        <v>1660</v>
      </c>
      <c r="G163" s="47" t="s">
        <v>1661</v>
      </c>
      <c r="H163" s="44" t="s">
        <v>1171</v>
      </c>
    </row>
    <row r="164" spans="2:8" ht="221.25" customHeight="1" thickBot="1" x14ac:dyDescent="0.3">
      <c r="B164" s="37"/>
      <c r="C164" s="45" t="s">
        <v>1662</v>
      </c>
      <c r="D164" s="46" t="s">
        <v>1663</v>
      </c>
      <c r="E164" s="42" t="s">
        <v>122</v>
      </c>
      <c r="F164" s="46" t="s">
        <v>1664</v>
      </c>
      <c r="G164" s="47" t="s">
        <v>1665</v>
      </c>
      <c r="H164" s="44" t="s">
        <v>1171</v>
      </c>
    </row>
    <row r="165" spans="2:8" ht="189.75" customHeight="1" thickBot="1" x14ac:dyDescent="0.3">
      <c r="B165" s="37"/>
      <c r="C165" s="45" t="s">
        <v>1666</v>
      </c>
      <c r="D165" s="46" t="s">
        <v>1667</v>
      </c>
      <c r="E165" s="42" t="s">
        <v>122</v>
      </c>
      <c r="F165" s="46" t="s">
        <v>1262</v>
      </c>
      <c r="G165" s="47" t="s">
        <v>1520</v>
      </c>
      <c r="H165" s="44" t="s">
        <v>1171</v>
      </c>
    </row>
    <row r="166" spans="2:8" ht="142.5" customHeight="1" thickBot="1" x14ac:dyDescent="0.3">
      <c r="B166" s="37"/>
      <c r="C166" s="45" t="s">
        <v>1668</v>
      </c>
      <c r="D166" s="46" t="s">
        <v>1669</v>
      </c>
      <c r="E166" s="42" t="s">
        <v>122</v>
      </c>
      <c r="F166" s="46" t="s">
        <v>1670</v>
      </c>
      <c r="G166" s="47" t="s">
        <v>1671</v>
      </c>
      <c r="H166" s="44" t="s">
        <v>1171</v>
      </c>
    </row>
    <row r="167" spans="2:8" ht="174" customHeight="1" thickBot="1" x14ac:dyDescent="0.3">
      <c r="B167" s="37"/>
      <c r="C167" s="45" t="s">
        <v>1672</v>
      </c>
      <c r="D167" s="46" t="s">
        <v>1673</v>
      </c>
      <c r="E167" s="42" t="s">
        <v>122</v>
      </c>
      <c r="F167" s="46" t="s">
        <v>1237</v>
      </c>
      <c r="G167" s="47" t="s">
        <v>1674</v>
      </c>
      <c r="H167" s="44" t="s">
        <v>1171</v>
      </c>
    </row>
    <row r="168" spans="2:8" ht="189.75" customHeight="1" thickBot="1" x14ac:dyDescent="0.3">
      <c r="B168" s="37"/>
      <c r="C168" s="45" t="s">
        <v>1675</v>
      </c>
      <c r="D168" s="46" t="s">
        <v>1676</v>
      </c>
      <c r="E168" s="42" t="s">
        <v>122</v>
      </c>
      <c r="F168" s="46" t="s">
        <v>1677</v>
      </c>
      <c r="G168" s="47" t="s">
        <v>1527</v>
      </c>
      <c r="H168" s="44" t="s">
        <v>1171</v>
      </c>
    </row>
    <row r="169" spans="2:8" ht="174" customHeight="1" thickBot="1" x14ac:dyDescent="0.3">
      <c r="B169" s="37"/>
      <c r="C169" s="45" t="s">
        <v>1678</v>
      </c>
      <c r="D169" s="46" t="s">
        <v>1679</v>
      </c>
      <c r="E169" s="42" t="s">
        <v>122</v>
      </c>
      <c r="F169" s="46" t="s">
        <v>1680</v>
      </c>
      <c r="G169" s="47" t="s">
        <v>1681</v>
      </c>
      <c r="H169" s="44" t="s">
        <v>1171</v>
      </c>
    </row>
    <row r="170" spans="2:8" ht="205.5" customHeight="1" thickBot="1" x14ac:dyDescent="0.3">
      <c r="B170" s="37"/>
      <c r="C170" s="45" t="s">
        <v>1682</v>
      </c>
      <c r="D170" s="46" t="s">
        <v>1683</v>
      </c>
      <c r="E170" s="42" t="s">
        <v>122</v>
      </c>
      <c r="F170" s="46" t="s">
        <v>1684</v>
      </c>
      <c r="G170" s="47" t="s">
        <v>1531</v>
      </c>
      <c r="H170" s="44" t="s">
        <v>1171</v>
      </c>
    </row>
    <row r="171" spans="2:8" ht="79.5" customHeight="1" thickBot="1" x14ac:dyDescent="0.3">
      <c r="B171" s="37"/>
      <c r="C171" s="45" t="s">
        <v>1685</v>
      </c>
      <c r="D171" s="46" t="s">
        <v>1686</v>
      </c>
      <c r="E171" s="42" t="s">
        <v>122</v>
      </c>
      <c r="F171" s="46" t="s">
        <v>1687</v>
      </c>
      <c r="G171" s="47" t="s">
        <v>1688</v>
      </c>
      <c r="H171" s="44" t="s">
        <v>1171</v>
      </c>
    </row>
    <row r="172" spans="2:8" ht="189.75" customHeight="1" thickBot="1" x14ac:dyDescent="0.3">
      <c r="B172" s="37"/>
      <c r="C172" s="45" t="s">
        <v>1689</v>
      </c>
      <c r="D172" s="46" t="s">
        <v>1537</v>
      </c>
      <c r="E172" s="42" t="s">
        <v>122</v>
      </c>
      <c r="F172" s="46" t="s">
        <v>1690</v>
      </c>
      <c r="G172" s="47" t="s">
        <v>1539</v>
      </c>
      <c r="H172" s="44" t="s">
        <v>1171</v>
      </c>
    </row>
    <row r="173" spans="2:8" ht="284.25" customHeight="1" thickBot="1" x14ac:dyDescent="0.3">
      <c r="B173" s="37"/>
      <c r="C173" s="45" t="s">
        <v>1691</v>
      </c>
      <c r="D173" s="46" t="s">
        <v>1692</v>
      </c>
      <c r="E173" s="42" t="s">
        <v>122</v>
      </c>
      <c r="F173" s="46" t="s">
        <v>1693</v>
      </c>
      <c r="G173" s="47" t="s">
        <v>1694</v>
      </c>
      <c r="H173" s="44" t="s">
        <v>1171</v>
      </c>
    </row>
    <row r="174" spans="2:8" ht="95.25" customHeight="1" thickBot="1" x14ac:dyDescent="0.3">
      <c r="B174" s="37"/>
      <c r="C174" s="45" t="s">
        <v>1695</v>
      </c>
      <c r="D174" s="46" t="s">
        <v>1696</v>
      </c>
      <c r="E174" s="42" t="s">
        <v>122</v>
      </c>
      <c r="F174" s="46" t="s">
        <v>1542</v>
      </c>
      <c r="G174" s="47" t="s">
        <v>1697</v>
      </c>
      <c r="H174" s="44" t="s">
        <v>1171</v>
      </c>
    </row>
    <row r="175" spans="2:8" ht="252.75" customHeight="1" thickBot="1" x14ac:dyDescent="0.3">
      <c r="B175" s="37"/>
      <c r="C175" s="45" t="s">
        <v>1698</v>
      </c>
      <c r="D175" s="46" t="s">
        <v>1699</v>
      </c>
      <c r="E175" s="42" t="s">
        <v>122</v>
      </c>
      <c r="F175" s="46" t="s">
        <v>1258</v>
      </c>
      <c r="G175" s="47" t="s">
        <v>1700</v>
      </c>
      <c r="H175" s="44" t="s">
        <v>1171</v>
      </c>
    </row>
    <row r="176" spans="2:8" ht="142.5" customHeight="1" thickBot="1" x14ac:dyDescent="0.3">
      <c r="B176" s="37"/>
      <c r="C176" s="45" t="s">
        <v>1701</v>
      </c>
      <c r="D176" s="46" t="s">
        <v>1342</v>
      </c>
      <c r="E176" s="42" t="s">
        <v>122</v>
      </c>
      <c r="F176" s="46" t="s">
        <v>1343</v>
      </c>
      <c r="G176" s="47" t="s">
        <v>1344</v>
      </c>
      <c r="H176" s="44" t="s">
        <v>1171</v>
      </c>
    </row>
    <row r="177" spans="2:8" ht="126.75" customHeight="1" thickBot="1" x14ac:dyDescent="0.3">
      <c r="B177" s="37"/>
      <c r="C177" s="45" t="s">
        <v>1702</v>
      </c>
      <c r="D177" s="46" t="s">
        <v>1346</v>
      </c>
      <c r="E177" s="42" t="s">
        <v>122</v>
      </c>
      <c r="F177" s="46" t="s">
        <v>1347</v>
      </c>
      <c r="G177" s="47" t="s">
        <v>1348</v>
      </c>
      <c r="H177" s="44" t="s">
        <v>1171</v>
      </c>
    </row>
    <row r="178" spans="2:8" ht="126.75" customHeight="1" thickBot="1" x14ac:dyDescent="0.3">
      <c r="B178" s="37"/>
      <c r="C178" s="45" t="s">
        <v>1703</v>
      </c>
      <c r="D178" s="46" t="s">
        <v>1350</v>
      </c>
      <c r="E178" s="42" t="s">
        <v>122</v>
      </c>
      <c r="F178" s="46" t="s">
        <v>1351</v>
      </c>
      <c r="G178" s="47" t="s">
        <v>1352</v>
      </c>
      <c r="H178" s="44" t="s">
        <v>1171</v>
      </c>
    </row>
    <row r="179" spans="2:8" ht="409.6" customHeight="1" thickBot="1" x14ac:dyDescent="0.3">
      <c r="B179" s="37"/>
      <c r="C179" s="45" t="s">
        <v>1704</v>
      </c>
      <c r="D179" s="46" t="s">
        <v>1354</v>
      </c>
      <c r="E179" s="46" t="s">
        <v>122</v>
      </c>
      <c r="F179" s="46" t="s">
        <v>1355</v>
      </c>
      <c r="G179" s="47" t="s">
        <v>1356</v>
      </c>
      <c r="H179" s="44" t="s">
        <v>1171</v>
      </c>
    </row>
    <row r="180" spans="2:8" ht="111" customHeight="1" thickBot="1" x14ac:dyDescent="0.3">
      <c r="B180" s="37"/>
      <c r="C180" s="45" t="s">
        <v>1705</v>
      </c>
      <c r="D180" s="46" t="s">
        <v>1358</v>
      </c>
      <c r="E180" s="42" t="s">
        <v>122</v>
      </c>
      <c r="F180" s="46" t="s">
        <v>1359</v>
      </c>
      <c r="G180" s="47" t="s">
        <v>1360</v>
      </c>
      <c r="H180" s="48" t="s">
        <v>1171</v>
      </c>
    </row>
    <row r="181" spans="2:8" ht="111" customHeight="1" thickBot="1" x14ac:dyDescent="0.3">
      <c r="B181" s="37"/>
      <c r="C181" s="45" t="s">
        <v>1706</v>
      </c>
      <c r="D181" s="46" t="s">
        <v>1362</v>
      </c>
      <c r="E181" s="42" t="s">
        <v>122</v>
      </c>
      <c r="F181" s="46" t="s">
        <v>1363</v>
      </c>
      <c r="G181" s="47" t="s">
        <v>1364</v>
      </c>
      <c r="H181" s="48" t="s">
        <v>1171</v>
      </c>
    </row>
    <row r="182" spans="2:8" ht="111" customHeight="1" thickBot="1" x14ac:dyDescent="0.3">
      <c r="B182" s="37"/>
      <c r="C182" s="45" t="s">
        <v>1707</v>
      </c>
      <c r="D182" s="46" t="s">
        <v>1366</v>
      </c>
      <c r="E182" s="42" t="s">
        <v>122</v>
      </c>
      <c r="F182" s="46" t="s">
        <v>1367</v>
      </c>
      <c r="G182" s="47" t="s">
        <v>1368</v>
      </c>
      <c r="H182" s="48" t="s">
        <v>1171</v>
      </c>
    </row>
    <row r="183" spans="2:8" ht="108.75" customHeight="1" thickBot="1" x14ac:dyDescent="0.3">
      <c r="B183" s="37"/>
      <c r="C183" s="45" t="s">
        <v>1708</v>
      </c>
      <c r="D183" s="46" t="s">
        <v>1709</v>
      </c>
      <c r="E183" s="42" t="s">
        <v>122</v>
      </c>
      <c r="F183" s="46" t="s">
        <v>1371</v>
      </c>
      <c r="G183" s="47" t="s">
        <v>1372</v>
      </c>
      <c r="H183" s="48" t="s">
        <v>1171</v>
      </c>
    </row>
    <row r="184" spans="2:8" ht="79.5" customHeight="1" thickBot="1" x14ac:dyDescent="0.3">
      <c r="B184" s="37"/>
      <c r="C184" s="45" t="s">
        <v>1710</v>
      </c>
      <c r="D184" s="46" t="s">
        <v>1711</v>
      </c>
      <c r="E184" s="42" t="s">
        <v>122</v>
      </c>
      <c r="F184" s="46" t="s">
        <v>1375</v>
      </c>
      <c r="G184" s="47" t="s">
        <v>1376</v>
      </c>
      <c r="H184" s="48" t="s">
        <v>1171</v>
      </c>
    </row>
    <row r="185" spans="2:8" ht="158.25" customHeight="1" thickBot="1" x14ac:dyDescent="0.3">
      <c r="B185" s="37"/>
      <c r="C185" s="45" t="s">
        <v>1712</v>
      </c>
      <c r="D185" s="46" t="s">
        <v>1713</v>
      </c>
      <c r="E185" s="42" t="s">
        <v>122</v>
      </c>
      <c r="F185" s="46" t="s">
        <v>1379</v>
      </c>
      <c r="G185" s="47" t="s">
        <v>1380</v>
      </c>
      <c r="H185" s="48" t="s">
        <v>1171</v>
      </c>
    </row>
    <row r="186" spans="2:8" ht="79.5" customHeight="1" thickBot="1" x14ac:dyDescent="0.3">
      <c r="B186" s="37"/>
      <c r="C186" s="45" t="s">
        <v>1714</v>
      </c>
      <c r="D186" s="46" t="s">
        <v>1715</v>
      </c>
      <c r="E186" s="42" t="s">
        <v>122</v>
      </c>
      <c r="F186" s="46" t="s">
        <v>1383</v>
      </c>
      <c r="G186" s="47" t="s">
        <v>1384</v>
      </c>
      <c r="H186" s="48" t="s">
        <v>1171</v>
      </c>
    </row>
    <row r="187" spans="2:8" ht="63.75" customHeight="1" thickBot="1" x14ac:dyDescent="0.3">
      <c r="B187" s="37"/>
      <c r="C187" s="45" t="s">
        <v>1716</v>
      </c>
      <c r="D187" s="46" t="s">
        <v>1386</v>
      </c>
      <c r="E187" s="42" t="s">
        <v>122</v>
      </c>
      <c r="F187" s="46" t="s">
        <v>1387</v>
      </c>
      <c r="G187" s="47" t="s">
        <v>1388</v>
      </c>
      <c r="H187" s="48" t="s">
        <v>1171</v>
      </c>
    </row>
    <row r="188" spans="2:8" ht="126.75" customHeight="1" thickBot="1" x14ac:dyDescent="0.3">
      <c r="B188" s="37"/>
      <c r="C188" s="45" t="s">
        <v>1717</v>
      </c>
      <c r="D188" s="46" t="s">
        <v>1718</v>
      </c>
      <c r="E188" s="42" t="s">
        <v>122</v>
      </c>
      <c r="F188" s="46" t="s">
        <v>1391</v>
      </c>
      <c r="G188" s="47" t="s">
        <v>1392</v>
      </c>
      <c r="H188" s="48" t="s">
        <v>1171</v>
      </c>
    </row>
    <row r="189" spans="2:8" ht="174" customHeight="1" thickBot="1" x14ac:dyDescent="0.3">
      <c r="B189" s="37"/>
      <c r="C189" s="45" t="s">
        <v>1719</v>
      </c>
      <c r="D189" s="46" t="s">
        <v>1394</v>
      </c>
      <c r="E189" s="42" t="s">
        <v>122</v>
      </c>
      <c r="F189" s="46" t="s">
        <v>1395</v>
      </c>
      <c r="G189" s="47" t="s">
        <v>1396</v>
      </c>
      <c r="H189" s="48" t="s">
        <v>1171</v>
      </c>
    </row>
    <row r="190" spans="2:8" ht="95.25" customHeight="1" thickBot="1" x14ac:dyDescent="0.3">
      <c r="B190" s="37"/>
      <c r="C190" s="45" t="s">
        <v>1720</v>
      </c>
      <c r="D190" s="46" t="s">
        <v>1721</v>
      </c>
      <c r="E190" s="42" t="s">
        <v>122</v>
      </c>
      <c r="F190" s="46" t="s">
        <v>1399</v>
      </c>
      <c r="G190" s="47" t="s">
        <v>1400</v>
      </c>
      <c r="H190" s="48" t="s">
        <v>1171</v>
      </c>
    </row>
    <row r="191" spans="2:8" ht="63.75" customHeight="1" thickBot="1" x14ac:dyDescent="0.3">
      <c r="B191" s="37"/>
      <c r="C191" s="45" t="s">
        <v>1722</v>
      </c>
      <c r="D191" s="46" t="s">
        <v>1723</v>
      </c>
      <c r="E191" s="42" t="s">
        <v>122</v>
      </c>
      <c r="F191" s="46" t="s">
        <v>1403</v>
      </c>
      <c r="G191" s="47" t="s">
        <v>1404</v>
      </c>
      <c r="H191" s="48" t="s">
        <v>1171</v>
      </c>
    </row>
    <row r="192" spans="2:8" ht="79.5" customHeight="1" thickBot="1" x14ac:dyDescent="0.3">
      <c r="B192" s="37"/>
      <c r="C192" s="45" t="s">
        <v>1724</v>
      </c>
      <c r="D192" s="46" t="s">
        <v>1725</v>
      </c>
      <c r="E192" s="42" t="s">
        <v>122</v>
      </c>
      <c r="F192" s="46" t="s">
        <v>1726</v>
      </c>
      <c r="G192" s="47" t="s">
        <v>1727</v>
      </c>
      <c r="H192" s="48" t="s">
        <v>1171</v>
      </c>
    </row>
    <row r="193" spans="2:8" ht="79.5" customHeight="1" thickBot="1" x14ac:dyDescent="0.3">
      <c r="B193" s="37"/>
      <c r="C193" s="45" t="s">
        <v>1728</v>
      </c>
      <c r="D193" s="46" t="s">
        <v>1426</v>
      </c>
      <c r="E193" s="42" t="s">
        <v>122</v>
      </c>
      <c r="F193" s="46" t="s">
        <v>1427</v>
      </c>
      <c r="G193" s="47" t="s">
        <v>1428</v>
      </c>
      <c r="H193" s="48" t="s">
        <v>1171</v>
      </c>
    </row>
    <row r="194" spans="2:8" ht="79.5" customHeight="1" thickBot="1" x14ac:dyDescent="0.3">
      <c r="B194" s="37"/>
      <c r="C194" s="45" t="s">
        <v>1729</v>
      </c>
      <c r="D194" s="46" t="s">
        <v>1430</v>
      </c>
      <c r="E194" s="42" t="s">
        <v>122</v>
      </c>
      <c r="F194" s="46" t="s">
        <v>1431</v>
      </c>
      <c r="G194" s="47" t="s">
        <v>1432</v>
      </c>
      <c r="H194" s="48" t="s">
        <v>1171</v>
      </c>
    </row>
    <row r="195" spans="2:8" ht="63.75" customHeight="1" thickBot="1" x14ac:dyDescent="0.3">
      <c r="B195" s="37"/>
      <c r="C195" s="45" t="s">
        <v>1730</v>
      </c>
      <c r="D195" s="46" t="s">
        <v>1731</v>
      </c>
      <c r="E195" s="42" t="s">
        <v>122</v>
      </c>
      <c r="F195" s="46" t="s">
        <v>1435</v>
      </c>
      <c r="G195" s="47" t="s">
        <v>1436</v>
      </c>
      <c r="H195" s="48" t="s">
        <v>1171</v>
      </c>
    </row>
    <row r="196" spans="2:8" ht="111" customHeight="1" thickBot="1" x14ac:dyDescent="0.3">
      <c r="B196" s="37"/>
      <c r="C196" s="45" t="s">
        <v>1732</v>
      </c>
      <c r="D196" s="46" t="s">
        <v>1438</v>
      </c>
      <c r="E196" s="42" t="s">
        <v>122</v>
      </c>
      <c r="F196" s="46" t="s">
        <v>1439</v>
      </c>
      <c r="G196" s="47" t="s">
        <v>1440</v>
      </c>
      <c r="H196" s="48" t="s">
        <v>1171</v>
      </c>
    </row>
    <row r="197" spans="2:8" ht="79.5" customHeight="1" thickBot="1" x14ac:dyDescent="0.3">
      <c r="B197" s="37"/>
      <c r="C197" s="45" t="s">
        <v>1733</v>
      </c>
      <c r="D197" s="46" t="s">
        <v>1442</v>
      </c>
      <c r="E197" s="42" t="s">
        <v>122</v>
      </c>
      <c r="F197" s="46" t="s">
        <v>1443</v>
      </c>
      <c r="G197" s="47" t="s">
        <v>1444</v>
      </c>
      <c r="H197" s="48" t="s">
        <v>1171</v>
      </c>
    </row>
    <row r="198" spans="2:8" ht="79.5" customHeight="1" thickBot="1" x14ac:dyDescent="0.3">
      <c r="B198" s="37"/>
      <c r="C198" s="45" t="s">
        <v>1734</v>
      </c>
      <c r="D198" s="46" t="s">
        <v>1446</v>
      </c>
      <c r="E198" s="42" t="s">
        <v>122</v>
      </c>
      <c r="F198" s="46" t="s">
        <v>1447</v>
      </c>
      <c r="G198" s="47" t="s">
        <v>1448</v>
      </c>
      <c r="H198" s="48" t="s">
        <v>1171</v>
      </c>
    </row>
    <row r="199" spans="2:8" ht="79.5" customHeight="1" thickBot="1" x14ac:dyDescent="0.3">
      <c r="B199" s="37"/>
      <c r="C199" s="45" t="s">
        <v>1735</v>
      </c>
      <c r="D199" s="46" t="s">
        <v>1450</v>
      </c>
      <c r="E199" s="42" t="s">
        <v>122</v>
      </c>
      <c r="F199" s="46" t="s">
        <v>1451</v>
      </c>
      <c r="G199" s="47" t="s">
        <v>1452</v>
      </c>
      <c r="H199" s="48" t="s">
        <v>1171</v>
      </c>
    </row>
    <row r="200" spans="2:8" ht="63.75" customHeight="1" thickBot="1" x14ac:dyDescent="0.3">
      <c r="B200" s="37"/>
      <c r="C200" s="45" t="s">
        <v>1736</v>
      </c>
      <c r="D200" s="46" t="s">
        <v>1454</v>
      </c>
      <c r="E200" s="42" t="s">
        <v>122</v>
      </c>
      <c r="F200" s="46" t="s">
        <v>1455</v>
      </c>
      <c r="G200" s="47" t="s">
        <v>1456</v>
      </c>
      <c r="H200" s="48" t="s">
        <v>1171</v>
      </c>
    </row>
    <row r="201" spans="2:8" ht="63.75" customHeight="1" thickBot="1" x14ac:dyDescent="0.3">
      <c r="B201" s="37"/>
      <c r="C201" s="45" t="s">
        <v>1737</v>
      </c>
      <c r="D201" s="46" t="s">
        <v>1458</v>
      </c>
      <c r="E201" s="42" t="s">
        <v>122</v>
      </c>
      <c r="F201" s="46" t="s">
        <v>1459</v>
      </c>
      <c r="G201" s="47" t="s">
        <v>1460</v>
      </c>
      <c r="H201" s="48" t="s">
        <v>1171</v>
      </c>
    </row>
    <row r="202" spans="2:8" ht="79.5" customHeight="1" thickBot="1" x14ac:dyDescent="0.3">
      <c r="B202" s="37"/>
      <c r="C202" s="45" t="s">
        <v>1738</v>
      </c>
      <c r="D202" s="46" t="s">
        <v>1739</v>
      </c>
      <c r="E202" s="42" t="s">
        <v>122</v>
      </c>
      <c r="F202" s="46" t="s">
        <v>1463</v>
      </c>
      <c r="G202" s="47" t="s">
        <v>1464</v>
      </c>
      <c r="H202" s="48" t="s">
        <v>1171</v>
      </c>
    </row>
    <row r="203" spans="2:8" ht="79.5" customHeight="1" thickBot="1" x14ac:dyDescent="0.3">
      <c r="B203" s="37"/>
      <c r="C203" s="45" t="s">
        <v>1740</v>
      </c>
      <c r="D203" s="46" t="s">
        <v>1466</v>
      </c>
      <c r="E203" s="42" t="s">
        <v>122</v>
      </c>
      <c r="F203" s="46" t="s">
        <v>1467</v>
      </c>
      <c r="G203" s="47" t="s">
        <v>1468</v>
      </c>
      <c r="H203" s="48" t="s">
        <v>1171</v>
      </c>
    </row>
    <row r="204" spans="2:8" ht="63.75" customHeight="1" thickBot="1" x14ac:dyDescent="0.3">
      <c r="B204" s="37"/>
      <c r="C204" s="45" t="s">
        <v>1741</v>
      </c>
      <c r="D204" s="46" t="s">
        <v>1470</v>
      </c>
      <c r="E204" s="42" t="s">
        <v>122</v>
      </c>
      <c r="F204" s="46" t="s">
        <v>1471</v>
      </c>
      <c r="G204" s="47" t="s">
        <v>1472</v>
      </c>
      <c r="H204" s="48" t="s">
        <v>1171</v>
      </c>
    </row>
    <row r="205" spans="2:8" ht="111" customHeight="1" thickBot="1" x14ac:dyDescent="0.3">
      <c r="B205" s="37"/>
      <c r="C205" s="45" t="s">
        <v>1742</v>
      </c>
      <c r="D205" s="46" t="s">
        <v>1474</v>
      </c>
      <c r="E205" s="42" t="s">
        <v>122</v>
      </c>
      <c r="F205" s="46" t="s">
        <v>1475</v>
      </c>
      <c r="G205" s="47" t="s">
        <v>1476</v>
      </c>
      <c r="H205" s="48" t="s">
        <v>1171</v>
      </c>
    </row>
    <row r="206" spans="2:8" ht="142.5" customHeight="1" thickBot="1" x14ac:dyDescent="0.3">
      <c r="B206" s="37"/>
      <c r="C206" s="45" t="s">
        <v>1743</v>
      </c>
      <c r="D206" s="46" t="s">
        <v>1744</v>
      </c>
      <c r="E206" s="42" t="s">
        <v>122</v>
      </c>
      <c r="F206" s="46" t="s">
        <v>1479</v>
      </c>
      <c r="G206" s="47" t="s">
        <v>1480</v>
      </c>
      <c r="H206" s="48" t="s">
        <v>1171</v>
      </c>
    </row>
    <row r="207" spans="2:8" ht="95.25" customHeight="1" thickBot="1" x14ac:dyDescent="0.3">
      <c r="B207" s="37"/>
      <c r="C207" s="40" t="s">
        <v>1745</v>
      </c>
      <c r="D207" s="41" t="s">
        <v>1746</v>
      </c>
      <c r="E207" s="42" t="s">
        <v>122</v>
      </c>
      <c r="F207" s="41" t="s">
        <v>1747</v>
      </c>
      <c r="G207" s="43" t="s">
        <v>1748</v>
      </c>
      <c r="H207" s="48" t="s">
        <v>1171</v>
      </c>
    </row>
    <row r="208" spans="2:8" ht="79.5" customHeight="1" thickBot="1" x14ac:dyDescent="0.3">
      <c r="B208" s="37"/>
      <c r="C208" s="45" t="s">
        <v>1749</v>
      </c>
      <c r="D208" s="46" t="s">
        <v>1750</v>
      </c>
      <c r="E208" s="42" t="s">
        <v>122</v>
      </c>
      <c r="F208" s="46" t="s">
        <v>1751</v>
      </c>
      <c r="G208" s="47" t="s">
        <v>1752</v>
      </c>
      <c r="H208" s="48" t="s">
        <v>1171</v>
      </c>
    </row>
    <row r="209" spans="2:8" ht="95.25" customHeight="1" thickBot="1" x14ac:dyDescent="0.3">
      <c r="B209" s="37"/>
      <c r="C209" s="45" t="s">
        <v>1753</v>
      </c>
      <c r="D209" s="46" t="s">
        <v>1754</v>
      </c>
      <c r="E209" s="42" t="s">
        <v>122</v>
      </c>
      <c r="F209" s="46" t="s">
        <v>1755</v>
      </c>
      <c r="G209" s="47" t="s">
        <v>1756</v>
      </c>
      <c r="H209" s="48" t="s">
        <v>1171</v>
      </c>
    </row>
    <row r="210" spans="2:8" ht="126.75" customHeight="1" thickBot="1" x14ac:dyDescent="0.3">
      <c r="B210" s="37"/>
      <c r="C210" s="45" t="s">
        <v>1757</v>
      </c>
      <c r="D210" s="46" t="s">
        <v>1758</v>
      </c>
      <c r="E210" s="42" t="s">
        <v>122</v>
      </c>
      <c r="F210" s="46" t="s">
        <v>1186</v>
      </c>
      <c r="G210" s="47" t="s">
        <v>1187</v>
      </c>
      <c r="H210" s="48" t="s">
        <v>1171</v>
      </c>
    </row>
    <row r="211" spans="2:8" ht="111" customHeight="1" thickBot="1" x14ac:dyDescent="0.3">
      <c r="B211" s="37"/>
      <c r="C211" s="45" t="s">
        <v>1759</v>
      </c>
      <c r="D211" s="46" t="s">
        <v>1760</v>
      </c>
      <c r="E211" s="42" t="s">
        <v>122</v>
      </c>
      <c r="F211" s="46" t="s">
        <v>1495</v>
      </c>
      <c r="G211" s="47" t="s">
        <v>1496</v>
      </c>
      <c r="H211" s="48" t="s">
        <v>1171</v>
      </c>
    </row>
    <row r="212" spans="2:8" ht="95.25" customHeight="1" thickBot="1" x14ac:dyDescent="0.3">
      <c r="B212" s="37"/>
      <c r="C212" s="45" t="s">
        <v>1761</v>
      </c>
      <c r="D212" s="46" t="s">
        <v>1498</v>
      </c>
      <c r="E212" s="42" t="s">
        <v>122</v>
      </c>
      <c r="F212" s="46" t="s">
        <v>1194</v>
      </c>
      <c r="G212" s="47" t="s">
        <v>1499</v>
      </c>
      <c r="H212" s="48" t="s">
        <v>1171</v>
      </c>
    </row>
    <row r="213" spans="2:8" ht="268.5" customHeight="1" thickBot="1" x14ac:dyDescent="0.3">
      <c r="B213" s="37"/>
      <c r="C213" s="45" t="s">
        <v>1762</v>
      </c>
      <c r="D213" s="46" t="s">
        <v>1763</v>
      </c>
      <c r="E213" s="42" t="s">
        <v>122</v>
      </c>
      <c r="F213" s="46" t="s">
        <v>1764</v>
      </c>
      <c r="G213" s="47" t="s">
        <v>1765</v>
      </c>
      <c r="H213" s="48" t="s">
        <v>1171</v>
      </c>
    </row>
    <row r="214" spans="2:8" ht="174" customHeight="1" thickBot="1" x14ac:dyDescent="0.3">
      <c r="B214" s="37"/>
      <c r="C214" s="45" t="s">
        <v>1766</v>
      </c>
      <c r="D214" s="46" t="s">
        <v>1767</v>
      </c>
      <c r="E214" s="42" t="s">
        <v>122</v>
      </c>
      <c r="F214" s="46" t="s">
        <v>1768</v>
      </c>
      <c r="G214" s="47" t="s">
        <v>1769</v>
      </c>
      <c r="H214" s="48" t="s">
        <v>1171</v>
      </c>
    </row>
    <row r="215" spans="2:8" ht="142.5" customHeight="1" thickBot="1" x14ac:dyDescent="0.3">
      <c r="B215" s="37"/>
      <c r="C215" s="45" t="s">
        <v>1770</v>
      </c>
      <c r="D215" s="46" t="s">
        <v>1771</v>
      </c>
      <c r="E215" s="42" t="s">
        <v>122</v>
      </c>
      <c r="F215" s="46" t="s">
        <v>1772</v>
      </c>
      <c r="G215" s="47" t="s">
        <v>1773</v>
      </c>
      <c r="H215" s="48" t="s">
        <v>1171</v>
      </c>
    </row>
    <row r="216" spans="2:8" ht="126.75" customHeight="1" thickBot="1" x14ac:dyDescent="0.3">
      <c r="B216" s="37"/>
      <c r="C216" s="45" t="s">
        <v>1774</v>
      </c>
      <c r="D216" s="46" t="s">
        <v>1642</v>
      </c>
      <c r="E216" s="42" t="s">
        <v>122</v>
      </c>
      <c r="F216" s="46" t="s">
        <v>1509</v>
      </c>
      <c r="G216" s="47" t="s">
        <v>1211</v>
      </c>
      <c r="H216" s="48" t="s">
        <v>1171</v>
      </c>
    </row>
    <row r="217" spans="2:8" ht="111" customHeight="1" thickBot="1" x14ac:dyDescent="0.3">
      <c r="B217" s="37"/>
      <c r="C217" s="45" t="s">
        <v>1775</v>
      </c>
      <c r="D217" s="46" t="s">
        <v>1213</v>
      </c>
      <c r="E217" s="42" t="s">
        <v>122</v>
      </c>
      <c r="F217" s="46" t="s">
        <v>1214</v>
      </c>
      <c r="G217" s="47" t="s">
        <v>1215</v>
      </c>
      <c r="H217" s="48" t="s">
        <v>1171</v>
      </c>
    </row>
    <row r="218" spans="2:8" ht="111" customHeight="1" thickBot="1" x14ac:dyDescent="0.3">
      <c r="B218" s="37"/>
      <c r="C218" s="45" t="s">
        <v>1776</v>
      </c>
      <c r="D218" s="46" t="s">
        <v>1777</v>
      </c>
      <c r="E218" s="42" t="s">
        <v>122</v>
      </c>
      <c r="F218" s="46" t="s">
        <v>1513</v>
      </c>
      <c r="G218" s="47" t="s">
        <v>1219</v>
      </c>
      <c r="H218" s="48" t="s">
        <v>1171</v>
      </c>
    </row>
    <row r="219" spans="2:8" ht="79.5" customHeight="1" thickBot="1" x14ac:dyDescent="0.3">
      <c r="B219" s="37"/>
      <c r="C219" s="45" t="s">
        <v>1778</v>
      </c>
      <c r="D219" s="46" t="s">
        <v>1221</v>
      </c>
      <c r="E219" s="42" t="s">
        <v>122</v>
      </c>
      <c r="F219" s="46" t="s">
        <v>1222</v>
      </c>
      <c r="G219" s="47" t="s">
        <v>1223</v>
      </c>
      <c r="H219" s="48" t="s">
        <v>1171</v>
      </c>
    </row>
    <row r="220" spans="2:8" ht="158.25" customHeight="1" thickBot="1" x14ac:dyDescent="0.3">
      <c r="B220" s="37"/>
      <c r="C220" s="45" t="s">
        <v>1779</v>
      </c>
      <c r="D220" s="46" t="s">
        <v>1780</v>
      </c>
      <c r="E220" s="42" t="s">
        <v>122</v>
      </c>
      <c r="F220" s="46" t="s">
        <v>1516</v>
      </c>
      <c r="G220" s="47" t="s">
        <v>1227</v>
      </c>
      <c r="H220" s="48" t="s">
        <v>1171</v>
      </c>
    </row>
    <row r="221" spans="2:8" ht="252.75" customHeight="1" thickBot="1" x14ac:dyDescent="0.3">
      <c r="B221" s="37"/>
      <c r="C221" s="45" t="s">
        <v>1781</v>
      </c>
      <c r="D221" s="46" t="s">
        <v>1782</v>
      </c>
      <c r="E221" s="42" t="s">
        <v>122</v>
      </c>
      <c r="F221" s="46" t="s">
        <v>1273</v>
      </c>
      <c r="G221" s="47" t="s">
        <v>1274</v>
      </c>
      <c r="H221" s="48" t="s">
        <v>1171</v>
      </c>
    </row>
    <row r="222" spans="2:8" ht="205.5" customHeight="1" thickBot="1" x14ac:dyDescent="0.3">
      <c r="B222" s="37"/>
      <c r="C222" s="45" t="s">
        <v>1783</v>
      </c>
      <c r="D222" s="46" t="s">
        <v>1784</v>
      </c>
      <c r="E222" s="42" t="s">
        <v>122</v>
      </c>
      <c r="F222" s="46" t="s">
        <v>1277</v>
      </c>
      <c r="G222" s="47" t="s">
        <v>1278</v>
      </c>
      <c r="H222" s="48" t="s">
        <v>1171</v>
      </c>
    </row>
    <row r="223" spans="2:8" ht="142.5" customHeight="1" thickBot="1" x14ac:dyDescent="0.3">
      <c r="B223" s="37"/>
      <c r="C223" s="45" t="s">
        <v>1785</v>
      </c>
      <c r="D223" s="46" t="s">
        <v>1659</v>
      </c>
      <c r="E223" s="42" t="s">
        <v>122</v>
      </c>
      <c r="F223" s="46" t="s">
        <v>1660</v>
      </c>
      <c r="G223" s="47" t="s">
        <v>1661</v>
      </c>
      <c r="H223" s="48" t="s">
        <v>1171</v>
      </c>
    </row>
    <row r="224" spans="2:8" ht="252.75" customHeight="1" thickBot="1" x14ac:dyDescent="0.3">
      <c r="B224" s="37"/>
      <c r="C224" s="45" t="s">
        <v>1786</v>
      </c>
      <c r="D224" s="46" t="s">
        <v>1787</v>
      </c>
      <c r="E224" s="42" t="s">
        <v>122</v>
      </c>
      <c r="F224" s="46" t="s">
        <v>1664</v>
      </c>
      <c r="G224" s="47" t="s">
        <v>1788</v>
      </c>
      <c r="H224" s="48" t="s">
        <v>1171</v>
      </c>
    </row>
    <row r="225" spans="2:8" ht="174" customHeight="1" thickBot="1" x14ac:dyDescent="0.3">
      <c r="B225" s="37"/>
      <c r="C225" s="45" t="s">
        <v>1789</v>
      </c>
      <c r="D225" s="46" t="s">
        <v>1310</v>
      </c>
      <c r="E225" s="42" t="s">
        <v>122</v>
      </c>
      <c r="F225" s="46" t="s">
        <v>1311</v>
      </c>
      <c r="G225" s="47" t="s">
        <v>1312</v>
      </c>
      <c r="H225" s="48" t="s">
        <v>1171</v>
      </c>
    </row>
    <row r="226" spans="2:8" ht="205.5" customHeight="1" thickBot="1" x14ac:dyDescent="0.3">
      <c r="B226" s="37"/>
      <c r="C226" s="45" t="s">
        <v>1790</v>
      </c>
      <c r="D226" s="46" t="s">
        <v>1791</v>
      </c>
      <c r="E226" s="42" t="s">
        <v>122</v>
      </c>
      <c r="F226" s="46" t="s">
        <v>1792</v>
      </c>
      <c r="G226" s="47" t="s">
        <v>1793</v>
      </c>
      <c r="H226" s="48" t="s">
        <v>1171</v>
      </c>
    </row>
    <row r="227" spans="2:8" ht="189.75" customHeight="1" thickBot="1" x14ac:dyDescent="0.3">
      <c r="B227" s="37"/>
      <c r="C227" s="45" t="s">
        <v>1794</v>
      </c>
      <c r="D227" s="46" t="s">
        <v>1795</v>
      </c>
      <c r="E227" s="42" t="s">
        <v>122</v>
      </c>
      <c r="F227" s="46" t="s">
        <v>1262</v>
      </c>
      <c r="G227" s="47" t="s">
        <v>1520</v>
      </c>
      <c r="H227" s="48" t="s">
        <v>1171</v>
      </c>
    </row>
    <row r="228" spans="2:8" ht="174" customHeight="1" thickBot="1" x14ac:dyDescent="0.3">
      <c r="B228" s="37"/>
      <c r="C228" s="45" t="s">
        <v>1796</v>
      </c>
      <c r="D228" s="46" t="s">
        <v>1797</v>
      </c>
      <c r="E228" s="42" t="s">
        <v>122</v>
      </c>
      <c r="F228" s="46" t="s">
        <v>1237</v>
      </c>
      <c r="G228" s="47" t="s">
        <v>1798</v>
      </c>
      <c r="H228" s="48" t="s">
        <v>1171</v>
      </c>
    </row>
    <row r="229" spans="2:8" ht="189.75" customHeight="1" thickBot="1" x14ac:dyDescent="0.3">
      <c r="B229" s="37"/>
      <c r="C229" s="45" t="s">
        <v>1799</v>
      </c>
      <c r="D229" s="46" t="s">
        <v>1676</v>
      </c>
      <c r="E229" s="42" t="s">
        <v>122</v>
      </c>
      <c r="F229" s="46" t="s">
        <v>1677</v>
      </c>
      <c r="G229" s="47" t="s">
        <v>1527</v>
      </c>
      <c r="H229" s="48" t="s">
        <v>1171</v>
      </c>
    </row>
    <row r="230" spans="2:8" ht="205.5" customHeight="1" thickBot="1" x14ac:dyDescent="0.3">
      <c r="B230" s="37"/>
      <c r="C230" s="45" t="s">
        <v>1800</v>
      </c>
      <c r="D230" s="46" t="s">
        <v>1683</v>
      </c>
      <c r="E230" s="42" t="s">
        <v>122</v>
      </c>
      <c r="F230" s="46" t="s">
        <v>1684</v>
      </c>
      <c r="G230" s="47" t="s">
        <v>1531</v>
      </c>
      <c r="H230" s="48" t="s">
        <v>1171</v>
      </c>
    </row>
    <row r="231" spans="2:8" ht="189.75" customHeight="1" thickBot="1" x14ac:dyDescent="0.3">
      <c r="B231" s="37"/>
      <c r="C231" s="45" t="s">
        <v>1801</v>
      </c>
      <c r="D231" s="46" t="s">
        <v>1537</v>
      </c>
      <c r="E231" s="42" t="s">
        <v>122</v>
      </c>
      <c r="F231" s="46" t="s">
        <v>1690</v>
      </c>
      <c r="G231" s="47" t="s">
        <v>1539</v>
      </c>
      <c r="H231" s="48" t="s">
        <v>1171</v>
      </c>
    </row>
    <row r="232" spans="2:8" ht="252.75" customHeight="1" thickBot="1" x14ac:dyDescent="0.3">
      <c r="B232" s="37"/>
      <c r="C232" s="45" t="s">
        <v>1802</v>
      </c>
      <c r="D232" s="46" t="s">
        <v>1803</v>
      </c>
      <c r="E232" s="42" t="s">
        <v>122</v>
      </c>
      <c r="F232" s="46" t="s">
        <v>1258</v>
      </c>
      <c r="G232" s="47" t="s">
        <v>1700</v>
      </c>
      <c r="H232" s="48" t="s">
        <v>1171</v>
      </c>
    </row>
    <row r="233" spans="2:8" ht="205.5" customHeight="1" thickBot="1" x14ac:dyDescent="0.3">
      <c r="B233" s="37"/>
      <c r="C233" s="45" t="s">
        <v>1804</v>
      </c>
      <c r="D233" s="46" t="s">
        <v>1805</v>
      </c>
      <c r="E233" s="42" t="s">
        <v>122</v>
      </c>
      <c r="F233" s="46" t="s">
        <v>1250</v>
      </c>
      <c r="G233" s="47" t="s">
        <v>1251</v>
      </c>
      <c r="H233" s="48" t="s">
        <v>1171</v>
      </c>
    </row>
    <row r="234" spans="2:8" ht="189.75" customHeight="1" thickBot="1" x14ac:dyDescent="0.3">
      <c r="B234" s="37"/>
      <c r="C234" s="45" t="s">
        <v>1806</v>
      </c>
      <c r="D234" s="46" t="s">
        <v>1807</v>
      </c>
      <c r="E234" s="42" t="s">
        <v>122</v>
      </c>
      <c r="F234" s="46" t="s">
        <v>1266</v>
      </c>
      <c r="G234" s="47" t="s">
        <v>1808</v>
      </c>
      <c r="H234" s="48" t="s">
        <v>1171</v>
      </c>
    </row>
    <row r="235" spans="2:8" ht="158.25" customHeight="1" thickBot="1" x14ac:dyDescent="0.3">
      <c r="B235" s="37"/>
      <c r="C235" s="45" t="s">
        <v>1809</v>
      </c>
      <c r="D235" s="46" t="s">
        <v>1810</v>
      </c>
      <c r="E235" s="42" t="s">
        <v>122</v>
      </c>
      <c r="F235" s="46" t="s">
        <v>1545</v>
      </c>
      <c r="G235" s="47" t="s">
        <v>1316</v>
      </c>
      <c r="H235" s="48" t="s">
        <v>1171</v>
      </c>
    </row>
    <row r="236" spans="2:8" ht="174" customHeight="1" thickBot="1" x14ac:dyDescent="0.3">
      <c r="B236" s="37"/>
      <c r="C236" s="45" t="s">
        <v>1811</v>
      </c>
      <c r="D236" s="46" t="s">
        <v>1812</v>
      </c>
      <c r="E236" s="42" t="s">
        <v>122</v>
      </c>
      <c r="F236" s="46" t="s">
        <v>1319</v>
      </c>
      <c r="G236" s="47" t="s">
        <v>1320</v>
      </c>
      <c r="H236" s="48" t="s">
        <v>1171</v>
      </c>
    </row>
    <row r="237" spans="2:8" ht="79.5" customHeight="1" thickBot="1" x14ac:dyDescent="0.3">
      <c r="B237" s="37"/>
      <c r="C237" s="45" t="s">
        <v>1813</v>
      </c>
      <c r="D237" s="46" t="s">
        <v>1814</v>
      </c>
      <c r="E237" s="42" t="s">
        <v>122</v>
      </c>
      <c r="F237" s="46" t="s">
        <v>1815</v>
      </c>
      <c r="G237" s="47" t="s">
        <v>1324</v>
      </c>
      <c r="H237" s="48" t="s">
        <v>1171</v>
      </c>
    </row>
    <row r="238" spans="2:8" ht="63.75" customHeight="1" thickBot="1" x14ac:dyDescent="0.3">
      <c r="B238" s="37"/>
      <c r="C238" s="45" t="s">
        <v>1816</v>
      </c>
      <c r="D238" s="46" t="s">
        <v>1817</v>
      </c>
      <c r="E238" s="42" t="s">
        <v>122</v>
      </c>
      <c r="F238" s="46" t="s">
        <v>1327</v>
      </c>
      <c r="G238" s="47" t="s">
        <v>1328</v>
      </c>
      <c r="H238" s="48" t="s">
        <v>1171</v>
      </c>
    </row>
    <row r="239" spans="2:8" ht="205.5" customHeight="1" thickBot="1" x14ac:dyDescent="0.3">
      <c r="B239" s="37"/>
      <c r="C239" s="45" t="s">
        <v>1818</v>
      </c>
      <c r="D239" s="46" t="s">
        <v>1819</v>
      </c>
      <c r="E239" s="42" t="s">
        <v>122</v>
      </c>
      <c r="F239" s="46" t="s">
        <v>1331</v>
      </c>
      <c r="G239" s="47" t="s">
        <v>1332</v>
      </c>
      <c r="H239" s="48" t="s">
        <v>1171</v>
      </c>
    </row>
    <row r="240" spans="2:8" ht="111" customHeight="1" thickBot="1" x14ac:dyDescent="0.3">
      <c r="B240" s="37"/>
      <c r="C240" s="45" t="s">
        <v>1820</v>
      </c>
      <c r="D240" s="46" t="s">
        <v>1556</v>
      </c>
      <c r="E240" s="42" t="s">
        <v>122</v>
      </c>
      <c r="F240" s="46" t="s">
        <v>1821</v>
      </c>
      <c r="G240" s="47" t="s">
        <v>1336</v>
      </c>
      <c r="H240" s="48" t="s">
        <v>1171</v>
      </c>
    </row>
    <row r="241" spans="2:8" ht="95.25" customHeight="1" thickBot="1" x14ac:dyDescent="0.3">
      <c r="B241" s="37"/>
      <c r="C241" s="45" t="s">
        <v>1822</v>
      </c>
      <c r="D241" s="46" t="s">
        <v>1338</v>
      </c>
      <c r="E241" s="42" t="s">
        <v>122</v>
      </c>
      <c r="F241" s="46" t="s">
        <v>1339</v>
      </c>
      <c r="G241" s="47" t="s">
        <v>1340</v>
      </c>
      <c r="H241" s="48" t="s">
        <v>1171</v>
      </c>
    </row>
    <row r="242" spans="2:8" ht="126.75" customHeight="1" thickBot="1" x14ac:dyDescent="0.3">
      <c r="B242" s="37"/>
      <c r="C242" s="45" t="s">
        <v>1823</v>
      </c>
      <c r="D242" s="46" t="s">
        <v>1342</v>
      </c>
      <c r="E242" s="42" t="s">
        <v>122</v>
      </c>
      <c r="F242" s="46" t="s">
        <v>1343</v>
      </c>
      <c r="G242" s="47" t="s">
        <v>1344</v>
      </c>
      <c r="H242" s="48" t="s">
        <v>1171</v>
      </c>
    </row>
    <row r="243" spans="2:8" ht="126.75" customHeight="1" thickBot="1" x14ac:dyDescent="0.3">
      <c r="B243" s="37"/>
      <c r="C243" s="45" t="s">
        <v>1824</v>
      </c>
      <c r="D243" s="46" t="s">
        <v>1346</v>
      </c>
      <c r="E243" s="42" t="s">
        <v>122</v>
      </c>
      <c r="F243" s="46" t="s">
        <v>1347</v>
      </c>
      <c r="G243" s="47" t="s">
        <v>1348</v>
      </c>
      <c r="H243" s="48" t="s">
        <v>1171</v>
      </c>
    </row>
    <row r="244" spans="2:8" ht="126.75" customHeight="1" thickBot="1" x14ac:dyDescent="0.3">
      <c r="B244" s="37"/>
      <c r="C244" s="45" t="s">
        <v>1825</v>
      </c>
      <c r="D244" s="46" t="s">
        <v>1350</v>
      </c>
      <c r="E244" s="42" t="s">
        <v>122</v>
      </c>
      <c r="F244" s="46" t="s">
        <v>1351</v>
      </c>
      <c r="G244" s="47" t="s">
        <v>1352</v>
      </c>
      <c r="H244" s="48" t="s">
        <v>1171</v>
      </c>
    </row>
    <row r="245" spans="2:8" ht="126.75" customHeight="1" thickBot="1" x14ac:dyDescent="0.3">
      <c r="B245" s="37"/>
      <c r="C245" s="45" t="s">
        <v>1826</v>
      </c>
      <c r="D245" s="46" t="s">
        <v>1354</v>
      </c>
      <c r="E245" s="42" t="s">
        <v>122</v>
      </c>
      <c r="F245" s="46" t="s">
        <v>1355</v>
      </c>
      <c r="G245" s="47" t="s">
        <v>1356</v>
      </c>
      <c r="H245" s="48" t="s">
        <v>1171</v>
      </c>
    </row>
    <row r="246" spans="2:8" ht="111" customHeight="1" thickBot="1" x14ac:dyDescent="0.3">
      <c r="B246" s="37"/>
      <c r="C246" s="45" t="s">
        <v>1827</v>
      </c>
      <c r="D246" s="46" t="s">
        <v>1358</v>
      </c>
      <c r="E246" s="42" t="s">
        <v>122</v>
      </c>
      <c r="F246" s="46" t="s">
        <v>1359</v>
      </c>
      <c r="G246" s="47" t="s">
        <v>1360</v>
      </c>
      <c r="H246" s="48" t="s">
        <v>1171</v>
      </c>
    </row>
    <row r="247" spans="2:8" ht="111" customHeight="1" thickBot="1" x14ac:dyDescent="0.3">
      <c r="B247" s="37"/>
      <c r="C247" s="45" t="s">
        <v>1828</v>
      </c>
      <c r="D247" s="46" t="s">
        <v>1362</v>
      </c>
      <c r="E247" s="42" t="s">
        <v>122</v>
      </c>
      <c r="F247" s="46" t="s">
        <v>1363</v>
      </c>
      <c r="G247" s="47" t="s">
        <v>1364</v>
      </c>
      <c r="H247" s="48" t="s">
        <v>1171</v>
      </c>
    </row>
    <row r="248" spans="2:8" ht="111" customHeight="1" thickBot="1" x14ac:dyDescent="0.3">
      <c r="B248" s="37"/>
      <c r="C248" s="45" t="s">
        <v>1829</v>
      </c>
      <c r="D248" s="46" t="s">
        <v>1366</v>
      </c>
      <c r="E248" s="42" t="s">
        <v>122</v>
      </c>
      <c r="F248" s="46" t="s">
        <v>1367</v>
      </c>
      <c r="G248" s="47" t="s">
        <v>1368</v>
      </c>
      <c r="H248" s="48" t="s">
        <v>1171</v>
      </c>
    </row>
    <row r="249" spans="2:8" ht="111" customHeight="1" thickBot="1" x14ac:dyDescent="0.3">
      <c r="B249" s="37"/>
      <c r="C249" s="45" t="s">
        <v>1830</v>
      </c>
      <c r="D249" s="46" t="s">
        <v>1831</v>
      </c>
      <c r="E249" s="42" t="s">
        <v>122</v>
      </c>
      <c r="F249" s="46" t="s">
        <v>1371</v>
      </c>
      <c r="G249" s="47" t="s">
        <v>1372</v>
      </c>
      <c r="H249" s="48" t="s">
        <v>1171</v>
      </c>
    </row>
    <row r="250" spans="2:8" ht="79.5" customHeight="1" thickBot="1" x14ac:dyDescent="0.3">
      <c r="B250" s="37"/>
      <c r="C250" s="45" t="s">
        <v>1832</v>
      </c>
      <c r="D250" s="46" t="s">
        <v>1833</v>
      </c>
      <c r="E250" s="42" t="s">
        <v>122</v>
      </c>
      <c r="F250" s="46" t="s">
        <v>1375</v>
      </c>
      <c r="G250" s="47" t="s">
        <v>1376</v>
      </c>
      <c r="H250" s="48" t="s">
        <v>1171</v>
      </c>
    </row>
    <row r="251" spans="2:8" ht="158.25" customHeight="1" thickBot="1" x14ac:dyDescent="0.3">
      <c r="B251" s="37"/>
      <c r="C251" s="45" t="s">
        <v>1834</v>
      </c>
      <c r="D251" s="46" t="s">
        <v>1835</v>
      </c>
      <c r="E251" s="42" t="s">
        <v>122</v>
      </c>
      <c r="F251" s="46" t="s">
        <v>1379</v>
      </c>
      <c r="G251" s="47" t="s">
        <v>1380</v>
      </c>
      <c r="H251" s="48" t="s">
        <v>1171</v>
      </c>
    </row>
    <row r="252" spans="2:8" ht="79.5" customHeight="1" thickBot="1" x14ac:dyDescent="0.3">
      <c r="B252" s="37"/>
      <c r="C252" s="45" t="s">
        <v>1836</v>
      </c>
      <c r="D252" s="46" t="s">
        <v>1837</v>
      </c>
      <c r="E252" s="42" t="s">
        <v>122</v>
      </c>
      <c r="F252" s="46" t="s">
        <v>1383</v>
      </c>
      <c r="G252" s="47" t="s">
        <v>1384</v>
      </c>
      <c r="H252" s="48" t="s">
        <v>1171</v>
      </c>
    </row>
    <row r="253" spans="2:8" ht="63.75" customHeight="1" thickBot="1" x14ac:dyDescent="0.3">
      <c r="B253" s="37"/>
      <c r="C253" s="45" t="s">
        <v>1838</v>
      </c>
      <c r="D253" s="46" t="s">
        <v>1386</v>
      </c>
      <c r="E253" s="42" t="s">
        <v>122</v>
      </c>
      <c r="F253" s="46" t="s">
        <v>1387</v>
      </c>
      <c r="G253" s="47" t="s">
        <v>1388</v>
      </c>
      <c r="H253" s="48" t="s">
        <v>1171</v>
      </c>
    </row>
    <row r="254" spans="2:8" ht="126.75" customHeight="1" thickBot="1" x14ac:dyDescent="0.3">
      <c r="B254" s="37"/>
      <c r="C254" s="45" t="s">
        <v>1839</v>
      </c>
      <c r="D254" s="46" t="s">
        <v>1840</v>
      </c>
      <c r="E254" s="42" t="s">
        <v>122</v>
      </c>
      <c r="F254" s="46" t="s">
        <v>1391</v>
      </c>
      <c r="G254" s="47" t="s">
        <v>1392</v>
      </c>
      <c r="H254" s="48" t="s">
        <v>1171</v>
      </c>
    </row>
    <row r="255" spans="2:8" ht="174" customHeight="1" thickBot="1" x14ac:dyDescent="0.3">
      <c r="B255" s="37"/>
      <c r="C255" s="45" t="s">
        <v>1841</v>
      </c>
      <c r="D255" s="46" t="s">
        <v>1394</v>
      </c>
      <c r="E255" s="42" t="s">
        <v>122</v>
      </c>
      <c r="F255" s="46" t="s">
        <v>1395</v>
      </c>
      <c r="G255" s="47" t="s">
        <v>1396</v>
      </c>
      <c r="H255" s="48" t="s">
        <v>1171</v>
      </c>
    </row>
    <row r="256" spans="2:8" ht="95.25" customHeight="1" thickBot="1" x14ac:dyDescent="0.3">
      <c r="B256" s="37"/>
      <c r="C256" s="45" t="s">
        <v>1842</v>
      </c>
      <c r="D256" s="46" t="s">
        <v>1843</v>
      </c>
      <c r="E256" s="42" t="s">
        <v>122</v>
      </c>
      <c r="F256" s="46" t="s">
        <v>1399</v>
      </c>
      <c r="G256" s="47" t="s">
        <v>1400</v>
      </c>
      <c r="H256" s="48" t="s">
        <v>1171</v>
      </c>
    </row>
    <row r="257" spans="2:8" ht="63.75" customHeight="1" thickBot="1" x14ac:dyDescent="0.3">
      <c r="B257" s="37"/>
      <c r="C257" s="45" t="s">
        <v>1844</v>
      </c>
      <c r="D257" s="46" t="s">
        <v>1845</v>
      </c>
      <c r="E257" s="42" t="s">
        <v>122</v>
      </c>
      <c r="F257" s="46" t="s">
        <v>1403</v>
      </c>
      <c r="G257" s="47" t="s">
        <v>1404</v>
      </c>
      <c r="H257" s="48" t="s">
        <v>1171</v>
      </c>
    </row>
    <row r="258" spans="2:8" ht="95.25" customHeight="1" thickBot="1" x14ac:dyDescent="0.3">
      <c r="B258" s="37"/>
      <c r="C258" s="45" t="s">
        <v>1846</v>
      </c>
      <c r="D258" s="46" t="s">
        <v>1426</v>
      </c>
      <c r="E258" s="42" t="s">
        <v>122</v>
      </c>
      <c r="F258" s="46" t="s">
        <v>1427</v>
      </c>
      <c r="G258" s="47" t="s">
        <v>1428</v>
      </c>
      <c r="H258" s="48" t="s">
        <v>1171</v>
      </c>
    </row>
    <row r="259" spans="2:8" ht="79.5" customHeight="1" thickBot="1" x14ac:dyDescent="0.3">
      <c r="B259" s="37"/>
      <c r="C259" s="45" t="s">
        <v>1847</v>
      </c>
      <c r="D259" s="46" t="s">
        <v>1430</v>
      </c>
      <c r="E259" s="42" t="s">
        <v>122</v>
      </c>
      <c r="F259" s="46" t="s">
        <v>1431</v>
      </c>
      <c r="G259" s="47" t="s">
        <v>1432</v>
      </c>
      <c r="H259" s="48" t="s">
        <v>1171</v>
      </c>
    </row>
    <row r="260" spans="2:8" ht="63.75" customHeight="1" thickBot="1" x14ac:dyDescent="0.3">
      <c r="B260" s="37"/>
      <c r="C260" s="45" t="s">
        <v>1848</v>
      </c>
      <c r="D260" s="46" t="s">
        <v>1731</v>
      </c>
      <c r="E260" s="42" t="s">
        <v>122</v>
      </c>
      <c r="F260" s="46" t="s">
        <v>1435</v>
      </c>
      <c r="G260" s="47" t="s">
        <v>1436</v>
      </c>
      <c r="H260" s="48" t="s">
        <v>1171</v>
      </c>
    </row>
    <row r="261" spans="2:8" ht="111" customHeight="1" thickBot="1" x14ac:dyDescent="0.3">
      <c r="B261" s="37"/>
      <c r="C261" s="45" t="s">
        <v>1849</v>
      </c>
      <c r="D261" s="46" t="s">
        <v>1438</v>
      </c>
      <c r="E261" s="42" t="s">
        <v>122</v>
      </c>
      <c r="F261" s="46" t="s">
        <v>1439</v>
      </c>
      <c r="G261" s="47" t="s">
        <v>1440</v>
      </c>
      <c r="H261" s="48" t="s">
        <v>1171</v>
      </c>
    </row>
    <row r="262" spans="2:8" ht="79.5" customHeight="1" thickBot="1" x14ac:dyDescent="0.3">
      <c r="B262" s="37"/>
      <c r="C262" s="45" t="s">
        <v>1850</v>
      </c>
      <c r="D262" s="46" t="s">
        <v>1442</v>
      </c>
      <c r="E262" s="42" t="s">
        <v>122</v>
      </c>
      <c r="F262" s="46" t="s">
        <v>1443</v>
      </c>
      <c r="G262" s="47" t="s">
        <v>1444</v>
      </c>
      <c r="H262" s="48" t="s">
        <v>1171</v>
      </c>
    </row>
    <row r="263" spans="2:8" ht="79.5" customHeight="1" thickBot="1" x14ac:dyDescent="0.3">
      <c r="B263" s="37"/>
      <c r="C263" s="45" t="s">
        <v>1851</v>
      </c>
      <c r="D263" s="46" t="s">
        <v>1446</v>
      </c>
      <c r="E263" s="42" t="s">
        <v>122</v>
      </c>
      <c r="F263" s="46" t="s">
        <v>1447</v>
      </c>
      <c r="G263" s="47" t="s">
        <v>1448</v>
      </c>
      <c r="H263" s="48" t="s">
        <v>1171</v>
      </c>
    </row>
    <row r="264" spans="2:8" ht="79.5" customHeight="1" thickBot="1" x14ac:dyDescent="0.3">
      <c r="B264" s="37"/>
      <c r="C264" s="45" t="s">
        <v>1852</v>
      </c>
      <c r="D264" s="46" t="s">
        <v>1450</v>
      </c>
      <c r="E264" s="42" t="s">
        <v>122</v>
      </c>
      <c r="F264" s="46" t="s">
        <v>1451</v>
      </c>
      <c r="G264" s="47" t="s">
        <v>1452</v>
      </c>
      <c r="H264" s="48" t="s">
        <v>1171</v>
      </c>
    </row>
    <row r="265" spans="2:8" ht="63.75" customHeight="1" thickBot="1" x14ac:dyDescent="0.3">
      <c r="B265" s="37"/>
      <c r="C265" s="45" t="s">
        <v>1853</v>
      </c>
      <c r="D265" s="46" t="s">
        <v>1454</v>
      </c>
      <c r="E265" s="42" t="s">
        <v>122</v>
      </c>
      <c r="F265" s="46" t="s">
        <v>1455</v>
      </c>
      <c r="G265" s="47" t="s">
        <v>1456</v>
      </c>
      <c r="H265" s="48" t="s">
        <v>1171</v>
      </c>
    </row>
    <row r="266" spans="2:8" ht="80.25" customHeight="1" thickBot="1" x14ac:dyDescent="0.3">
      <c r="B266" s="37"/>
      <c r="C266" s="45" t="s">
        <v>1854</v>
      </c>
      <c r="D266" s="46" t="s">
        <v>1458</v>
      </c>
      <c r="E266" s="42" t="s">
        <v>122</v>
      </c>
      <c r="F266" s="46" t="s">
        <v>1459</v>
      </c>
      <c r="G266" s="47" t="s">
        <v>1460</v>
      </c>
      <c r="H266" s="48" t="s">
        <v>1171</v>
      </c>
    </row>
    <row r="267" spans="2:8" ht="79.5" customHeight="1" thickBot="1" x14ac:dyDescent="0.3">
      <c r="B267" s="37"/>
      <c r="C267" s="45" t="s">
        <v>1855</v>
      </c>
      <c r="D267" s="46" t="s">
        <v>1856</v>
      </c>
      <c r="E267" s="42" t="s">
        <v>122</v>
      </c>
      <c r="F267" s="46" t="s">
        <v>1463</v>
      </c>
      <c r="G267" s="47" t="s">
        <v>1464</v>
      </c>
      <c r="H267" s="48" t="s">
        <v>1171</v>
      </c>
    </row>
    <row r="268" spans="2:8" ht="95.25" customHeight="1" thickBot="1" x14ac:dyDescent="0.3">
      <c r="B268" s="37"/>
      <c r="C268" s="45" t="s">
        <v>1857</v>
      </c>
      <c r="D268" s="46" t="s">
        <v>1466</v>
      </c>
      <c r="E268" s="42" t="s">
        <v>122</v>
      </c>
      <c r="F268" s="46" t="s">
        <v>1467</v>
      </c>
      <c r="G268" s="47" t="s">
        <v>1468</v>
      </c>
      <c r="H268" s="48" t="s">
        <v>1171</v>
      </c>
    </row>
    <row r="269" spans="2:8" ht="63.75" customHeight="1" thickBot="1" x14ac:dyDescent="0.3">
      <c r="B269" s="37"/>
      <c r="C269" s="45" t="s">
        <v>1858</v>
      </c>
      <c r="D269" s="46" t="s">
        <v>1470</v>
      </c>
      <c r="E269" s="42" t="s">
        <v>122</v>
      </c>
      <c r="F269" s="46" t="s">
        <v>1471</v>
      </c>
      <c r="G269" s="47" t="s">
        <v>1472</v>
      </c>
      <c r="H269" s="48" t="s">
        <v>1171</v>
      </c>
    </row>
    <row r="270" spans="2:8" ht="111" customHeight="1" thickBot="1" x14ac:dyDescent="0.3">
      <c r="B270" s="37"/>
      <c r="C270" s="45" t="s">
        <v>1859</v>
      </c>
      <c r="D270" s="46" t="s">
        <v>1474</v>
      </c>
      <c r="E270" s="42" t="s">
        <v>122</v>
      </c>
      <c r="F270" s="46" t="s">
        <v>1475</v>
      </c>
      <c r="G270" s="47" t="s">
        <v>1476</v>
      </c>
      <c r="H270" s="48" t="s">
        <v>1171</v>
      </c>
    </row>
    <row r="271" spans="2:8" ht="142.5" customHeight="1" thickBot="1" x14ac:dyDescent="0.3">
      <c r="B271" s="37"/>
      <c r="C271" s="45" t="s">
        <v>1860</v>
      </c>
      <c r="D271" s="46" t="s">
        <v>1861</v>
      </c>
      <c r="E271" s="42" t="s">
        <v>122</v>
      </c>
      <c r="F271" s="46" t="s">
        <v>1479</v>
      </c>
      <c r="G271" s="47" t="s">
        <v>1480</v>
      </c>
      <c r="H271" s="48" t="s">
        <v>1171</v>
      </c>
    </row>
    <row r="272" spans="2:8" ht="95.25" customHeight="1" thickBot="1" x14ac:dyDescent="0.3">
      <c r="B272" s="37"/>
      <c r="C272" s="40" t="s">
        <v>1862</v>
      </c>
      <c r="D272" s="41" t="s">
        <v>1863</v>
      </c>
      <c r="E272" s="49" t="s">
        <v>125</v>
      </c>
      <c r="F272" s="41" t="s">
        <v>1864</v>
      </c>
      <c r="G272" s="43" t="s">
        <v>1865</v>
      </c>
      <c r="H272" s="48" t="s">
        <v>1171</v>
      </c>
    </row>
    <row r="273" spans="2:8" ht="63.75" customHeight="1" thickBot="1" x14ac:dyDescent="0.3">
      <c r="B273" s="37"/>
      <c r="C273" s="45" t="s">
        <v>1866</v>
      </c>
      <c r="D273" s="46" t="s">
        <v>1867</v>
      </c>
      <c r="E273" s="49" t="s">
        <v>125</v>
      </c>
      <c r="F273" s="46" t="s">
        <v>1868</v>
      </c>
      <c r="G273" s="47" t="s">
        <v>1869</v>
      </c>
      <c r="H273" s="48" t="s">
        <v>1171</v>
      </c>
    </row>
    <row r="274" spans="2:8" ht="79.5" customHeight="1" thickBot="1" x14ac:dyDescent="0.3">
      <c r="B274" s="37"/>
      <c r="C274" s="45" t="s">
        <v>1870</v>
      </c>
      <c r="D274" s="46" t="s">
        <v>1871</v>
      </c>
      <c r="E274" s="49" t="s">
        <v>125</v>
      </c>
      <c r="F274" s="46" t="s">
        <v>1872</v>
      </c>
      <c r="G274" s="47" t="s">
        <v>1873</v>
      </c>
      <c r="H274" s="48" t="s">
        <v>1171</v>
      </c>
    </row>
    <row r="275" spans="2:8" ht="79.5" customHeight="1" thickBot="1" x14ac:dyDescent="0.3">
      <c r="B275" s="37"/>
      <c r="C275" s="45" t="s">
        <v>1874</v>
      </c>
      <c r="D275" s="46" t="s">
        <v>1875</v>
      </c>
      <c r="E275" s="49" t="s">
        <v>125</v>
      </c>
      <c r="F275" s="46" t="s">
        <v>1876</v>
      </c>
      <c r="G275" s="47" t="s">
        <v>1877</v>
      </c>
      <c r="H275" s="48" t="s">
        <v>1171</v>
      </c>
    </row>
    <row r="276" spans="2:8" ht="126.75" customHeight="1" thickBot="1" x14ac:dyDescent="0.3">
      <c r="B276" s="37"/>
      <c r="C276" s="45" t="s">
        <v>1878</v>
      </c>
      <c r="D276" s="46" t="s">
        <v>1879</v>
      </c>
      <c r="E276" s="49" t="s">
        <v>125</v>
      </c>
      <c r="F276" s="46" t="s">
        <v>1186</v>
      </c>
      <c r="G276" s="47" t="s">
        <v>1187</v>
      </c>
      <c r="H276" s="48" t="s">
        <v>1171</v>
      </c>
    </row>
    <row r="277" spans="2:8" ht="126.75" customHeight="1" thickBot="1" x14ac:dyDescent="0.3">
      <c r="B277" s="37"/>
      <c r="C277" s="45" t="s">
        <v>1880</v>
      </c>
      <c r="D277" s="46" t="s">
        <v>1881</v>
      </c>
      <c r="E277" s="49" t="s">
        <v>125</v>
      </c>
      <c r="F277" s="46" t="s">
        <v>1495</v>
      </c>
      <c r="G277" s="47" t="s">
        <v>1496</v>
      </c>
      <c r="H277" s="48" t="s">
        <v>1171</v>
      </c>
    </row>
    <row r="278" spans="2:8" ht="95.25" customHeight="1" thickBot="1" x14ac:dyDescent="0.3">
      <c r="B278" s="37"/>
      <c r="C278" s="45" t="s">
        <v>1882</v>
      </c>
      <c r="D278" s="46" t="s">
        <v>1498</v>
      </c>
      <c r="E278" s="49" t="s">
        <v>125</v>
      </c>
      <c r="F278" s="46" t="s">
        <v>1194</v>
      </c>
      <c r="G278" s="47" t="s">
        <v>1499</v>
      </c>
      <c r="H278" s="48" t="s">
        <v>1171</v>
      </c>
    </row>
    <row r="279" spans="2:8" ht="237" customHeight="1" thickBot="1" x14ac:dyDescent="0.3">
      <c r="B279" s="37"/>
      <c r="C279" s="45" t="s">
        <v>1883</v>
      </c>
      <c r="D279" s="46" t="s">
        <v>1884</v>
      </c>
      <c r="E279" s="49" t="s">
        <v>125</v>
      </c>
      <c r="F279" s="46" t="s">
        <v>1885</v>
      </c>
      <c r="G279" s="47" t="s">
        <v>1886</v>
      </c>
      <c r="H279" s="48" t="s">
        <v>1171</v>
      </c>
    </row>
    <row r="280" spans="2:8" ht="142.5" customHeight="1" thickBot="1" x14ac:dyDescent="0.3">
      <c r="B280" s="37"/>
      <c r="C280" s="45" t="s">
        <v>1887</v>
      </c>
      <c r="D280" s="46" t="s">
        <v>1888</v>
      </c>
      <c r="E280" s="49" t="s">
        <v>125</v>
      </c>
      <c r="F280" s="46" t="s">
        <v>1768</v>
      </c>
      <c r="G280" s="47" t="s">
        <v>1889</v>
      </c>
      <c r="H280" s="48" t="s">
        <v>1171</v>
      </c>
    </row>
    <row r="281" spans="2:8" ht="142.5" customHeight="1" thickBot="1" x14ac:dyDescent="0.3">
      <c r="B281" s="37"/>
      <c r="C281" s="45" t="s">
        <v>1890</v>
      </c>
      <c r="D281" s="46" t="s">
        <v>1771</v>
      </c>
      <c r="E281" s="49" t="s">
        <v>125</v>
      </c>
      <c r="F281" s="46" t="s">
        <v>1772</v>
      </c>
      <c r="G281" s="47" t="s">
        <v>1773</v>
      </c>
      <c r="H281" s="48" t="s">
        <v>1171</v>
      </c>
    </row>
    <row r="282" spans="2:8" ht="126.75" customHeight="1" thickBot="1" x14ac:dyDescent="0.3">
      <c r="B282" s="37"/>
      <c r="C282" s="45" t="s">
        <v>1891</v>
      </c>
      <c r="D282" s="46" t="s">
        <v>1642</v>
      </c>
      <c r="E282" s="49" t="s">
        <v>125</v>
      </c>
      <c r="F282" s="46" t="s">
        <v>1509</v>
      </c>
      <c r="G282" s="47" t="s">
        <v>1211</v>
      </c>
      <c r="H282" s="48" t="s">
        <v>1171</v>
      </c>
    </row>
    <row r="283" spans="2:8" ht="111" customHeight="1" thickBot="1" x14ac:dyDescent="0.3">
      <c r="B283" s="37"/>
      <c r="C283" s="45" t="s">
        <v>1892</v>
      </c>
      <c r="D283" s="46" t="s">
        <v>1213</v>
      </c>
      <c r="E283" s="49" t="s">
        <v>125</v>
      </c>
      <c r="F283" s="46" t="s">
        <v>1214</v>
      </c>
      <c r="G283" s="47" t="s">
        <v>1215</v>
      </c>
      <c r="H283" s="48" t="s">
        <v>1171</v>
      </c>
    </row>
    <row r="284" spans="2:8" ht="111" customHeight="1" thickBot="1" x14ac:dyDescent="0.3">
      <c r="B284" s="37"/>
      <c r="C284" s="45" t="s">
        <v>1893</v>
      </c>
      <c r="D284" s="46" t="s">
        <v>1512</v>
      </c>
      <c r="E284" s="49" t="s">
        <v>125</v>
      </c>
      <c r="F284" s="46" t="s">
        <v>1513</v>
      </c>
      <c r="G284" s="47" t="s">
        <v>1219</v>
      </c>
      <c r="H284" s="48" t="s">
        <v>1171</v>
      </c>
    </row>
    <row r="285" spans="2:8" ht="79.5" customHeight="1" thickBot="1" x14ac:dyDescent="0.3">
      <c r="B285" s="37"/>
      <c r="C285" s="45" t="s">
        <v>1894</v>
      </c>
      <c r="D285" s="46" t="s">
        <v>1221</v>
      </c>
      <c r="E285" s="49" t="s">
        <v>125</v>
      </c>
      <c r="F285" s="46" t="s">
        <v>1222</v>
      </c>
      <c r="G285" s="47" t="s">
        <v>1223</v>
      </c>
      <c r="H285" s="48" t="s">
        <v>1171</v>
      </c>
    </row>
    <row r="286" spans="2:8" ht="158.25" customHeight="1" thickBot="1" x14ac:dyDescent="0.3">
      <c r="B286" s="37"/>
      <c r="C286" s="45" t="s">
        <v>1895</v>
      </c>
      <c r="D286" s="46" t="s">
        <v>1780</v>
      </c>
      <c r="E286" s="49" t="s">
        <v>125</v>
      </c>
      <c r="F286" s="46" t="s">
        <v>1516</v>
      </c>
      <c r="G286" s="47" t="s">
        <v>1227</v>
      </c>
      <c r="H286" s="48" t="s">
        <v>1171</v>
      </c>
    </row>
    <row r="287" spans="2:8" ht="158.25" customHeight="1" thickBot="1" x14ac:dyDescent="0.3">
      <c r="B287" s="37"/>
      <c r="C287" s="45" t="s">
        <v>1896</v>
      </c>
      <c r="D287" s="46" t="s">
        <v>1897</v>
      </c>
      <c r="E287" s="49" t="s">
        <v>125</v>
      </c>
      <c r="F287" s="46" t="s">
        <v>1898</v>
      </c>
      <c r="G287" s="47" t="s">
        <v>1899</v>
      </c>
      <c r="H287" s="48" t="s">
        <v>1171</v>
      </c>
    </row>
    <row r="288" spans="2:8" ht="189.75" customHeight="1" thickBot="1" x14ac:dyDescent="0.3">
      <c r="B288" s="37"/>
      <c r="C288" s="45" t="s">
        <v>1900</v>
      </c>
      <c r="D288" s="46" t="s">
        <v>1901</v>
      </c>
      <c r="E288" s="49" t="s">
        <v>125</v>
      </c>
      <c r="F288" s="46" t="s">
        <v>1262</v>
      </c>
      <c r="G288" s="47" t="s">
        <v>1520</v>
      </c>
      <c r="H288" s="48" t="s">
        <v>1171</v>
      </c>
    </row>
    <row r="289" spans="2:8" ht="189.75" customHeight="1" thickBot="1" x14ac:dyDescent="0.3">
      <c r="B289" s="37"/>
      <c r="C289" s="45" t="s">
        <v>1902</v>
      </c>
      <c r="D289" s="46" t="s">
        <v>1676</v>
      </c>
      <c r="E289" s="49" t="s">
        <v>125</v>
      </c>
      <c r="F289" s="46" t="s">
        <v>1677</v>
      </c>
      <c r="G289" s="47" t="s">
        <v>1903</v>
      </c>
      <c r="H289" s="48" t="s">
        <v>1171</v>
      </c>
    </row>
    <row r="290" spans="2:8" ht="237" customHeight="1" thickBot="1" x14ac:dyDescent="0.3">
      <c r="B290" s="37"/>
      <c r="C290" s="45" t="s">
        <v>1904</v>
      </c>
      <c r="D290" s="46" t="s">
        <v>1905</v>
      </c>
      <c r="E290" s="49" t="s">
        <v>125</v>
      </c>
      <c r="F290" s="46" t="s">
        <v>1906</v>
      </c>
      <c r="G290" s="47" t="s">
        <v>1907</v>
      </c>
      <c r="H290" s="48" t="s">
        <v>1171</v>
      </c>
    </row>
    <row r="291" spans="2:8" ht="189.75" customHeight="1" thickBot="1" x14ac:dyDescent="0.3">
      <c r="B291" s="37"/>
      <c r="C291" s="45" t="s">
        <v>1908</v>
      </c>
      <c r="D291" s="46" t="s">
        <v>1909</v>
      </c>
      <c r="E291" s="49" t="s">
        <v>125</v>
      </c>
      <c r="F291" s="46" t="s">
        <v>1684</v>
      </c>
      <c r="G291" s="47" t="s">
        <v>1531</v>
      </c>
      <c r="H291" s="48" t="s">
        <v>1171</v>
      </c>
    </row>
    <row r="292" spans="2:8" ht="189.75" customHeight="1" thickBot="1" x14ac:dyDescent="0.3">
      <c r="B292" s="37"/>
      <c r="C292" s="45" t="s">
        <v>1910</v>
      </c>
      <c r="D292" s="46" t="s">
        <v>1537</v>
      </c>
      <c r="E292" s="49" t="s">
        <v>125</v>
      </c>
      <c r="F292" s="46" t="s">
        <v>1690</v>
      </c>
      <c r="G292" s="47" t="s">
        <v>1539</v>
      </c>
      <c r="H292" s="48" t="s">
        <v>1171</v>
      </c>
    </row>
    <row r="293" spans="2:8" ht="252.75" customHeight="1" thickBot="1" x14ac:dyDescent="0.3">
      <c r="B293" s="37"/>
      <c r="C293" s="45" t="s">
        <v>1911</v>
      </c>
      <c r="D293" s="46" t="s">
        <v>1912</v>
      </c>
      <c r="E293" s="49" t="s">
        <v>125</v>
      </c>
      <c r="F293" s="46" t="s">
        <v>1258</v>
      </c>
      <c r="G293" s="47" t="s">
        <v>1700</v>
      </c>
      <c r="H293" s="48" t="s">
        <v>1171</v>
      </c>
    </row>
    <row r="294" spans="2:8" ht="158.25" customHeight="1" thickBot="1" x14ac:dyDescent="0.3">
      <c r="B294" s="37"/>
      <c r="C294" s="45" t="s">
        <v>1913</v>
      </c>
      <c r="D294" s="46" t="s">
        <v>1810</v>
      </c>
      <c r="E294" s="49" t="s">
        <v>125</v>
      </c>
      <c r="F294" s="46" t="s">
        <v>1545</v>
      </c>
      <c r="G294" s="47" t="s">
        <v>1316</v>
      </c>
      <c r="H294" s="48" t="s">
        <v>1171</v>
      </c>
    </row>
    <row r="295" spans="2:8" ht="126.75" customHeight="1" thickBot="1" x14ac:dyDescent="0.3">
      <c r="B295" s="37"/>
      <c r="C295" s="45" t="s">
        <v>1914</v>
      </c>
      <c r="D295" s="46" t="s">
        <v>1915</v>
      </c>
      <c r="E295" s="49" t="s">
        <v>125</v>
      </c>
      <c r="F295" s="46" t="s">
        <v>1319</v>
      </c>
      <c r="G295" s="47" t="s">
        <v>1320</v>
      </c>
      <c r="H295" s="48" t="s">
        <v>1171</v>
      </c>
    </row>
    <row r="296" spans="2:8" ht="95.25" customHeight="1" thickBot="1" x14ac:dyDescent="0.3">
      <c r="B296" s="37"/>
      <c r="C296" s="45" t="s">
        <v>1916</v>
      </c>
      <c r="D296" s="46" t="s">
        <v>1917</v>
      </c>
      <c r="E296" s="49" t="s">
        <v>125</v>
      </c>
      <c r="F296" s="46" t="s">
        <v>1815</v>
      </c>
      <c r="G296" s="47" t="s">
        <v>1324</v>
      </c>
      <c r="H296" s="48" t="s">
        <v>1171</v>
      </c>
    </row>
    <row r="297" spans="2:8" ht="63.75" customHeight="1" thickBot="1" x14ac:dyDescent="0.3">
      <c r="B297" s="37"/>
      <c r="C297" s="45" t="s">
        <v>1918</v>
      </c>
      <c r="D297" s="46" t="s">
        <v>1919</v>
      </c>
      <c r="E297" s="49" t="s">
        <v>125</v>
      </c>
      <c r="F297" s="46" t="s">
        <v>1327</v>
      </c>
      <c r="G297" s="47" t="s">
        <v>1328</v>
      </c>
      <c r="H297" s="48" t="s">
        <v>1171</v>
      </c>
    </row>
    <row r="298" spans="2:8" ht="142.5" customHeight="1" thickBot="1" x14ac:dyDescent="0.3">
      <c r="B298" s="37"/>
      <c r="C298" s="45" t="s">
        <v>1920</v>
      </c>
      <c r="D298" s="46" t="s">
        <v>1921</v>
      </c>
      <c r="E298" s="49" t="s">
        <v>125</v>
      </c>
      <c r="F298" s="46" t="s">
        <v>1331</v>
      </c>
      <c r="G298" s="47" t="s">
        <v>1332</v>
      </c>
      <c r="H298" s="48" t="s">
        <v>1171</v>
      </c>
    </row>
    <row r="299" spans="2:8" ht="111" customHeight="1" thickBot="1" x14ac:dyDescent="0.3">
      <c r="B299" s="37"/>
      <c r="C299" s="45" t="s">
        <v>1922</v>
      </c>
      <c r="D299" s="46" t="s">
        <v>1556</v>
      </c>
      <c r="E299" s="49" t="s">
        <v>125</v>
      </c>
      <c r="F299" s="46" t="s">
        <v>1923</v>
      </c>
      <c r="G299" s="47" t="s">
        <v>1336</v>
      </c>
      <c r="H299" s="48" t="s">
        <v>1171</v>
      </c>
    </row>
    <row r="300" spans="2:8" ht="95.25" customHeight="1" thickBot="1" x14ac:dyDescent="0.3">
      <c r="B300" s="37"/>
      <c r="C300" s="45" t="s">
        <v>1924</v>
      </c>
      <c r="D300" s="46" t="s">
        <v>1338</v>
      </c>
      <c r="E300" s="49" t="s">
        <v>125</v>
      </c>
      <c r="F300" s="46" t="s">
        <v>1339</v>
      </c>
      <c r="G300" s="47" t="s">
        <v>1340</v>
      </c>
      <c r="H300" s="48" t="s">
        <v>1171</v>
      </c>
    </row>
    <row r="301" spans="2:8" ht="126.75" customHeight="1" thickBot="1" x14ac:dyDescent="0.3">
      <c r="B301" s="37"/>
      <c r="C301" s="45" t="s">
        <v>1925</v>
      </c>
      <c r="D301" s="46" t="s">
        <v>1342</v>
      </c>
      <c r="E301" s="49" t="s">
        <v>125</v>
      </c>
      <c r="F301" s="46" t="s">
        <v>1343</v>
      </c>
      <c r="G301" s="47" t="s">
        <v>1344</v>
      </c>
      <c r="H301" s="48" t="s">
        <v>1171</v>
      </c>
    </row>
    <row r="302" spans="2:8" ht="126.75" customHeight="1" thickBot="1" x14ac:dyDescent="0.3">
      <c r="B302" s="37"/>
      <c r="C302" s="45" t="s">
        <v>1926</v>
      </c>
      <c r="D302" s="46" t="s">
        <v>1346</v>
      </c>
      <c r="E302" s="49" t="s">
        <v>125</v>
      </c>
      <c r="F302" s="46" t="s">
        <v>1347</v>
      </c>
      <c r="G302" s="47" t="s">
        <v>1348</v>
      </c>
      <c r="H302" s="48" t="s">
        <v>1171</v>
      </c>
    </row>
    <row r="303" spans="2:8" ht="126.75" customHeight="1" thickBot="1" x14ac:dyDescent="0.3">
      <c r="B303" s="37"/>
      <c r="C303" s="45" t="s">
        <v>1927</v>
      </c>
      <c r="D303" s="46" t="s">
        <v>1350</v>
      </c>
      <c r="E303" s="49" t="s">
        <v>125</v>
      </c>
      <c r="F303" s="46" t="s">
        <v>1351</v>
      </c>
      <c r="G303" s="47" t="s">
        <v>1352</v>
      </c>
      <c r="H303" s="48" t="s">
        <v>1171</v>
      </c>
    </row>
    <row r="304" spans="2:8" ht="126.75" customHeight="1" thickBot="1" x14ac:dyDescent="0.3">
      <c r="B304" s="37"/>
      <c r="C304" s="45" t="s">
        <v>1928</v>
      </c>
      <c r="D304" s="46" t="s">
        <v>1354</v>
      </c>
      <c r="E304" s="49" t="s">
        <v>125</v>
      </c>
      <c r="F304" s="46" t="s">
        <v>1355</v>
      </c>
      <c r="G304" s="47" t="s">
        <v>1356</v>
      </c>
      <c r="H304" s="48" t="s">
        <v>1171</v>
      </c>
    </row>
    <row r="305" spans="2:8" ht="111" customHeight="1" thickBot="1" x14ac:dyDescent="0.3">
      <c r="B305" s="37"/>
      <c r="C305" s="45" t="s">
        <v>1929</v>
      </c>
      <c r="D305" s="46" t="s">
        <v>1358</v>
      </c>
      <c r="E305" s="49" t="s">
        <v>125</v>
      </c>
      <c r="F305" s="46" t="s">
        <v>1359</v>
      </c>
      <c r="G305" s="47" t="s">
        <v>1360</v>
      </c>
      <c r="H305" s="48" t="s">
        <v>1171</v>
      </c>
    </row>
    <row r="306" spans="2:8" ht="111" customHeight="1" thickBot="1" x14ac:dyDescent="0.3">
      <c r="B306" s="37"/>
      <c r="C306" s="45" t="s">
        <v>1930</v>
      </c>
      <c r="D306" s="46" t="s">
        <v>1362</v>
      </c>
      <c r="E306" s="49" t="s">
        <v>125</v>
      </c>
      <c r="F306" s="46" t="s">
        <v>1363</v>
      </c>
      <c r="G306" s="47" t="s">
        <v>1364</v>
      </c>
      <c r="H306" s="48" t="s">
        <v>1171</v>
      </c>
    </row>
    <row r="307" spans="2:8" ht="111" customHeight="1" thickBot="1" x14ac:dyDescent="0.3">
      <c r="B307" s="37"/>
      <c r="C307" s="45" t="s">
        <v>1931</v>
      </c>
      <c r="D307" s="46" t="s">
        <v>1366</v>
      </c>
      <c r="E307" s="49" t="s">
        <v>125</v>
      </c>
      <c r="F307" s="46" t="s">
        <v>1367</v>
      </c>
      <c r="G307" s="47" t="s">
        <v>1368</v>
      </c>
      <c r="H307" s="48" t="s">
        <v>1171</v>
      </c>
    </row>
    <row r="308" spans="2:8" ht="111" customHeight="1" thickBot="1" x14ac:dyDescent="0.3">
      <c r="B308" s="37"/>
      <c r="C308" s="45" t="s">
        <v>1932</v>
      </c>
      <c r="D308" s="46" t="s">
        <v>1933</v>
      </c>
      <c r="E308" s="49" t="s">
        <v>125</v>
      </c>
      <c r="F308" s="46" t="s">
        <v>1371</v>
      </c>
      <c r="G308" s="47" t="s">
        <v>1372</v>
      </c>
      <c r="H308" s="48" t="s">
        <v>1171</v>
      </c>
    </row>
    <row r="309" spans="2:8" ht="79.5" customHeight="1" thickBot="1" x14ac:dyDescent="0.3">
      <c r="B309" s="37"/>
      <c r="C309" s="45" t="s">
        <v>1934</v>
      </c>
      <c r="D309" s="46" t="s">
        <v>1935</v>
      </c>
      <c r="E309" s="49" t="s">
        <v>125</v>
      </c>
      <c r="F309" s="46" t="s">
        <v>1375</v>
      </c>
      <c r="G309" s="47" t="s">
        <v>1376</v>
      </c>
      <c r="H309" s="48" t="s">
        <v>1171</v>
      </c>
    </row>
    <row r="310" spans="2:8" ht="158.25" customHeight="1" thickBot="1" x14ac:dyDescent="0.3">
      <c r="B310" s="37"/>
      <c r="C310" s="45" t="s">
        <v>1936</v>
      </c>
      <c r="D310" s="46" t="s">
        <v>1937</v>
      </c>
      <c r="E310" s="49" t="s">
        <v>125</v>
      </c>
      <c r="F310" s="46" t="s">
        <v>1379</v>
      </c>
      <c r="G310" s="47" t="s">
        <v>1380</v>
      </c>
      <c r="H310" s="48" t="s">
        <v>1171</v>
      </c>
    </row>
    <row r="311" spans="2:8" ht="79.5" customHeight="1" thickBot="1" x14ac:dyDescent="0.3">
      <c r="B311" s="37"/>
      <c r="C311" s="45" t="s">
        <v>1938</v>
      </c>
      <c r="D311" s="46" t="s">
        <v>1939</v>
      </c>
      <c r="E311" s="49" t="s">
        <v>125</v>
      </c>
      <c r="F311" s="46" t="s">
        <v>1383</v>
      </c>
      <c r="G311" s="47" t="s">
        <v>1384</v>
      </c>
      <c r="H311" s="48" t="s">
        <v>1171</v>
      </c>
    </row>
    <row r="312" spans="2:8" ht="63.75" customHeight="1" thickBot="1" x14ac:dyDescent="0.3">
      <c r="B312" s="37"/>
      <c r="C312" s="45" t="s">
        <v>1940</v>
      </c>
      <c r="D312" s="46" t="s">
        <v>1386</v>
      </c>
      <c r="E312" s="49" t="s">
        <v>125</v>
      </c>
      <c r="F312" s="46" t="s">
        <v>1387</v>
      </c>
      <c r="G312" s="47" t="s">
        <v>1388</v>
      </c>
      <c r="H312" s="48" t="s">
        <v>1171</v>
      </c>
    </row>
    <row r="313" spans="2:8" ht="126.75" customHeight="1" thickBot="1" x14ac:dyDescent="0.3">
      <c r="B313" s="37"/>
      <c r="C313" s="45" t="s">
        <v>1941</v>
      </c>
      <c r="D313" s="46" t="s">
        <v>1942</v>
      </c>
      <c r="E313" s="49" t="s">
        <v>125</v>
      </c>
      <c r="F313" s="46" t="s">
        <v>1391</v>
      </c>
      <c r="G313" s="47" t="s">
        <v>1392</v>
      </c>
      <c r="H313" s="48" t="s">
        <v>1171</v>
      </c>
    </row>
    <row r="314" spans="2:8" ht="174" customHeight="1" thickBot="1" x14ac:dyDescent="0.3">
      <c r="B314" s="37"/>
      <c r="C314" s="45" t="s">
        <v>1943</v>
      </c>
      <c r="D314" s="46" t="s">
        <v>1394</v>
      </c>
      <c r="E314" s="49" t="s">
        <v>125</v>
      </c>
      <c r="F314" s="46" t="s">
        <v>1395</v>
      </c>
      <c r="G314" s="47" t="s">
        <v>1396</v>
      </c>
      <c r="H314" s="48" t="s">
        <v>1171</v>
      </c>
    </row>
    <row r="315" spans="2:8" ht="95.25" customHeight="1" thickBot="1" x14ac:dyDescent="0.3">
      <c r="B315" s="37"/>
      <c r="C315" s="45" t="s">
        <v>1944</v>
      </c>
      <c r="D315" s="46" t="s">
        <v>1843</v>
      </c>
      <c r="E315" s="49" t="s">
        <v>125</v>
      </c>
      <c r="F315" s="46" t="s">
        <v>1399</v>
      </c>
      <c r="G315" s="47" t="s">
        <v>1400</v>
      </c>
      <c r="H315" s="48" t="s">
        <v>1171</v>
      </c>
    </row>
    <row r="316" spans="2:8" ht="63.75" customHeight="1" thickBot="1" x14ac:dyDescent="0.3">
      <c r="B316" s="37"/>
      <c r="C316" s="45" t="s">
        <v>1945</v>
      </c>
      <c r="D316" s="46" t="s">
        <v>1946</v>
      </c>
      <c r="E316" s="49" t="s">
        <v>125</v>
      </c>
      <c r="F316" s="46" t="s">
        <v>1403</v>
      </c>
      <c r="G316" s="47" t="s">
        <v>1404</v>
      </c>
      <c r="H316" s="48" t="s">
        <v>1171</v>
      </c>
    </row>
    <row r="317" spans="2:8" ht="95.25" customHeight="1" thickBot="1" x14ac:dyDescent="0.3">
      <c r="B317" s="37"/>
      <c r="C317" s="45" t="s">
        <v>1947</v>
      </c>
      <c r="D317" s="46" t="s">
        <v>1426</v>
      </c>
      <c r="E317" s="49" t="s">
        <v>125</v>
      </c>
      <c r="F317" s="46" t="s">
        <v>1427</v>
      </c>
      <c r="G317" s="47" t="s">
        <v>1428</v>
      </c>
      <c r="H317" s="48" t="s">
        <v>1171</v>
      </c>
    </row>
    <row r="318" spans="2:8" ht="79.5" customHeight="1" thickBot="1" x14ac:dyDescent="0.3">
      <c r="B318" s="37"/>
      <c r="C318" s="45" t="s">
        <v>1948</v>
      </c>
      <c r="D318" s="46" t="s">
        <v>1430</v>
      </c>
      <c r="E318" s="49" t="s">
        <v>125</v>
      </c>
      <c r="F318" s="46" t="s">
        <v>1431</v>
      </c>
      <c r="G318" s="47" t="s">
        <v>1432</v>
      </c>
      <c r="H318" s="48" t="s">
        <v>1171</v>
      </c>
    </row>
    <row r="319" spans="2:8" ht="63.75" customHeight="1" thickBot="1" x14ac:dyDescent="0.3">
      <c r="B319" s="37"/>
      <c r="C319" s="45" t="s">
        <v>1949</v>
      </c>
      <c r="D319" s="46" t="s">
        <v>1731</v>
      </c>
      <c r="E319" s="49" t="s">
        <v>125</v>
      </c>
      <c r="F319" s="46" t="s">
        <v>1435</v>
      </c>
      <c r="G319" s="47" t="s">
        <v>1436</v>
      </c>
      <c r="H319" s="48" t="s">
        <v>1171</v>
      </c>
    </row>
    <row r="320" spans="2:8" ht="111" customHeight="1" thickBot="1" x14ac:dyDescent="0.3">
      <c r="B320" s="37"/>
      <c r="C320" s="45" t="s">
        <v>1950</v>
      </c>
      <c r="D320" s="46" t="s">
        <v>1438</v>
      </c>
      <c r="E320" s="49" t="s">
        <v>125</v>
      </c>
      <c r="F320" s="46" t="s">
        <v>1439</v>
      </c>
      <c r="G320" s="47" t="s">
        <v>1440</v>
      </c>
      <c r="H320" s="48" t="s">
        <v>1171</v>
      </c>
    </row>
    <row r="321" spans="2:8" ht="79.5" customHeight="1" thickBot="1" x14ac:dyDescent="0.3">
      <c r="B321" s="37"/>
      <c r="C321" s="45" t="s">
        <v>1951</v>
      </c>
      <c r="D321" s="46" t="s">
        <v>1442</v>
      </c>
      <c r="E321" s="49" t="s">
        <v>125</v>
      </c>
      <c r="F321" s="46" t="s">
        <v>1443</v>
      </c>
      <c r="G321" s="47" t="s">
        <v>1444</v>
      </c>
      <c r="H321" s="48" t="s">
        <v>1171</v>
      </c>
    </row>
    <row r="322" spans="2:8" ht="79.5" customHeight="1" thickBot="1" x14ac:dyDescent="0.3">
      <c r="B322" s="37"/>
      <c r="C322" s="45" t="s">
        <v>1952</v>
      </c>
      <c r="D322" s="46" t="s">
        <v>1446</v>
      </c>
      <c r="E322" s="49" t="s">
        <v>125</v>
      </c>
      <c r="F322" s="46" t="s">
        <v>1447</v>
      </c>
      <c r="G322" s="47" t="s">
        <v>1448</v>
      </c>
      <c r="H322" s="48" t="s">
        <v>1171</v>
      </c>
    </row>
    <row r="323" spans="2:8" ht="79.5" customHeight="1" thickBot="1" x14ac:dyDescent="0.3">
      <c r="B323" s="37"/>
      <c r="C323" s="45" t="s">
        <v>1953</v>
      </c>
      <c r="D323" s="46" t="s">
        <v>1450</v>
      </c>
      <c r="E323" s="49" t="s">
        <v>125</v>
      </c>
      <c r="F323" s="46" t="s">
        <v>1451</v>
      </c>
      <c r="G323" s="47" t="s">
        <v>1452</v>
      </c>
      <c r="H323" s="48" t="s">
        <v>1171</v>
      </c>
    </row>
    <row r="324" spans="2:8" ht="63.75" customHeight="1" thickBot="1" x14ac:dyDescent="0.3">
      <c r="B324" s="37"/>
      <c r="C324" s="45" t="s">
        <v>1954</v>
      </c>
      <c r="D324" s="46" t="s">
        <v>1454</v>
      </c>
      <c r="E324" s="49" t="s">
        <v>125</v>
      </c>
      <c r="F324" s="46" t="s">
        <v>1455</v>
      </c>
      <c r="G324" s="47" t="s">
        <v>1456</v>
      </c>
      <c r="H324" s="48" t="s">
        <v>1171</v>
      </c>
    </row>
    <row r="325" spans="2:8" ht="79.5" customHeight="1" thickBot="1" x14ac:dyDescent="0.3">
      <c r="B325" s="37"/>
      <c r="C325" s="45" t="s">
        <v>1955</v>
      </c>
      <c r="D325" s="46" t="s">
        <v>1458</v>
      </c>
      <c r="E325" s="49" t="s">
        <v>125</v>
      </c>
      <c r="F325" s="46" t="s">
        <v>1459</v>
      </c>
      <c r="G325" s="47" t="s">
        <v>1460</v>
      </c>
      <c r="H325" s="48" t="s">
        <v>1171</v>
      </c>
    </row>
    <row r="326" spans="2:8" ht="79.5" customHeight="1" thickBot="1" x14ac:dyDescent="0.3">
      <c r="B326" s="37"/>
      <c r="C326" s="45" t="s">
        <v>1956</v>
      </c>
      <c r="D326" s="46" t="s">
        <v>1957</v>
      </c>
      <c r="E326" s="49" t="s">
        <v>125</v>
      </c>
      <c r="F326" s="46" t="s">
        <v>1463</v>
      </c>
      <c r="G326" s="47" t="s">
        <v>1464</v>
      </c>
      <c r="H326" s="48" t="s">
        <v>1171</v>
      </c>
    </row>
    <row r="327" spans="2:8" ht="95.25" customHeight="1" thickBot="1" x14ac:dyDescent="0.3">
      <c r="B327" s="37"/>
      <c r="C327" s="45" t="s">
        <v>1958</v>
      </c>
      <c r="D327" s="46" t="s">
        <v>1466</v>
      </c>
      <c r="E327" s="49" t="s">
        <v>125</v>
      </c>
      <c r="F327" s="46" t="s">
        <v>1467</v>
      </c>
      <c r="G327" s="47" t="s">
        <v>1468</v>
      </c>
      <c r="H327" s="48" t="s">
        <v>1171</v>
      </c>
    </row>
    <row r="328" spans="2:8" ht="63.75" customHeight="1" thickBot="1" x14ac:dyDescent="0.3">
      <c r="B328" s="37"/>
      <c r="C328" s="45" t="s">
        <v>1959</v>
      </c>
      <c r="D328" s="46" t="s">
        <v>1470</v>
      </c>
      <c r="E328" s="49" t="s">
        <v>125</v>
      </c>
      <c r="F328" s="46" t="s">
        <v>1471</v>
      </c>
      <c r="G328" s="47" t="s">
        <v>1472</v>
      </c>
      <c r="H328" s="48" t="s">
        <v>1171</v>
      </c>
    </row>
    <row r="329" spans="2:8" ht="111" customHeight="1" thickBot="1" x14ac:dyDescent="0.3">
      <c r="B329" s="37"/>
      <c r="C329" s="45" t="s">
        <v>1960</v>
      </c>
      <c r="D329" s="46" t="s">
        <v>1474</v>
      </c>
      <c r="E329" s="49" t="s">
        <v>125</v>
      </c>
      <c r="F329" s="46" t="s">
        <v>1475</v>
      </c>
      <c r="G329" s="47" t="s">
        <v>1476</v>
      </c>
      <c r="H329" s="48" t="s">
        <v>1171</v>
      </c>
    </row>
    <row r="330" spans="2:8" ht="142.5" customHeight="1" thickBot="1" x14ac:dyDescent="0.3">
      <c r="B330" s="37"/>
      <c r="C330" s="45" t="s">
        <v>1961</v>
      </c>
      <c r="D330" s="46" t="s">
        <v>1962</v>
      </c>
      <c r="E330" s="49" t="s">
        <v>125</v>
      </c>
      <c r="F330" s="46" t="s">
        <v>1479</v>
      </c>
      <c r="G330" s="47" t="s">
        <v>1480</v>
      </c>
      <c r="H330" s="48" t="s">
        <v>1171</v>
      </c>
    </row>
    <row r="331" spans="2:8" ht="95.25" customHeight="1" thickBot="1" x14ac:dyDescent="0.3">
      <c r="B331" s="37"/>
      <c r="C331" s="40" t="s">
        <v>1963</v>
      </c>
      <c r="D331" s="41" t="s">
        <v>1964</v>
      </c>
      <c r="E331" s="49" t="s">
        <v>125</v>
      </c>
      <c r="F331" s="41" t="s">
        <v>1965</v>
      </c>
      <c r="G331" s="43" t="s">
        <v>1966</v>
      </c>
      <c r="H331" s="48" t="s">
        <v>1171</v>
      </c>
    </row>
    <row r="332" spans="2:8" ht="126.75" customHeight="1" thickBot="1" x14ac:dyDescent="0.3">
      <c r="B332" s="37"/>
      <c r="C332" s="45" t="s">
        <v>1967</v>
      </c>
      <c r="D332" s="46" t="s">
        <v>1968</v>
      </c>
      <c r="E332" s="49" t="s">
        <v>125</v>
      </c>
      <c r="F332" s="46" t="s">
        <v>1186</v>
      </c>
      <c r="G332" s="47" t="s">
        <v>1187</v>
      </c>
      <c r="H332" s="48" t="s">
        <v>1171</v>
      </c>
    </row>
    <row r="333" spans="2:8" ht="111" customHeight="1" thickBot="1" x14ac:dyDescent="0.3">
      <c r="B333" s="37"/>
      <c r="C333" s="45" t="s">
        <v>1969</v>
      </c>
      <c r="D333" s="46" t="s">
        <v>1970</v>
      </c>
      <c r="E333" s="49" t="s">
        <v>125</v>
      </c>
      <c r="F333" s="46" t="s">
        <v>1495</v>
      </c>
      <c r="G333" s="47" t="s">
        <v>1496</v>
      </c>
      <c r="H333" s="48" t="s">
        <v>1171</v>
      </c>
    </row>
    <row r="334" spans="2:8" ht="95.25" customHeight="1" thickBot="1" x14ac:dyDescent="0.3">
      <c r="B334" s="37"/>
      <c r="C334" s="45" t="s">
        <v>1971</v>
      </c>
      <c r="D334" s="46" t="s">
        <v>1498</v>
      </c>
      <c r="E334" s="49" t="s">
        <v>125</v>
      </c>
      <c r="F334" s="46" t="s">
        <v>1194</v>
      </c>
      <c r="G334" s="47" t="s">
        <v>1499</v>
      </c>
      <c r="H334" s="48" t="s">
        <v>1171</v>
      </c>
    </row>
    <row r="335" spans="2:8" ht="205.5" customHeight="1" thickBot="1" x14ac:dyDescent="0.3">
      <c r="B335" s="37"/>
      <c r="C335" s="45" t="s">
        <v>1972</v>
      </c>
      <c r="D335" s="46" t="s">
        <v>1973</v>
      </c>
      <c r="E335" s="49" t="s">
        <v>125</v>
      </c>
      <c r="F335" s="46" t="s">
        <v>1974</v>
      </c>
      <c r="G335" s="47" t="s">
        <v>1765</v>
      </c>
      <c r="H335" s="48" t="s">
        <v>1171</v>
      </c>
    </row>
    <row r="336" spans="2:8" ht="142.5" customHeight="1" thickBot="1" x14ac:dyDescent="0.3">
      <c r="B336" s="37"/>
      <c r="C336" s="45" t="s">
        <v>1975</v>
      </c>
      <c r="D336" s="46" t="s">
        <v>1888</v>
      </c>
      <c r="E336" s="49" t="s">
        <v>125</v>
      </c>
      <c r="F336" s="46" t="s">
        <v>1768</v>
      </c>
      <c r="G336" s="47" t="s">
        <v>1889</v>
      </c>
      <c r="H336" s="48" t="s">
        <v>1171</v>
      </c>
    </row>
    <row r="337" spans="2:8" ht="95.25" customHeight="1" thickBot="1" x14ac:dyDescent="0.3">
      <c r="B337" s="37"/>
      <c r="C337" s="45" t="s">
        <v>1976</v>
      </c>
      <c r="D337" s="46" t="s">
        <v>1977</v>
      </c>
      <c r="E337" s="49" t="s">
        <v>125</v>
      </c>
      <c r="F337" s="46" t="s">
        <v>1772</v>
      </c>
      <c r="G337" s="47" t="s">
        <v>1773</v>
      </c>
      <c r="H337" s="48" t="s">
        <v>1171</v>
      </c>
    </row>
    <row r="338" spans="2:8" ht="126.75" customHeight="1" thickBot="1" x14ac:dyDescent="0.3">
      <c r="B338" s="37"/>
      <c r="C338" s="45" t="s">
        <v>1978</v>
      </c>
      <c r="D338" s="46" t="s">
        <v>1642</v>
      </c>
      <c r="E338" s="49" t="s">
        <v>125</v>
      </c>
      <c r="F338" s="46" t="s">
        <v>1509</v>
      </c>
      <c r="G338" s="47" t="s">
        <v>1211</v>
      </c>
      <c r="H338" s="48" t="s">
        <v>1171</v>
      </c>
    </row>
    <row r="339" spans="2:8" ht="111" customHeight="1" thickBot="1" x14ac:dyDescent="0.3">
      <c r="B339" s="37"/>
      <c r="C339" s="45" t="s">
        <v>1979</v>
      </c>
      <c r="D339" s="46" t="s">
        <v>1213</v>
      </c>
      <c r="E339" s="49" t="s">
        <v>125</v>
      </c>
      <c r="F339" s="46" t="s">
        <v>1214</v>
      </c>
      <c r="G339" s="47" t="s">
        <v>1215</v>
      </c>
      <c r="H339" s="48" t="s">
        <v>1171</v>
      </c>
    </row>
    <row r="340" spans="2:8" ht="111" customHeight="1" thickBot="1" x14ac:dyDescent="0.3">
      <c r="B340" s="37"/>
      <c r="C340" s="45" t="s">
        <v>1980</v>
      </c>
      <c r="D340" s="46" t="s">
        <v>1512</v>
      </c>
      <c r="E340" s="49" t="s">
        <v>125</v>
      </c>
      <c r="F340" s="46" t="s">
        <v>1513</v>
      </c>
      <c r="G340" s="47" t="s">
        <v>1219</v>
      </c>
      <c r="H340" s="48" t="s">
        <v>1171</v>
      </c>
    </row>
    <row r="341" spans="2:8" ht="79.5" customHeight="1" thickBot="1" x14ac:dyDescent="0.3">
      <c r="B341" s="37"/>
      <c r="C341" s="45" t="s">
        <v>1981</v>
      </c>
      <c r="D341" s="46" t="s">
        <v>1221</v>
      </c>
      <c r="E341" s="49" t="s">
        <v>125</v>
      </c>
      <c r="F341" s="46" t="s">
        <v>1222</v>
      </c>
      <c r="G341" s="47" t="s">
        <v>1223</v>
      </c>
      <c r="H341" s="48" t="s">
        <v>1171</v>
      </c>
    </row>
    <row r="342" spans="2:8" ht="126.75" customHeight="1" thickBot="1" x14ac:dyDescent="0.3">
      <c r="B342" s="37"/>
      <c r="C342" s="45" t="s">
        <v>1982</v>
      </c>
      <c r="D342" s="46" t="s">
        <v>1983</v>
      </c>
      <c r="E342" s="49" t="s">
        <v>125</v>
      </c>
      <c r="F342" s="46" t="s">
        <v>1516</v>
      </c>
      <c r="G342" s="47" t="s">
        <v>1227</v>
      </c>
      <c r="H342" s="48" t="s">
        <v>1171</v>
      </c>
    </row>
    <row r="343" spans="2:8" ht="158.25" customHeight="1" thickBot="1" x14ac:dyDescent="0.3">
      <c r="B343" s="37"/>
      <c r="C343" s="45" t="s">
        <v>1984</v>
      </c>
      <c r="D343" s="46" t="s">
        <v>1810</v>
      </c>
      <c r="E343" s="49" t="s">
        <v>125</v>
      </c>
      <c r="F343" s="46" t="s">
        <v>1545</v>
      </c>
      <c r="G343" s="47" t="s">
        <v>1316</v>
      </c>
      <c r="H343" s="48" t="s">
        <v>1171</v>
      </c>
    </row>
    <row r="344" spans="2:8" ht="126.75" customHeight="1" thickBot="1" x14ac:dyDescent="0.3">
      <c r="B344" s="37"/>
      <c r="C344" s="45" t="s">
        <v>1985</v>
      </c>
      <c r="D344" s="46" t="s">
        <v>1986</v>
      </c>
      <c r="E344" s="49" t="s">
        <v>125</v>
      </c>
      <c r="F344" s="46" t="s">
        <v>1319</v>
      </c>
      <c r="G344" s="47" t="s">
        <v>1320</v>
      </c>
      <c r="H344" s="48" t="s">
        <v>1171</v>
      </c>
    </row>
    <row r="345" spans="2:8" ht="95.25" customHeight="1" thickBot="1" x14ac:dyDescent="0.3">
      <c r="B345" s="37"/>
      <c r="C345" s="45" t="s">
        <v>1987</v>
      </c>
      <c r="D345" s="46" t="s">
        <v>1988</v>
      </c>
      <c r="E345" s="49" t="s">
        <v>125</v>
      </c>
      <c r="F345" s="46" t="s">
        <v>1815</v>
      </c>
      <c r="G345" s="47" t="s">
        <v>1324</v>
      </c>
      <c r="H345" s="48" t="s">
        <v>1171</v>
      </c>
    </row>
    <row r="346" spans="2:8" ht="63.75" customHeight="1" thickBot="1" x14ac:dyDescent="0.3">
      <c r="B346" s="37"/>
      <c r="C346" s="45" t="s">
        <v>1989</v>
      </c>
      <c r="D346" s="46" t="s">
        <v>1990</v>
      </c>
      <c r="E346" s="49" t="s">
        <v>125</v>
      </c>
      <c r="F346" s="46" t="s">
        <v>1327</v>
      </c>
      <c r="G346" s="47" t="s">
        <v>1328</v>
      </c>
      <c r="H346" s="48" t="s">
        <v>1171</v>
      </c>
    </row>
    <row r="347" spans="2:8" ht="142.5" customHeight="1" thickBot="1" x14ac:dyDescent="0.3">
      <c r="B347" s="37"/>
      <c r="C347" s="45" t="s">
        <v>1991</v>
      </c>
      <c r="D347" s="46" t="s">
        <v>1992</v>
      </c>
      <c r="E347" s="49" t="s">
        <v>125</v>
      </c>
      <c r="F347" s="46" t="s">
        <v>1331</v>
      </c>
      <c r="G347" s="47" t="s">
        <v>1332</v>
      </c>
      <c r="H347" s="48" t="s">
        <v>1171</v>
      </c>
    </row>
    <row r="348" spans="2:8" ht="111" customHeight="1" thickBot="1" x14ac:dyDescent="0.3">
      <c r="B348" s="37"/>
      <c r="C348" s="45" t="s">
        <v>1993</v>
      </c>
      <c r="D348" s="46" t="s">
        <v>1556</v>
      </c>
      <c r="E348" s="49" t="s">
        <v>125</v>
      </c>
      <c r="F348" s="46" t="s">
        <v>1994</v>
      </c>
      <c r="G348" s="47" t="s">
        <v>1336</v>
      </c>
      <c r="H348" s="48" t="s">
        <v>1171</v>
      </c>
    </row>
    <row r="349" spans="2:8" ht="95.25" customHeight="1" thickBot="1" x14ac:dyDescent="0.3">
      <c r="B349" s="37"/>
      <c r="C349" s="45" t="s">
        <v>1995</v>
      </c>
      <c r="D349" s="46" t="s">
        <v>1338</v>
      </c>
      <c r="E349" s="49" t="s">
        <v>125</v>
      </c>
      <c r="F349" s="46" t="s">
        <v>1339</v>
      </c>
      <c r="G349" s="47" t="s">
        <v>1340</v>
      </c>
      <c r="H349" s="48" t="s">
        <v>1171</v>
      </c>
    </row>
    <row r="350" spans="2:8" ht="126.75" customHeight="1" thickBot="1" x14ac:dyDescent="0.3">
      <c r="B350" s="37"/>
      <c r="C350" s="45" t="s">
        <v>1996</v>
      </c>
      <c r="D350" s="46" t="s">
        <v>1342</v>
      </c>
      <c r="E350" s="49" t="s">
        <v>125</v>
      </c>
      <c r="F350" s="46" t="s">
        <v>1343</v>
      </c>
      <c r="G350" s="47" t="s">
        <v>1344</v>
      </c>
      <c r="H350" s="48" t="s">
        <v>1171</v>
      </c>
    </row>
    <row r="351" spans="2:8" ht="111" customHeight="1" thickBot="1" x14ac:dyDescent="0.3">
      <c r="B351" s="37"/>
      <c r="C351" s="45" t="s">
        <v>1997</v>
      </c>
      <c r="D351" s="46" t="s">
        <v>1998</v>
      </c>
      <c r="E351" s="49" t="s">
        <v>125</v>
      </c>
      <c r="F351" s="46" t="s">
        <v>1347</v>
      </c>
      <c r="G351" s="47" t="s">
        <v>1348</v>
      </c>
      <c r="H351" s="48" t="s">
        <v>1171</v>
      </c>
    </row>
    <row r="352" spans="2:8" ht="126.75" customHeight="1" thickBot="1" x14ac:dyDescent="0.3">
      <c r="B352" s="37"/>
      <c r="C352" s="45" t="s">
        <v>1999</v>
      </c>
      <c r="D352" s="46" t="s">
        <v>1350</v>
      </c>
      <c r="E352" s="49" t="s">
        <v>125</v>
      </c>
      <c r="F352" s="46" t="s">
        <v>1351</v>
      </c>
      <c r="G352" s="47" t="s">
        <v>1352</v>
      </c>
      <c r="H352" s="48" t="s">
        <v>1171</v>
      </c>
    </row>
    <row r="353" spans="2:8" ht="129" customHeight="1" thickBot="1" x14ac:dyDescent="0.3">
      <c r="B353" s="37"/>
      <c r="C353" s="45" t="s">
        <v>2000</v>
      </c>
      <c r="D353" s="46" t="s">
        <v>1354</v>
      </c>
      <c r="E353" s="49" t="s">
        <v>125</v>
      </c>
      <c r="F353" s="46" t="s">
        <v>1355</v>
      </c>
      <c r="G353" s="47" t="s">
        <v>1356</v>
      </c>
      <c r="H353" s="48" t="s">
        <v>1171</v>
      </c>
    </row>
    <row r="354" spans="2:8" ht="111" customHeight="1" thickBot="1" x14ac:dyDescent="0.3">
      <c r="B354" s="37"/>
      <c r="C354" s="45" t="s">
        <v>2001</v>
      </c>
      <c r="D354" s="46" t="s">
        <v>1358</v>
      </c>
      <c r="E354" s="49" t="s">
        <v>125</v>
      </c>
      <c r="F354" s="46" t="s">
        <v>1359</v>
      </c>
      <c r="G354" s="47" t="s">
        <v>1360</v>
      </c>
      <c r="H354" s="48" t="s">
        <v>1171</v>
      </c>
    </row>
    <row r="355" spans="2:8" ht="111" customHeight="1" thickBot="1" x14ac:dyDescent="0.3">
      <c r="B355" s="37"/>
      <c r="C355" s="45" t="s">
        <v>2002</v>
      </c>
      <c r="D355" s="46" t="s">
        <v>1362</v>
      </c>
      <c r="E355" s="49" t="s">
        <v>125</v>
      </c>
      <c r="F355" s="46" t="s">
        <v>1363</v>
      </c>
      <c r="G355" s="47" t="s">
        <v>1364</v>
      </c>
      <c r="H355" s="48" t="s">
        <v>1171</v>
      </c>
    </row>
    <row r="356" spans="2:8" ht="111" customHeight="1" thickBot="1" x14ac:dyDescent="0.3">
      <c r="B356" s="37"/>
      <c r="C356" s="45" t="s">
        <v>2003</v>
      </c>
      <c r="D356" s="46" t="s">
        <v>1366</v>
      </c>
      <c r="E356" s="49" t="s">
        <v>125</v>
      </c>
      <c r="F356" s="46" t="s">
        <v>1367</v>
      </c>
      <c r="G356" s="47" t="s">
        <v>1368</v>
      </c>
      <c r="H356" s="48" t="s">
        <v>1171</v>
      </c>
    </row>
    <row r="357" spans="2:8" ht="95.25" customHeight="1" thickBot="1" x14ac:dyDescent="0.3">
      <c r="B357" s="37"/>
      <c r="C357" s="45" t="s">
        <v>2004</v>
      </c>
      <c r="D357" s="46" t="s">
        <v>2005</v>
      </c>
      <c r="E357" s="49" t="s">
        <v>125</v>
      </c>
      <c r="F357" s="46" t="s">
        <v>1371</v>
      </c>
      <c r="G357" s="47" t="s">
        <v>1372</v>
      </c>
      <c r="H357" s="48" t="s">
        <v>1171</v>
      </c>
    </row>
    <row r="358" spans="2:8" ht="79.5" customHeight="1" thickBot="1" x14ac:dyDescent="0.3">
      <c r="B358" s="37"/>
      <c r="C358" s="45" t="s">
        <v>2006</v>
      </c>
      <c r="D358" s="46" t="s">
        <v>2007</v>
      </c>
      <c r="E358" s="49" t="s">
        <v>125</v>
      </c>
      <c r="F358" s="46" t="s">
        <v>1375</v>
      </c>
      <c r="G358" s="47" t="s">
        <v>1376</v>
      </c>
      <c r="H358" s="48" t="s">
        <v>1171</v>
      </c>
    </row>
    <row r="359" spans="2:8" ht="142.5" customHeight="1" thickBot="1" x14ac:dyDescent="0.3">
      <c r="B359" s="37"/>
      <c r="C359" s="45" t="s">
        <v>2008</v>
      </c>
      <c r="D359" s="46" t="s">
        <v>2009</v>
      </c>
      <c r="E359" s="49" t="s">
        <v>125</v>
      </c>
      <c r="F359" s="46" t="s">
        <v>1379</v>
      </c>
      <c r="G359" s="47" t="s">
        <v>1380</v>
      </c>
      <c r="H359" s="48" t="s">
        <v>1171</v>
      </c>
    </row>
    <row r="360" spans="2:8" ht="79.5" customHeight="1" thickBot="1" x14ac:dyDescent="0.3">
      <c r="B360" s="37"/>
      <c r="C360" s="45" t="s">
        <v>2010</v>
      </c>
      <c r="D360" s="46" t="s">
        <v>2011</v>
      </c>
      <c r="E360" s="49" t="s">
        <v>125</v>
      </c>
      <c r="F360" s="46" t="s">
        <v>1383</v>
      </c>
      <c r="G360" s="47" t="s">
        <v>1384</v>
      </c>
      <c r="H360" s="48" t="s">
        <v>1171</v>
      </c>
    </row>
    <row r="361" spans="2:8" ht="63.75" customHeight="1" thickBot="1" x14ac:dyDescent="0.3">
      <c r="B361" s="37"/>
      <c r="C361" s="45" t="s">
        <v>2012</v>
      </c>
      <c r="D361" s="46" t="s">
        <v>1386</v>
      </c>
      <c r="E361" s="49" t="s">
        <v>125</v>
      </c>
      <c r="F361" s="46" t="s">
        <v>1387</v>
      </c>
      <c r="G361" s="47" t="s">
        <v>1388</v>
      </c>
      <c r="H361" s="48" t="s">
        <v>1171</v>
      </c>
    </row>
    <row r="362" spans="2:8" ht="126.75" customHeight="1" thickBot="1" x14ac:dyDescent="0.3">
      <c r="B362" s="37"/>
      <c r="C362" s="45" t="s">
        <v>2013</v>
      </c>
      <c r="D362" s="46" t="s">
        <v>1718</v>
      </c>
      <c r="E362" s="49" t="s">
        <v>125</v>
      </c>
      <c r="F362" s="46" t="s">
        <v>1391</v>
      </c>
      <c r="G362" s="47" t="s">
        <v>1392</v>
      </c>
      <c r="H362" s="48" t="s">
        <v>1171</v>
      </c>
    </row>
    <row r="363" spans="2:8" ht="174" customHeight="1" thickBot="1" x14ac:dyDescent="0.3">
      <c r="B363" s="37"/>
      <c r="C363" s="45" t="s">
        <v>2014</v>
      </c>
      <c r="D363" s="46" t="s">
        <v>1394</v>
      </c>
      <c r="E363" s="49" t="s">
        <v>125</v>
      </c>
      <c r="F363" s="46" t="s">
        <v>1395</v>
      </c>
      <c r="G363" s="47" t="s">
        <v>1396</v>
      </c>
      <c r="H363" s="48" t="s">
        <v>1171</v>
      </c>
    </row>
    <row r="364" spans="2:8" ht="63.75" customHeight="1" thickBot="1" x14ac:dyDescent="0.3">
      <c r="B364" s="37"/>
      <c r="C364" s="45" t="s">
        <v>2015</v>
      </c>
      <c r="D364" s="46" t="s">
        <v>2016</v>
      </c>
      <c r="E364" s="49" t="s">
        <v>125</v>
      </c>
      <c r="F364" s="46" t="s">
        <v>1403</v>
      </c>
      <c r="G364" s="47" t="s">
        <v>2017</v>
      </c>
      <c r="H364" s="48" t="s">
        <v>1171</v>
      </c>
    </row>
    <row r="365" spans="2:8" ht="95.25" customHeight="1" thickBot="1" x14ac:dyDescent="0.3">
      <c r="B365" s="37"/>
      <c r="C365" s="45" t="s">
        <v>2018</v>
      </c>
      <c r="D365" s="46" t="s">
        <v>1426</v>
      </c>
      <c r="E365" s="49" t="s">
        <v>125</v>
      </c>
      <c r="F365" s="46" t="s">
        <v>1427</v>
      </c>
      <c r="G365" s="47" t="s">
        <v>1428</v>
      </c>
      <c r="H365" s="48" t="s">
        <v>1171</v>
      </c>
    </row>
    <row r="366" spans="2:8" ht="79.5" customHeight="1" thickBot="1" x14ac:dyDescent="0.3">
      <c r="B366" s="37"/>
      <c r="C366" s="45" t="s">
        <v>2019</v>
      </c>
      <c r="D366" s="46" t="s">
        <v>1430</v>
      </c>
      <c r="E366" s="49" t="s">
        <v>125</v>
      </c>
      <c r="F366" s="46" t="s">
        <v>1431</v>
      </c>
      <c r="G366" s="47" t="s">
        <v>1432</v>
      </c>
      <c r="H366" s="48" t="s">
        <v>1171</v>
      </c>
    </row>
    <row r="367" spans="2:8" ht="63.75" customHeight="1" thickBot="1" x14ac:dyDescent="0.3">
      <c r="B367" s="37"/>
      <c r="C367" s="45" t="s">
        <v>2020</v>
      </c>
      <c r="D367" s="46" t="s">
        <v>1731</v>
      </c>
      <c r="E367" s="49" t="s">
        <v>125</v>
      </c>
      <c r="F367" s="46" t="s">
        <v>1435</v>
      </c>
      <c r="G367" s="47" t="s">
        <v>1436</v>
      </c>
      <c r="H367" s="48" t="s">
        <v>1171</v>
      </c>
    </row>
    <row r="368" spans="2:8" ht="111" customHeight="1" thickBot="1" x14ac:dyDescent="0.3">
      <c r="B368" s="37"/>
      <c r="C368" s="45" t="s">
        <v>2021</v>
      </c>
      <c r="D368" s="46" t="s">
        <v>1438</v>
      </c>
      <c r="E368" s="49" t="s">
        <v>125</v>
      </c>
      <c r="F368" s="46" t="s">
        <v>1439</v>
      </c>
      <c r="G368" s="47" t="s">
        <v>1440</v>
      </c>
      <c r="H368" s="48" t="s">
        <v>1171</v>
      </c>
    </row>
    <row r="369" spans="2:8" ht="79.5" customHeight="1" thickBot="1" x14ac:dyDescent="0.3">
      <c r="B369" s="37"/>
      <c r="C369" s="45" t="s">
        <v>2022</v>
      </c>
      <c r="D369" s="46" t="s">
        <v>1442</v>
      </c>
      <c r="E369" s="49" t="s">
        <v>125</v>
      </c>
      <c r="F369" s="46" t="s">
        <v>1443</v>
      </c>
      <c r="G369" s="47" t="s">
        <v>1444</v>
      </c>
      <c r="H369" s="48" t="s">
        <v>1171</v>
      </c>
    </row>
    <row r="370" spans="2:8" ht="79.5" customHeight="1" thickBot="1" x14ac:dyDescent="0.3">
      <c r="B370" s="37"/>
      <c r="C370" s="45" t="s">
        <v>2023</v>
      </c>
      <c r="D370" s="46" t="s">
        <v>1446</v>
      </c>
      <c r="E370" s="49" t="s">
        <v>125</v>
      </c>
      <c r="F370" s="46" t="s">
        <v>1447</v>
      </c>
      <c r="G370" s="47" t="s">
        <v>1448</v>
      </c>
      <c r="H370" s="48" t="s">
        <v>1171</v>
      </c>
    </row>
    <row r="371" spans="2:8" ht="79.5" customHeight="1" thickBot="1" x14ac:dyDescent="0.3">
      <c r="B371" s="37"/>
      <c r="C371" s="45" t="s">
        <v>2024</v>
      </c>
      <c r="D371" s="46" t="s">
        <v>1450</v>
      </c>
      <c r="E371" s="49" t="s">
        <v>125</v>
      </c>
      <c r="F371" s="46" t="s">
        <v>1451</v>
      </c>
      <c r="G371" s="47" t="s">
        <v>1452</v>
      </c>
      <c r="H371" s="48" t="s">
        <v>1171</v>
      </c>
    </row>
    <row r="372" spans="2:8" ht="63.75" customHeight="1" thickBot="1" x14ac:dyDescent="0.3">
      <c r="B372" s="37"/>
      <c r="C372" s="45" t="s">
        <v>2025</v>
      </c>
      <c r="D372" s="46" t="s">
        <v>1454</v>
      </c>
      <c r="E372" s="49" t="s">
        <v>125</v>
      </c>
      <c r="F372" s="46" t="s">
        <v>1455</v>
      </c>
      <c r="G372" s="47" t="s">
        <v>1456</v>
      </c>
      <c r="H372" s="48" t="s">
        <v>1171</v>
      </c>
    </row>
    <row r="373" spans="2:8" ht="79.5" customHeight="1" thickBot="1" x14ac:dyDescent="0.3">
      <c r="B373" s="37"/>
      <c r="C373" s="45" t="s">
        <v>2026</v>
      </c>
      <c r="D373" s="46" t="s">
        <v>1458</v>
      </c>
      <c r="E373" s="49" t="s">
        <v>125</v>
      </c>
      <c r="F373" s="46" t="s">
        <v>1459</v>
      </c>
      <c r="G373" s="47" t="s">
        <v>1460</v>
      </c>
      <c r="H373" s="48" t="s">
        <v>1171</v>
      </c>
    </row>
    <row r="374" spans="2:8" ht="79.5" customHeight="1" thickBot="1" x14ac:dyDescent="0.3">
      <c r="B374" s="37"/>
      <c r="C374" s="45" t="s">
        <v>2027</v>
      </c>
      <c r="D374" s="46" t="s">
        <v>2028</v>
      </c>
      <c r="E374" s="49" t="s">
        <v>125</v>
      </c>
      <c r="F374" s="46" t="s">
        <v>1463</v>
      </c>
      <c r="G374" s="47" t="s">
        <v>1464</v>
      </c>
      <c r="H374" s="48" t="s">
        <v>1171</v>
      </c>
    </row>
    <row r="375" spans="2:8" ht="95.25" customHeight="1" thickBot="1" x14ac:dyDescent="0.3">
      <c r="B375" s="37"/>
      <c r="C375" s="45" t="s">
        <v>2029</v>
      </c>
      <c r="D375" s="46" t="s">
        <v>1466</v>
      </c>
      <c r="E375" s="49" t="s">
        <v>125</v>
      </c>
      <c r="F375" s="46" t="s">
        <v>1467</v>
      </c>
      <c r="G375" s="47" t="s">
        <v>1468</v>
      </c>
      <c r="H375" s="48" t="s">
        <v>1171</v>
      </c>
    </row>
    <row r="376" spans="2:8" ht="63.75" customHeight="1" thickBot="1" x14ac:dyDescent="0.3">
      <c r="B376" s="37"/>
      <c r="C376" s="45" t="s">
        <v>2030</v>
      </c>
      <c r="D376" s="46" t="s">
        <v>1470</v>
      </c>
      <c r="E376" s="49" t="s">
        <v>125</v>
      </c>
      <c r="F376" s="46" t="s">
        <v>1471</v>
      </c>
      <c r="G376" s="47" t="s">
        <v>1472</v>
      </c>
      <c r="H376" s="48" t="s">
        <v>1171</v>
      </c>
    </row>
    <row r="377" spans="2:8" ht="111" customHeight="1" thickBot="1" x14ac:dyDescent="0.3">
      <c r="B377" s="37"/>
      <c r="C377" s="45" t="s">
        <v>2031</v>
      </c>
      <c r="D377" s="46" t="s">
        <v>1474</v>
      </c>
      <c r="E377" s="49" t="s">
        <v>125</v>
      </c>
      <c r="F377" s="46" t="s">
        <v>1475</v>
      </c>
      <c r="G377" s="47" t="s">
        <v>1476</v>
      </c>
      <c r="H377" s="48" t="s">
        <v>1171</v>
      </c>
    </row>
    <row r="378" spans="2:8" ht="142.5" customHeight="1" thickBot="1" x14ac:dyDescent="0.3">
      <c r="B378" s="37"/>
      <c r="C378" s="45" t="s">
        <v>2032</v>
      </c>
      <c r="D378" s="46" t="s">
        <v>2033</v>
      </c>
      <c r="E378" s="49" t="s">
        <v>125</v>
      </c>
      <c r="F378" s="46" t="s">
        <v>1479</v>
      </c>
      <c r="G378" s="47" t="s">
        <v>1480</v>
      </c>
      <c r="H378" s="48" t="s">
        <v>1171</v>
      </c>
    </row>
    <row r="379" spans="2:8" ht="95.25" customHeight="1" thickBot="1" x14ac:dyDescent="0.3">
      <c r="B379" s="37"/>
      <c r="C379" s="40" t="s">
        <v>2034</v>
      </c>
      <c r="D379" s="41" t="s">
        <v>2035</v>
      </c>
      <c r="E379" s="49" t="s">
        <v>125</v>
      </c>
      <c r="F379" s="41" t="s">
        <v>2036</v>
      </c>
      <c r="G379" s="43" t="s">
        <v>2037</v>
      </c>
      <c r="H379" s="48" t="s">
        <v>1171</v>
      </c>
    </row>
    <row r="380" spans="2:8" ht="79.5" customHeight="1" thickBot="1" x14ac:dyDescent="0.3">
      <c r="B380" s="37"/>
      <c r="C380" s="45" t="s">
        <v>2038</v>
      </c>
      <c r="D380" s="46" t="s">
        <v>2039</v>
      </c>
      <c r="E380" s="49" t="s">
        <v>125</v>
      </c>
      <c r="F380" s="46" t="s">
        <v>2040</v>
      </c>
      <c r="G380" s="47" t="s">
        <v>2041</v>
      </c>
      <c r="H380" s="48" t="s">
        <v>1171</v>
      </c>
    </row>
    <row r="381" spans="2:8" ht="126.75" customHeight="1" thickBot="1" x14ac:dyDescent="0.3">
      <c r="B381" s="37"/>
      <c r="C381" s="45" t="s">
        <v>2042</v>
      </c>
      <c r="D381" s="46" t="s">
        <v>2043</v>
      </c>
      <c r="E381" s="49" t="s">
        <v>125</v>
      </c>
      <c r="F381" s="46" t="s">
        <v>2044</v>
      </c>
      <c r="G381" s="47" t="s">
        <v>2045</v>
      </c>
      <c r="H381" s="48" t="s">
        <v>1171</v>
      </c>
    </row>
    <row r="382" spans="2:8" ht="111" customHeight="1" thickBot="1" x14ac:dyDescent="0.3">
      <c r="B382" s="37"/>
      <c r="C382" s="45" t="s">
        <v>2046</v>
      </c>
      <c r="D382" s="46" t="s">
        <v>2047</v>
      </c>
      <c r="E382" s="49" t="s">
        <v>125</v>
      </c>
      <c r="F382" s="46" t="s">
        <v>2048</v>
      </c>
      <c r="G382" s="47" t="s">
        <v>2049</v>
      </c>
      <c r="H382" s="48" t="s">
        <v>1171</v>
      </c>
    </row>
    <row r="383" spans="2:8" ht="95.25" customHeight="1" thickBot="1" x14ac:dyDescent="0.3">
      <c r="B383" s="37"/>
      <c r="C383" s="45" t="s">
        <v>2050</v>
      </c>
      <c r="D383" s="46" t="s">
        <v>1498</v>
      </c>
      <c r="E383" s="49" t="s">
        <v>125</v>
      </c>
      <c r="F383" s="46" t="s">
        <v>2051</v>
      </c>
      <c r="G383" s="47" t="s">
        <v>2052</v>
      </c>
      <c r="H383" s="48" t="s">
        <v>1171</v>
      </c>
    </row>
    <row r="384" spans="2:8" ht="189.75" customHeight="1" thickBot="1" x14ac:dyDescent="0.3">
      <c r="B384" s="37"/>
      <c r="C384" s="45" t="s">
        <v>2053</v>
      </c>
      <c r="D384" s="46" t="s">
        <v>2054</v>
      </c>
      <c r="E384" s="49" t="s">
        <v>125</v>
      </c>
      <c r="F384" s="46" t="s">
        <v>2055</v>
      </c>
      <c r="G384" s="47" t="s">
        <v>2056</v>
      </c>
      <c r="H384" s="48" t="s">
        <v>1171</v>
      </c>
    </row>
    <row r="385" spans="2:8" ht="142.5" customHeight="1" thickBot="1" x14ac:dyDescent="0.3">
      <c r="B385" s="37"/>
      <c r="C385" s="45" t="s">
        <v>2057</v>
      </c>
      <c r="D385" s="46" t="s">
        <v>1888</v>
      </c>
      <c r="E385" s="49" t="s">
        <v>125</v>
      </c>
      <c r="F385" s="46" t="s">
        <v>2058</v>
      </c>
      <c r="G385" s="47" t="s">
        <v>2059</v>
      </c>
      <c r="H385" s="48" t="s">
        <v>1171</v>
      </c>
    </row>
    <row r="386" spans="2:8" ht="95.25" customHeight="1" thickBot="1" x14ac:dyDescent="0.3">
      <c r="B386" s="37"/>
      <c r="C386" s="45" t="s">
        <v>2060</v>
      </c>
      <c r="D386" s="46" t="s">
        <v>1977</v>
      </c>
      <c r="E386" s="49" t="s">
        <v>125</v>
      </c>
      <c r="F386" s="46" t="s">
        <v>2061</v>
      </c>
      <c r="G386" s="47" t="s">
        <v>2062</v>
      </c>
      <c r="H386" s="48" t="s">
        <v>1171</v>
      </c>
    </row>
    <row r="387" spans="2:8" ht="126.75" customHeight="1" thickBot="1" x14ac:dyDescent="0.3">
      <c r="B387" s="37"/>
      <c r="C387" s="45" t="s">
        <v>2063</v>
      </c>
      <c r="D387" s="46" t="s">
        <v>1642</v>
      </c>
      <c r="E387" s="49" t="s">
        <v>125</v>
      </c>
      <c r="F387" s="46" t="s">
        <v>2064</v>
      </c>
      <c r="G387" s="47" t="s">
        <v>2065</v>
      </c>
      <c r="H387" s="48" t="s">
        <v>1171</v>
      </c>
    </row>
    <row r="388" spans="2:8" ht="111" customHeight="1" thickBot="1" x14ac:dyDescent="0.3">
      <c r="B388" s="37"/>
      <c r="C388" s="45" t="s">
        <v>2066</v>
      </c>
      <c r="D388" s="46" t="s">
        <v>1213</v>
      </c>
      <c r="E388" s="49" t="s">
        <v>125</v>
      </c>
      <c r="F388" s="46" t="s">
        <v>2067</v>
      </c>
      <c r="G388" s="47" t="s">
        <v>2068</v>
      </c>
      <c r="H388" s="48" t="s">
        <v>1171</v>
      </c>
    </row>
    <row r="389" spans="2:8" ht="111" customHeight="1" thickBot="1" x14ac:dyDescent="0.3">
      <c r="B389" s="37"/>
      <c r="C389" s="45" t="s">
        <v>2069</v>
      </c>
      <c r="D389" s="46" t="s">
        <v>1512</v>
      </c>
      <c r="E389" s="49" t="s">
        <v>125</v>
      </c>
      <c r="F389" s="46" t="s">
        <v>2070</v>
      </c>
      <c r="G389" s="47" t="s">
        <v>2071</v>
      </c>
      <c r="H389" s="48" t="s">
        <v>1171</v>
      </c>
    </row>
    <row r="390" spans="2:8" ht="79.5" customHeight="1" thickBot="1" x14ac:dyDescent="0.3">
      <c r="B390" s="37"/>
      <c r="C390" s="45" t="s">
        <v>2072</v>
      </c>
      <c r="D390" s="46" t="s">
        <v>1221</v>
      </c>
      <c r="E390" s="49" t="s">
        <v>125</v>
      </c>
      <c r="F390" s="46" t="s">
        <v>2073</v>
      </c>
      <c r="G390" s="47" t="s">
        <v>2074</v>
      </c>
      <c r="H390" s="48" t="s">
        <v>1171</v>
      </c>
    </row>
    <row r="391" spans="2:8" ht="126.75" customHeight="1" thickBot="1" x14ac:dyDescent="0.3">
      <c r="B391" s="37"/>
      <c r="C391" s="45" t="s">
        <v>2075</v>
      </c>
      <c r="D391" s="46" t="s">
        <v>1983</v>
      </c>
      <c r="E391" s="49" t="s">
        <v>125</v>
      </c>
      <c r="F391" s="46" t="s">
        <v>2076</v>
      </c>
      <c r="G391" s="47" t="s">
        <v>2077</v>
      </c>
      <c r="H391" s="48" t="s">
        <v>1171</v>
      </c>
    </row>
    <row r="392" spans="2:8" ht="205.5" customHeight="1" thickBot="1" x14ac:dyDescent="0.3">
      <c r="B392" s="37"/>
      <c r="C392" s="45" t="s">
        <v>2078</v>
      </c>
      <c r="D392" s="46" t="s">
        <v>2079</v>
      </c>
      <c r="E392" s="49" t="s">
        <v>125</v>
      </c>
      <c r="F392" s="46" t="s">
        <v>2080</v>
      </c>
      <c r="G392" s="47" t="s">
        <v>2081</v>
      </c>
      <c r="H392" s="48" t="s">
        <v>1171</v>
      </c>
    </row>
    <row r="393" spans="2:8" ht="142.5" customHeight="1" thickBot="1" x14ac:dyDescent="0.3">
      <c r="B393" s="37"/>
      <c r="C393" s="45" t="s">
        <v>2082</v>
      </c>
      <c r="D393" s="46" t="s">
        <v>2083</v>
      </c>
      <c r="E393" s="49" t="s">
        <v>125</v>
      </c>
      <c r="F393" s="46" t="s">
        <v>2084</v>
      </c>
      <c r="G393" s="47" t="s">
        <v>2085</v>
      </c>
      <c r="H393" s="48" t="s">
        <v>1171</v>
      </c>
    </row>
    <row r="394" spans="2:8" ht="189.75" customHeight="1" thickBot="1" x14ac:dyDescent="0.3">
      <c r="B394" s="37"/>
      <c r="C394" s="45" t="s">
        <v>2086</v>
      </c>
      <c r="D394" s="46" t="s">
        <v>2087</v>
      </c>
      <c r="E394" s="49" t="s">
        <v>125</v>
      </c>
      <c r="F394" s="46" t="s">
        <v>2088</v>
      </c>
      <c r="G394" s="47" t="s">
        <v>2089</v>
      </c>
      <c r="H394" s="48" t="s">
        <v>1171</v>
      </c>
    </row>
    <row r="395" spans="2:8" ht="189.75" customHeight="1" thickBot="1" x14ac:dyDescent="0.3">
      <c r="B395" s="37"/>
      <c r="C395" s="45" t="s">
        <v>2090</v>
      </c>
      <c r="D395" s="46" t="s">
        <v>2091</v>
      </c>
      <c r="E395" s="49" t="s">
        <v>125</v>
      </c>
      <c r="F395" s="46" t="s">
        <v>2092</v>
      </c>
      <c r="G395" s="47" t="s">
        <v>2093</v>
      </c>
      <c r="H395" s="48" t="s">
        <v>1171</v>
      </c>
    </row>
    <row r="396" spans="2:8" ht="158.25" customHeight="1" thickBot="1" x14ac:dyDescent="0.3">
      <c r="B396" s="37"/>
      <c r="C396" s="45" t="s">
        <v>2094</v>
      </c>
      <c r="D396" s="46" t="s">
        <v>2095</v>
      </c>
      <c r="E396" s="49" t="s">
        <v>125</v>
      </c>
      <c r="F396" s="46" t="s">
        <v>2096</v>
      </c>
      <c r="G396" s="47" t="s">
        <v>2097</v>
      </c>
      <c r="H396" s="48" t="s">
        <v>1171</v>
      </c>
    </row>
    <row r="397" spans="2:8" ht="189.75" customHeight="1" thickBot="1" x14ac:dyDescent="0.3">
      <c r="B397" s="37"/>
      <c r="C397" s="45" t="s">
        <v>2098</v>
      </c>
      <c r="D397" s="46" t="s">
        <v>1537</v>
      </c>
      <c r="E397" s="49" t="s">
        <v>125</v>
      </c>
      <c r="F397" s="46" t="s">
        <v>2099</v>
      </c>
      <c r="G397" s="47" t="s">
        <v>2100</v>
      </c>
      <c r="H397" s="48" t="s">
        <v>1171</v>
      </c>
    </row>
    <row r="398" spans="2:8" ht="237" customHeight="1" thickBot="1" x14ac:dyDescent="0.3">
      <c r="B398" s="37"/>
      <c r="C398" s="45" t="s">
        <v>2101</v>
      </c>
      <c r="D398" s="46" t="s">
        <v>2102</v>
      </c>
      <c r="E398" s="49" t="s">
        <v>125</v>
      </c>
      <c r="F398" s="46" t="s">
        <v>2103</v>
      </c>
      <c r="G398" s="47" t="s">
        <v>2104</v>
      </c>
      <c r="H398" s="48" t="s">
        <v>1171</v>
      </c>
    </row>
    <row r="399" spans="2:8" ht="95.25" customHeight="1" thickBot="1" x14ac:dyDescent="0.3">
      <c r="B399" s="37"/>
      <c r="C399" s="45" t="s">
        <v>2105</v>
      </c>
      <c r="D399" s="46" t="s">
        <v>1696</v>
      </c>
      <c r="E399" s="49" t="s">
        <v>125</v>
      </c>
      <c r="F399" s="46" t="s">
        <v>2106</v>
      </c>
      <c r="G399" s="47" t="s">
        <v>2107</v>
      </c>
      <c r="H399" s="48" t="s">
        <v>1171</v>
      </c>
    </row>
    <row r="400" spans="2:8" ht="158.25" customHeight="1" thickBot="1" x14ac:dyDescent="0.3">
      <c r="B400" s="37"/>
      <c r="C400" s="45" t="s">
        <v>2108</v>
      </c>
      <c r="D400" s="46" t="s">
        <v>1810</v>
      </c>
      <c r="E400" s="49" t="s">
        <v>125</v>
      </c>
      <c r="F400" s="46" t="s">
        <v>2109</v>
      </c>
      <c r="G400" s="47" t="s">
        <v>2110</v>
      </c>
      <c r="H400" s="48" t="s">
        <v>1171</v>
      </c>
    </row>
    <row r="401" spans="2:8" ht="143.25" customHeight="1" thickBot="1" x14ac:dyDescent="0.3">
      <c r="B401" s="37"/>
      <c r="C401" s="45" t="s">
        <v>2111</v>
      </c>
      <c r="D401" s="46" t="s">
        <v>2112</v>
      </c>
      <c r="E401" s="49" t="s">
        <v>125</v>
      </c>
      <c r="F401" s="46" t="s">
        <v>2113</v>
      </c>
      <c r="G401" s="47" t="s">
        <v>2114</v>
      </c>
      <c r="H401" s="48" t="s">
        <v>1171</v>
      </c>
    </row>
    <row r="402" spans="2:8" ht="111" customHeight="1" thickBot="1" x14ac:dyDescent="0.3">
      <c r="B402" s="37"/>
      <c r="C402" s="45" t="s">
        <v>2115</v>
      </c>
      <c r="D402" s="46" t="s">
        <v>2116</v>
      </c>
      <c r="E402" s="49" t="s">
        <v>125</v>
      </c>
      <c r="F402" s="46" t="s">
        <v>2117</v>
      </c>
      <c r="G402" s="47" t="s">
        <v>2118</v>
      </c>
      <c r="H402" s="48" t="s">
        <v>1171</v>
      </c>
    </row>
    <row r="403" spans="2:8" ht="63.75" customHeight="1" thickBot="1" x14ac:dyDescent="0.3">
      <c r="B403" s="37"/>
      <c r="C403" s="45" t="s">
        <v>2119</v>
      </c>
      <c r="D403" s="46" t="s">
        <v>2120</v>
      </c>
      <c r="E403" s="49" t="s">
        <v>125</v>
      </c>
      <c r="F403" s="46" t="s">
        <v>2121</v>
      </c>
      <c r="G403" s="47" t="s">
        <v>2122</v>
      </c>
      <c r="H403" s="48" t="s">
        <v>1171</v>
      </c>
    </row>
    <row r="404" spans="2:8" ht="142.5" customHeight="1" thickBot="1" x14ac:dyDescent="0.3">
      <c r="B404" s="37"/>
      <c r="C404" s="45" t="s">
        <v>2123</v>
      </c>
      <c r="D404" s="46" t="s">
        <v>2124</v>
      </c>
      <c r="E404" s="49" t="s">
        <v>125</v>
      </c>
      <c r="F404" s="46" t="s">
        <v>2125</v>
      </c>
      <c r="G404" s="47" t="s">
        <v>2126</v>
      </c>
      <c r="H404" s="48" t="s">
        <v>1171</v>
      </c>
    </row>
    <row r="405" spans="2:8" ht="111" customHeight="1" thickBot="1" x14ac:dyDescent="0.3">
      <c r="B405" s="37"/>
      <c r="C405" s="45" t="s">
        <v>2127</v>
      </c>
      <c r="D405" s="46" t="s">
        <v>1556</v>
      </c>
      <c r="E405" s="49" t="s">
        <v>125</v>
      </c>
      <c r="F405" s="46" t="s">
        <v>2128</v>
      </c>
      <c r="G405" s="47" t="s">
        <v>2129</v>
      </c>
      <c r="H405" s="48" t="s">
        <v>1171</v>
      </c>
    </row>
    <row r="406" spans="2:8" ht="95.25" customHeight="1" thickBot="1" x14ac:dyDescent="0.3">
      <c r="B406" s="37"/>
      <c r="C406" s="45" t="s">
        <v>2130</v>
      </c>
      <c r="D406" s="46" t="s">
        <v>1338</v>
      </c>
      <c r="E406" s="49" t="s">
        <v>125</v>
      </c>
      <c r="F406" s="46" t="s">
        <v>2131</v>
      </c>
      <c r="G406" s="47" t="s">
        <v>2132</v>
      </c>
      <c r="H406" s="48" t="s">
        <v>1171</v>
      </c>
    </row>
    <row r="407" spans="2:8" ht="126.75" customHeight="1" thickBot="1" x14ac:dyDescent="0.3">
      <c r="B407" s="37"/>
      <c r="C407" s="45" t="s">
        <v>2133</v>
      </c>
      <c r="D407" s="46" t="s">
        <v>1342</v>
      </c>
      <c r="E407" s="49" t="s">
        <v>125</v>
      </c>
      <c r="F407" s="46" t="s">
        <v>2134</v>
      </c>
      <c r="G407" s="47" t="s">
        <v>2135</v>
      </c>
      <c r="H407" s="48" t="s">
        <v>1171</v>
      </c>
    </row>
    <row r="408" spans="2:8" ht="111" customHeight="1" thickBot="1" x14ac:dyDescent="0.3">
      <c r="B408" s="37"/>
      <c r="C408" s="45" t="s">
        <v>2136</v>
      </c>
      <c r="D408" s="46" t="s">
        <v>1998</v>
      </c>
      <c r="E408" s="49" t="s">
        <v>125</v>
      </c>
      <c r="F408" s="46" t="s">
        <v>2137</v>
      </c>
      <c r="G408" s="47" t="s">
        <v>2138</v>
      </c>
      <c r="H408" s="48" t="s">
        <v>1171</v>
      </c>
    </row>
    <row r="409" spans="2:8" ht="126.75" customHeight="1" thickBot="1" x14ac:dyDescent="0.3">
      <c r="B409" s="37"/>
      <c r="C409" s="45" t="s">
        <v>2139</v>
      </c>
      <c r="D409" s="46" t="s">
        <v>1350</v>
      </c>
      <c r="E409" s="49" t="s">
        <v>125</v>
      </c>
      <c r="F409" s="46" t="s">
        <v>2140</v>
      </c>
      <c r="G409" s="47" t="s">
        <v>2141</v>
      </c>
      <c r="H409" s="48" t="s">
        <v>1171</v>
      </c>
    </row>
    <row r="410" spans="2:8" ht="126.75" customHeight="1" thickBot="1" x14ac:dyDescent="0.3">
      <c r="B410" s="37"/>
      <c r="C410" s="45" t="s">
        <v>2142</v>
      </c>
      <c r="D410" s="46" t="s">
        <v>1354</v>
      </c>
      <c r="E410" s="49" t="s">
        <v>125</v>
      </c>
      <c r="F410" s="46" t="s">
        <v>2143</v>
      </c>
      <c r="G410" s="47" t="s">
        <v>2144</v>
      </c>
      <c r="H410" s="48" t="s">
        <v>1171</v>
      </c>
    </row>
    <row r="411" spans="2:8" ht="111" customHeight="1" thickBot="1" x14ac:dyDescent="0.3">
      <c r="B411" s="37"/>
      <c r="C411" s="45" t="s">
        <v>2145</v>
      </c>
      <c r="D411" s="46" t="s">
        <v>1358</v>
      </c>
      <c r="E411" s="49" t="s">
        <v>125</v>
      </c>
      <c r="F411" s="46" t="s">
        <v>2146</v>
      </c>
      <c r="G411" s="47" t="s">
        <v>2147</v>
      </c>
      <c r="H411" s="48" t="s">
        <v>1171</v>
      </c>
    </row>
    <row r="412" spans="2:8" ht="111" customHeight="1" thickBot="1" x14ac:dyDescent="0.3">
      <c r="B412" s="37"/>
      <c r="C412" s="45" t="s">
        <v>2148</v>
      </c>
      <c r="D412" s="46" t="s">
        <v>1362</v>
      </c>
      <c r="E412" s="49" t="s">
        <v>125</v>
      </c>
      <c r="F412" s="46" t="s">
        <v>2149</v>
      </c>
      <c r="G412" s="47" t="s">
        <v>2150</v>
      </c>
      <c r="H412" s="48" t="s">
        <v>1171</v>
      </c>
    </row>
    <row r="413" spans="2:8" ht="111" customHeight="1" thickBot="1" x14ac:dyDescent="0.3">
      <c r="B413" s="37"/>
      <c r="C413" s="45" t="s">
        <v>2151</v>
      </c>
      <c r="D413" s="46" t="s">
        <v>1366</v>
      </c>
      <c r="E413" s="49" t="s">
        <v>125</v>
      </c>
      <c r="F413" s="46" t="s">
        <v>2152</v>
      </c>
      <c r="G413" s="47" t="s">
        <v>2153</v>
      </c>
      <c r="H413" s="48" t="s">
        <v>1171</v>
      </c>
    </row>
    <row r="414" spans="2:8" ht="112.5" customHeight="1" thickBot="1" x14ac:dyDescent="0.3">
      <c r="B414" s="37"/>
      <c r="C414" s="45" t="s">
        <v>2154</v>
      </c>
      <c r="D414" s="46" t="s">
        <v>2155</v>
      </c>
      <c r="E414" s="49" t="s">
        <v>125</v>
      </c>
      <c r="F414" s="46" t="s">
        <v>2156</v>
      </c>
      <c r="G414" s="47" t="s">
        <v>2157</v>
      </c>
      <c r="H414" s="48" t="s">
        <v>1171</v>
      </c>
    </row>
    <row r="415" spans="2:8" ht="63.75" customHeight="1" thickBot="1" x14ac:dyDescent="0.3">
      <c r="B415" s="37"/>
      <c r="C415" s="45" t="s">
        <v>2158</v>
      </c>
      <c r="D415" s="46" t="s">
        <v>2159</v>
      </c>
      <c r="E415" s="49" t="s">
        <v>125</v>
      </c>
      <c r="F415" s="46" t="s">
        <v>2160</v>
      </c>
      <c r="G415" s="47" t="s">
        <v>2161</v>
      </c>
      <c r="H415" s="48" t="s">
        <v>1171</v>
      </c>
    </row>
    <row r="416" spans="2:8" ht="142.5" customHeight="1" thickBot="1" x14ac:dyDescent="0.3">
      <c r="B416" s="37"/>
      <c r="C416" s="45" t="s">
        <v>2162</v>
      </c>
      <c r="D416" s="46" t="s">
        <v>2163</v>
      </c>
      <c r="E416" s="49" t="s">
        <v>125</v>
      </c>
      <c r="F416" s="46" t="s">
        <v>2164</v>
      </c>
      <c r="G416" s="47" t="s">
        <v>2165</v>
      </c>
      <c r="H416" s="48" t="s">
        <v>1171</v>
      </c>
    </row>
    <row r="417" spans="2:8" ht="63.75" customHeight="1" thickBot="1" x14ac:dyDescent="0.3">
      <c r="B417" s="37"/>
      <c r="C417" s="45" t="s">
        <v>2166</v>
      </c>
      <c r="D417" s="46" t="s">
        <v>2167</v>
      </c>
      <c r="E417" s="49" t="s">
        <v>125</v>
      </c>
      <c r="F417" s="46" t="s">
        <v>2168</v>
      </c>
      <c r="G417" s="47" t="s">
        <v>2169</v>
      </c>
      <c r="H417" s="48" t="s">
        <v>1171</v>
      </c>
    </row>
    <row r="418" spans="2:8" ht="63.75" customHeight="1" thickBot="1" x14ac:dyDescent="0.3">
      <c r="B418" s="37"/>
      <c r="C418" s="45" t="s">
        <v>2170</v>
      </c>
      <c r="D418" s="46" t="s">
        <v>1386</v>
      </c>
      <c r="E418" s="49" t="s">
        <v>125</v>
      </c>
      <c r="F418" s="46" t="s">
        <v>2171</v>
      </c>
      <c r="G418" s="47" t="s">
        <v>2172</v>
      </c>
      <c r="H418" s="48" t="s">
        <v>1171</v>
      </c>
    </row>
    <row r="419" spans="2:8" ht="126.75" customHeight="1" thickBot="1" x14ac:dyDescent="0.3">
      <c r="B419" s="37"/>
      <c r="C419" s="45" t="s">
        <v>2173</v>
      </c>
      <c r="D419" s="46" t="s">
        <v>1718</v>
      </c>
      <c r="E419" s="49" t="s">
        <v>125</v>
      </c>
      <c r="F419" s="46" t="s">
        <v>2174</v>
      </c>
      <c r="G419" s="47" t="s">
        <v>2175</v>
      </c>
      <c r="H419" s="48" t="s">
        <v>1171</v>
      </c>
    </row>
    <row r="420" spans="2:8" ht="174" customHeight="1" thickBot="1" x14ac:dyDescent="0.3">
      <c r="B420" s="37"/>
      <c r="C420" s="45" t="s">
        <v>2176</v>
      </c>
      <c r="D420" s="46" t="s">
        <v>2177</v>
      </c>
      <c r="E420" s="49" t="s">
        <v>125</v>
      </c>
      <c r="F420" s="46" t="s">
        <v>2178</v>
      </c>
      <c r="G420" s="47" t="s">
        <v>2179</v>
      </c>
      <c r="H420" s="48" t="s">
        <v>1171</v>
      </c>
    </row>
    <row r="421" spans="2:8" ht="95.25" customHeight="1" thickBot="1" x14ac:dyDescent="0.3">
      <c r="B421" s="37"/>
      <c r="C421" s="45" t="s">
        <v>2180</v>
      </c>
      <c r="D421" s="46" t="s">
        <v>2181</v>
      </c>
      <c r="E421" s="49" t="s">
        <v>125</v>
      </c>
      <c r="F421" s="46" t="s">
        <v>2182</v>
      </c>
      <c r="G421" s="47" t="s">
        <v>2183</v>
      </c>
      <c r="H421" s="48" t="s">
        <v>1171</v>
      </c>
    </row>
    <row r="422" spans="2:8" ht="63.75" customHeight="1" thickBot="1" x14ac:dyDescent="0.3">
      <c r="B422" s="37"/>
      <c r="C422" s="45" t="s">
        <v>2184</v>
      </c>
      <c r="D422" s="46" t="s">
        <v>2185</v>
      </c>
      <c r="E422" s="49" t="s">
        <v>125</v>
      </c>
      <c r="F422" s="46" t="s">
        <v>2186</v>
      </c>
      <c r="G422" s="47" t="s">
        <v>2187</v>
      </c>
      <c r="H422" s="48" t="s">
        <v>1171</v>
      </c>
    </row>
    <row r="423" spans="2:8" ht="95.25" customHeight="1" thickBot="1" x14ac:dyDescent="0.3">
      <c r="B423" s="37"/>
      <c r="C423" s="45" t="s">
        <v>2188</v>
      </c>
      <c r="D423" s="46" t="s">
        <v>1426</v>
      </c>
      <c r="E423" s="49" t="s">
        <v>125</v>
      </c>
      <c r="F423" s="46" t="s">
        <v>2189</v>
      </c>
      <c r="G423" s="47" t="s">
        <v>2190</v>
      </c>
      <c r="H423" s="48" t="s">
        <v>1171</v>
      </c>
    </row>
    <row r="424" spans="2:8" ht="79.5" customHeight="1" thickBot="1" x14ac:dyDescent="0.3">
      <c r="B424" s="37"/>
      <c r="C424" s="45" t="s">
        <v>2191</v>
      </c>
      <c r="D424" s="46" t="s">
        <v>1430</v>
      </c>
      <c r="E424" s="49" t="s">
        <v>125</v>
      </c>
      <c r="F424" s="46" t="s">
        <v>2192</v>
      </c>
      <c r="G424" s="47" t="s">
        <v>2193</v>
      </c>
      <c r="H424" s="48" t="s">
        <v>1171</v>
      </c>
    </row>
    <row r="425" spans="2:8" ht="63.75" customHeight="1" thickBot="1" x14ac:dyDescent="0.3">
      <c r="B425" s="37"/>
      <c r="C425" s="45" t="s">
        <v>2194</v>
      </c>
      <c r="D425" s="46" t="s">
        <v>1731</v>
      </c>
      <c r="E425" s="49" t="s">
        <v>125</v>
      </c>
      <c r="F425" s="46" t="s">
        <v>2195</v>
      </c>
      <c r="G425" s="47" t="s">
        <v>2196</v>
      </c>
      <c r="H425" s="48" t="s">
        <v>1171</v>
      </c>
    </row>
    <row r="426" spans="2:8" ht="111" customHeight="1" thickBot="1" x14ac:dyDescent="0.3">
      <c r="B426" s="37"/>
      <c r="C426" s="45" t="s">
        <v>2197</v>
      </c>
      <c r="D426" s="46" t="s">
        <v>1438</v>
      </c>
      <c r="E426" s="49" t="s">
        <v>125</v>
      </c>
      <c r="F426" s="46" t="s">
        <v>2198</v>
      </c>
      <c r="G426" s="47" t="s">
        <v>2199</v>
      </c>
      <c r="H426" s="48" t="s">
        <v>1171</v>
      </c>
    </row>
    <row r="427" spans="2:8" ht="79.5" customHeight="1" thickBot="1" x14ac:dyDescent="0.3">
      <c r="B427" s="37"/>
      <c r="C427" s="45" t="s">
        <v>2200</v>
      </c>
      <c r="D427" s="46" t="s">
        <v>1442</v>
      </c>
      <c r="E427" s="49" t="s">
        <v>125</v>
      </c>
      <c r="F427" s="46" t="s">
        <v>2201</v>
      </c>
      <c r="G427" s="47" t="s">
        <v>2202</v>
      </c>
      <c r="H427" s="48" t="s">
        <v>1171</v>
      </c>
    </row>
    <row r="428" spans="2:8" ht="79.5" customHeight="1" thickBot="1" x14ac:dyDescent="0.3">
      <c r="B428" s="37"/>
      <c r="C428" s="45" t="s">
        <v>2203</v>
      </c>
      <c r="D428" s="46" t="s">
        <v>1446</v>
      </c>
      <c r="E428" s="49" t="s">
        <v>125</v>
      </c>
      <c r="F428" s="46" t="s">
        <v>2204</v>
      </c>
      <c r="G428" s="47" t="s">
        <v>2205</v>
      </c>
      <c r="H428" s="48" t="s">
        <v>1171</v>
      </c>
    </row>
    <row r="429" spans="2:8" ht="63.75" customHeight="1" thickBot="1" x14ac:dyDescent="0.3">
      <c r="B429" s="37"/>
      <c r="C429" s="45" t="s">
        <v>2206</v>
      </c>
      <c r="D429" s="46" t="s">
        <v>1450</v>
      </c>
      <c r="E429" s="49" t="s">
        <v>125</v>
      </c>
      <c r="F429" s="46" t="s">
        <v>2207</v>
      </c>
      <c r="G429" s="47" t="s">
        <v>2208</v>
      </c>
      <c r="H429" s="48" t="s">
        <v>1171</v>
      </c>
    </row>
    <row r="430" spans="2:8" ht="63.75" customHeight="1" thickBot="1" x14ac:dyDescent="0.3">
      <c r="B430" s="37"/>
      <c r="C430" s="45" t="s">
        <v>2209</v>
      </c>
      <c r="D430" s="46" t="s">
        <v>1454</v>
      </c>
      <c r="E430" s="49" t="s">
        <v>125</v>
      </c>
      <c r="F430" s="46" t="s">
        <v>2210</v>
      </c>
      <c r="G430" s="47" t="s">
        <v>2211</v>
      </c>
      <c r="H430" s="48" t="s">
        <v>1171</v>
      </c>
    </row>
    <row r="431" spans="2:8" ht="95.25" customHeight="1" thickBot="1" x14ac:dyDescent="0.3">
      <c r="B431" s="37"/>
      <c r="C431" s="45" t="s">
        <v>2212</v>
      </c>
      <c r="D431" s="46" t="s">
        <v>1458</v>
      </c>
      <c r="E431" s="49" t="s">
        <v>125</v>
      </c>
      <c r="F431" s="46" t="s">
        <v>2213</v>
      </c>
      <c r="G431" s="47" t="s">
        <v>2214</v>
      </c>
      <c r="H431" s="48" t="s">
        <v>1171</v>
      </c>
    </row>
    <row r="432" spans="2:8" ht="79.5" customHeight="1" thickBot="1" x14ac:dyDescent="0.3">
      <c r="B432" s="37"/>
      <c r="C432" s="45" t="s">
        <v>2215</v>
      </c>
      <c r="D432" s="46" t="s">
        <v>2216</v>
      </c>
      <c r="E432" s="49" t="s">
        <v>125</v>
      </c>
      <c r="F432" s="46" t="s">
        <v>2217</v>
      </c>
      <c r="G432" s="47" t="s">
        <v>2218</v>
      </c>
      <c r="H432" s="48" t="s">
        <v>1171</v>
      </c>
    </row>
    <row r="433" spans="2:8" ht="95.25" customHeight="1" thickBot="1" x14ac:dyDescent="0.3">
      <c r="B433" s="37"/>
      <c r="C433" s="45" t="s">
        <v>2219</v>
      </c>
      <c r="D433" s="46" t="s">
        <v>1466</v>
      </c>
      <c r="E433" s="49" t="s">
        <v>125</v>
      </c>
      <c r="F433" s="46" t="s">
        <v>2220</v>
      </c>
      <c r="G433" s="47" t="s">
        <v>2221</v>
      </c>
      <c r="H433" s="48" t="s">
        <v>1171</v>
      </c>
    </row>
    <row r="434" spans="2:8" ht="63.75" customHeight="1" thickBot="1" x14ac:dyDescent="0.3">
      <c r="B434" s="37"/>
      <c r="C434" s="45" t="s">
        <v>2222</v>
      </c>
      <c r="D434" s="46" t="s">
        <v>1470</v>
      </c>
      <c r="E434" s="49" t="s">
        <v>125</v>
      </c>
      <c r="F434" s="46" t="s">
        <v>2223</v>
      </c>
      <c r="G434" s="47" t="s">
        <v>2224</v>
      </c>
      <c r="H434" s="48" t="s">
        <v>1171</v>
      </c>
    </row>
    <row r="435" spans="2:8" ht="111" customHeight="1" thickBot="1" x14ac:dyDescent="0.3">
      <c r="B435" s="37"/>
      <c r="C435" s="45" t="s">
        <v>2225</v>
      </c>
      <c r="D435" s="46" t="s">
        <v>1474</v>
      </c>
      <c r="E435" s="49" t="s">
        <v>125</v>
      </c>
      <c r="F435" s="46" t="s">
        <v>2226</v>
      </c>
      <c r="G435" s="47" t="s">
        <v>2227</v>
      </c>
      <c r="H435" s="48" t="s">
        <v>1171</v>
      </c>
    </row>
    <row r="436" spans="2:8" ht="142.5" customHeight="1" thickBot="1" x14ac:dyDescent="0.3">
      <c r="B436" s="37"/>
      <c r="C436" s="45" t="s">
        <v>2228</v>
      </c>
      <c r="D436" s="46" t="s">
        <v>2229</v>
      </c>
      <c r="E436" s="49" t="s">
        <v>125</v>
      </c>
      <c r="F436" s="46" t="s">
        <v>2230</v>
      </c>
      <c r="G436" s="47" t="s">
        <v>2231</v>
      </c>
      <c r="H436" s="48" t="s">
        <v>1171</v>
      </c>
    </row>
    <row r="437" spans="2:8" x14ac:dyDescent="0.25">
      <c r="B437" s="38"/>
      <c r="C437" s="14"/>
      <c r="D437" s="14"/>
      <c r="E437" s="14"/>
      <c r="F437" s="14"/>
      <c r="G437" s="16"/>
    </row>
    <row r="438" spans="2:8" x14ac:dyDescent="0.25">
      <c r="B438" s="38"/>
      <c r="C438" s="14"/>
      <c r="D438" s="14"/>
      <c r="E438" s="14"/>
      <c r="F438" s="14"/>
      <c r="G438" s="16"/>
    </row>
    <row r="439" spans="2:8" x14ac:dyDescent="0.25">
      <c r="B439" s="38"/>
      <c r="C439" s="14"/>
      <c r="D439" s="14"/>
      <c r="E439" s="14"/>
      <c r="F439" s="14"/>
      <c r="G439" s="16"/>
    </row>
    <row r="440" spans="2:8" x14ac:dyDescent="0.25">
      <c r="B440" s="38"/>
      <c r="C440" s="14"/>
      <c r="D440" s="14"/>
      <c r="E440" s="14"/>
      <c r="F440" s="14"/>
      <c r="G440" s="16"/>
    </row>
    <row r="441" spans="2:8" x14ac:dyDescent="0.25">
      <c r="B441" s="38"/>
      <c r="C441" s="14"/>
      <c r="D441" s="14"/>
      <c r="E441" s="14"/>
      <c r="F441" s="14"/>
      <c r="G441" s="16"/>
    </row>
    <row r="442" spans="2:8" x14ac:dyDescent="0.25">
      <c r="B442" s="38"/>
      <c r="C442" s="14"/>
      <c r="D442" s="14"/>
      <c r="E442" s="14"/>
      <c r="F442" s="14"/>
      <c r="G442" s="16"/>
    </row>
    <row r="443" spans="2:8" x14ac:dyDescent="0.25">
      <c r="B443" s="38"/>
      <c r="C443" s="14"/>
      <c r="D443" s="14"/>
      <c r="E443" s="14"/>
      <c r="F443" s="14"/>
      <c r="G443" s="16"/>
    </row>
    <row r="444" spans="2:8" x14ac:dyDescent="0.25">
      <c r="B444" s="38"/>
      <c r="C444" s="14"/>
      <c r="D444" s="14"/>
      <c r="E444" s="14"/>
      <c r="F444" s="14"/>
      <c r="G444" s="16"/>
    </row>
    <row r="445" spans="2:8" x14ac:dyDescent="0.25">
      <c r="B445" s="38"/>
      <c r="C445" s="14"/>
      <c r="D445" s="14"/>
      <c r="E445" s="14"/>
      <c r="F445" s="14"/>
      <c r="G445" s="16"/>
    </row>
    <row r="446" spans="2:8" x14ac:dyDescent="0.25">
      <c r="B446" s="38"/>
      <c r="C446" s="14"/>
      <c r="D446" s="14"/>
      <c r="E446" s="14"/>
      <c r="F446" s="14"/>
      <c r="G446" s="16"/>
    </row>
    <row r="447" spans="2:8" x14ac:dyDescent="0.25">
      <c r="B447" s="38"/>
      <c r="C447" s="14"/>
      <c r="D447" s="14"/>
      <c r="E447" s="14"/>
      <c r="F447" s="14"/>
      <c r="G447" s="16"/>
    </row>
    <row r="448" spans="2:8" x14ac:dyDescent="0.25">
      <c r="B448" s="38"/>
      <c r="C448" s="14"/>
      <c r="D448" s="14"/>
      <c r="E448" s="14"/>
      <c r="F448" s="14"/>
      <c r="G448" s="16"/>
    </row>
    <row r="449" spans="2:7" x14ac:dyDescent="0.25">
      <c r="B449" s="38"/>
      <c r="C449" s="14"/>
      <c r="D449" s="14"/>
      <c r="E449" s="14"/>
      <c r="F449" s="14"/>
      <c r="G449" s="16"/>
    </row>
    <row r="450" spans="2:7" x14ac:dyDescent="0.25">
      <c r="B450" s="38"/>
      <c r="C450" s="14"/>
      <c r="D450" s="14"/>
      <c r="E450" s="14"/>
      <c r="F450" s="14"/>
      <c r="G450" s="16"/>
    </row>
    <row r="451" spans="2:7" x14ac:dyDescent="0.25">
      <c r="B451" s="38"/>
      <c r="C451" s="14"/>
      <c r="D451" s="14"/>
      <c r="E451" s="14"/>
      <c r="F451" s="14"/>
      <c r="G451" s="16"/>
    </row>
    <row r="452" spans="2:7" x14ac:dyDescent="0.25">
      <c r="B452" s="38"/>
      <c r="C452" s="14"/>
      <c r="D452" s="14"/>
      <c r="E452" s="14"/>
      <c r="F452" s="14"/>
      <c r="G452" s="16"/>
    </row>
    <row r="453" spans="2:7" x14ac:dyDescent="0.25">
      <c r="B453" s="38"/>
      <c r="C453" s="14"/>
      <c r="D453" s="14"/>
      <c r="E453" s="14"/>
      <c r="F453" s="14"/>
      <c r="G453" s="16"/>
    </row>
    <row r="454" spans="2:7" x14ac:dyDescent="0.25">
      <c r="B454" s="38"/>
      <c r="C454" s="14"/>
      <c r="D454" s="14"/>
      <c r="E454" s="14"/>
      <c r="F454" s="14"/>
      <c r="G454" s="16"/>
    </row>
    <row r="455" spans="2:7" x14ac:dyDescent="0.25">
      <c r="B455" s="38"/>
      <c r="C455" s="14"/>
      <c r="D455" s="14"/>
      <c r="E455" s="14"/>
      <c r="F455" s="14"/>
      <c r="G455" s="16"/>
    </row>
    <row r="456" spans="2:7" x14ac:dyDescent="0.25">
      <c r="B456" s="38"/>
      <c r="C456" s="14"/>
      <c r="D456" s="14"/>
      <c r="E456" s="14"/>
      <c r="F456" s="14"/>
      <c r="G456" s="16"/>
    </row>
    <row r="457" spans="2:7" x14ac:dyDescent="0.25">
      <c r="B457" s="38"/>
      <c r="C457" s="14"/>
      <c r="D457" s="14"/>
      <c r="E457" s="14"/>
      <c r="F457" s="14"/>
      <c r="G457" s="16"/>
    </row>
    <row r="458" spans="2:7" x14ac:dyDescent="0.25">
      <c r="B458" s="38"/>
      <c r="C458" s="14"/>
      <c r="D458" s="14"/>
      <c r="E458" s="14"/>
      <c r="F458" s="14"/>
      <c r="G458" s="16"/>
    </row>
    <row r="459" spans="2:7" x14ac:dyDescent="0.25">
      <c r="B459" s="38"/>
      <c r="C459" s="14"/>
      <c r="D459" s="14"/>
      <c r="E459" s="14"/>
      <c r="F459" s="14"/>
      <c r="G459" s="16"/>
    </row>
    <row r="460" spans="2:7" x14ac:dyDescent="0.25">
      <c r="B460" s="38"/>
      <c r="C460" s="14"/>
      <c r="D460" s="14"/>
      <c r="E460" s="14"/>
      <c r="F460" s="14"/>
      <c r="G460" s="16"/>
    </row>
    <row r="461" spans="2:7" x14ac:dyDescent="0.25">
      <c r="B461" s="38"/>
      <c r="C461" s="14"/>
      <c r="D461" s="14"/>
      <c r="E461" s="14"/>
      <c r="F461" s="14"/>
      <c r="G461" s="16"/>
    </row>
    <row r="462" spans="2:7" x14ac:dyDescent="0.25">
      <c r="B462" s="38"/>
      <c r="C462" s="14"/>
      <c r="D462" s="14"/>
      <c r="E462" s="14"/>
      <c r="F462" s="14"/>
      <c r="G462" s="16"/>
    </row>
    <row r="463" spans="2:7" x14ac:dyDescent="0.25">
      <c r="B463" s="38"/>
      <c r="C463" s="14"/>
      <c r="D463" s="14"/>
      <c r="E463" s="14"/>
      <c r="F463" s="14"/>
      <c r="G463" s="16"/>
    </row>
    <row r="464" spans="2:7" x14ac:dyDescent="0.25">
      <c r="B464" s="38"/>
      <c r="C464" s="14"/>
      <c r="D464" s="14"/>
      <c r="E464" s="14"/>
      <c r="F464" s="14"/>
      <c r="G464" s="16"/>
    </row>
    <row r="465" spans="2:7" x14ac:dyDescent="0.25">
      <c r="B465" s="38"/>
      <c r="C465" s="14"/>
      <c r="D465" s="14"/>
      <c r="E465" s="14"/>
      <c r="F465" s="14"/>
      <c r="G465" s="16"/>
    </row>
    <row r="466" spans="2:7" x14ac:dyDescent="0.25">
      <c r="B466" s="38"/>
      <c r="C466" s="14"/>
      <c r="D466" s="14"/>
      <c r="E466" s="14"/>
      <c r="F466" s="14"/>
      <c r="G466" s="16"/>
    </row>
    <row r="467" spans="2:7" x14ac:dyDescent="0.25">
      <c r="B467" s="38"/>
      <c r="C467" s="14"/>
      <c r="D467" s="14"/>
      <c r="E467" s="14"/>
      <c r="F467" s="14"/>
      <c r="G467" s="16"/>
    </row>
    <row r="468" spans="2:7" x14ac:dyDescent="0.25">
      <c r="B468" s="38"/>
      <c r="C468" s="14"/>
      <c r="D468" s="14"/>
      <c r="E468" s="14"/>
      <c r="F468" s="14"/>
      <c r="G468" s="16"/>
    </row>
    <row r="469" spans="2:7" x14ac:dyDescent="0.25">
      <c r="B469" s="38"/>
      <c r="C469" s="14"/>
      <c r="D469" s="14"/>
      <c r="E469" s="14"/>
      <c r="F469" s="14"/>
      <c r="G469" s="16"/>
    </row>
    <row r="470" spans="2:7" x14ac:dyDescent="0.25">
      <c r="B470" s="38"/>
      <c r="C470" s="14"/>
      <c r="D470" s="14"/>
      <c r="E470" s="14"/>
      <c r="F470" s="14"/>
      <c r="G470" s="16"/>
    </row>
    <row r="471" spans="2:7" x14ac:dyDescent="0.25">
      <c r="B471" s="38"/>
      <c r="C471" s="14"/>
      <c r="D471" s="14"/>
      <c r="E471" s="14"/>
      <c r="F471" s="14"/>
      <c r="G471" s="16"/>
    </row>
    <row r="472" spans="2:7" x14ac:dyDescent="0.25">
      <c r="B472" s="38"/>
      <c r="C472" s="14"/>
      <c r="D472" s="14"/>
      <c r="E472" s="14"/>
      <c r="F472" s="14"/>
      <c r="G472" s="16"/>
    </row>
    <row r="473" spans="2:7" x14ac:dyDescent="0.25">
      <c r="B473" s="38"/>
      <c r="C473" s="14"/>
      <c r="D473" s="14"/>
      <c r="E473" s="14"/>
      <c r="F473" s="14"/>
      <c r="G473" s="16"/>
    </row>
    <row r="474" spans="2:7" x14ac:dyDescent="0.25">
      <c r="B474" s="38"/>
      <c r="C474" s="14"/>
      <c r="D474" s="14"/>
      <c r="E474" s="14"/>
      <c r="F474" s="14"/>
      <c r="G474" s="16"/>
    </row>
    <row r="475" spans="2:7" x14ac:dyDescent="0.25">
      <c r="B475" s="38"/>
      <c r="C475" s="14"/>
      <c r="D475" s="14"/>
      <c r="E475" s="14"/>
      <c r="F475" s="14"/>
      <c r="G475" s="16"/>
    </row>
    <row r="476" spans="2:7" x14ac:dyDescent="0.25">
      <c r="B476" s="38"/>
      <c r="C476" s="14"/>
      <c r="D476" s="14"/>
      <c r="E476" s="14"/>
      <c r="F476" s="14"/>
      <c r="G476" s="16"/>
    </row>
    <row r="477" spans="2:7" x14ac:dyDescent="0.25">
      <c r="B477" s="38"/>
      <c r="C477" s="14"/>
      <c r="D477" s="14"/>
      <c r="E477" s="14"/>
      <c r="F477" s="14"/>
      <c r="G477" s="16"/>
    </row>
    <row r="478" spans="2:7" x14ac:dyDescent="0.25">
      <c r="B478" s="38"/>
      <c r="C478" s="14"/>
      <c r="D478" s="14"/>
      <c r="E478" s="14"/>
      <c r="F478" s="14"/>
      <c r="G478" s="16"/>
    </row>
    <row r="479" spans="2:7" x14ac:dyDescent="0.25">
      <c r="B479" s="38"/>
      <c r="C479" s="14"/>
      <c r="D479" s="14"/>
      <c r="E479" s="14"/>
      <c r="F479" s="14"/>
      <c r="G479" s="16"/>
    </row>
    <row r="480" spans="2:7" x14ac:dyDescent="0.25">
      <c r="B480" s="38"/>
      <c r="C480" s="14"/>
      <c r="D480" s="14"/>
      <c r="E480" s="14"/>
      <c r="F480" s="14"/>
      <c r="G480" s="16"/>
    </row>
    <row r="481" spans="2:7" x14ac:dyDescent="0.25">
      <c r="B481" s="38"/>
      <c r="C481" s="14"/>
      <c r="D481" s="14"/>
      <c r="E481" s="14"/>
      <c r="F481" s="14"/>
      <c r="G481" s="16"/>
    </row>
    <row r="482" spans="2:7" x14ac:dyDescent="0.25">
      <c r="B482" s="38"/>
      <c r="C482" s="14"/>
      <c r="D482" s="14"/>
      <c r="E482" s="14"/>
      <c r="F482" s="14"/>
      <c r="G482" s="16"/>
    </row>
    <row r="483" spans="2:7" x14ac:dyDescent="0.25">
      <c r="B483" s="38"/>
      <c r="C483" s="14"/>
      <c r="D483" s="14"/>
      <c r="E483" s="14"/>
      <c r="F483" s="14"/>
      <c r="G483" s="16"/>
    </row>
    <row r="484" spans="2:7" x14ac:dyDescent="0.25">
      <c r="B484" s="38"/>
      <c r="C484" s="14"/>
      <c r="D484" s="14"/>
      <c r="E484" s="14"/>
      <c r="F484" s="14"/>
      <c r="G484" s="16"/>
    </row>
    <row r="485" spans="2:7" x14ac:dyDescent="0.25">
      <c r="B485" s="38"/>
      <c r="C485" s="14"/>
      <c r="D485" s="14"/>
      <c r="E485" s="14"/>
      <c r="F485" s="14"/>
      <c r="G485" s="16"/>
    </row>
    <row r="486" spans="2:7" x14ac:dyDescent="0.25">
      <c r="B486" s="38"/>
      <c r="C486" s="14"/>
      <c r="D486" s="14"/>
      <c r="E486" s="14"/>
      <c r="F486" s="14"/>
      <c r="G486" s="16"/>
    </row>
    <row r="487" spans="2:7" x14ac:dyDescent="0.25">
      <c r="B487" s="38"/>
      <c r="C487" s="14"/>
      <c r="D487" s="14"/>
      <c r="E487" s="14"/>
      <c r="F487" s="14"/>
      <c r="G487" s="16"/>
    </row>
    <row r="488" spans="2:7" x14ac:dyDescent="0.25">
      <c r="B488" s="38"/>
      <c r="C488" s="14"/>
      <c r="D488" s="14"/>
      <c r="E488" s="14"/>
      <c r="F488" s="14"/>
      <c r="G488" s="16"/>
    </row>
    <row r="489" spans="2:7" x14ac:dyDescent="0.25">
      <c r="B489" s="38"/>
      <c r="C489" s="14"/>
      <c r="D489" s="14"/>
      <c r="E489" s="14"/>
      <c r="F489" s="14"/>
      <c r="G489" s="16"/>
    </row>
    <row r="490" spans="2:7" x14ac:dyDescent="0.25">
      <c r="B490" s="38"/>
      <c r="C490" s="14"/>
      <c r="D490" s="14"/>
      <c r="E490" s="14"/>
      <c r="F490" s="14"/>
      <c r="G490" s="16"/>
    </row>
    <row r="491" spans="2:7" x14ac:dyDescent="0.25">
      <c r="B491" s="38"/>
      <c r="C491" s="14"/>
      <c r="D491" s="14"/>
      <c r="E491" s="14"/>
      <c r="F491" s="14"/>
      <c r="G491" s="16"/>
    </row>
    <row r="492" spans="2:7" x14ac:dyDescent="0.25">
      <c r="B492" s="38"/>
      <c r="C492" s="14"/>
      <c r="D492" s="14"/>
      <c r="E492" s="14"/>
      <c r="F492" s="14"/>
      <c r="G492" s="16"/>
    </row>
    <row r="493" spans="2:7" x14ac:dyDescent="0.25">
      <c r="B493" s="38"/>
      <c r="C493" s="14"/>
      <c r="D493" s="14"/>
      <c r="E493" s="14"/>
      <c r="F493" s="14"/>
      <c r="G493" s="16"/>
    </row>
    <row r="494" spans="2:7" x14ac:dyDescent="0.25">
      <c r="B494" s="38"/>
      <c r="C494" s="14"/>
      <c r="D494" s="14"/>
      <c r="E494" s="14"/>
      <c r="F494" s="14"/>
      <c r="G494" s="16"/>
    </row>
    <row r="495" spans="2:7" x14ac:dyDescent="0.25">
      <c r="B495" s="38"/>
      <c r="C495" s="14"/>
      <c r="D495" s="14"/>
      <c r="E495" s="14"/>
      <c r="F495" s="14"/>
      <c r="G495" s="16"/>
    </row>
    <row r="496" spans="2:7" x14ac:dyDescent="0.25">
      <c r="B496" s="38"/>
      <c r="C496" s="14"/>
      <c r="D496" s="14"/>
      <c r="E496" s="14"/>
      <c r="F496" s="14"/>
      <c r="G496" s="16"/>
    </row>
    <row r="497" spans="2:7" x14ac:dyDescent="0.25">
      <c r="B497" s="38"/>
      <c r="C497" s="14"/>
      <c r="D497" s="14"/>
      <c r="E497" s="14"/>
      <c r="F497" s="14"/>
      <c r="G497" s="16"/>
    </row>
    <row r="498" spans="2:7" x14ac:dyDescent="0.25">
      <c r="B498" s="38"/>
      <c r="C498" s="14"/>
      <c r="D498" s="14"/>
      <c r="E498" s="14"/>
      <c r="F498" s="14"/>
      <c r="G498" s="16"/>
    </row>
    <row r="499" spans="2:7" x14ac:dyDescent="0.25">
      <c r="B499" s="38"/>
      <c r="C499" s="14"/>
      <c r="D499" s="14"/>
      <c r="E499" s="14"/>
      <c r="F499" s="14"/>
      <c r="G499" s="16"/>
    </row>
    <row r="500" spans="2:7" x14ac:dyDescent="0.25">
      <c r="B500" s="38"/>
      <c r="C500" s="14"/>
      <c r="D500" s="14"/>
      <c r="E500" s="14"/>
      <c r="F500" s="14"/>
      <c r="G500" s="16"/>
    </row>
    <row r="501" spans="2:7" x14ac:dyDescent="0.25">
      <c r="B501" s="38"/>
      <c r="C501" s="14"/>
      <c r="D501" s="14"/>
      <c r="E501" s="14"/>
      <c r="F501" s="14"/>
      <c r="G501" s="16"/>
    </row>
    <row r="502" spans="2:7" x14ac:dyDescent="0.25">
      <c r="B502" s="38"/>
      <c r="C502" s="14"/>
      <c r="D502" s="14"/>
      <c r="E502" s="14"/>
      <c r="F502" s="14"/>
      <c r="G502" s="16"/>
    </row>
    <row r="503" spans="2:7" x14ac:dyDescent="0.25">
      <c r="B503" s="38"/>
      <c r="C503" s="14"/>
      <c r="D503" s="14"/>
      <c r="E503" s="14"/>
      <c r="F503" s="14"/>
      <c r="G503" s="16"/>
    </row>
    <row r="504" spans="2:7" x14ac:dyDescent="0.25">
      <c r="B504" s="38"/>
      <c r="C504" s="14"/>
      <c r="D504" s="14"/>
      <c r="E504" s="14"/>
      <c r="F504" s="14"/>
      <c r="G504" s="16"/>
    </row>
    <row r="505" spans="2:7" x14ac:dyDescent="0.25">
      <c r="B505" s="38"/>
      <c r="C505" s="14"/>
      <c r="D505" s="14"/>
      <c r="E505" s="14"/>
      <c r="F505" s="14"/>
      <c r="G505" s="16"/>
    </row>
    <row r="506" spans="2:7" x14ac:dyDescent="0.25">
      <c r="B506" s="38"/>
      <c r="C506" s="14"/>
      <c r="D506" s="14"/>
      <c r="E506" s="14"/>
      <c r="F506" s="14"/>
      <c r="G506" s="16"/>
    </row>
    <row r="507" spans="2:7" x14ac:dyDescent="0.25">
      <c r="B507" s="38"/>
      <c r="C507" s="14"/>
      <c r="D507" s="14"/>
      <c r="E507" s="14"/>
      <c r="F507" s="14"/>
      <c r="G507" s="16"/>
    </row>
    <row r="508" spans="2:7" x14ac:dyDescent="0.25">
      <c r="B508" s="38"/>
      <c r="C508" s="14"/>
      <c r="D508" s="14"/>
      <c r="E508" s="14"/>
      <c r="F508" s="14"/>
      <c r="G508" s="16"/>
    </row>
    <row r="509" spans="2:7" x14ac:dyDescent="0.25">
      <c r="B509" s="38"/>
      <c r="C509" s="14"/>
      <c r="D509" s="14"/>
      <c r="E509" s="14"/>
      <c r="F509" s="14"/>
      <c r="G509" s="16"/>
    </row>
    <row r="510" spans="2:7" x14ac:dyDescent="0.25">
      <c r="B510" s="38"/>
      <c r="C510" s="14"/>
      <c r="D510" s="14"/>
      <c r="E510" s="14"/>
      <c r="F510" s="14"/>
      <c r="G510" s="16"/>
    </row>
    <row r="511" spans="2:7" x14ac:dyDescent="0.25">
      <c r="B511" s="38"/>
      <c r="C511" s="14"/>
      <c r="D511" s="14"/>
      <c r="E511" s="14"/>
      <c r="F511" s="14"/>
      <c r="G511" s="16"/>
    </row>
    <row r="512" spans="2:7" x14ac:dyDescent="0.25">
      <c r="B512" s="38"/>
      <c r="C512" s="14"/>
      <c r="D512" s="14"/>
      <c r="E512" s="14"/>
      <c r="F512" s="14"/>
      <c r="G512" s="16"/>
    </row>
    <row r="513" spans="2:7" x14ac:dyDescent="0.25">
      <c r="B513" s="38"/>
      <c r="C513" s="14"/>
      <c r="D513" s="14"/>
      <c r="E513" s="14"/>
      <c r="F513" s="14"/>
      <c r="G513" s="16"/>
    </row>
    <row r="514" spans="2:7" x14ac:dyDescent="0.25">
      <c r="B514" s="38"/>
      <c r="C514" s="14"/>
      <c r="D514" s="14"/>
      <c r="E514" s="14"/>
      <c r="F514" s="14"/>
      <c r="G514" s="16"/>
    </row>
    <row r="515" spans="2:7" x14ac:dyDescent="0.25">
      <c r="B515" s="38"/>
      <c r="C515" s="14"/>
      <c r="D515" s="14"/>
      <c r="E515" s="14"/>
      <c r="F515" s="14"/>
      <c r="G515" s="16"/>
    </row>
    <row r="516" spans="2:7" x14ac:dyDescent="0.25">
      <c r="B516" s="38"/>
      <c r="C516" s="14"/>
      <c r="D516" s="14"/>
      <c r="E516" s="14"/>
      <c r="F516" s="14"/>
      <c r="G516" s="16"/>
    </row>
    <row r="517" spans="2:7" x14ac:dyDescent="0.25">
      <c r="B517" s="38"/>
      <c r="C517" s="14"/>
      <c r="D517" s="14"/>
      <c r="E517" s="14"/>
      <c r="F517" s="14"/>
      <c r="G517" s="16"/>
    </row>
    <row r="518" spans="2:7" x14ac:dyDescent="0.25">
      <c r="B518" s="38"/>
      <c r="C518" s="14"/>
      <c r="D518" s="14"/>
      <c r="E518" s="14"/>
      <c r="F518" s="14"/>
      <c r="G518" s="16"/>
    </row>
    <row r="519" spans="2:7" x14ac:dyDescent="0.25">
      <c r="B519" s="38"/>
      <c r="C519" s="14"/>
      <c r="D519" s="14"/>
      <c r="E519" s="14"/>
      <c r="F519" s="14"/>
      <c r="G519" s="16"/>
    </row>
    <row r="520" spans="2:7" x14ac:dyDescent="0.25">
      <c r="B520" s="38"/>
      <c r="C520" s="14"/>
      <c r="D520" s="14"/>
      <c r="E520" s="14"/>
      <c r="F520" s="14"/>
      <c r="G520" s="16"/>
    </row>
    <row r="521" spans="2:7" x14ac:dyDescent="0.25">
      <c r="B521" s="38"/>
      <c r="C521" s="14"/>
      <c r="D521" s="14"/>
      <c r="E521" s="14"/>
      <c r="F521" s="14"/>
      <c r="G521" s="16"/>
    </row>
    <row r="522" spans="2:7" x14ac:dyDescent="0.25">
      <c r="B522" s="38"/>
      <c r="C522" s="14"/>
      <c r="D522" s="14"/>
      <c r="E522" s="14"/>
      <c r="F522" s="14"/>
      <c r="G522" s="16"/>
    </row>
    <row r="523" spans="2:7" x14ac:dyDescent="0.25">
      <c r="B523" s="38"/>
      <c r="C523" s="14"/>
      <c r="D523" s="14"/>
      <c r="E523" s="14"/>
      <c r="F523" s="14"/>
      <c r="G523" s="16"/>
    </row>
    <row r="524" spans="2:7" x14ac:dyDescent="0.25">
      <c r="B524" s="38"/>
      <c r="C524" s="14"/>
      <c r="D524" s="14"/>
      <c r="E524" s="14"/>
      <c r="F524" s="14"/>
      <c r="G524" s="16"/>
    </row>
    <row r="525" spans="2:7" x14ac:dyDescent="0.25">
      <c r="B525" s="38"/>
      <c r="C525" s="14"/>
      <c r="D525" s="14"/>
      <c r="E525" s="14"/>
      <c r="F525" s="14"/>
      <c r="G525" s="16"/>
    </row>
    <row r="526" spans="2:7" x14ac:dyDescent="0.25">
      <c r="B526" s="38"/>
      <c r="C526" s="14"/>
      <c r="D526" s="14"/>
      <c r="E526" s="14"/>
      <c r="F526" s="14"/>
      <c r="G526" s="16"/>
    </row>
    <row r="527" spans="2:7" x14ac:dyDescent="0.25">
      <c r="B527" s="38"/>
      <c r="C527" s="14"/>
      <c r="D527" s="14"/>
      <c r="E527" s="14"/>
      <c r="F527" s="14"/>
      <c r="G527" s="16"/>
    </row>
    <row r="528" spans="2:7" x14ac:dyDescent="0.25">
      <c r="B528" s="38"/>
      <c r="C528" s="14"/>
      <c r="D528" s="14"/>
      <c r="E528" s="14"/>
      <c r="F528" s="14"/>
      <c r="G528" s="16"/>
    </row>
    <row r="529" spans="2:7" x14ac:dyDescent="0.25">
      <c r="B529" s="38"/>
      <c r="C529" s="14"/>
      <c r="D529" s="14"/>
      <c r="E529" s="14"/>
      <c r="F529" s="14"/>
      <c r="G529" s="16"/>
    </row>
    <row r="530" spans="2:7" x14ac:dyDescent="0.25">
      <c r="B530" s="38"/>
      <c r="C530" s="14"/>
      <c r="D530" s="14"/>
      <c r="E530" s="14"/>
      <c r="F530" s="14"/>
      <c r="G530" s="16"/>
    </row>
    <row r="531" spans="2:7" x14ac:dyDescent="0.25">
      <c r="B531" s="38"/>
      <c r="C531" s="14"/>
      <c r="D531" s="14"/>
      <c r="E531" s="14"/>
      <c r="F531" s="14"/>
      <c r="G531" s="16"/>
    </row>
    <row r="532" spans="2:7" x14ac:dyDescent="0.25">
      <c r="B532" s="38"/>
      <c r="C532" s="14"/>
      <c r="D532" s="14"/>
      <c r="E532" s="14"/>
      <c r="F532" s="14"/>
      <c r="G532" s="16"/>
    </row>
    <row r="533" spans="2:7" x14ac:dyDescent="0.25">
      <c r="B533" s="38"/>
      <c r="C533" s="14"/>
      <c r="D533" s="14"/>
      <c r="E533" s="14"/>
      <c r="F533" s="14"/>
      <c r="G533" s="16"/>
    </row>
    <row r="534" spans="2:7" x14ac:dyDescent="0.25">
      <c r="B534" s="38"/>
      <c r="C534" s="14"/>
      <c r="D534" s="14"/>
      <c r="E534" s="14"/>
      <c r="F534" s="14"/>
      <c r="G534" s="16"/>
    </row>
    <row r="535" spans="2:7" x14ac:dyDescent="0.25">
      <c r="B535" s="38"/>
      <c r="C535" s="14"/>
      <c r="D535" s="14"/>
      <c r="E535" s="14"/>
      <c r="F535" s="14"/>
      <c r="G535" s="16"/>
    </row>
    <row r="536" spans="2:7" x14ac:dyDescent="0.25">
      <c r="B536" s="38"/>
      <c r="C536" s="14"/>
      <c r="D536" s="14"/>
      <c r="E536" s="14"/>
      <c r="F536" s="14"/>
      <c r="G536" s="16"/>
    </row>
    <row r="537" spans="2:7" x14ac:dyDescent="0.25">
      <c r="B537" s="38"/>
      <c r="C537" s="14"/>
      <c r="D537" s="14"/>
      <c r="E537" s="14"/>
      <c r="F537" s="14"/>
      <c r="G537" s="16"/>
    </row>
    <row r="538" spans="2:7" x14ac:dyDescent="0.25">
      <c r="B538" s="38"/>
      <c r="C538" s="14"/>
      <c r="D538" s="14"/>
      <c r="E538" s="14"/>
      <c r="F538" s="14"/>
      <c r="G538" s="16"/>
    </row>
    <row r="539" spans="2:7" x14ac:dyDescent="0.25">
      <c r="B539" s="38"/>
      <c r="C539" s="14"/>
      <c r="D539" s="14"/>
      <c r="E539" s="14"/>
      <c r="F539" s="14"/>
      <c r="G539" s="16"/>
    </row>
    <row r="540" spans="2:7" x14ac:dyDescent="0.25">
      <c r="B540" s="38"/>
      <c r="C540" s="14"/>
      <c r="D540" s="14"/>
      <c r="E540" s="14"/>
      <c r="F540" s="14"/>
      <c r="G540" s="16"/>
    </row>
    <row r="541" spans="2:7" x14ac:dyDescent="0.25">
      <c r="B541" s="38"/>
      <c r="C541" s="14"/>
      <c r="D541" s="14"/>
      <c r="E541" s="14"/>
      <c r="F541" s="14"/>
      <c r="G541" s="16"/>
    </row>
    <row r="542" spans="2:7" x14ac:dyDescent="0.25">
      <c r="B542" s="38"/>
      <c r="C542" s="14"/>
      <c r="D542" s="14"/>
      <c r="E542" s="14"/>
      <c r="F542" s="14"/>
      <c r="G542" s="16"/>
    </row>
    <row r="543" spans="2:7" x14ac:dyDescent="0.25">
      <c r="B543" s="38"/>
      <c r="C543" s="14"/>
      <c r="D543" s="14"/>
      <c r="E543" s="14"/>
      <c r="F543" s="14"/>
      <c r="G543" s="16"/>
    </row>
    <row r="544" spans="2:7" x14ac:dyDescent="0.25">
      <c r="B544" s="38"/>
      <c r="C544" s="14"/>
      <c r="D544" s="14"/>
      <c r="E544" s="14"/>
      <c r="F544" s="14"/>
      <c r="G544" s="16"/>
    </row>
    <row r="545" spans="2:7" x14ac:dyDescent="0.25">
      <c r="B545" s="38"/>
      <c r="C545" s="14"/>
      <c r="D545" s="14"/>
      <c r="E545" s="14"/>
      <c r="F545" s="14"/>
      <c r="G545" s="16"/>
    </row>
    <row r="546" spans="2:7" x14ac:dyDescent="0.25">
      <c r="B546" s="38"/>
      <c r="C546" s="14"/>
      <c r="D546" s="14"/>
      <c r="E546" s="14"/>
      <c r="F546" s="14"/>
      <c r="G546" s="16"/>
    </row>
    <row r="547" spans="2:7" x14ac:dyDescent="0.25">
      <c r="B547" s="38"/>
      <c r="C547" s="14"/>
      <c r="D547" s="14"/>
      <c r="E547" s="14"/>
      <c r="F547" s="14"/>
      <c r="G547" s="16"/>
    </row>
    <row r="548" spans="2:7" x14ac:dyDescent="0.25">
      <c r="B548" s="38"/>
      <c r="C548" s="14"/>
      <c r="D548" s="14"/>
      <c r="E548" s="14"/>
      <c r="F548" s="14"/>
      <c r="G548" s="16"/>
    </row>
    <row r="549" spans="2:7" x14ac:dyDescent="0.25">
      <c r="B549" s="38"/>
      <c r="C549" s="14"/>
      <c r="D549" s="14"/>
      <c r="E549" s="14"/>
      <c r="F549" s="14"/>
      <c r="G549" s="16"/>
    </row>
    <row r="550" spans="2:7" x14ac:dyDescent="0.25">
      <c r="B550" s="38"/>
      <c r="C550" s="14"/>
      <c r="D550" s="14"/>
      <c r="E550" s="14"/>
      <c r="F550" s="14"/>
      <c r="G550" s="16"/>
    </row>
    <row r="551" spans="2:7" x14ac:dyDescent="0.25">
      <c r="B551" s="38"/>
      <c r="C551" s="14"/>
      <c r="D551" s="14"/>
      <c r="E551" s="14"/>
      <c r="F551" s="14"/>
      <c r="G551" s="16"/>
    </row>
    <row r="552" spans="2:7" x14ac:dyDescent="0.25">
      <c r="B552" s="38"/>
      <c r="C552" s="14"/>
      <c r="D552" s="14"/>
      <c r="E552" s="14"/>
      <c r="F552" s="14"/>
      <c r="G552" s="16"/>
    </row>
    <row r="553" spans="2:7" x14ac:dyDescent="0.25">
      <c r="B553" s="38"/>
      <c r="C553" s="14"/>
      <c r="D553" s="14"/>
      <c r="E553" s="14"/>
      <c r="F553" s="14"/>
      <c r="G553" s="16"/>
    </row>
    <row r="554" spans="2:7" x14ac:dyDescent="0.25">
      <c r="B554" s="38"/>
      <c r="C554" s="14"/>
      <c r="D554" s="14"/>
      <c r="E554" s="14"/>
      <c r="F554" s="14"/>
      <c r="G554" s="16"/>
    </row>
    <row r="555" spans="2:7" x14ac:dyDescent="0.25">
      <c r="B555" s="38"/>
      <c r="C555" s="14"/>
      <c r="D555" s="14"/>
      <c r="E555" s="14"/>
      <c r="F555" s="14"/>
      <c r="G555" s="16"/>
    </row>
    <row r="556" spans="2:7" x14ac:dyDescent="0.25">
      <c r="B556" s="38"/>
      <c r="C556" s="14"/>
      <c r="D556" s="14"/>
      <c r="E556" s="14"/>
      <c r="F556" s="14"/>
      <c r="G556" s="16"/>
    </row>
    <row r="557" spans="2:7" x14ac:dyDescent="0.25">
      <c r="B557" s="38"/>
      <c r="C557" s="14"/>
      <c r="D557" s="14"/>
      <c r="E557" s="14"/>
      <c r="F557" s="14"/>
      <c r="G557" s="16"/>
    </row>
    <row r="558" spans="2:7" x14ac:dyDescent="0.25">
      <c r="B558" s="38"/>
      <c r="C558" s="14"/>
      <c r="D558" s="14"/>
      <c r="E558" s="14"/>
      <c r="F558" s="14"/>
      <c r="G558" s="16"/>
    </row>
    <row r="559" spans="2:7" x14ac:dyDescent="0.25">
      <c r="B559" s="38"/>
      <c r="C559" s="14"/>
      <c r="D559" s="14"/>
      <c r="E559" s="14"/>
      <c r="F559" s="14"/>
      <c r="G559" s="16"/>
    </row>
    <row r="560" spans="2:7" x14ac:dyDescent="0.25">
      <c r="B560" s="38"/>
      <c r="C560" s="14"/>
      <c r="D560" s="14"/>
      <c r="E560" s="14"/>
      <c r="F560" s="14"/>
      <c r="G560" s="16"/>
    </row>
    <row r="561" spans="2:7" x14ac:dyDescent="0.25">
      <c r="B561" s="38"/>
      <c r="C561" s="14"/>
      <c r="D561" s="14"/>
      <c r="E561" s="14"/>
      <c r="F561" s="14"/>
      <c r="G561" s="16"/>
    </row>
    <row r="562" spans="2:7" x14ac:dyDescent="0.25">
      <c r="B562" s="38"/>
      <c r="C562" s="14"/>
      <c r="D562" s="14"/>
      <c r="E562" s="14"/>
      <c r="F562" s="14"/>
      <c r="G562" s="16"/>
    </row>
    <row r="563" spans="2:7" x14ac:dyDescent="0.25">
      <c r="B563" s="38"/>
      <c r="C563" s="14"/>
      <c r="D563" s="14"/>
      <c r="E563" s="14"/>
      <c r="F563" s="14"/>
      <c r="G563" s="16"/>
    </row>
    <row r="564" spans="2:7" x14ac:dyDescent="0.25">
      <c r="B564" s="38"/>
      <c r="C564" s="14"/>
      <c r="D564" s="14"/>
      <c r="E564" s="14"/>
      <c r="F564" s="14"/>
      <c r="G564" s="16"/>
    </row>
    <row r="565" spans="2:7" x14ac:dyDescent="0.25">
      <c r="B565" s="38"/>
      <c r="C565" s="14"/>
      <c r="D565" s="14"/>
      <c r="E565" s="14"/>
      <c r="F565" s="14"/>
      <c r="G565" s="16"/>
    </row>
    <row r="566" spans="2:7" x14ac:dyDescent="0.25">
      <c r="B566" s="38"/>
      <c r="C566" s="14"/>
      <c r="D566" s="14"/>
      <c r="E566" s="14"/>
      <c r="F566" s="14"/>
      <c r="G566" s="16"/>
    </row>
    <row r="567" spans="2:7" x14ac:dyDescent="0.25">
      <c r="B567" s="38"/>
      <c r="C567" s="14"/>
      <c r="D567" s="14"/>
      <c r="E567" s="14"/>
      <c r="F567" s="14"/>
      <c r="G567" s="16"/>
    </row>
    <row r="568" spans="2:7" x14ac:dyDescent="0.25">
      <c r="B568" s="38"/>
      <c r="C568" s="14"/>
      <c r="D568" s="14"/>
      <c r="E568" s="14"/>
      <c r="F568" s="14"/>
      <c r="G568" s="16"/>
    </row>
    <row r="569" spans="2:7" x14ac:dyDescent="0.25">
      <c r="B569" s="38"/>
      <c r="C569" s="14"/>
      <c r="D569" s="14"/>
      <c r="E569" s="14"/>
      <c r="F569" s="14"/>
      <c r="G569" s="16"/>
    </row>
    <row r="570" spans="2:7" x14ac:dyDescent="0.25">
      <c r="B570" s="38"/>
      <c r="C570" s="14"/>
      <c r="D570" s="14"/>
      <c r="E570" s="14"/>
      <c r="F570" s="14"/>
      <c r="G570" s="16"/>
    </row>
    <row r="571" spans="2:7" x14ac:dyDescent="0.25">
      <c r="B571" s="38"/>
      <c r="C571" s="14"/>
      <c r="D571" s="14"/>
      <c r="E571" s="14"/>
      <c r="F571" s="14"/>
      <c r="G571" s="16"/>
    </row>
    <row r="572" spans="2:7" x14ac:dyDescent="0.25">
      <c r="B572" s="38"/>
      <c r="C572" s="14"/>
      <c r="D572" s="14"/>
      <c r="E572" s="14"/>
      <c r="F572" s="14"/>
      <c r="G572" s="16"/>
    </row>
    <row r="573" spans="2:7" x14ac:dyDescent="0.25">
      <c r="B573" s="38"/>
      <c r="C573" s="14"/>
      <c r="D573" s="14"/>
      <c r="E573" s="14"/>
      <c r="F573" s="14"/>
      <c r="G573" s="16"/>
    </row>
    <row r="574" spans="2:7" x14ac:dyDescent="0.25">
      <c r="B574" s="38"/>
      <c r="C574" s="14"/>
      <c r="D574" s="14"/>
      <c r="E574" s="14"/>
      <c r="F574" s="14"/>
      <c r="G574" s="16"/>
    </row>
    <row r="575" spans="2:7" x14ac:dyDescent="0.25">
      <c r="B575" s="38"/>
      <c r="C575" s="14"/>
      <c r="D575" s="14"/>
      <c r="E575" s="14"/>
      <c r="F575" s="14"/>
      <c r="G575" s="16"/>
    </row>
    <row r="576" spans="2:7" x14ac:dyDescent="0.25">
      <c r="B576" s="38"/>
      <c r="C576" s="14"/>
      <c r="D576" s="14"/>
      <c r="E576" s="14"/>
      <c r="F576" s="14"/>
      <c r="G576" s="16"/>
    </row>
    <row r="577" spans="2:7" x14ac:dyDescent="0.25">
      <c r="B577" s="38"/>
      <c r="C577" s="14"/>
      <c r="D577" s="14"/>
      <c r="E577" s="14"/>
      <c r="F577" s="14"/>
      <c r="G577" s="16"/>
    </row>
    <row r="578" spans="2:7" x14ac:dyDescent="0.25">
      <c r="B578" s="38"/>
      <c r="C578" s="14"/>
      <c r="D578" s="14"/>
      <c r="E578" s="14"/>
      <c r="F578" s="14"/>
      <c r="G578" s="16"/>
    </row>
    <row r="579" spans="2:7" x14ac:dyDescent="0.25">
      <c r="B579" s="38"/>
      <c r="C579" s="14"/>
      <c r="D579" s="14"/>
      <c r="E579" s="14"/>
      <c r="F579" s="14"/>
      <c r="G579" s="16"/>
    </row>
    <row r="580" spans="2:7" x14ac:dyDescent="0.25">
      <c r="B580" s="38"/>
      <c r="C580" s="14"/>
      <c r="D580" s="14"/>
      <c r="E580" s="14"/>
      <c r="F580" s="14"/>
      <c r="G580" s="16"/>
    </row>
    <row r="581" spans="2:7" x14ac:dyDescent="0.25">
      <c r="B581" s="38"/>
      <c r="C581" s="14"/>
      <c r="D581" s="14"/>
      <c r="E581" s="14"/>
      <c r="F581" s="14"/>
      <c r="G581" s="16"/>
    </row>
    <row r="582" spans="2:7" x14ac:dyDescent="0.25">
      <c r="B582" s="38"/>
      <c r="C582" s="14"/>
      <c r="D582" s="14"/>
      <c r="E582" s="14"/>
      <c r="F582" s="14"/>
      <c r="G582" s="16"/>
    </row>
    <row r="583" spans="2:7" x14ac:dyDescent="0.25">
      <c r="B583" s="38"/>
      <c r="C583" s="14"/>
      <c r="D583" s="14"/>
      <c r="E583" s="14"/>
      <c r="F583" s="14"/>
      <c r="G583" s="16"/>
    </row>
    <row r="584" spans="2:7" x14ac:dyDescent="0.25">
      <c r="B584" s="38"/>
      <c r="C584" s="14"/>
      <c r="D584" s="14"/>
      <c r="E584" s="14"/>
      <c r="F584" s="14"/>
      <c r="G584" s="16"/>
    </row>
    <row r="585" spans="2:7" x14ac:dyDescent="0.25">
      <c r="B585" s="38"/>
      <c r="C585" s="14"/>
      <c r="D585" s="14"/>
      <c r="E585" s="14"/>
      <c r="F585" s="14"/>
      <c r="G585" s="16"/>
    </row>
    <row r="586" spans="2:7" x14ac:dyDescent="0.25">
      <c r="B586" s="38"/>
      <c r="C586" s="14"/>
      <c r="D586" s="14"/>
      <c r="E586" s="14"/>
      <c r="F586" s="14"/>
      <c r="G586" s="16"/>
    </row>
    <row r="587" spans="2:7" x14ac:dyDescent="0.25">
      <c r="B587" s="38"/>
      <c r="C587" s="14"/>
      <c r="D587" s="14"/>
      <c r="E587" s="14"/>
      <c r="F587" s="14"/>
      <c r="G587" s="16"/>
    </row>
    <row r="588" spans="2:7" x14ac:dyDescent="0.25">
      <c r="B588" s="38"/>
      <c r="C588" s="14"/>
      <c r="D588" s="14"/>
      <c r="E588" s="14"/>
      <c r="F588" s="14"/>
      <c r="G588" s="16"/>
    </row>
    <row r="589" spans="2:7" x14ac:dyDescent="0.25">
      <c r="B589" s="38"/>
      <c r="C589" s="14"/>
      <c r="D589" s="14"/>
      <c r="E589" s="14"/>
      <c r="F589" s="14"/>
      <c r="G589" s="16"/>
    </row>
    <row r="590" spans="2:7" x14ac:dyDescent="0.25">
      <c r="B590" s="38"/>
      <c r="C590" s="14"/>
      <c r="D590" s="14"/>
      <c r="E590" s="14"/>
      <c r="F590" s="14"/>
      <c r="G590" s="16"/>
    </row>
    <row r="591" spans="2:7" x14ac:dyDescent="0.25">
      <c r="B591" s="38"/>
      <c r="C591" s="14"/>
      <c r="D591" s="14"/>
      <c r="E591" s="14"/>
      <c r="F591" s="14"/>
      <c r="G591" s="16"/>
    </row>
    <row r="592" spans="2:7" x14ac:dyDescent="0.25">
      <c r="B592" s="38"/>
      <c r="C592" s="14"/>
      <c r="D592" s="14"/>
      <c r="E592" s="14"/>
      <c r="F592" s="14"/>
      <c r="G592" s="16"/>
    </row>
    <row r="593" spans="2:7" x14ac:dyDescent="0.25">
      <c r="B593" s="38"/>
      <c r="C593" s="14"/>
      <c r="D593" s="14"/>
      <c r="E593" s="14"/>
      <c r="F593" s="14"/>
      <c r="G593" s="16"/>
    </row>
    <row r="594" spans="2:7" x14ac:dyDescent="0.25">
      <c r="B594" s="38"/>
      <c r="C594" s="14"/>
      <c r="D594" s="14"/>
      <c r="E594" s="14"/>
      <c r="F594" s="14"/>
      <c r="G594" s="16"/>
    </row>
    <row r="595" spans="2:7" x14ac:dyDescent="0.25">
      <c r="B595" s="38"/>
      <c r="C595" s="14"/>
      <c r="D595" s="14"/>
      <c r="E595" s="14"/>
      <c r="F595" s="14"/>
      <c r="G595" s="16"/>
    </row>
    <row r="596" spans="2:7" x14ac:dyDescent="0.25">
      <c r="B596" s="38"/>
      <c r="C596" s="14"/>
      <c r="D596" s="14"/>
      <c r="E596" s="14"/>
      <c r="F596" s="14"/>
      <c r="G596" s="16"/>
    </row>
    <row r="597" spans="2:7" x14ac:dyDescent="0.25">
      <c r="B597" s="38"/>
      <c r="C597" s="14"/>
      <c r="D597" s="14"/>
      <c r="E597" s="14"/>
      <c r="F597" s="14"/>
      <c r="G597" s="16"/>
    </row>
    <row r="598" spans="2:7" x14ac:dyDescent="0.25">
      <c r="B598" s="38"/>
      <c r="C598" s="14"/>
      <c r="D598" s="14"/>
      <c r="E598" s="14"/>
      <c r="F598" s="14"/>
      <c r="G598" s="16"/>
    </row>
    <row r="599" spans="2:7" x14ac:dyDescent="0.25">
      <c r="B599" s="38"/>
      <c r="C599" s="14"/>
      <c r="D599" s="14"/>
      <c r="E599" s="14"/>
      <c r="F599" s="14"/>
      <c r="G599" s="16"/>
    </row>
    <row r="600" spans="2:7" x14ac:dyDescent="0.25">
      <c r="B600" s="38"/>
      <c r="C600" s="14"/>
      <c r="D600" s="14"/>
      <c r="E600" s="14"/>
      <c r="F600" s="14"/>
      <c r="G600" s="16"/>
    </row>
    <row r="601" spans="2:7" x14ac:dyDescent="0.25">
      <c r="B601" s="38"/>
      <c r="C601" s="14"/>
      <c r="D601" s="14"/>
      <c r="E601" s="14"/>
      <c r="F601" s="14"/>
      <c r="G601" s="16"/>
    </row>
    <row r="602" spans="2:7" x14ac:dyDescent="0.25">
      <c r="B602" s="38"/>
      <c r="C602" s="14"/>
      <c r="D602" s="14"/>
      <c r="E602" s="14"/>
      <c r="F602" s="14"/>
      <c r="G602" s="16"/>
    </row>
    <row r="603" spans="2:7" x14ac:dyDescent="0.25">
      <c r="B603" s="38"/>
      <c r="C603" s="14"/>
      <c r="D603" s="14"/>
      <c r="E603" s="14"/>
      <c r="F603" s="14"/>
      <c r="G603" s="16"/>
    </row>
    <row r="604" spans="2:7" x14ac:dyDescent="0.25">
      <c r="B604" s="38"/>
      <c r="C604" s="14"/>
      <c r="D604" s="14"/>
      <c r="E604" s="14"/>
      <c r="F604" s="14"/>
      <c r="G604" s="16"/>
    </row>
    <row r="605" spans="2:7" x14ac:dyDescent="0.25">
      <c r="B605" s="38"/>
      <c r="C605" s="14"/>
      <c r="D605" s="14"/>
      <c r="E605" s="14"/>
      <c r="F605" s="14"/>
      <c r="G605" s="16"/>
    </row>
    <row r="606" spans="2:7" x14ac:dyDescent="0.25">
      <c r="B606" s="38"/>
      <c r="C606" s="14"/>
      <c r="D606" s="14"/>
      <c r="E606" s="14"/>
      <c r="F606" s="14"/>
      <c r="G606" s="16"/>
    </row>
    <row r="607" spans="2:7" x14ac:dyDescent="0.25">
      <c r="B607" s="38"/>
      <c r="C607" s="14"/>
      <c r="D607" s="14"/>
      <c r="E607" s="14"/>
      <c r="F607" s="14"/>
      <c r="G607" s="16"/>
    </row>
    <row r="608" spans="2:7" x14ac:dyDescent="0.25">
      <c r="B608" s="38"/>
      <c r="C608" s="14"/>
      <c r="D608" s="14"/>
      <c r="E608" s="14"/>
      <c r="F608" s="14"/>
      <c r="G608" s="16"/>
    </row>
    <row r="609" spans="2:7" x14ac:dyDescent="0.25">
      <c r="B609" s="38"/>
      <c r="C609" s="14"/>
      <c r="D609" s="14"/>
      <c r="E609" s="14"/>
      <c r="F609" s="14"/>
      <c r="G609" s="16"/>
    </row>
    <row r="610" spans="2:7" x14ac:dyDescent="0.25">
      <c r="B610" s="38"/>
      <c r="C610" s="14"/>
      <c r="D610" s="14"/>
      <c r="E610" s="14"/>
      <c r="F610" s="14"/>
      <c r="G610" s="16"/>
    </row>
    <row r="611" spans="2:7" x14ac:dyDescent="0.25">
      <c r="B611" s="38"/>
      <c r="C611" s="14"/>
      <c r="D611" s="14"/>
      <c r="E611" s="14"/>
      <c r="F611" s="14"/>
      <c r="G611" s="16"/>
    </row>
    <row r="612" spans="2:7" x14ac:dyDescent="0.25">
      <c r="B612" s="38"/>
      <c r="C612" s="14"/>
      <c r="D612" s="14"/>
      <c r="E612" s="14"/>
      <c r="F612" s="14"/>
      <c r="G612" s="16"/>
    </row>
    <row r="613" spans="2:7" x14ac:dyDescent="0.25">
      <c r="B613" s="38"/>
      <c r="C613" s="14"/>
      <c r="D613" s="14"/>
      <c r="E613" s="14"/>
      <c r="F613" s="14"/>
      <c r="G613" s="16"/>
    </row>
    <row r="614" spans="2:7" x14ac:dyDescent="0.25">
      <c r="B614" s="38"/>
      <c r="C614" s="14"/>
      <c r="D614" s="14"/>
      <c r="E614" s="14"/>
      <c r="F614" s="14"/>
      <c r="G614" s="16"/>
    </row>
    <row r="615" spans="2:7" x14ac:dyDescent="0.25">
      <c r="B615" s="38"/>
      <c r="C615" s="14"/>
      <c r="D615" s="14"/>
      <c r="E615" s="14"/>
      <c r="F615" s="14"/>
      <c r="G615" s="16"/>
    </row>
    <row r="616" spans="2:7" x14ac:dyDescent="0.25">
      <c r="B616" s="38"/>
      <c r="C616" s="14"/>
      <c r="D616" s="14"/>
      <c r="E616" s="14"/>
      <c r="F616" s="14"/>
      <c r="G616" s="16"/>
    </row>
    <row r="617" spans="2:7" x14ac:dyDescent="0.25">
      <c r="B617" s="38"/>
      <c r="C617" s="14"/>
      <c r="D617" s="14"/>
      <c r="E617" s="14"/>
      <c r="F617" s="14"/>
      <c r="G617" s="16"/>
    </row>
    <row r="618" spans="2:7" x14ac:dyDescent="0.25">
      <c r="B618" s="38"/>
      <c r="C618" s="14"/>
      <c r="D618" s="14"/>
      <c r="E618" s="14"/>
      <c r="F618" s="14"/>
      <c r="G618" s="16"/>
    </row>
    <row r="619" spans="2:7" x14ac:dyDescent="0.25">
      <c r="B619" s="38"/>
      <c r="C619" s="14"/>
      <c r="D619" s="14"/>
      <c r="E619" s="14"/>
      <c r="F619" s="14"/>
      <c r="G619" s="16"/>
    </row>
    <row r="620" spans="2:7" x14ac:dyDescent="0.25">
      <c r="B620" s="38"/>
      <c r="C620" s="14"/>
      <c r="D620" s="14"/>
      <c r="E620" s="14"/>
      <c r="F620" s="14"/>
      <c r="G620" s="16"/>
    </row>
    <row r="621" spans="2:7" x14ac:dyDescent="0.25">
      <c r="B621" s="38"/>
      <c r="C621" s="14"/>
      <c r="D621" s="14"/>
      <c r="E621" s="14"/>
      <c r="F621" s="14"/>
      <c r="G621" s="16"/>
    </row>
    <row r="622" spans="2:7" x14ac:dyDescent="0.25">
      <c r="B622" s="38"/>
      <c r="C622" s="14"/>
      <c r="D622" s="14"/>
      <c r="E622" s="14"/>
      <c r="F622" s="14"/>
      <c r="G622" s="16"/>
    </row>
    <row r="623" spans="2:7" x14ac:dyDescent="0.25">
      <c r="B623" s="38"/>
      <c r="C623" s="14"/>
      <c r="D623" s="14"/>
      <c r="E623" s="14"/>
      <c r="F623" s="14"/>
      <c r="G623" s="16"/>
    </row>
    <row r="624" spans="2:7" x14ac:dyDescent="0.25">
      <c r="B624" s="38"/>
      <c r="C624" s="14"/>
      <c r="D624" s="14"/>
      <c r="E624" s="14"/>
      <c r="F624" s="14"/>
      <c r="G624" s="16"/>
    </row>
    <row r="625" spans="2:7" x14ac:dyDescent="0.25">
      <c r="B625" s="38"/>
      <c r="C625" s="14"/>
      <c r="D625" s="14"/>
      <c r="E625" s="14"/>
      <c r="F625" s="14"/>
      <c r="G625" s="16"/>
    </row>
    <row r="626" spans="2:7" x14ac:dyDescent="0.25">
      <c r="B626" s="38"/>
      <c r="C626" s="14"/>
      <c r="D626" s="14"/>
      <c r="E626" s="14"/>
      <c r="F626" s="14"/>
      <c r="G626" s="16"/>
    </row>
    <row r="627" spans="2:7" x14ac:dyDescent="0.25">
      <c r="B627" s="38"/>
      <c r="C627" s="14"/>
      <c r="D627" s="14"/>
      <c r="E627" s="14"/>
      <c r="F627" s="14"/>
      <c r="G627" s="16"/>
    </row>
    <row r="628" spans="2:7" x14ac:dyDescent="0.25">
      <c r="B628" s="38"/>
      <c r="C628" s="14"/>
      <c r="D628" s="14"/>
      <c r="E628" s="14"/>
      <c r="F628" s="14"/>
      <c r="G628" s="16"/>
    </row>
    <row r="629" spans="2:7" x14ac:dyDescent="0.25">
      <c r="B629" s="38"/>
      <c r="C629" s="14"/>
      <c r="D629" s="14"/>
      <c r="E629" s="14"/>
      <c r="F629" s="14"/>
      <c r="G629" s="16"/>
    </row>
    <row r="630" spans="2:7" x14ac:dyDescent="0.25">
      <c r="B630" s="38"/>
      <c r="C630" s="14"/>
      <c r="D630" s="14"/>
      <c r="E630" s="14"/>
      <c r="F630" s="14"/>
      <c r="G630" s="16"/>
    </row>
    <row r="631" spans="2:7" x14ac:dyDescent="0.25">
      <c r="B631" s="38"/>
      <c r="C631" s="14"/>
      <c r="D631" s="14"/>
      <c r="E631" s="14"/>
      <c r="F631" s="14"/>
      <c r="G631" s="16"/>
    </row>
    <row r="632" spans="2:7" x14ac:dyDescent="0.25">
      <c r="B632" s="38"/>
      <c r="C632" s="14"/>
      <c r="D632" s="14"/>
      <c r="E632" s="14"/>
      <c r="F632" s="14"/>
      <c r="G632" s="16"/>
    </row>
    <row r="633" spans="2:7" x14ac:dyDescent="0.25">
      <c r="B633" s="38"/>
      <c r="C633" s="14"/>
      <c r="D633" s="14"/>
      <c r="E633" s="14"/>
      <c r="F633" s="14"/>
      <c r="G633" s="16"/>
    </row>
    <row r="634" spans="2:7" x14ac:dyDescent="0.25">
      <c r="B634" s="38"/>
      <c r="C634" s="14"/>
      <c r="D634" s="14"/>
      <c r="E634" s="14"/>
      <c r="F634" s="14"/>
      <c r="G634" s="16"/>
    </row>
    <row r="635" spans="2:7" x14ac:dyDescent="0.25">
      <c r="B635" s="38"/>
      <c r="C635" s="14"/>
      <c r="D635" s="14"/>
      <c r="E635" s="14"/>
      <c r="F635" s="14"/>
      <c r="G635" s="16"/>
    </row>
    <row r="636" spans="2:7" x14ac:dyDescent="0.25">
      <c r="B636" s="38"/>
      <c r="C636" s="14"/>
      <c r="D636" s="14"/>
      <c r="E636" s="14"/>
      <c r="F636" s="14"/>
      <c r="G636" s="16"/>
    </row>
    <row r="637" spans="2:7" x14ac:dyDescent="0.25">
      <c r="B637" s="38"/>
      <c r="C637" s="14"/>
      <c r="D637" s="14"/>
      <c r="E637" s="14"/>
      <c r="F637" s="14"/>
      <c r="G637" s="16"/>
    </row>
    <row r="638" spans="2:7" x14ac:dyDescent="0.25">
      <c r="B638" s="38"/>
      <c r="C638" s="14"/>
      <c r="D638" s="14"/>
      <c r="E638" s="14"/>
      <c r="F638" s="14"/>
      <c r="G638" s="16"/>
    </row>
    <row r="639" spans="2:7" x14ac:dyDescent="0.25">
      <c r="B639" s="38"/>
      <c r="C639" s="14"/>
      <c r="D639" s="14"/>
      <c r="E639" s="14"/>
      <c r="F639" s="14"/>
      <c r="G639" s="16"/>
    </row>
    <row r="640" spans="2:7" x14ac:dyDescent="0.25">
      <c r="B640" s="38"/>
      <c r="C640" s="14"/>
      <c r="D640" s="14"/>
      <c r="E640" s="14"/>
      <c r="F640" s="14"/>
      <c r="G640" s="16"/>
    </row>
    <row r="641" spans="2:7" x14ac:dyDescent="0.25">
      <c r="B641" s="38"/>
      <c r="C641" s="14"/>
      <c r="D641" s="14"/>
      <c r="E641" s="14"/>
      <c r="F641" s="14"/>
      <c r="G641" s="16"/>
    </row>
    <row r="642" spans="2:7" x14ac:dyDescent="0.25">
      <c r="B642" s="38"/>
      <c r="C642" s="14"/>
      <c r="D642" s="14"/>
      <c r="E642" s="14"/>
      <c r="F642" s="14"/>
      <c r="G642" s="16"/>
    </row>
    <row r="643" spans="2:7" x14ac:dyDescent="0.25">
      <c r="B643" s="38"/>
      <c r="C643" s="14"/>
      <c r="D643" s="14"/>
      <c r="E643" s="14"/>
      <c r="F643" s="14"/>
      <c r="G643" s="16"/>
    </row>
    <row r="644" spans="2:7" x14ac:dyDescent="0.25">
      <c r="B644" s="38"/>
      <c r="C644" s="14"/>
      <c r="D644" s="14"/>
      <c r="E644" s="14"/>
      <c r="F644" s="14"/>
      <c r="G644" s="16"/>
    </row>
    <row r="645" spans="2:7" x14ac:dyDescent="0.25">
      <c r="B645" s="38"/>
      <c r="C645" s="14"/>
      <c r="D645" s="14"/>
      <c r="E645" s="14"/>
      <c r="F645" s="14"/>
      <c r="G645" s="16"/>
    </row>
    <row r="646" spans="2:7" x14ac:dyDescent="0.25">
      <c r="B646" s="38"/>
      <c r="C646" s="14"/>
      <c r="D646" s="14"/>
      <c r="E646" s="14"/>
      <c r="F646" s="14"/>
      <c r="G646" s="16"/>
    </row>
    <row r="647" spans="2:7" x14ac:dyDescent="0.25">
      <c r="B647" s="38"/>
      <c r="C647" s="14"/>
      <c r="D647" s="14"/>
      <c r="E647" s="14"/>
      <c r="F647" s="14"/>
      <c r="G647" s="16"/>
    </row>
    <row r="648" spans="2:7" x14ac:dyDescent="0.25">
      <c r="B648" s="38"/>
      <c r="C648" s="14"/>
      <c r="D648" s="14"/>
      <c r="E648" s="14"/>
      <c r="F648" s="14"/>
      <c r="G648" s="16"/>
    </row>
    <row r="649" spans="2:7" x14ac:dyDescent="0.25">
      <c r="B649" s="38"/>
      <c r="C649" s="14"/>
      <c r="D649" s="14"/>
      <c r="E649" s="14"/>
      <c r="F649" s="14"/>
      <c r="G649" s="16"/>
    </row>
    <row r="650" spans="2:7" x14ac:dyDescent="0.25">
      <c r="B650" s="38"/>
      <c r="C650" s="14"/>
      <c r="D650" s="14"/>
      <c r="E650" s="14"/>
      <c r="F650" s="14"/>
      <c r="G650" s="16"/>
    </row>
    <row r="651" spans="2:7" x14ac:dyDescent="0.25">
      <c r="B651" s="38"/>
      <c r="C651" s="14"/>
      <c r="D651" s="14"/>
      <c r="E651" s="14"/>
      <c r="F651" s="14"/>
      <c r="G651" s="16"/>
    </row>
    <row r="652" spans="2:7" x14ac:dyDescent="0.25">
      <c r="B652" s="38"/>
      <c r="C652" s="14"/>
      <c r="D652" s="14"/>
      <c r="E652" s="14"/>
      <c r="F652" s="14"/>
      <c r="G652" s="16"/>
    </row>
    <row r="653" spans="2:7" x14ac:dyDescent="0.25">
      <c r="B653" s="38"/>
      <c r="C653" s="14"/>
      <c r="D653" s="14"/>
      <c r="E653" s="14"/>
      <c r="F653" s="14"/>
      <c r="G653" s="16"/>
    </row>
    <row r="654" spans="2:7" x14ac:dyDescent="0.25">
      <c r="B654" s="38"/>
      <c r="C654" s="14"/>
      <c r="D654" s="14"/>
      <c r="E654" s="14"/>
      <c r="F654" s="14"/>
      <c r="G654" s="16"/>
    </row>
    <row r="655" spans="2:7" x14ac:dyDescent="0.25">
      <c r="B655" s="38"/>
      <c r="C655" s="14"/>
      <c r="D655" s="14"/>
      <c r="E655" s="14"/>
      <c r="F655" s="14"/>
      <c r="G655" s="16"/>
    </row>
    <row r="656" spans="2:7" x14ac:dyDescent="0.25">
      <c r="B656" s="38"/>
      <c r="C656" s="14"/>
      <c r="D656" s="14"/>
      <c r="E656" s="14"/>
      <c r="F656" s="14"/>
      <c r="G656" s="16"/>
    </row>
    <row r="657" spans="2:7" x14ac:dyDescent="0.25">
      <c r="B657" s="38"/>
      <c r="C657" s="14"/>
      <c r="D657" s="14"/>
      <c r="E657" s="14"/>
      <c r="F657" s="14"/>
      <c r="G657" s="16"/>
    </row>
    <row r="658" spans="2:7" x14ac:dyDescent="0.25">
      <c r="B658" s="38"/>
      <c r="C658" s="14"/>
      <c r="D658" s="14"/>
      <c r="E658" s="14"/>
      <c r="F658" s="14"/>
      <c r="G658" s="16"/>
    </row>
    <row r="659" spans="2:7" x14ac:dyDescent="0.25">
      <c r="B659" s="38"/>
      <c r="C659" s="14"/>
      <c r="D659" s="14"/>
      <c r="E659" s="14"/>
      <c r="F659" s="14"/>
      <c r="G659" s="16"/>
    </row>
    <row r="660" spans="2:7" x14ac:dyDescent="0.25">
      <c r="B660" s="38"/>
      <c r="C660" s="14"/>
      <c r="D660" s="14"/>
      <c r="E660" s="14"/>
      <c r="F660" s="14"/>
      <c r="G660" s="16"/>
    </row>
    <row r="661" spans="2:7" x14ac:dyDescent="0.25">
      <c r="B661" s="38"/>
      <c r="C661" s="14"/>
      <c r="D661" s="14"/>
      <c r="E661" s="14"/>
      <c r="F661" s="14"/>
      <c r="G661" s="16"/>
    </row>
    <row r="662" spans="2:7" x14ac:dyDescent="0.25">
      <c r="B662" s="38"/>
      <c r="C662" s="14"/>
      <c r="D662" s="14"/>
      <c r="E662" s="14"/>
      <c r="F662" s="14"/>
      <c r="G662" s="16"/>
    </row>
    <row r="663" spans="2:7" x14ac:dyDescent="0.25">
      <c r="B663" s="38"/>
      <c r="C663" s="14"/>
      <c r="D663" s="14"/>
      <c r="E663" s="14"/>
      <c r="F663" s="14"/>
      <c r="G663" s="16"/>
    </row>
    <row r="664" spans="2:7" x14ac:dyDescent="0.25">
      <c r="B664" s="38"/>
      <c r="C664" s="14"/>
      <c r="D664" s="14"/>
      <c r="E664" s="14"/>
      <c r="F664" s="14"/>
      <c r="G664" s="16"/>
    </row>
    <row r="665" spans="2:7" x14ac:dyDescent="0.25">
      <c r="B665" s="38"/>
      <c r="C665" s="14"/>
      <c r="D665" s="14"/>
      <c r="E665" s="14"/>
      <c r="F665" s="14"/>
      <c r="G665" s="16"/>
    </row>
    <row r="666" spans="2:7" x14ac:dyDescent="0.25">
      <c r="B666" s="38"/>
      <c r="C666" s="14"/>
      <c r="D666" s="14"/>
      <c r="E666" s="14"/>
      <c r="F666" s="14"/>
      <c r="G666" s="16"/>
    </row>
    <row r="667" spans="2:7" x14ac:dyDescent="0.25">
      <c r="B667" s="38"/>
      <c r="C667" s="14"/>
      <c r="D667" s="14"/>
      <c r="E667" s="14"/>
      <c r="F667" s="14"/>
      <c r="G667" s="16"/>
    </row>
    <row r="668" spans="2:7" x14ac:dyDescent="0.25">
      <c r="B668" s="38"/>
      <c r="C668" s="14"/>
      <c r="D668" s="14"/>
      <c r="E668" s="14"/>
      <c r="F668" s="14"/>
      <c r="G668" s="16"/>
    </row>
    <row r="669" spans="2:7" x14ac:dyDescent="0.25">
      <c r="B669" s="38"/>
      <c r="C669" s="14"/>
      <c r="D669" s="14"/>
      <c r="E669" s="14"/>
      <c r="F669" s="14"/>
      <c r="G669" s="16"/>
    </row>
    <row r="670" spans="2:7" x14ac:dyDescent="0.25">
      <c r="B670" s="38"/>
      <c r="C670" s="14"/>
      <c r="D670" s="14"/>
      <c r="E670" s="14"/>
      <c r="F670" s="14"/>
      <c r="G670" s="16"/>
    </row>
    <row r="671" spans="2:7" x14ac:dyDescent="0.25">
      <c r="B671" s="38"/>
      <c r="C671" s="14"/>
      <c r="D671" s="14"/>
      <c r="E671" s="14"/>
      <c r="F671" s="14"/>
      <c r="G671" s="16"/>
    </row>
    <row r="672" spans="2:7" x14ac:dyDescent="0.25">
      <c r="B672" s="38"/>
      <c r="C672" s="14"/>
      <c r="D672" s="14"/>
      <c r="E672" s="14"/>
      <c r="F672" s="14"/>
      <c r="G672" s="16"/>
    </row>
    <row r="673" spans="2:7" x14ac:dyDescent="0.25">
      <c r="B673" s="38"/>
      <c r="C673" s="14"/>
      <c r="D673" s="14"/>
      <c r="E673" s="14"/>
      <c r="F673" s="14"/>
      <c r="G673" s="16"/>
    </row>
    <row r="674" spans="2:7" x14ac:dyDescent="0.25">
      <c r="B674" s="38"/>
      <c r="C674" s="14"/>
      <c r="D674" s="14"/>
      <c r="E674" s="14"/>
      <c r="F674" s="14"/>
      <c r="G674" s="16"/>
    </row>
    <row r="675" spans="2:7" x14ac:dyDescent="0.25">
      <c r="B675" s="38"/>
      <c r="C675" s="14"/>
      <c r="D675" s="14"/>
      <c r="E675" s="14"/>
      <c r="F675" s="14"/>
      <c r="G675" s="16"/>
    </row>
    <row r="676" spans="2:7" x14ac:dyDescent="0.25">
      <c r="B676" s="38"/>
      <c r="C676" s="14"/>
      <c r="D676" s="14"/>
      <c r="E676" s="14"/>
      <c r="F676" s="14"/>
      <c r="G676" s="16"/>
    </row>
    <row r="677" spans="2:7" x14ac:dyDescent="0.25">
      <c r="B677" s="38"/>
      <c r="C677" s="14"/>
      <c r="D677" s="14"/>
      <c r="E677" s="14"/>
      <c r="F677" s="14"/>
      <c r="G677" s="16"/>
    </row>
    <row r="678" spans="2:7" x14ac:dyDescent="0.25">
      <c r="B678" s="38"/>
      <c r="C678" s="14"/>
      <c r="D678" s="14"/>
      <c r="E678" s="14"/>
      <c r="F678" s="14"/>
      <c r="G678" s="16"/>
    </row>
    <row r="679" spans="2:7" x14ac:dyDescent="0.25">
      <c r="B679" s="38"/>
      <c r="C679" s="14"/>
      <c r="D679" s="14"/>
      <c r="E679" s="14"/>
      <c r="F679" s="14"/>
      <c r="G679" s="16"/>
    </row>
    <row r="680" spans="2:7" x14ac:dyDescent="0.25">
      <c r="B680" s="38"/>
      <c r="C680" s="14"/>
      <c r="D680" s="14"/>
      <c r="E680" s="14"/>
      <c r="F680" s="14"/>
      <c r="G680" s="16"/>
    </row>
    <row r="681" spans="2:7" x14ac:dyDescent="0.25">
      <c r="B681" s="38"/>
      <c r="C681" s="14"/>
      <c r="D681" s="14"/>
      <c r="E681" s="14"/>
      <c r="F681" s="14"/>
      <c r="G681" s="16"/>
    </row>
    <row r="682" spans="2:7" x14ac:dyDescent="0.25">
      <c r="B682" s="38"/>
      <c r="C682" s="14"/>
      <c r="D682" s="14"/>
      <c r="E682" s="14"/>
      <c r="F682" s="14"/>
      <c r="G682" s="16"/>
    </row>
    <row r="683" spans="2:7" x14ac:dyDescent="0.25">
      <c r="B683" s="38"/>
      <c r="C683" s="14"/>
      <c r="D683" s="14"/>
      <c r="E683" s="14"/>
      <c r="F683" s="14"/>
      <c r="G683" s="16"/>
    </row>
    <row r="684" spans="2:7" x14ac:dyDescent="0.25">
      <c r="B684" s="38"/>
      <c r="C684" s="14"/>
      <c r="D684" s="14"/>
      <c r="E684" s="14"/>
      <c r="F684" s="14"/>
      <c r="G684" s="16"/>
    </row>
    <row r="685" spans="2:7" x14ac:dyDescent="0.25">
      <c r="B685" s="38"/>
      <c r="C685" s="14"/>
      <c r="D685" s="14"/>
      <c r="E685" s="14"/>
      <c r="F685" s="14"/>
      <c r="G685" s="16"/>
    </row>
    <row r="686" spans="2:7" x14ac:dyDescent="0.25">
      <c r="B686" s="38"/>
      <c r="C686" s="14"/>
      <c r="D686" s="14"/>
      <c r="E686" s="14"/>
      <c r="F686" s="14"/>
      <c r="G686" s="16"/>
    </row>
    <row r="687" spans="2:7" x14ac:dyDescent="0.25">
      <c r="B687" s="38"/>
      <c r="C687" s="14"/>
      <c r="D687" s="14"/>
      <c r="E687" s="14"/>
      <c r="F687" s="14"/>
      <c r="G687" s="16"/>
    </row>
    <row r="688" spans="2:7" x14ac:dyDescent="0.25">
      <c r="B688" s="38"/>
      <c r="C688" s="14"/>
      <c r="D688" s="14"/>
      <c r="E688" s="14"/>
      <c r="F688" s="14"/>
      <c r="G688" s="16"/>
    </row>
    <row r="689" spans="2:7" x14ac:dyDescent="0.25">
      <c r="B689" s="38"/>
      <c r="C689" s="14"/>
      <c r="D689" s="14"/>
      <c r="E689" s="14"/>
      <c r="F689" s="14"/>
      <c r="G689" s="16"/>
    </row>
    <row r="690" spans="2:7" x14ac:dyDescent="0.25">
      <c r="B690" s="38"/>
      <c r="C690" s="14"/>
      <c r="D690" s="14"/>
      <c r="E690" s="14"/>
      <c r="F690" s="14"/>
      <c r="G690" s="16"/>
    </row>
    <row r="691" spans="2:7" x14ac:dyDescent="0.25">
      <c r="B691" s="38"/>
      <c r="C691" s="14"/>
      <c r="D691" s="14"/>
      <c r="E691" s="14"/>
      <c r="F691" s="14"/>
      <c r="G691" s="16"/>
    </row>
    <row r="692" spans="2:7" x14ac:dyDescent="0.25">
      <c r="B692" s="38"/>
      <c r="C692" s="14"/>
      <c r="D692" s="14"/>
      <c r="E692" s="14"/>
      <c r="F692" s="14"/>
      <c r="G692" s="16"/>
    </row>
    <row r="693" spans="2:7" x14ac:dyDescent="0.25">
      <c r="B693" s="38"/>
      <c r="C693" s="14"/>
      <c r="D693" s="14"/>
      <c r="E693" s="14"/>
      <c r="F693" s="14"/>
      <c r="G693" s="16"/>
    </row>
    <row r="694" spans="2:7" x14ac:dyDescent="0.25">
      <c r="B694" s="38"/>
      <c r="C694" s="14"/>
      <c r="D694" s="14"/>
      <c r="E694" s="14"/>
      <c r="F694" s="14"/>
      <c r="G694" s="16"/>
    </row>
    <row r="695" spans="2:7" x14ac:dyDescent="0.25">
      <c r="B695" s="38"/>
      <c r="C695" s="14"/>
      <c r="D695" s="14"/>
      <c r="E695" s="14"/>
      <c r="F695" s="14"/>
      <c r="G695" s="16"/>
    </row>
    <row r="696" spans="2:7" x14ac:dyDescent="0.25">
      <c r="B696" s="38"/>
      <c r="C696" s="14"/>
      <c r="D696" s="14"/>
      <c r="E696" s="14"/>
      <c r="F696" s="14"/>
      <c r="G696" s="16"/>
    </row>
    <row r="697" spans="2:7" x14ac:dyDescent="0.25">
      <c r="B697" s="38"/>
      <c r="C697" s="14"/>
      <c r="D697" s="14"/>
      <c r="E697" s="14"/>
      <c r="F697" s="14"/>
      <c r="G697" s="16"/>
    </row>
    <row r="698" spans="2:7" x14ac:dyDescent="0.25">
      <c r="B698" s="38"/>
      <c r="C698" s="14"/>
      <c r="D698" s="14"/>
      <c r="E698" s="14"/>
      <c r="F698" s="14"/>
      <c r="G698" s="16"/>
    </row>
    <row r="699" spans="2:7" x14ac:dyDescent="0.25">
      <c r="B699" s="38"/>
      <c r="C699" s="14"/>
      <c r="D699" s="14"/>
      <c r="E699" s="14"/>
      <c r="F699" s="14"/>
      <c r="G699" s="16"/>
    </row>
    <row r="700" spans="2:7" x14ac:dyDescent="0.25">
      <c r="B700" s="38"/>
      <c r="C700" s="14"/>
      <c r="D700" s="14"/>
      <c r="E700" s="14"/>
      <c r="F700" s="14"/>
      <c r="G700" s="16"/>
    </row>
    <row r="701" spans="2:7" x14ac:dyDescent="0.25">
      <c r="B701" s="38"/>
      <c r="C701" s="14"/>
      <c r="D701" s="14"/>
      <c r="E701" s="14"/>
      <c r="F701" s="14"/>
      <c r="G701" s="16"/>
    </row>
    <row r="702" spans="2:7" x14ac:dyDescent="0.25">
      <c r="B702" s="38"/>
      <c r="C702" s="14"/>
      <c r="D702" s="14"/>
      <c r="E702" s="14"/>
      <c r="F702" s="14"/>
      <c r="G702" s="16"/>
    </row>
    <row r="703" spans="2:7" x14ac:dyDescent="0.25">
      <c r="B703" s="38"/>
      <c r="C703" s="14"/>
      <c r="D703" s="14"/>
      <c r="E703" s="14"/>
      <c r="F703" s="14"/>
      <c r="G703" s="16"/>
    </row>
    <row r="704" spans="2:7" x14ac:dyDescent="0.25">
      <c r="B704" s="38"/>
      <c r="C704" s="14"/>
      <c r="D704" s="14"/>
      <c r="E704" s="14"/>
      <c r="F704" s="14"/>
      <c r="G704" s="16"/>
    </row>
    <row r="705" spans="2:7" x14ac:dyDescent="0.25">
      <c r="B705" s="38"/>
      <c r="C705" s="14"/>
      <c r="D705" s="14"/>
      <c r="E705" s="14"/>
      <c r="F705" s="14"/>
      <c r="G705" s="16"/>
    </row>
    <row r="706" spans="2:7" x14ac:dyDescent="0.25">
      <c r="B706" s="38"/>
      <c r="C706" s="14"/>
      <c r="D706" s="14"/>
      <c r="E706" s="14"/>
      <c r="F706" s="14"/>
      <c r="G706" s="16"/>
    </row>
    <row r="707" spans="2:7" x14ac:dyDescent="0.25">
      <c r="B707" s="38"/>
      <c r="C707" s="14"/>
      <c r="D707" s="14"/>
      <c r="E707" s="14"/>
      <c r="F707" s="14"/>
      <c r="G707" s="16"/>
    </row>
    <row r="708" spans="2:7" x14ac:dyDescent="0.25">
      <c r="B708" s="38"/>
      <c r="C708" s="14"/>
      <c r="D708" s="14"/>
      <c r="E708" s="14"/>
      <c r="F708" s="14"/>
      <c r="G708" s="16"/>
    </row>
    <row r="709" spans="2:7" x14ac:dyDescent="0.25">
      <c r="B709" s="38"/>
      <c r="C709" s="14"/>
      <c r="D709" s="14"/>
      <c r="E709" s="14"/>
      <c r="F709" s="14"/>
      <c r="G709" s="16"/>
    </row>
    <row r="710" spans="2:7" x14ac:dyDescent="0.25">
      <c r="B710" s="38"/>
      <c r="C710" s="14"/>
      <c r="D710" s="14"/>
      <c r="E710" s="14"/>
      <c r="F710" s="14"/>
      <c r="G710" s="16"/>
    </row>
    <row r="711" spans="2:7" x14ac:dyDescent="0.25">
      <c r="B711" s="38"/>
      <c r="C711" s="14"/>
      <c r="D711" s="14"/>
      <c r="E711" s="14"/>
      <c r="F711" s="14"/>
      <c r="G711" s="16"/>
    </row>
    <row r="712" spans="2:7" x14ac:dyDescent="0.25">
      <c r="B712" s="38"/>
      <c r="C712" s="14"/>
      <c r="D712" s="14"/>
      <c r="E712" s="14"/>
      <c r="F712" s="14"/>
      <c r="G712" s="16"/>
    </row>
    <row r="713" spans="2:7" x14ac:dyDescent="0.25">
      <c r="B713" s="38"/>
      <c r="C713" s="14"/>
      <c r="D713" s="14"/>
      <c r="E713" s="14"/>
      <c r="F713" s="14"/>
      <c r="G713" s="16"/>
    </row>
    <row r="714" spans="2:7" x14ac:dyDescent="0.25">
      <c r="B714" s="38"/>
      <c r="C714" s="14"/>
      <c r="D714" s="14"/>
      <c r="E714" s="14"/>
      <c r="F714" s="14"/>
      <c r="G714" s="16"/>
    </row>
    <row r="715" spans="2:7" x14ac:dyDescent="0.25">
      <c r="B715" s="38"/>
      <c r="C715" s="14"/>
      <c r="D715" s="14"/>
      <c r="E715" s="14"/>
      <c r="F715" s="14"/>
      <c r="G715" s="16"/>
    </row>
    <row r="716" spans="2:7" x14ac:dyDescent="0.25">
      <c r="B716" s="38"/>
      <c r="C716" s="14"/>
      <c r="D716" s="14"/>
      <c r="E716" s="14"/>
      <c r="F716" s="14"/>
      <c r="G716" s="16"/>
    </row>
    <row r="717" spans="2:7" x14ac:dyDescent="0.25">
      <c r="B717" s="38"/>
      <c r="C717" s="14"/>
      <c r="D717" s="14"/>
      <c r="E717" s="14"/>
      <c r="F717" s="14"/>
      <c r="G717" s="16"/>
    </row>
    <row r="718" spans="2:7" x14ac:dyDescent="0.25">
      <c r="B718" s="38"/>
      <c r="C718" s="14"/>
      <c r="D718" s="14"/>
      <c r="E718" s="14"/>
      <c r="F718" s="14"/>
      <c r="G718" s="16"/>
    </row>
    <row r="719" spans="2:7" x14ac:dyDescent="0.25">
      <c r="B719" s="38"/>
      <c r="C719" s="14"/>
      <c r="D719" s="14"/>
      <c r="E719" s="14"/>
      <c r="F719" s="14"/>
      <c r="G719" s="16"/>
    </row>
    <row r="720" spans="2:7" x14ac:dyDescent="0.25">
      <c r="B720" s="38"/>
      <c r="C720" s="14"/>
      <c r="D720" s="14"/>
      <c r="E720" s="14"/>
      <c r="F720" s="14"/>
      <c r="G720" s="16"/>
    </row>
    <row r="721" spans="2:7" x14ac:dyDescent="0.25">
      <c r="B721" s="38"/>
      <c r="C721" s="14"/>
      <c r="D721" s="14"/>
      <c r="E721" s="14"/>
      <c r="F721" s="14"/>
      <c r="G721" s="16"/>
    </row>
    <row r="722" spans="2:7" x14ac:dyDescent="0.25">
      <c r="B722" s="38"/>
      <c r="C722" s="14"/>
      <c r="D722" s="14"/>
      <c r="E722" s="14"/>
      <c r="F722" s="14"/>
      <c r="G722" s="16"/>
    </row>
    <row r="723" spans="2:7" x14ac:dyDescent="0.25">
      <c r="B723" s="38"/>
      <c r="C723" s="14"/>
      <c r="D723" s="14"/>
      <c r="E723" s="14"/>
      <c r="F723" s="14"/>
      <c r="G723" s="16"/>
    </row>
    <row r="724" spans="2:7" x14ac:dyDescent="0.25">
      <c r="B724" s="38"/>
      <c r="C724" s="14"/>
      <c r="D724" s="14"/>
      <c r="E724" s="14"/>
      <c r="F724" s="14"/>
      <c r="G724" s="16"/>
    </row>
    <row r="725" spans="2:7" x14ac:dyDescent="0.25">
      <c r="B725" s="38"/>
      <c r="C725" s="14"/>
      <c r="D725" s="14"/>
      <c r="E725" s="14"/>
      <c r="F725" s="14"/>
      <c r="G725" s="16"/>
    </row>
    <row r="726" spans="2:7" x14ac:dyDescent="0.25">
      <c r="B726" s="38"/>
      <c r="C726" s="14"/>
      <c r="D726" s="14"/>
      <c r="E726" s="14"/>
      <c r="F726" s="14"/>
      <c r="G726" s="16"/>
    </row>
    <row r="727" spans="2:7" x14ac:dyDescent="0.25">
      <c r="B727" s="38"/>
      <c r="C727" s="14"/>
      <c r="D727" s="14"/>
      <c r="E727" s="14"/>
      <c r="F727" s="14"/>
      <c r="G727" s="16"/>
    </row>
    <row r="728" spans="2:7" x14ac:dyDescent="0.25">
      <c r="B728" s="38"/>
      <c r="C728" s="14"/>
      <c r="D728" s="14"/>
      <c r="E728" s="14"/>
      <c r="F728" s="14"/>
      <c r="G728" s="16"/>
    </row>
    <row r="729" spans="2:7" x14ac:dyDescent="0.25">
      <c r="B729" s="38"/>
      <c r="C729" s="14"/>
      <c r="D729" s="14"/>
      <c r="E729" s="14"/>
      <c r="F729" s="14"/>
      <c r="G729" s="16"/>
    </row>
    <row r="730" spans="2:7" x14ac:dyDescent="0.25">
      <c r="B730" s="38"/>
      <c r="C730" s="14"/>
      <c r="D730" s="14"/>
      <c r="E730" s="14"/>
      <c r="F730" s="14"/>
      <c r="G730" s="16"/>
    </row>
    <row r="731" spans="2:7" x14ac:dyDescent="0.25">
      <c r="B731" s="38"/>
      <c r="C731" s="14"/>
      <c r="D731" s="14"/>
      <c r="E731" s="14"/>
      <c r="F731" s="14"/>
      <c r="G731" s="16"/>
    </row>
    <row r="732" spans="2:7" x14ac:dyDescent="0.25">
      <c r="B732" s="38"/>
      <c r="C732" s="14"/>
      <c r="D732" s="14"/>
      <c r="E732" s="14"/>
      <c r="F732" s="14"/>
      <c r="G732" s="16"/>
    </row>
    <row r="733" spans="2:7" x14ac:dyDescent="0.25">
      <c r="B733" s="38"/>
      <c r="C733" s="14"/>
      <c r="D733" s="14"/>
      <c r="E733" s="14"/>
      <c r="F733" s="14"/>
      <c r="G733" s="16"/>
    </row>
    <row r="734" spans="2:7" x14ac:dyDescent="0.25">
      <c r="B734" s="38"/>
      <c r="C734" s="14"/>
      <c r="D734" s="14"/>
      <c r="E734" s="14"/>
      <c r="F734" s="14"/>
      <c r="G734" s="16"/>
    </row>
    <row r="735" spans="2:7" x14ac:dyDescent="0.25">
      <c r="B735" s="38"/>
      <c r="C735" s="14"/>
      <c r="D735" s="14"/>
      <c r="E735" s="14"/>
      <c r="F735" s="14"/>
      <c r="G735" s="16"/>
    </row>
    <row r="736" spans="2:7" x14ac:dyDescent="0.25">
      <c r="B736" s="38"/>
      <c r="C736" s="14"/>
      <c r="D736" s="14"/>
      <c r="E736" s="14"/>
      <c r="F736" s="14"/>
      <c r="G736" s="16"/>
    </row>
    <row r="737" spans="2:7" x14ac:dyDescent="0.25">
      <c r="B737" s="38"/>
      <c r="C737" s="14"/>
      <c r="D737" s="14"/>
      <c r="E737" s="14"/>
      <c r="F737" s="14"/>
      <c r="G737" s="16"/>
    </row>
    <row r="738" spans="2:7" x14ac:dyDescent="0.25">
      <c r="B738" s="38"/>
      <c r="C738" s="14"/>
      <c r="D738" s="14"/>
      <c r="E738" s="14"/>
      <c r="F738" s="14"/>
      <c r="G738" s="16"/>
    </row>
    <row r="739" spans="2:7" x14ac:dyDescent="0.25">
      <c r="B739" s="38"/>
      <c r="C739" s="14"/>
      <c r="D739" s="14"/>
      <c r="E739" s="14"/>
      <c r="F739" s="14"/>
      <c r="G739" s="16"/>
    </row>
    <row r="740" spans="2:7" x14ac:dyDescent="0.25">
      <c r="B740" s="38"/>
      <c r="C740" s="14"/>
      <c r="D740" s="14"/>
      <c r="E740" s="14"/>
      <c r="F740" s="14"/>
      <c r="G740" s="16"/>
    </row>
    <row r="741" spans="2:7" x14ac:dyDescent="0.25">
      <c r="B741" s="38"/>
      <c r="C741" s="14"/>
      <c r="D741" s="14"/>
      <c r="E741" s="14"/>
      <c r="F741" s="14"/>
      <c r="G741" s="16"/>
    </row>
    <row r="742" spans="2:7" x14ac:dyDescent="0.25">
      <c r="B742" s="38"/>
      <c r="C742" s="14"/>
      <c r="D742" s="14"/>
      <c r="E742" s="14"/>
      <c r="F742" s="14"/>
      <c r="G742" s="16"/>
    </row>
    <row r="743" spans="2:7" x14ac:dyDescent="0.25">
      <c r="B743" s="38"/>
      <c r="C743" s="14"/>
      <c r="D743" s="14"/>
      <c r="E743" s="14"/>
      <c r="F743" s="14"/>
      <c r="G743" s="16"/>
    </row>
    <row r="744" spans="2:7" x14ac:dyDescent="0.25">
      <c r="B744" s="38"/>
      <c r="C744" s="14"/>
      <c r="D744" s="14"/>
      <c r="E744" s="14"/>
      <c r="F744" s="14"/>
      <c r="G744" s="16"/>
    </row>
    <row r="745" spans="2:7" x14ac:dyDescent="0.25">
      <c r="B745" s="38"/>
      <c r="C745" s="14"/>
      <c r="D745" s="14"/>
      <c r="E745" s="14"/>
      <c r="F745" s="14"/>
      <c r="G745" s="16"/>
    </row>
    <row r="746" spans="2:7" x14ac:dyDescent="0.25">
      <c r="B746" s="38"/>
      <c r="C746" s="14"/>
      <c r="D746" s="14"/>
      <c r="E746" s="14"/>
      <c r="F746" s="14"/>
      <c r="G746" s="16"/>
    </row>
    <row r="747" spans="2:7" x14ac:dyDescent="0.25">
      <c r="B747" s="38"/>
      <c r="C747" s="14"/>
      <c r="D747" s="14"/>
      <c r="E747" s="14"/>
      <c r="F747" s="14"/>
      <c r="G747" s="16"/>
    </row>
    <row r="748" spans="2:7" x14ac:dyDescent="0.25">
      <c r="B748" s="38"/>
      <c r="C748" s="14"/>
      <c r="D748" s="14"/>
      <c r="E748" s="14"/>
      <c r="F748" s="14"/>
      <c r="G748" s="16"/>
    </row>
    <row r="749" spans="2:7" x14ac:dyDescent="0.25">
      <c r="B749" s="38"/>
      <c r="C749" s="14"/>
      <c r="D749" s="14"/>
      <c r="E749" s="14"/>
      <c r="F749" s="14"/>
      <c r="G749" s="16"/>
    </row>
    <row r="750" spans="2:7" x14ac:dyDescent="0.25">
      <c r="B750" s="38"/>
      <c r="C750" s="14"/>
      <c r="D750" s="14"/>
      <c r="E750" s="14"/>
      <c r="F750" s="14"/>
      <c r="G750" s="16"/>
    </row>
    <row r="751" spans="2:7" x14ac:dyDescent="0.25">
      <c r="B751" s="38"/>
      <c r="C751" s="14"/>
      <c r="D751" s="14"/>
      <c r="E751" s="14"/>
      <c r="F751" s="14"/>
      <c r="G751" s="16"/>
    </row>
    <row r="752" spans="2:7" x14ac:dyDescent="0.25">
      <c r="B752" s="38"/>
      <c r="C752" s="14"/>
      <c r="D752" s="14"/>
      <c r="E752" s="14"/>
      <c r="F752" s="14"/>
      <c r="G752" s="16"/>
    </row>
    <row r="753" spans="2:7" x14ac:dyDescent="0.25">
      <c r="B753" s="38"/>
      <c r="C753" s="14"/>
      <c r="D753" s="14"/>
      <c r="E753" s="14"/>
      <c r="F753" s="14"/>
      <c r="G753" s="16"/>
    </row>
    <row r="754" spans="2:7" x14ac:dyDescent="0.25">
      <c r="B754" s="38"/>
      <c r="C754" s="14"/>
      <c r="D754" s="14"/>
      <c r="E754" s="14"/>
      <c r="F754" s="14"/>
      <c r="G754" s="16"/>
    </row>
    <row r="755" spans="2:7" x14ac:dyDescent="0.25">
      <c r="B755" s="38"/>
      <c r="C755" s="14"/>
      <c r="D755" s="14"/>
      <c r="E755" s="14"/>
      <c r="F755" s="14"/>
      <c r="G755" s="16"/>
    </row>
    <row r="756" spans="2:7" x14ac:dyDescent="0.25">
      <c r="B756" s="38"/>
      <c r="C756" s="14"/>
      <c r="D756" s="14"/>
      <c r="E756" s="14"/>
      <c r="F756" s="14"/>
      <c r="G756" s="16"/>
    </row>
    <row r="757" spans="2:7" x14ac:dyDescent="0.25">
      <c r="B757" s="38"/>
      <c r="C757" s="14"/>
      <c r="D757" s="14"/>
      <c r="E757" s="14"/>
      <c r="F757" s="14"/>
      <c r="G757" s="16"/>
    </row>
    <row r="758" spans="2:7" x14ac:dyDescent="0.25">
      <c r="B758" s="38"/>
      <c r="C758" s="14"/>
      <c r="D758" s="14"/>
      <c r="E758" s="14"/>
      <c r="F758" s="14"/>
      <c r="G758" s="16"/>
    </row>
    <row r="759" spans="2:7" x14ac:dyDescent="0.25">
      <c r="B759" s="38"/>
      <c r="C759" s="14"/>
      <c r="D759" s="14"/>
      <c r="E759" s="14"/>
      <c r="F759" s="14"/>
      <c r="G759" s="16"/>
    </row>
    <row r="760" spans="2:7" x14ac:dyDescent="0.25">
      <c r="B760" s="38"/>
      <c r="C760" s="14"/>
      <c r="D760" s="14"/>
      <c r="E760" s="14"/>
      <c r="F760" s="14"/>
      <c r="G760" s="16"/>
    </row>
    <row r="761" spans="2:7" x14ac:dyDescent="0.25">
      <c r="B761" s="38"/>
      <c r="C761" s="14"/>
      <c r="D761" s="14"/>
      <c r="E761" s="14"/>
      <c r="F761" s="14"/>
      <c r="G761" s="16"/>
    </row>
    <row r="762" spans="2:7" x14ac:dyDescent="0.25">
      <c r="B762" s="38"/>
      <c r="C762" s="14"/>
      <c r="D762" s="14"/>
      <c r="E762" s="14"/>
      <c r="F762" s="14"/>
      <c r="G762" s="16"/>
    </row>
    <row r="763" spans="2:7" x14ac:dyDescent="0.25">
      <c r="B763" s="38"/>
      <c r="C763" s="14"/>
      <c r="D763" s="14"/>
      <c r="E763" s="14"/>
      <c r="F763" s="14"/>
      <c r="G763" s="16"/>
    </row>
    <row r="764" spans="2:7" x14ac:dyDescent="0.25">
      <c r="B764" s="38"/>
      <c r="C764" s="14"/>
      <c r="D764" s="14"/>
      <c r="E764" s="14"/>
      <c r="F764" s="14"/>
      <c r="G764" s="16"/>
    </row>
    <row r="765" spans="2:7" x14ac:dyDescent="0.25">
      <c r="B765" s="38"/>
      <c r="C765" s="14"/>
      <c r="D765" s="14"/>
      <c r="E765" s="14"/>
      <c r="F765" s="14"/>
      <c r="G765" s="16"/>
    </row>
    <row r="766" spans="2:7" x14ac:dyDescent="0.25">
      <c r="B766" s="38"/>
      <c r="C766" s="14"/>
      <c r="D766" s="14"/>
      <c r="E766" s="14"/>
      <c r="F766" s="14"/>
      <c r="G766" s="16"/>
    </row>
    <row r="767" spans="2:7" x14ac:dyDescent="0.25">
      <c r="B767" s="38"/>
      <c r="C767" s="14"/>
      <c r="D767" s="14"/>
      <c r="E767" s="14"/>
      <c r="F767" s="14"/>
      <c r="G767" s="16"/>
    </row>
    <row r="768" spans="2:7" x14ac:dyDescent="0.25">
      <c r="B768" s="38"/>
      <c r="C768" s="14"/>
      <c r="D768" s="14"/>
      <c r="E768" s="14"/>
      <c r="F768" s="14"/>
      <c r="G768" s="16"/>
    </row>
    <row r="769" spans="2:7" x14ac:dyDescent="0.25">
      <c r="B769" s="38"/>
      <c r="C769" s="14"/>
      <c r="D769" s="14"/>
      <c r="E769" s="14"/>
      <c r="F769" s="14"/>
      <c r="G769" s="16"/>
    </row>
    <row r="770" spans="2:7" x14ac:dyDescent="0.25">
      <c r="B770" s="38"/>
      <c r="C770" s="14"/>
      <c r="D770" s="14"/>
      <c r="E770" s="14"/>
      <c r="F770" s="14"/>
      <c r="G770" s="16"/>
    </row>
    <row r="771" spans="2:7" x14ac:dyDescent="0.25">
      <c r="B771" s="38"/>
      <c r="C771" s="14"/>
      <c r="D771" s="14"/>
      <c r="E771" s="14"/>
      <c r="F771" s="14"/>
      <c r="G771" s="16"/>
    </row>
    <row r="772" spans="2:7" x14ac:dyDescent="0.25">
      <c r="B772" s="38"/>
      <c r="C772" s="14"/>
      <c r="D772" s="14"/>
      <c r="E772" s="14"/>
      <c r="F772" s="14"/>
      <c r="G772" s="16"/>
    </row>
    <row r="773" spans="2:7" x14ac:dyDescent="0.25">
      <c r="B773" s="38"/>
      <c r="C773" s="14"/>
      <c r="D773" s="14"/>
      <c r="E773" s="14"/>
      <c r="F773" s="14"/>
      <c r="G773" s="16"/>
    </row>
    <row r="774" spans="2:7" x14ac:dyDescent="0.25">
      <c r="B774" s="38"/>
      <c r="C774" s="14"/>
      <c r="D774" s="14"/>
      <c r="E774" s="14"/>
      <c r="F774" s="14"/>
      <c r="G774" s="16"/>
    </row>
    <row r="775" spans="2:7" x14ac:dyDescent="0.25">
      <c r="B775" s="38"/>
      <c r="C775" s="14"/>
      <c r="D775" s="14"/>
      <c r="E775" s="14"/>
      <c r="F775" s="14"/>
      <c r="G775" s="16"/>
    </row>
    <row r="776" spans="2:7" x14ac:dyDescent="0.25">
      <c r="B776" s="38"/>
      <c r="C776" s="14"/>
      <c r="D776" s="14"/>
      <c r="E776" s="14"/>
      <c r="F776" s="14"/>
      <c r="G776" s="16"/>
    </row>
    <row r="777" spans="2:7" x14ac:dyDescent="0.25">
      <c r="B777" s="38"/>
      <c r="C777" s="14"/>
      <c r="D777" s="14"/>
      <c r="E777" s="14"/>
      <c r="F777" s="14"/>
      <c r="G777" s="16"/>
    </row>
    <row r="778" spans="2:7" x14ac:dyDescent="0.25">
      <c r="B778" s="38"/>
      <c r="C778" s="14"/>
      <c r="D778" s="14"/>
      <c r="E778" s="14"/>
      <c r="F778" s="14"/>
      <c r="G778" s="16"/>
    </row>
    <row r="779" spans="2:7" x14ac:dyDescent="0.25">
      <c r="B779" s="38"/>
      <c r="C779" s="14"/>
      <c r="D779" s="14"/>
      <c r="E779" s="14"/>
      <c r="F779" s="14"/>
      <c r="G779" s="16"/>
    </row>
    <row r="780" spans="2:7" x14ac:dyDescent="0.25">
      <c r="B780" s="38"/>
      <c r="C780" s="14"/>
      <c r="D780" s="14"/>
      <c r="E780" s="14"/>
      <c r="F780" s="14"/>
      <c r="G780" s="16"/>
    </row>
    <row r="781" spans="2:7" x14ac:dyDescent="0.25">
      <c r="B781" s="38"/>
      <c r="C781" s="14"/>
      <c r="D781" s="14"/>
      <c r="E781" s="14"/>
      <c r="F781" s="14"/>
      <c r="G781" s="16"/>
    </row>
    <row r="782" spans="2:7" x14ac:dyDescent="0.25">
      <c r="B782" s="38"/>
      <c r="C782" s="14"/>
      <c r="D782" s="14"/>
      <c r="E782" s="14"/>
      <c r="F782" s="14"/>
      <c r="G782" s="16"/>
    </row>
    <row r="783" spans="2:7" x14ac:dyDescent="0.25">
      <c r="B783" s="38"/>
      <c r="C783" s="14"/>
      <c r="D783" s="14"/>
      <c r="E783" s="14"/>
      <c r="F783" s="14"/>
      <c r="G783" s="16"/>
    </row>
    <row r="784" spans="2:7" x14ac:dyDescent="0.25">
      <c r="B784" s="38"/>
      <c r="C784" s="14"/>
      <c r="D784" s="14"/>
      <c r="E784" s="14"/>
      <c r="F784" s="14"/>
      <c r="G784" s="16"/>
    </row>
    <row r="785" spans="2:7" x14ac:dyDescent="0.25">
      <c r="B785" s="38"/>
      <c r="C785" s="14"/>
      <c r="D785" s="14"/>
      <c r="E785" s="14"/>
      <c r="F785" s="14"/>
      <c r="G785" s="16"/>
    </row>
    <row r="786" spans="2:7" x14ac:dyDescent="0.25">
      <c r="B786" s="38"/>
      <c r="C786" s="14"/>
      <c r="D786" s="14"/>
      <c r="E786" s="14"/>
      <c r="F786" s="14"/>
      <c r="G786" s="16"/>
    </row>
    <row r="787" spans="2:7" x14ac:dyDescent="0.25">
      <c r="B787" s="38"/>
      <c r="C787" s="14"/>
      <c r="D787" s="14"/>
      <c r="E787" s="14"/>
      <c r="F787" s="14"/>
      <c r="G787" s="16"/>
    </row>
    <row r="788" spans="2:7" x14ac:dyDescent="0.25">
      <c r="B788" s="38"/>
      <c r="C788" s="14"/>
      <c r="D788" s="14"/>
      <c r="E788" s="14"/>
      <c r="F788" s="14"/>
      <c r="G788" s="16"/>
    </row>
    <row r="789" spans="2:7" x14ac:dyDescent="0.25">
      <c r="B789" s="38"/>
      <c r="C789" s="14"/>
      <c r="D789" s="14"/>
      <c r="E789" s="14"/>
      <c r="F789" s="14"/>
      <c r="G789" s="16"/>
    </row>
    <row r="790" spans="2:7" x14ac:dyDescent="0.25">
      <c r="B790" s="38"/>
      <c r="C790" s="14"/>
      <c r="D790" s="14"/>
      <c r="E790" s="14"/>
      <c r="F790" s="14"/>
      <c r="G790" s="16"/>
    </row>
    <row r="791" spans="2:7" x14ac:dyDescent="0.25">
      <c r="B791" s="38"/>
      <c r="C791" s="14"/>
      <c r="D791" s="14"/>
      <c r="E791" s="14"/>
      <c r="F791" s="14"/>
      <c r="G791" s="16"/>
    </row>
    <row r="792" spans="2:7" x14ac:dyDescent="0.25">
      <c r="B792" s="38"/>
      <c r="C792" s="14"/>
      <c r="D792" s="14"/>
      <c r="E792" s="14"/>
      <c r="F792" s="14"/>
      <c r="G792" s="16"/>
    </row>
    <row r="793" spans="2:7" x14ac:dyDescent="0.25">
      <c r="B793" s="38"/>
      <c r="C793" s="14"/>
      <c r="D793" s="14"/>
      <c r="E793" s="14"/>
      <c r="F793" s="14"/>
      <c r="G793" s="16"/>
    </row>
    <row r="794" spans="2:7" x14ac:dyDescent="0.25">
      <c r="B794" s="38"/>
      <c r="C794" s="14"/>
      <c r="D794" s="14"/>
      <c r="E794" s="14"/>
      <c r="F794" s="14"/>
      <c r="G794" s="16"/>
    </row>
    <row r="795" spans="2:7" x14ac:dyDescent="0.25">
      <c r="B795" s="38"/>
      <c r="C795" s="14"/>
      <c r="D795" s="14"/>
      <c r="E795" s="14"/>
      <c r="F795" s="14"/>
      <c r="G795" s="16"/>
    </row>
    <row r="796" spans="2:7" x14ac:dyDescent="0.25">
      <c r="B796" s="38"/>
      <c r="C796" s="14"/>
      <c r="D796" s="14"/>
      <c r="E796" s="14"/>
      <c r="F796" s="14"/>
      <c r="G796" s="16"/>
    </row>
    <row r="797" spans="2:7" x14ac:dyDescent="0.25">
      <c r="B797" s="38"/>
      <c r="C797" s="14"/>
      <c r="D797" s="14"/>
      <c r="E797" s="14"/>
      <c r="F797" s="14"/>
      <c r="G797" s="16"/>
    </row>
    <row r="798" spans="2:7" x14ac:dyDescent="0.25">
      <c r="B798" s="38"/>
      <c r="C798" s="14"/>
      <c r="D798" s="14"/>
      <c r="E798" s="14"/>
      <c r="F798" s="14"/>
      <c r="G798" s="16"/>
    </row>
    <row r="799" spans="2:7" x14ac:dyDescent="0.25">
      <c r="B799" s="38"/>
      <c r="C799" s="14"/>
      <c r="D799" s="14"/>
      <c r="E799" s="14"/>
      <c r="F799" s="14"/>
      <c r="G799" s="16"/>
    </row>
    <row r="800" spans="2:7" x14ac:dyDescent="0.25">
      <c r="B800" s="38"/>
      <c r="C800" s="14"/>
      <c r="D800" s="14"/>
      <c r="E800" s="14"/>
      <c r="F800" s="14"/>
      <c r="G800" s="16"/>
    </row>
    <row r="801" spans="2:7" x14ac:dyDescent="0.25">
      <c r="B801" s="38"/>
      <c r="C801" s="14"/>
      <c r="D801" s="14"/>
      <c r="E801" s="14"/>
      <c r="F801" s="14"/>
      <c r="G801" s="16"/>
    </row>
    <row r="802" spans="2:7" x14ac:dyDescent="0.25">
      <c r="B802" s="38"/>
      <c r="C802" s="14"/>
      <c r="D802" s="14"/>
      <c r="E802" s="14"/>
      <c r="F802" s="14"/>
      <c r="G802" s="16"/>
    </row>
    <row r="803" spans="2:7" x14ac:dyDescent="0.25">
      <c r="B803" s="38"/>
      <c r="C803" s="14"/>
      <c r="D803" s="14"/>
      <c r="E803" s="14"/>
      <c r="F803" s="14"/>
      <c r="G803" s="16"/>
    </row>
    <row r="804" spans="2:7" x14ac:dyDescent="0.25">
      <c r="B804" s="38"/>
      <c r="C804" s="14"/>
      <c r="D804" s="14"/>
      <c r="E804" s="14"/>
      <c r="F804" s="14"/>
      <c r="G804" s="16"/>
    </row>
    <row r="805" spans="2:7" x14ac:dyDescent="0.25">
      <c r="B805" s="38"/>
      <c r="C805" s="14"/>
      <c r="D805" s="14"/>
      <c r="E805" s="14"/>
      <c r="F805" s="14"/>
      <c r="G805" s="16"/>
    </row>
    <row r="806" spans="2:7" x14ac:dyDescent="0.25">
      <c r="B806" s="38"/>
      <c r="C806" s="14"/>
      <c r="D806" s="14"/>
      <c r="E806" s="14"/>
      <c r="F806" s="14"/>
      <c r="G806" s="16"/>
    </row>
    <row r="807" spans="2:7" x14ac:dyDescent="0.25">
      <c r="B807" s="38"/>
      <c r="C807" s="14"/>
      <c r="D807" s="14"/>
      <c r="E807" s="14"/>
      <c r="F807" s="14"/>
      <c r="G807" s="16"/>
    </row>
    <row r="808" spans="2:7" x14ac:dyDescent="0.25">
      <c r="B808" s="38"/>
      <c r="C808" s="14"/>
      <c r="D808" s="14"/>
      <c r="E808" s="14"/>
      <c r="F808" s="14"/>
      <c r="G808" s="16"/>
    </row>
    <row r="809" spans="2:7" x14ac:dyDescent="0.25">
      <c r="B809" s="38"/>
      <c r="C809" s="14"/>
      <c r="D809" s="14"/>
      <c r="E809" s="14"/>
      <c r="F809" s="14"/>
      <c r="G809" s="16"/>
    </row>
    <row r="810" spans="2:7" x14ac:dyDescent="0.25">
      <c r="B810" s="38"/>
      <c r="C810" s="14"/>
      <c r="D810" s="14"/>
      <c r="E810" s="14"/>
      <c r="F810" s="14"/>
      <c r="G810" s="16"/>
    </row>
    <row r="811" spans="2:7" x14ac:dyDescent="0.25">
      <c r="B811" s="38"/>
      <c r="C811" s="14"/>
      <c r="D811" s="14"/>
      <c r="E811" s="14"/>
      <c r="F811" s="14"/>
      <c r="G811" s="16"/>
    </row>
    <row r="812" spans="2:7" x14ac:dyDescent="0.25">
      <c r="B812" s="38"/>
      <c r="C812" s="14"/>
      <c r="D812" s="14"/>
      <c r="E812" s="14"/>
      <c r="F812" s="14"/>
      <c r="G812" s="16"/>
    </row>
    <row r="813" spans="2:7" x14ac:dyDescent="0.25">
      <c r="B813" s="38"/>
      <c r="C813" s="14"/>
      <c r="D813" s="14"/>
      <c r="E813" s="14"/>
      <c r="F813" s="14"/>
      <c r="G813" s="16"/>
    </row>
    <row r="814" spans="2:7" x14ac:dyDescent="0.25">
      <c r="B814" s="38"/>
      <c r="C814" s="14"/>
      <c r="D814" s="14"/>
      <c r="E814" s="14"/>
      <c r="F814" s="14"/>
      <c r="G814" s="16"/>
    </row>
    <row r="815" spans="2:7" x14ac:dyDescent="0.25">
      <c r="B815" s="38"/>
      <c r="C815" s="14"/>
      <c r="D815" s="14"/>
      <c r="E815" s="14"/>
      <c r="F815" s="14"/>
      <c r="G815" s="16"/>
    </row>
    <row r="816" spans="2:7" x14ac:dyDescent="0.25">
      <c r="B816" s="38"/>
      <c r="C816" s="14"/>
      <c r="D816" s="14"/>
      <c r="E816" s="14"/>
      <c r="F816" s="14"/>
      <c r="G816" s="16"/>
    </row>
    <row r="817" spans="2:7" x14ac:dyDescent="0.25">
      <c r="B817" s="38"/>
      <c r="C817" s="14"/>
      <c r="D817" s="14"/>
      <c r="E817" s="14"/>
      <c r="F817" s="14"/>
      <c r="G817" s="16"/>
    </row>
    <row r="818" spans="2:7" x14ac:dyDescent="0.25">
      <c r="B818" s="38"/>
      <c r="C818" s="14"/>
      <c r="D818" s="14"/>
      <c r="E818" s="14"/>
      <c r="F818" s="14"/>
      <c r="G818" s="16"/>
    </row>
    <row r="819" spans="2:7" x14ac:dyDescent="0.25">
      <c r="B819" s="38"/>
      <c r="C819" s="14"/>
      <c r="D819" s="14"/>
      <c r="E819" s="14"/>
      <c r="F819" s="14"/>
      <c r="G819" s="16"/>
    </row>
    <row r="820" spans="2:7" x14ac:dyDescent="0.25">
      <c r="B820" s="38"/>
      <c r="C820" s="14"/>
      <c r="D820" s="14"/>
      <c r="E820" s="14"/>
      <c r="F820" s="14"/>
      <c r="G820" s="16"/>
    </row>
    <row r="821" spans="2:7" x14ac:dyDescent="0.25">
      <c r="B821" s="38"/>
      <c r="C821" s="14"/>
      <c r="D821" s="14"/>
      <c r="E821" s="14"/>
      <c r="F821" s="14"/>
      <c r="G821" s="16"/>
    </row>
    <row r="822" spans="2:7" x14ac:dyDescent="0.25">
      <c r="B822" s="38"/>
      <c r="C822" s="14"/>
      <c r="D822" s="14"/>
      <c r="E822" s="14"/>
      <c r="F822" s="14"/>
      <c r="G822" s="16"/>
    </row>
    <row r="823" spans="2:7" x14ac:dyDescent="0.25">
      <c r="B823" s="38"/>
      <c r="C823" s="14"/>
      <c r="D823" s="14"/>
      <c r="E823" s="14"/>
      <c r="F823" s="14"/>
      <c r="G823" s="16"/>
    </row>
    <row r="824" spans="2:7" x14ac:dyDescent="0.25">
      <c r="B824" s="38"/>
      <c r="C824" s="14"/>
      <c r="D824" s="14"/>
      <c r="E824" s="14"/>
      <c r="F824" s="14"/>
      <c r="G824" s="16"/>
    </row>
    <row r="825" spans="2:7" x14ac:dyDescent="0.25">
      <c r="B825" s="38"/>
      <c r="C825" s="14"/>
      <c r="D825" s="14"/>
      <c r="E825" s="14"/>
      <c r="F825" s="14"/>
      <c r="G825" s="16"/>
    </row>
    <row r="826" spans="2:7" x14ac:dyDescent="0.25">
      <c r="B826" s="38"/>
      <c r="C826" s="14"/>
      <c r="D826" s="14"/>
      <c r="E826" s="14"/>
      <c r="F826" s="14"/>
      <c r="G826" s="16"/>
    </row>
    <row r="827" spans="2:7" x14ac:dyDescent="0.25">
      <c r="B827" s="38"/>
      <c r="C827" s="14"/>
      <c r="D827" s="14"/>
      <c r="E827" s="14"/>
      <c r="F827" s="14"/>
      <c r="G827" s="16"/>
    </row>
    <row r="828" spans="2:7" x14ac:dyDescent="0.25">
      <c r="B828" s="38"/>
      <c r="C828" s="14"/>
      <c r="D828" s="14"/>
      <c r="E828" s="14"/>
      <c r="F828" s="14"/>
      <c r="G828" s="16"/>
    </row>
    <row r="829" spans="2:7" x14ac:dyDescent="0.25">
      <c r="B829" s="38"/>
      <c r="C829" s="14"/>
      <c r="D829" s="14"/>
      <c r="E829" s="14"/>
      <c r="F829" s="14"/>
      <c r="G829" s="16"/>
    </row>
    <row r="830" spans="2:7" x14ac:dyDescent="0.25">
      <c r="B830" s="38"/>
      <c r="C830" s="14"/>
      <c r="D830" s="14"/>
      <c r="E830" s="14"/>
      <c r="F830" s="14"/>
      <c r="G830" s="16"/>
    </row>
    <row r="831" spans="2:7" x14ac:dyDescent="0.25">
      <c r="B831" s="38"/>
      <c r="C831" s="14"/>
      <c r="D831" s="14"/>
      <c r="E831" s="14"/>
      <c r="F831" s="14"/>
      <c r="G831" s="16"/>
    </row>
    <row r="832" spans="2:7" x14ac:dyDescent="0.25">
      <c r="B832" s="38"/>
      <c r="C832" s="14"/>
      <c r="D832" s="14"/>
      <c r="E832" s="14"/>
      <c r="F832" s="14"/>
      <c r="G832" s="16"/>
    </row>
    <row r="833" spans="2:7" x14ac:dyDescent="0.25">
      <c r="B833" s="38"/>
      <c r="C833" s="14"/>
      <c r="D833" s="14"/>
      <c r="E833" s="14"/>
      <c r="F833" s="14"/>
      <c r="G833" s="16"/>
    </row>
    <row r="834" spans="2:7" x14ac:dyDescent="0.25">
      <c r="B834" s="38"/>
      <c r="C834" s="14"/>
      <c r="D834" s="14"/>
      <c r="E834" s="14"/>
      <c r="F834" s="14"/>
      <c r="G834" s="16"/>
    </row>
    <row r="835" spans="2:7" x14ac:dyDescent="0.25">
      <c r="B835" s="38"/>
      <c r="C835" s="14"/>
      <c r="D835" s="14"/>
      <c r="E835" s="14"/>
      <c r="F835" s="14"/>
      <c r="G835" s="16"/>
    </row>
    <row r="836" spans="2:7" x14ac:dyDescent="0.25">
      <c r="B836" s="38"/>
      <c r="C836" s="14"/>
      <c r="D836" s="14"/>
      <c r="E836" s="14"/>
      <c r="F836" s="14"/>
      <c r="G836" s="16"/>
    </row>
    <row r="837" spans="2:7" x14ac:dyDescent="0.25">
      <c r="B837" s="38"/>
      <c r="C837" s="14"/>
      <c r="D837" s="14"/>
      <c r="E837" s="14"/>
      <c r="F837" s="14"/>
      <c r="G837" s="16"/>
    </row>
    <row r="838" spans="2:7" x14ac:dyDescent="0.25">
      <c r="B838" s="38"/>
      <c r="C838" s="14"/>
      <c r="D838" s="14"/>
      <c r="E838" s="14"/>
      <c r="F838" s="14"/>
      <c r="G838" s="16"/>
    </row>
    <row r="839" spans="2:7" x14ac:dyDescent="0.25">
      <c r="B839" s="38"/>
      <c r="C839" s="14"/>
      <c r="D839" s="14"/>
      <c r="E839" s="14"/>
      <c r="F839" s="14"/>
      <c r="G839" s="16"/>
    </row>
    <row r="840" spans="2:7" x14ac:dyDescent="0.25">
      <c r="B840" s="38"/>
      <c r="C840" s="14"/>
      <c r="D840" s="14"/>
      <c r="E840" s="14"/>
      <c r="F840" s="14"/>
      <c r="G840" s="16"/>
    </row>
    <row r="841" spans="2:7" x14ac:dyDescent="0.25">
      <c r="B841" s="38"/>
      <c r="C841" s="14"/>
      <c r="D841" s="14"/>
      <c r="E841" s="14"/>
      <c r="F841" s="14"/>
      <c r="G841" s="16"/>
    </row>
    <row r="842" spans="2:7" x14ac:dyDescent="0.25">
      <c r="B842" s="38"/>
      <c r="C842" s="14"/>
      <c r="D842" s="14"/>
      <c r="E842" s="14"/>
      <c r="F842" s="14"/>
      <c r="G842" s="16"/>
    </row>
    <row r="843" spans="2:7" x14ac:dyDescent="0.25">
      <c r="B843" s="38"/>
      <c r="C843" s="14"/>
      <c r="D843" s="14"/>
      <c r="E843" s="14"/>
      <c r="F843" s="14"/>
      <c r="G843" s="16"/>
    </row>
    <row r="844" spans="2:7" x14ac:dyDescent="0.25">
      <c r="B844" s="38"/>
      <c r="C844" s="14"/>
      <c r="D844" s="14"/>
      <c r="E844" s="14"/>
      <c r="F844" s="14"/>
      <c r="G844" s="16"/>
    </row>
    <row r="845" spans="2:7" x14ac:dyDescent="0.25">
      <c r="B845" s="38"/>
      <c r="C845" s="14"/>
      <c r="D845" s="14"/>
      <c r="E845" s="14"/>
      <c r="F845" s="14"/>
      <c r="G845" s="16"/>
    </row>
    <row r="846" spans="2:7" x14ac:dyDescent="0.25">
      <c r="B846" s="38"/>
      <c r="C846" s="14"/>
      <c r="D846" s="14"/>
      <c r="E846" s="14"/>
      <c r="F846" s="14"/>
      <c r="G846" s="16"/>
    </row>
    <row r="847" spans="2:7" x14ac:dyDescent="0.25">
      <c r="B847" s="38"/>
      <c r="C847" s="14"/>
      <c r="D847" s="14"/>
      <c r="E847" s="14"/>
      <c r="F847" s="14"/>
      <c r="G847" s="16"/>
    </row>
    <row r="848" spans="2:7" x14ac:dyDescent="0.25">
      <c r="B848" s="38"/>
      <c r="C848" s="14"/>
      <c r="D848" s="14"/>
      <c r="E848" s="14"/>
      <c r="F848" s="14"/>
      <c r="G848" s="16"/>
    </row>
    <row r="849" spans="2:7" x14ac:dyDescent="0.25">
      <c r="B849" s="38"/>
      <c r="C849" s="14"/>
      <c r="D849" s="14"/>
      <c r="E849" s="14"/>
      <c r="F849" s="14"/>
      <c r="G849" s="16"/>
    </row>
    <row r="850" spans="2:7" x14ac:dyDescent="0.25">
      <c r="B850" s="38"/>
      <c r="C850" s="14"/>
      <c r="D850" s="14"/>
      <c r="E850" s="14"/>
      <c r="F850" s="14"/>
      <c r="G850" s="16"/>
    </row>
    <row r="851" spans="2:7" x14ac:dyDescent="0.25">
      <c r="B851" s="38"/>
      <c r="C851" s="14"/>
      <c r="D851" s="14"/>
      <c r="E851" s="14"/>
      <c r="F851" s="14"/>
      <c r="G851" s="16"/>
    </row>
    <row r="852" spans="2:7" x14ac:dyDescent="0.25">
      <c r="B852" s="38"/>
      <c r="C852" s="14"/>
      <c r="D852" s="14"/>
      <c r="E852" s="14"/>
      <c r="F852" s="14"/>
      <c r="G852" s="16"/>
    </row>
    <row r="853" spans="2:7" x14ac:dyDescent="0.25">
      <c r="B853" s="38"/>
      <c r="C853" s="14"/>
      <c r="D853" s="14"/>
      <c r="E853" s="14"/>
      <c r="F853" s="14"/>
      <c r="G853" s="16"/>
    </row>
    <row r="854" spans="2:7" x14ac:dyDescent="0.25">
      <c r="B854" s="38"/>
      <c r="C854" s="14"/>
      <c r="D854" s="14"/>
      <c r="E854" s="14"/>
      <c r="F854" s="14"/>
      <c r="G854" s="16"/>
    </row>
    <row r="855" spans="2:7" x14ac:dyDescent="0.25">
      <c r="B855" s="38"/>
      <c r="C855" s="14"/>
      <c r="D855" s="14"/>
      <c r="E855" s="14"/>
      <c r="F855" s="14"/>
      <c r="G855" s="16"/>
    </row>
    <row r="856" spans="2:7" x14ac:dyDescent="0.25">
      <c r="B856" s="38"/>
      <c r="C856" s="14"/>
      <c r="D856" s="14"/>
      <c r="E856" s="14"/>
      <c r="F856" s="14"/>
      <c r="G856" s="16"/>
    </row>
    <row r="857" spans="2:7" x14ac:dyDescent="0.25">
      <c r="B857" s="38"/>
      <c r="C857" s="14"/>
      <c r="D857" s="14"/>
      <c r="E857" s="14"/>
      <c r="F857" s="14"/>
      <c r="G857" s="16"/>
    </row>
    <row r="858" spans="2:7" x14ac:dyDescent="0.25">
      <c r="B858" s="38"/>
      <c r="C858" s="14"/>
      <c r="D858" s="14"/>
      <c r="E858" s="14"/>
      <c r="F858" s="14"/>
      <c r="G858" s="16"/>
    </row>
    <row r="859" spans="2:7" x14ac:dyDescent="0.25">
      <c r="B859" s="38"/>
      <c r="C859" s="14"/>
      <c r="D859" s="14"/>
      <c r="E859" s="14"/>
      <c r="F859" s="14"/>
      <c r="G859" s="16"/>
    </row>
    <row r="860" spans="2:7" x14ac:dyDescent="0.25">
      <c r="B860" s="38"/>
      <c r="C860" s="14"/>
      <c r="D860" s="14"/>
      <c r="E860" s="14"/>
      <c r="F860" s="14"/>
      <c r="G860" s="16"/>
    </row>
    <row r="861" spans="2:7" x14ac:dyDescent="0.25">
      <c r="B861" s="38"/>
      <c r="C861" s="14"/>
      <c r="D861" s="14"/>
      <c r="E861" s="14"/>
      <c r="F861" s="14"/>
      <c r="G861" s="16"/>
    </row>
    <row r="862" spans="2:7" x14ac:dyDescent="0.25">
      <c r="B862" s="38"/>
      <c r="C862" s="14"/>
      <c r="D862" s="14"/>
      <c r="E862" s="14"/>
      <c r="F862" s="14"/>
      <c r="G862" s="16"/>
    </row>
    <row r="863" spans="2:7" x14ac:dyDescent="0.25">
      <c r="B863" s="38"/>
      <c r="C863" s="14"/>
      <c r="D863" s="14"/>
      <c r="E863" s="14"/>
      <c r="F863" s="14"/>
      <c r="G863" s="16"/>
    </row>
    <row r="864" spans="2:7" x14ac:dyDescent="0.25">
      <c r="B864" s="38"/>
      <c r="C864" s="14"/>
      <c r="D864" s="14"/>
      <c r="E864" s="14"/>
      <c r="F864" s="14"/>
      <c r="G864" s="16"/>
    </row>
    <row r="865" spans="2:7" x14ac:dyDescent="0.25">
      <c r="B865" s="38"/>
      <c r="C865" s="14"/>
      <c r="D865" s="14"/>
      <c r="E865" s="14"/>
      <c r="F865" s="14"/>
      <c r="G865" s="16"/>
    </row>
    <row r="866" spans="2:7" x14ac:dyDescent="0.25">
      <c r="B866" s="38"/>
      <c r="C866" s="14"/>
      <c r="D866" s="14"/>
      <c r="E866" s="14"/>
      <c r="F866" s="14"/>
      <c r="G866" s="16"/>
    </row>
    <row r="867" spans="2:7" x14ac:dyDescent="0.25">
      <c r="B867" s="38"/>
      <c r="C867" s="14"/>
      <c r="D867" s="14"/>
      <c r="E867" s="14"/>
      <c r="F867" s="14"/>
      <c r="G867" s="16"/>
    </row>
    <row r="868" spans="2:7" x14ac:dyDescent="0.25">
      <c r="B868" s="38"/>
      <c r="C868" s="14"/>
      <c r="D868" s="14"/>
      <c r="E868" s="14"/>
      <c r="F868" s="14"/>
      <c r="G868" s="16"/>
    </row>
    <row r="869" spans="2:7" x14ac:dyDescent="0.25">
      <c r="B869" s="38"/>
      <c r="C869" s="14"/>
      <c r="D869" s="14"/>
      <c r="E869" s="14"/>
      <c r="F869" s="14"/>
      <c r="G869" s="16"/>
    </row>
    <row r="870" spans="2:7" x14ac:dyDescent="0.25">
      <c r="B870" s="38"/>
      <c r="C870" s="14"/>
      <c r="D870" s="14"/>
      <c r="E870" s="14"/>
      <c r="F870" s="14"/>
      <c r="G870" s="16"/>
    </row>
    <row r="871" spans="2:7" x14ac:dyDescent="0.25">
      <c r="B871" s="38"/>
      <c r="C871" s="14"/>
      <c r="D871" s="14"/>
      <c r="E871" s="14"/>
      <c r="F871" s="14"/>
      <c r="G871" s="16"/>
    </row>
    <row r="872" spans="2:7" x14ac:dyDescent="0.25">
      <c r="B872" s="38"/>
      <c r="C872" s="14"/>
      <c r="D872" s="14"/>
      <c r="E872" s="14"/>
      <c r="F872" s="14"/>
      <c r="G872" s="16"/>
    </row>
    <row r="873" spans="2:7" x14ac:dyDescent="0.25">
      <c r="B873" s="38"/>
      <c r="C873" s="14"/>
      <c r="D873" s="14"/>
      <c r="E873" s="14"/>
      <c r="F873" s="14"/>
      <c r="G873" s="16"/>
    </row>
    <row r="874" spans="2:7" x14ac:dyDescent="0.25">
      <c r="B874" s="38"/>
      <c r="C874" s="14"/>
      <c r="D874" s="14"/>
      <c r="E874" s="14"/>
      <c r="F874" s="14"/>
      <c r="G874" s="16"/>
    </row>
    <row r="875" spans="2:7" x14ac:dyDescent="0.25">
      <c r="B875" s="38"/>
      <c r="C875" s="14"/>
      <c r="D875" s="14"/>
      <c r="E875" s="14"/>
      <c r="F875" s="14"/>
      <c r="G875" s="16"/>
    </row>
    <row r="876" spans="2:7" x14ac:dyDescent="0.25">
      <c r="B876" s="38"/>
      <c r="C876" s="14"/>
      <c r="D876" s="14"/>
      <c r="E876" s="14"/>
      <c r="F876" s="14"/>
      <c r="G876" s="16"/>
    </row>
    <row r="877" spans="2:7" x14ac:dyDescent="0.25">
      <c r="B877" s="38"/>
      <c r="C877" s="14"/>
      <c r="D877" s="14"/>
      <c r="E877" s="14"/>
      <c r="F877" s="14"/>
      <c r="G877" s="16"/>
    </row>
    <row r="878" spans="2:7" x14ac:dyDescent="0.25">
      <c r="B878" s="38"/>
      <c r="C878" s="14"/>
      <c r="D878" s="14"/>
      <c r="E878" s="14"/>
      <c r="F878" s="14"/>
      <c r="G878" s="16"/>
    </row>
    <row r="879" spans="2:7" x14ac:dyDescent="0.25">
      <c r="B879" s="38"/>
      <c r="C879" s="14"/>
      <c r="D879" s="14"/>
      <c r="E879" s="14"/>
      <c r="F879" s="14"/>
      <c r="G879" s="16"/>
    </row>
    <row r="880" spans="2:7" x14ac:dyDescent="0.25">
      <c r="B880" s="38"/>
      <c r="C880" s="14"/>
      <c r="D880" s="14"/>
      <c r="E880" s="14"/>
      <c r="F880" s="14"/>
      <c r="G880" s="16"/>
    </row>
    <row r="881" spans="2:7" x14ac:dyDescent="0.25">
      <c r="B881" s="38"/>
      <c r="C881" s="14"/>
      <c r="D881" s="14"/>
      <c r="E881" s="14"/>
      <c r="F881" s="14"/>
      <c r="G881" s="16"/>
    </row>
    <row r="882" spans="2:7" x14ac:dyDescent="0.25">
      <c r="B882" s="38"/>
      <c r="C882" s="14"/>
      <c r="D882" s="14"/>
      <c r="E882" s="14"/>
      <c r="F882" s="14"/>
      <c r="G882" s="16"/>
    </row>
    <row r="883" spans="2:7" x14ac:dyDescent="0.25">
      <c r="B883" s="38"/>
      <c r="C883" s="14"/>
      <c r="D883" s="14"/>
      <c r="E883" s="14"/>
      <c r="F883" s="14"/>
      <c r="G883" s="16"/>
    </row>
    <row r="884" spans="2:7" x14ac:dyDescent="0.25">
      <c r="B884" s="38"/>
      <c r="C884" s="14"/>
      <c r="D884" s="14"/>
      <c r="E884" s="14"/>
      <c r="F884" s="14"/>
      <c r="G884" s="16"/>
    </row>
    <row r="885" spans="2:7" x14ac:dyDescent="0.25">
      <c r="B885" s="38"/>
      <c r="C885" s="14"/>
      <c r="D885" s="14"/>
      <c r="E885" s="14"/>
      <c r="F885" s="14"/>
      <c r="G885" s="16"/>
    </row>
    <row r="886" spans="2:7" x14ac:dyDescent="0.25">
      <c r="B886" s="38"/>
      <c r="C886" s="14"/>
      <c r="D886" s="14"/>
      <c r="E886" s="14"/>
      <c r="F886" s="14"/>
      <c r="G886" s="16"/>
    </row>
    <row r="887" spans="2:7" x14ac:dyDescent="0.25">
      <c r="B887" s="38"/>
      <c r="C887" s="14"/>
      <c r="D887" s="14"/>
      <c r="E887" s="14"/>
      <c r="F887" s="14"/>
      <c r="G887" s="16"/>
    </row>
    <row r="888" spans="2:7" x14ac:dyDescent="0.25">
      <c r="B888" s="38"/>
      <c r="C888" s="14"/>
      <c r="D888" s="14"/>
      <c r="E888" s="14"/>
      <c r="F888" s="14"/>
      <c r="G888" s="16"/>
    </row>
    <row r="889" spans="2:7" x14ac:dyDescent="0.25">
      <c r="B889" s="38"/>
      <c r="C889" s="14"/>
      <c r="D889" s="14"/>
      <c r="E889" s="14"/>
      <c r="F889" s="14"/>
      <c r="G889" s="16"/>
    </row>
    <row r="890" spans="2:7" x14ac:dyDescent="0.25">
      <c r="B890" s="38"/>
      <c r="C890" s="14"/>
      <c r="D890" s="14"/>
      <c r="E890" s="14"/>
      <c r="F890" s="14"/>
      <c r="G890" s="16"/>
    </row>
    <row r="891" spans="2:7" x14ac:dyDescent="0.25">
      <c r="B891" s="38"/>
      <c r="C891" s="14"/>
      <c r="D891" s="14"/>
      <c r="E891" s="14"/>
      <c r="F891" s="14"/>
      <c r="G891" s="16"/>
    </row>
    <row r="892" spans="2:7" x14ac:dyDescent="0.25">
      <c r="B892" s="38"/>
      <c r="C892" s="14"/>
      <c r="D892" s="14"/>
      <c r="E892" s="14"/>
      <c r="F892" s="14"/>
      <c r="G892" s="16"/>
    </row>
    <row r="893" spans="2:7" x14ac:dyDescent="0.25">
      <c r="B893" s="38"/>
      <c r="C893" s="14"/>
      <c r="D893" s="14"/>
      <c r="E893" s="14"/>
      <c r="F893" s="14"/>
      <c r="G893" s="16"/>
    </row>
    <row r="894" spans="2:7" x14ac:dyDescent="0.25">
      <c r="B894" s="38"/>
      <c r="C894" s="14"/>
      <c r="D894" s="14"/>
      <c r="E894" s="14"/>
      <c r="F894" s="14"/>
      <c r="G894" s="16"/>
    </row>
    <row r="895" spans="2:7" x14ac:dyDescent="0.25">
      <c r="B895" s="38"/>
      <c r="C895" s="14"/>
      <c r="D895" s="14"/>
      <c r="E895" s="14"/>
      <c r="F895" s="14"/>
      <c r="G895" s="16"/>
    </row>
    <row r="896" spans="2:7" x14ac:dyDescent="0.25">
      <c r="B896" s="38"/>
      <c r="C896" s="14"/>
      <c r="D896" s="14"/>
      <c r="E896" s="14"/>
      <c r="F896" s="14"/>
      <c r="G896" s="16"/>
    </row>
    <row r="897" spans="2:7" x14ac:dyDescent="0.25">
      <c r="B897" s="38"/>
      <c r="C897" s="14"/>
      <c r="D897" s="14"/>
      <c r="E897" s="14"/>
      <c r="F897" s="14"/>
      <c r="G897" s="16"/>
    </row>
    <row r="898" spans="2:7" x14ac:dyDescent="0.25">
      <c r="B898" s="38"/>
      <c r="C898" s="14"/>
      <c r="D898" s="14"/>
      <c r="E898" s="14"/>
      <c r="F898" s="14"/>
      <c r="G898" s="16"/>
    </row>
    <row r="899" spans="2:7" x14ac:dyDescent="0.25">
      <c r="B899" s="38"/>
      <c r="C899" s="14"/>
      <c r="D899" s="14"/>
      <c r="E899" s="14"/>
      <c r="F899" s="14"/>
      <c r="G899" s="16"/>
    </row>
    <row r="900" spans="2:7" x14ac:dyDescent="0.25">
      <c r="B900" s="38"/>
      <c r="C900" s="14"/>
      <c r="D900" s="14"/>
      <c r="E900" s="14"/>
      <c r="F900" s="14"/>
      <c r="G900" s="16"/>
    </row>
    <row r="901" spans="2:7" x14ac:dyDescent="0.25">
      <c r="B901" s="38"/>
      <c r="C901" s="14"/>
      <c r="D901" s="14"/>
      <c r="E901" s="14"/>
      <c r="F901" s="14"/>
      <c r="G901" s="16"/>
    </row>
    <row r="902" spans="2:7" x14ac:dyDescent="0.25">
      <c r="B902" s="38"/>
      <c r="C902" s="14"/>
      <c r="D902" s="14"/>
      <c r="E902" s="14"/>
      <c r="F902" s="14"/>
      <c r="G902" s="16"/>
    </row>
    <row r="903" spans="2:7" x14ac:dyDescent="0.25">
      <c r="B903" s="38"/>
      <c r="C903" s="14"/>
      <c r="D903" s="14"/>
      <c r="E903" s="14"/>
      <c r="F903" s="14"/>
      <c r="G903" s="16"/>
    </row>
    <row r="904" spans="2:7" x14ac:dyDescent="0.25">
      <c r="B904" s="38"/>
      <c r="C904" s="14"/>
      <c r="D904" s="14"/>
      <c r="E904" s="14"/>
      <c r="F904" s="14"/>
      <c r="G904" s="16"/>
    </row>
    <row r="905" spans="2:7" x14ac:dyDescent="0.25">
      <c r="B905" s="38"/>
      <c r="C905" s="14"/>
      <c r="D905" s="14"/>
      <c r="E905" s="14"/>
      <c r="F905" s="14"/>
      <c r="G905" s="16"/>
    </row>
    <row r="906" spans="2:7" x14ac:dyDescent="0.25">
      <c r="B906" s="38"/>
      <c r="C906" s="14"/>
      <c r="D906" s="14"/>
      <c r="E906" s="14"/>
      <c r="F906" s="14"/>
      <c r="G906" s="16"/>
    </row>
    <row r="907" spans="2:7" x14ac:dyDescent="0.25">
      <c r="B907" s="38"/>
      <c r="C907" s="14"/>
      <c r="D907" s="14"/>
      <c r="E907" s="14"/>
      <c r="F907" s="14"/>
      <c r="G907" s="16"/>
    </row>
    <row r="908" spans="2:7" x14ac:dyDescent="0.25">
      <c r="B908" s="38"/>
      <c r="C908" s="14"/>
      <c r="D908" s="14"/>
      <c r="E908" s="14"/>
      <c r="F908" s="14"/>
      <c r="G908" s="16"/>
    </row>
    <row r="909" spans="2:7" x14ac:dyDescent="0.25">
      <c r="B909" s="38"/>
      <c r="C909" s="14"/>
      <c r="D909" s="14"/>
      <c r="E909" s="14"/>
      <c r="F909" s="14"/>
      <c r="G909" s="16"/>
    </row>
    <row r="910" spans="2:7" x14ac:dyDescent="0.25">
      <c r="B910" s="38"/>
      <c r="C910" s="14"/>
      <c r="D910" s="14"/>
      <c r="E910" s="14"/>
      <c r="F910" s="14"/>
      <c r="G910" s="16"/>
    </row>
    <row r="911" spans="2:7" x14ac:dyDescent="0.25">
      <c r="B911" s="38"/>
      <c r="C911" s="14"/>
      <c r="D911" s="14"/>
      <c r="E911" s="14"/>
      <c r="F911" s="14"/>
      <c r="G911" s="16"/>
    </row>
    <row r="912" spans="2:7" x14ac:dyDescent="0.25">
      <c r="B912" s="38"/>
      <c r="C912" s="14"/>
      <c r="D912" s="14"/>
      <c r="E912" s="14"/>
      <c r="F912" s="14"/>
      <c r="G912" s="16"/>
    </row>
    <row r="913" spans="2:7" x14ac:dyDescent="0.25">
      <c r="B913" s="38"/>
      <c r="C913" s="14"/>
      <c r="D913" s="14"/>
      <c r="E913" s="14"/>
      <c r="F913" s="14"/>
      <c r="G913" s="16"/>
    </row>
    <row r="914" spans="2:7" x14ac:dyDescent="0.25">
      <c r="B914" s="38"/>
      <c r="C914" s="14"/>
      <c r="D914" s="14"/>
      <c r="E914" s="14"/>
      <c r="F914" s="14"/>
      <c r="G914" s="16"/>
    </row>
    <row r="915" spans="2:7" x14ac:dyDescent="0.25">
      <c r="B915" s="38"/>
      <c r="C915" s="14"/>
      <c r="D915" s="14"/>
      <c r="E915" s="14"/>
      <c r="F915" s="14"/>
      <c r="G915" s="16"/>
    </row>
    <row r="916" spans="2:7" x14ac:dyDescent="0.25">
      <c r="B916" s="38"/>
      <c r="C916" s="14"/>
      <c r="D916" s="14"/>
      <c r="E916" s="14"/>
      <c r="F916" s="14"/>
      <c r="G916" s="16"/>
    </row>
    <row r="917" spans="2:7" x14ac:dyDescent="0.25">
      <c r="B917" s="38"/>
      <c r="C917" s="14"/>
      <c r="D917" s="14"/>
      <c r="E917" s="14"/>
      <c r="F917" s="14"/>
      <c r="G917" s="16"/>
    </row>
    <row r="918" spans="2:7" x14ac:dyDescent="0.25">
      <c r="B918" s="38"/>
      <c r="C918" s="14"/>
      <c r="D918" s="14"/>
      <c r="E918" s="14"/>
      <c r="F918" s="14"/>
      <c r="G918" s="16"/>
    </row>
    <row r="919" spans="2:7" x14ac:dyDescent="0.25">
      <c r="B919" s="38"/>
      <c r="C919" s="14"/>
      <c r="D919" s="14"/>
      <c r="E919" s="14"/>
      <c r="F919" s="14"/>
      <c r="G919" s="16"/>
    </row>
    <row r="920" spans="2:7" x14ac:dyDescent="0.25">
      <c r="B920" s="38"/>
      <c r="C920" s="14"/>
      <c r="D920" s="14"/>
      <c r="E920" s="14"/>
      <c r="F920" s="14"/>
      <c r="G920" s="16"/>
    </row>
    <row r="921" spans="2:7" x14ac:dyDescent="0.25">
      <c r="B921" s="38"/>
      <c r="C921" s="14"/>
      <c r="D921" s="14"/>
      <c r="E921" s="14"/>
      <c r="F921" s="14"/>
      <c r="G921" s="16"/>
    </row>
    <row r="922" spans="2:7" x14ac:dyDescent="0.25">
      <c r="B922" s="38"/>
      <c r="C922" s="14"/>
      <c r="D922" s="14"/>
      <c r="E922" s="14"/>
      <c r="F922" s="14"/>
      <c r="G922" s="16"/>
    </row>
    <row r="923" spans="2:7" x14ac:dyDescent="0.25">
      <c r="B923" s="38"/>
      <c r="C923" s="14"/>
      <c r="D923" s="14"/>
      <c r="E923" s="14"/>
      <c r="F923" s="14"/>
      <c r="G923" s="16"/>
    </row>
    <row r="924" spans="2:7" x14ac:dyDescent="0.25">
      <c r="B924" s="38"/>
      <c r="C924" s="14"/>
      <c r="D924" s="14"/>
      <c r="E924" s="14"/>
      <c r="F924" s="14"/>
      <c r="G924" s="16"/>
    </row>
    <row r="925" spans="2:7" x14ac:dyDescent="0.25">
      <c r="B925" s="38"/>
      <c r="C925" s="14"/>
      <c r="D925" s="14"/>
      <c r="E925" s="14"/>
      <c r="F925" s="14"/>
      <c r="G925" s="16"/>
    </row>
    <row r="926" spans="2:7" x14ac:dyDescent="0.25">
      <c r="B926" s="38"/>
      <c r="C926" s="14"/>
      <c r="D926" s="14"/>
      <c r="E926" s="14"/>
      <c r="F926" s="14"/>
      <c r="G926" s="16"/>
    </row>
    <row r="927" spans="2:7" x14ac:dyDescent="0.25">
      <c r="B927" s="38"/>
      <c r="C927" s="14"/>
      <c r="D927" s="14"/>
      <c r="E927" s="14"/>
      <c r="F927" s="14"/>
      <c r="G927" s="16"/>
    </row>
    <row r="928" spans="2:7" x14ac:dyDescent="0.25">
      <c r="B928" s="38"/>
      <c r="C928" s="14"/>
      <c r="D928" s="14"/>
      <c r="E928" s="14"/>
      <c r="F928" s="14"/>
      <c r="G928" s="16"/>
    </row>
    <row r="929" spans="2:7" x14ac:dyDescent="0.25">
      <c r="B929" s="38"/>
      <c r="C929" s="14"/>
      <c r="D929" s="14"/>
      <c r="E929" s="14"/>
      <c r="F929" s="14"/>
      <c r="G929" s="16"/>
    </row>
    <row r="930" spans="2:7" x14ac:dyDescent="0.25">
      <c r="B930" s="38"/>
      <c r="C930" s="14"/>
      <c r="D930" s="14"/>
      <c r="E930" s="14"/>
      <c r="F930" s="14"/>
      <c r="G930" s="16"/>
    </row>
    <row r="931" spans="2:7" x14ac:dyDescent="0.25">
      <c r="B931" s="38"/>
      <c r="C931" s="14"/>
      <c r="D931" s="14"/>
      <c r="E931" s="14"/>
      <c r="F931" s="14"/>
      <c r="G931" s="16"/>
    </row>
    <row r="932" spans="2:7" x14ac:dyDescent="0.25">
      <c r="B932" s="38"/>
      <c r="C932" s="14"/>
      <c r="D932" s="14"/>
      <c r="E932" s="14"/>
      <c r="F932" s="14"/>
      <c r="G932" s="16"/>
    </row>
    <row r="933" spans="2:7" x14ac:dyDescent="0.25">
      <c r="B933" s="38"/>
      <c r="C933" s="14"/>
      <c r="D933" s="14"/>
      <c r="E933" s="14"/>
      <c r="F933" s="14"/>
      <c r="G933" s="16"/>
    </row>
    <row r="934" spans="2:7" x14ac:dyDescent="0.25">
      <c r="B934" s="38"/>
      <c r="C934" s="14"/>
      <c r="D934" s="14"/>
      <c r="E934" s="14"/>
      <c r="F934" s="14"/>
      <c r="G934" s="16"/>
    </row>
    <row r="935" spans="2:7" x14ac:dyDescent="0.25">
      <c r="B935" s="38"/>
      <c r="C935" s="14"/>
      <c r="D935" s="14"/>
      <c r="E935" s="14"/>
      <c r="F935" s="14"/>
      <c r="G935" s="16"/>
    </row>
    <row r="936" spans="2:7" x14ac:dyDescent="0.25">
      <c r="B936" s="38"/>
      <c r="C936" s="14"/>
      <c r="D936" s="14"/>
      <c r="E936" s="14"/>
      <c r="F936" s="14"/>
      <c r="G936" s="16"/>
    </row>
    <row r="937" spans="2:7" x14ac:dyDescent="0.25">
      <c r="B937" s="38"/>
      <c r="C937" s="14"/>
      <c r="D937" s="14"/>
      <c r="E937" s="14"/>
      <c r="F937" s="14"/>
      <c r="G937" s="16"/>
    </row>
    <row r="938" spans="2:7" x14ac:dyDescent="0.25">
      <c r="B938" s="38"/>
      <c r="C938" s="14"/>
      <c r="D938" s="14"/>
      <c r="E938" s="14"/>
      <c r="F938" s="14"/>
      <c r="G938" s="16"/>
    </row>
    <row r="939" spans="2:7" x14ac:dyDescent="0.25">
      <c r="B939" s="38"/>
      <c r="C939" s="14"/>
      <c r="D939" s="14"/>
      <c r="E939" s="14"/>
      <c r="F939" s="14"/>
      <c r="G939" s="16"/>
    </row>
    <row r="940" spans="2:7" x14ac:dyDescent="0.25">
      <c r="B940" s="38"/>
      <c r="C940" s="14"/>
      <c r="D940" s="14"/>
      <c r="E940" s="14"/>
      <c r="F940" s="14"/>
      <c r="G940" s="16"/>
    </row>
    <row r="941" spans="2:7" x14ac:dyDescent="0.25">
      <c r="B941" s="38"/>
      <c r="C941" s="14"/>
      <c r="D941" s="14"/>
      <c r="E941" s="14"/>
      <c r="F941" s="14"/>
      <c r="G941" s="16"/>
    </row>
    <row r="942" spans="2:7" x14ac:dyDescent="0.25">
      <c r="B942" s="38"/>
      <c r="C942" s="14"/>
      <c r="D942" s="14"/>
      <c r="E942" s="14"/>
      <c r="F942" s="14"/>
      <c r="G942" s="16"/>
    </row>
    <row r="943" spans="2:7" x14ac:dyDescent="0.25">
      <c r="B943" s="38"/>
      <c r="C943" s="14"/>
      <c r="D943" s="14"/>
      <c r="E943" s="14"/>
      <c r="F943" s="14"/>
      <c r="G943" s="16"/>
    </row>
    <row r="944" spans="2:7" x14ac:dyDescent="0.25">
      <c r="B944" s="38"/>
      <c r="C944" s="14"/>
      <c r="D944" s="14"/>
      <c r="E944" s="14"/>
      <c r="F944" s="14"/>
      <c r="G944" s="16"/>
    </row>
    <row r="945" spans="2:7" x14ac:dyDescent="0.25">
      <c r="B945" s="38"/>
      <c r="C945" s="14"/>
      <c r="D945" s="14"/>
      <c r="E945" s="14"/>
      <c r="F945" s="14"/>
      <c r="G945" s="16"/>
    </row>
    <row r="946" spans="2:7" x14ac:dyDescent="0.25">
      <c r="B946" s="38"/>
      <c r="C946" s="14"/>
      <c r="D946" s="14"/>
      <c r="E946" s="14"/>
      <c r="F946" s="14"/>
      <c r="G946" s="16"/>
    </row>
    <row r="947" spans="2:7" x14ac:dyDescent="0.25">
      <c r="B947" s="38"/>
      <c r="C947" s="14"/>
      <c r="D947" s="14"/>
      <c r="E947" s="14"/>
      <c r="F947" s="14"/>
      <c r="G947" s="16"/>
    </row>
    <row r="948" spans="2:7" x14ac:dyDescent="0.25">
      <c r="B948" s="38"/>
      <c r="C948" s="14"/>
      <c r="D948" s="14"/>
      <c r="E948" s="14"/>
      <c r="F948" s="14"/>
      <c r="G948" s="16"/>
    </row>
    <row r="949" spans="2:7" x14ac:dyDescent="0.25">
      <c r="B949" s="38"/>
      <c r="C949" s="14"/>
      <c r="D949" s="14"/>
      <c r="E949" s="14"/>
      <c r="F949" s="14"/>
      <c r="G949" s="16"/>
    </row>
    <row r="950" spans="2:7" x14ac:dyDescent="0.25">
      <c r="B950" s="38"/>
      <c r="C950" s="14"/>
      <c r="D950" s="14"/>
      <c r="E950" s="14"/>
      <c r="F950" s="14"/>
      <c r="G950" s="16"/>
    </row>
    <row r="951" spans="2:7" x14ac:dyDescent="0.25">
      <c r="B951" s="38"/>
      <c r="C951" s="14"/>
      <c r="D951" s="14"/>
      <c r="E951" s="14"/>
      <c r="F951" s="14"/>
      <c r="G951" s="16"/>
    </row>
    <row r="952" spans="2:7" x14ac:dyDescent="0.25">
      <c r="B952" s="38"/>
      <c r="C952" s="14"/>
      <c r="D952" s="14"/>
      <c r="E952" s="14"/>
      <c r="F952" s="14"/>
      <c r="G952" s="16"/>
    </row>
    <row r="953" spans="2:7" x14ac:dyDescent="0.25">
      <c r="B953" s="38"/>
      <c r="C953" s="14"/>
      <c r="D953" s="14"/>
      <c r="E953" s="14"/>
      <c r="F953" s="14"/>
      <c r="G953" s="16"/>
    </row>
    <row r="954" spans="2:7" x14ac:dyDescent="0.25">
      <c r="B954" s="38"/>
      <c r="C954" s="14"/>
      <c r="D954" s="14"/>
      <c r="E954" s="14"/>
      <c r="F954" s="14"/>
      <c r="G954" s="16"/>
    </row>
    <row r="955" spans="2:7" x14ac:dyDescent="0.25">
      <c r="B955" s="38"/>
      <c r="C955" s="14"/>
      <c r="D955" s="14"/>
      <c r="E955" s="14"/>
      <c r="F955" s="14"/>
      <c r="G955" s="16"/>
    </row>
    <row r="956" spans="2:7" x14ac:dyDescent="0.25">
      <c r="B956" s="38"/>
      <c r="C956" s="14"/>
      <c r="D956" s="14"/>
      <c r="E956" s="14"/>
      <c r="F956" s="14"/>
      <c r="G956" s="16"/>
    </row>
    <row r="957" spans="2:7" x14ac:dyDescent="0.25">
      <c r="B957" s="38"/>
      <c r="C957" s="14"/>
      <c r="D957" s="14"/>
      <c r="E957" s="14"/>
      <c r="F957" s="14"/>
      <c r="G957" s="16"/>
    </row>
    <row r="958" spans="2:7" x14ac:dyDescent="0.25">
      <c r="B958" s="38"/>
      <c r="C958" s="14"/>
      <c r="D958" s="14"/>
      <c r="E958" s="14"/>
      <c r="F958" s="14"/>
      <c r="G958" s="16"/>
    </row>
    <row r="959" spans="2:7" x14ac:dyDescent="0.25">
      <c r="B959" s="38"/>
      <c r="C959" s="14"/>
      <c r="D959" s="14"/>
      <c r="E959" s="14"/>
      <c r="F959" s="14"/>
      <c r="G959" s="16"/>
    </row>
    <row r="960" spans="2:7" x14ac:dyDescent="0.25">
      <c r="B960" s="38"/>
      <c r="C960" s="14"/>
      <c r="D960" s="14"/>
      <c r="E960" s="14"/>
      <c r="F960" s="14"/>
      <c r="G960" s="16"/>
    </row>
    <row r="961" spans="2:7" x14ac:dyDescent="0.25">
      <c r="B961" s="38"/>
      <c r="C961" s="14"/>
      <c r="D961" s="14"/>
      <c r="E961" s="14"/>
      <c r="F961" s="14"/>
      <c r="G961" s="16"/>
    </row>
    <row r="962" spans="2:7" x14ac:dyDescent="0.25">
      <c r="B962" s="38"/>
      <c r="C962" s="14"/>
      <c r="D962" s="14"/>
      <c r="E962" s="14"/>
      <c r="F962" s="14"/>
      <c r="G962" s="16"/>
    </row>
    <row r="963" spans="2:7" x14ac:dyDescent="0.25">
      <c r="B963" s="38"/>
      <c r="C963" s="14"/>
      <c r="D963" s="14"/>
      <c r="E963" s="14"/>
      <c r="F963" s="14"/>
      <c r="G963" s="16"/>
    </row>
    <row r="964" spans="2:7" x14ac:dyDescent="0.25">
      <c r="B964" s="38"/>
      <c r="C964" s="14"/>
      <c r="D964" s="14"/>
      <c r="E964" s="14"/>
      <c r="F964" s="14"/>
      <c r="G964" s="16"/>
    </row>
    <row r="965" spans="2:7" x14ac:dyDescent="0.25">
      <c r="B965" s="38"/>
      <c r="C965" s="14"/>
      <c r="D965" s="14"/>
      <c r="E965" s="14"/>
      <c r="F965" s="14"/>
      <c r="G965" s="16"/>
    </row>
    <row r="966" spans="2:7" x14ac:dyDescent="0.25">
      <c r="B966" s="38"/>
      <c r="C966" s="14"/>
      <c r="D966" s="14"/>
      <c r="E966" s="14"/>
      <c r="F966" s="14"/>
      <c r="G966" s="16"/>
    </row>
    <row r="967" spans="2:7" x14ac:dyDescent="0.25">
      <c r="B967" s="38"/>
      <c r="C967" s="14"/>
      <c r="D967" s="14"/>
      <c r="E967" s="14"/>
      <c r="F967" s="14"/>
      <c r="G967" s="16"/>
    </row>
    <row r="968" spans="2:7" x14ac:dyDescent="0.25">
      <c r="B968" s="38"/>
      <c r="C968" s="14"/>
      <c r="D968" s="14"/>
      <c r="E968" s="14"/>
      <c r="F968" s="14"/>
      <c r="G968" s="16"/>
    </row>
    <row r="969" spans="2:7" x14ac:dyDescent="0.25">
      <c r="B969" s="38"/>
      <c r="C969" s="14"/>
      <c r="D969" s="14"/>
      <c r="E969" s="14"/>
      <c r="F969" s="14"/>
      <c r="G969" s="16"/>
    </row>
    <row r="970" spans="2:7" x14ac:dyDescent="0.25">
      <c r="B970" s="38"/>
      <c r="C970" s="14"/>
      <c r="D970" s="14"/>
      <c r="E970" s="14"/>
      <c r="F970" s="14"/>
      <c r="G970" s="16"/>
    </row>
    <row r="971" spans="2:7" x14ac:dyDescent="0.25">
      <c r="B971" s="38"/>
      <c r="C971" s="14"/>
      <c r="D971" s="14"/>
      <c r="E971" s="14"/>
      <c r="F971" s="14"/>
      <c r="G971" s="16"/>
    </row>
    <row r="972" spans="2:7" x14ac:dyDescent="0.25">
      <c r="B972" s="38"/>
      <c r="C972" s="14"/>
      <c r="D972" s="14"/>
      <c r="E972" s="14"/>
      <c r="F972" s="14"/>
      <c r="G972" s="16"/>
    </row>
    <row r="973" spans="2:7" x14ac:dyDescent="0.25">
      <c r="B973" s="38"/>
      <c r="C973" s="14"/>
      <c r="D973" s="14"/>
      <c r="E973" s="14"/>
      <c r="F973" s="14"/>
      <c r="G973" s="16"/>
    </row>
    <row r="974" spans="2:7" x14ac:dyDescent="0.25">
      <c r="B974" s="38"/>
      <c r="C974" s="14"/>
      <c r="D974" s="14"/>
      <c r="E974" s="14"/>
      <c r="F974" s="14"/>
      <c r="G974" s="16"/>
    </row>
    <row r="975" spans="2:7" x14ac:dyDescent="0.25">
      <c r="B975" s="38"/>
      <c r="C975" s="14"/>
      <c r="D975" s="14"/>
      <c r="E975" s="14"/>
      <c r="F975" s="14"/>
      <c r="G975" s="16"/>
    </row>
    <row r="976" spans="2:7" x14ac:dyDescent="0.25">
      <c r="B976" s="38"/>
      <c r="C976" s="14"/>
      <c r="D976" s="14"/>
      <c r="E976" s="14"/>
      <c r="F976" s="14"/>
      <c r="G976" s="16"/>
    </row>
    <row r="977" spans="2:7" x14ac:dyDescent="0.25">
      <c r="B977" s="38"/>
      <c r="C977" s="14"/>
      <c r="D977" s="14"/>
      <c r="E977" s="14"/>
      <c r="F977" s="14"/>
      <c r="G977" s="16"/>
    </row>
    <row r="978" spans="2:7" x14ac:dyDescent="0.25">
      <c r="B978" s="38"/>
      <c r="C978" s="14"/>
      <c r="D978" s="14"/>
      <c r="E978" s="14"/>
      <c r="F978" s="14"/>
      <c r="G978" s="16"/>
    </row>
    <row r="979" spans="2:7" x14ac:dyDescent="0.25">
      <c r="B979" s="38"/>
      <c r="C979" s="14"/>
      <c r="D979" s="14"/>
      <c r="E979" s="14"/>
      <c r="F979" s="14"/>
      <c r="G979" s="16"/>
    </row>
    <row r="980" spans="2:7" x14ac:dyDescent="0.25">
      <c r="B980" s="38"/>
      <c r="C980" s="14"/>
      <c r="D980" s="14"/>
      <c r="E980" s="14"/>
      <c r="F980" s="14"/>
      <c r="G980" s="16"/>
    </row>
    <row r="981" spans="2:7" x14ac:dyDescent="0.25">
      <c r="B981" s="38"/>
      <c r="C981" s="14"/>
      <c r="D981" s="14"/>
      <c r="E981" s="14"/>
      <c r="F981" s="14"/>
      <c r="G981" s="16"/>
    </row>
    <row r="982" spans="2:7" x14ac:dyDescent="0.25">
      <c r="B982" s="38"/>
      <c r="C982" s="14"/>
      <c r="D982" s="14"/>
      <c r="E982" s="14"/>
      <c r="F982" s="14"/>
      <c r="G982" s="16"/>
    </row>
    <row r="983" spans="2:7" x14ac:dyDescent="0.25">
      <c r="B983" s="38"/>
      <c r="C983" s="14"/>
      <c r="D983" s="14"/>
      <c r="E983" s="14"/>
      <c r="F983" s="14"/>
      <c r="G983" s="16"/>
    </row>
    <row r="984" spans="2:7" x14ac:dyDescent="0.25">
      <c r="B984" s="38"/>
      <c r="C984" s="14"/>
      <c r="D984" s="14"/>
      <c r="E984" s="14"/>
      <c r="F984" s="14"/>
      <c r="G984" s="16"/>
    </row>
    <row r="985" spans="2:7" x14ac:dyDescent="0.25">
      <c r="B985" s="38"/>
      <c r="C985" s="14"/>
      <c r="D985" s="14"/>
      <c r="E985" s="14"/>
      <c r="F985" s="14"/>
      <c r="G985" s="16"/>
    </row>
    <row r="986" spans="2:7" x14ac:dyDescent="0.25">
      <c r="B986" s="38"/>
      <c r="C986" s="14"/>
      <c r="D986" s="14"/>
      <c r="E986" s="14"/>
      <c r="F986" s="14"/>
      <c r="G986" s="16"/>
    </row>
    <row r="987" spans="2:7" x14ac:dyDescent="0.25">
      <c r="B987" s="38"/>
      <c r="C987" s="14"/>
      <c r="D987" s="14"/>
      <c r="E987" s="14"/>
      <c r="F987" s="14"/>
      <c r="G987" s="16"/>
    </row>
    <row r="988" spans="2:7" x14ac:dyDescent="0.25">
      <c r="B988" s="38"/>
      <c r="C988" s="14"/>
      <c r="D988" s="14"/>
      <c r="E988" s="14"/>
      <c r="F988" s="14"/>
      <c r="G988" s="16"/>
    </row>
    <row r="989" spans="2:7" x14ac:dyDescent="0.25">
      <c r="B989" s="38"/>
      <c r="C989" s="14"/>
      <c r="D989" s="14"/>
      <c r="E989" s="14"/>
      <c r="F989" s="14"/>
      <c r="G989" s="16"/>
    </row>
    <row r="990" spans="2:7" x14ac:dyDescent="0.25">
      <c r="B990" s="38"/>
      <c r="C990" s="14"/>
      <c r="D990" s="14"/>
      <c r="E990" s="14"/>
      <c r="F990" s="14"/>
      <c r="G990" s="16"/>
    </row>
    <row r="991" spans="2:7" x14ac:dyDescent="0.25">
      <c r="B991" s="38"/>
      <c r="C991" s="14"/>
      <c r="D991" s="14"/>
      <c r="E991" s="14"/>
      <c r="F991" s="14"/>
      <c r="G991" s="16"/>
    </row>
    <row r="992" spans="2:7" x14ac:dyDescent="0.25">
      <c r="B992" s="38"/>
      <c r="C992" s="14"/>
      <c r="D992" s="14"/>
      <c r="E992" s="14"/>
      <c r="F992" s="14"/>
      <c r="G992" s="16"/>
    </row>
    <row r="993" spans="2:7" x14ac:dyDescent="0.25">
      <c r="B993" s="38"/>
      <c r="C993" s="14"/>
      <c r="D993" s="14"/>
      <c r="E993" s="14"/>
      <c r="F993" s="14"/>
      <c r="G993" s="16"/>
    </row>
    <row r="994" spans="2:7" x14ac:dyDescent="0.25">
      <c r="B994" s="38"/>
      <c r="C994" s="14"/>
      <c r="D994" s="14"/>
      <c r="E994" s="14"/>
      <c r="F994" s="14"/>
      <c r="G994" s="16"/>
    </row>
    <row r="995" spans="2:7" x14ac:dyDescent="0.25">
      <c r="B995" s="38"/>
      <c r="C995" s="14"/>
      <c r="D995" s="14"/>
      <c r="E995" s="14"/>
      <c r="F995" s="14"/>
      <c r="G995" s="16"/>
    </row>
    <row r="996" spans="2:7" x14ac:dyDescent="0.25">
      <c r="B996" s="38"/>
      <c r="C996" s="14"/>
      <c r="D996" s="14"/>
      <c r="E996" s="14"/>
      <c r="F996" s="14"/>
      <c r="G996" s="16"/>
    </row>
    <row r="997" spans="2:7" x14ac:dyDescent="0.25">
      <c r="B997" s="38"/>
      <c r="C997" s="14"/>
      <c r="D997" s="14"/>
      <c r="E997" s="14"/>
      <c r="F997" s="14"/>
      <c r="G997" s="16"/>
    </row>
    <row r="998" spans="2:7" x14ac:dyDescent="0.25">
      <c r="B998" s="38"/>
      <c r="C998" s="14"/>
      <c r="D998" s="14"/>
      <c r="E998" s="14"/>
      <c r="F998" s="14"/>
      <c r="G998" s="16"/>
    </row>
    <row r="999" spans="2:7" x14ac:dyDescent="0.25">
      <c r="B999" s="38"/>
      <c r="C999" s="14"/>
      <c r="D999" s="14"/>
      <c r="E999" s="14"/>
      <c r="F999" s="14"/>
      <c r="G999" s="16"/>
    </row>
    <row r="1000" spans="2:7" x14ac:dyDescent="0.25">
      <c r="B1000" s="38"/>
      <c r="C1000" s="14"/>
      <c r="D1000" s="14"/>
      <c r="E1000" s="14"/>
      <c r="F1000" s="14"/>
      <c r="G1000" s="16"/>
    </row>
    <row r="1001" spans="2:7" x14ac:dyDescent="0.25">
      <c r="B1001" s="38"/>
      <c r="C1001" s="14"/>
      <c r="D1001" s="14"/>
      <c r="E1001" s="14"/>
      <c r="F1001" s="14"/>
      <c r="G1001" s="16"/>
    </row>
    <row r="1002" spans="2:7" x14ac:dyDescent="0.25">
      <c r="B1002" s="38"/>
      <c r="C1002" s="14"/>
      <c r="D1002" s="14"/>
      <c r="E1002" s="14"/>
      <c r="F1002" s="14"/>
      <c r="G1002" s="16"/>
    </row>
    <row r="1003" spans="2:7" x14ac:dyDescent="0.25">
      <c r="B1003" s="38"/>
      <c r="C1003" s="14"/>
      <c r="D1003" s="14"/>
      <c r="E1003" s="14"/>
      <c r="F1003" s="14"/>
      <c r="G1003" s="16"/>
    </row>
    <row r="1004" spans="2:7" x14ac:dyDescent="0.25">
      <c r="B1004" s="38"/>
      <c r="C1004" s="14"/>
      <c r="D1004" s="14"/>
      <c r="E1004" s="14"/>
      <c r="F1004" s="14"/>
      <c r="G1004" s="16"/>
    </row>
    <row r="1005" spans="2:7" x14ac:dyDescent="0.25">
      <c r="B1005" s="38"/>
      <c r="C1005" s="14"/>
      <c r="D1005" s="14"/>
      <c r="E1005" s="14"/>
      <c r="F1005" s="14"/>
      <c r="G1005" s="16"/>
    </row>
    <row r="1006" spans="2:7" x14ac:dyDescent="0.25">
      <c r="B1006" s="38"/>
      <c r="C1006" s="14"/>
      <c r="D1006" s="14"/>
      <c r="E1006" s="14"/>
      <c r="F1006" s="14"/>
      <c r="G1006" s="16"/>
    </row>
    <row r="1007" spans="2:7" x14ac:dyDescent="0.25">
      <c r="B1007" s="38"/>
      <c r="C1007" s="14"/>
      <c r="D1007" s="14"/>
      <c r="E1007" s="14"/>
      <c r="F1007" s="14"/>
      <c r="G1007" s="16"/>
    </row>
    <row r="1008" spans="2:7" x14ac:dyDescent="0.25">
      <c r="B1008" s="38"/>
      <c r="C1008" s="14"/>
      <c r="D1008" s="14"/>
      <c r="E1008" s="14"/>
      <c r="F1008" s="14"/>
      <c r="G1008" s="16"/>
    </row>
    <row r="1009" spans="2:7" x14ac:dyDescent="0.25">
      <c r="B1009" s="38"/>
      <c r="C1009" s="14"/>
      <c r="D1009" s="14"/>
      <c r="E1009" s="14"/>
      <c r="F1009" s="14"/>
      <c r="G1009" s="16"/>
    </row>
    <row r="1010" spans="2:7" x14ac:dyDescent="0.25">
      <c r="B1010" s="38"/>
      <c r="C1010" s="14"/>
      <c r="D1010" s="14"/>
      <c r="E1010" s="14"/>
      <c r="F1010" s="14"/>
      <c r="G1010" s="16"/>
    </row>
    <row r="1011" spans="2:7" x14ac:dyDescent="0.25">
      <c r="B1011" s="38"/>
      <c r="C1011" s="14"/>
      <c r="D1011" s="14"/>
      <c r="E1011" s="14"/>
      <c r="F1011" s="14"/>
      <c r="G1011" s="16"/>
    </row>
    <row r="1012" spans="2:7" x14ac:dyDescent="0.25">
      <c r="B1012" s="38"/>
      <c r="C1012" s="14"/>
      <c r="D1012" s="14"/>
      <c r="E1012" s="14"/>
      <c r="F1012" s="14"/>
      <c r="G1012" s="16"/>
    </row>
    <row r="1013" spans="2:7" x14ac:dyDescent="0.25">
      <c r="B1013" s="38"/>
      <c r="C1013" s="14"/>
      <c r="D1013" s="14"/>
      <c r="E1013" s="14"/>
      <c r="F1013" s="14"/>
      <c r="G1013" s="16"/>
    </row>
    <row r="1014" spans="2:7" x14ac:dyDescent="0.25">
      <c r="B1014" s="38"/>
      <c r="C1014" s="14"/>
      <c r="D1014" s="14"/>
      <c r="E1014" s="14"/>
      <c r="F1014" s="14"/>
      <c r="G1014" s="16"/>
    </row>
    <row r="1015" spans="2:7" x14ac:dyDescent="0.25">
      <c r="B1015" s="38"/>
      <c r="C1015" s="14"/>
      <c r="D1015" s="14"/>
      <c r="E1015" s="14"/>
      <c r="F1015" s="14"/>
      <c r="G1015" s="16"/>
    </row>
    <row r="1016" spans="2:7" x14ac:dyDescent="0.25">
      <c r="B1016" s="38"/>
      <c r="C1016" s="14"/>
      <c r="D1016" s="14"/>
      <c r="E1016" s="14"/>
      <c r="F1016" s="14"/>
      <c r="G1016" s="16"/>
    </row>
    <row r="1017" spans="2:7" x14ac:dyDescent="0.25">
      <c r="B1017" s="38"/>
      <c r="C1017" s="14"/>
      <c r="D1017" s="14"/>
      <c r="E1017" s="14"/>
      <c r="F1017" s="14"/>
      <c r="G1017" s="16"/>
    </row>
    <row r="1018" spans="2:7" x14ac:dyDescent="0.25">
      <c r="B1018" s="38"/>
      <c r="C1018" s="14"/>
      <c r="D1018" s="14"/>
      <c r="E1018" s="14"/>
      <c r="F1018" s="14"/>
      <c r="G1018" s="16"/>
    </row>
    <row r="1019" spans="2:7" x14ac:dyDescent="0.25">
      <c r="B1019" s="38"/>
      <c r="C1019" s="14"/>
      <c r="D1019" s="14"/>
      <c r="E1019" s="14"/>
      <c r="F1019" s="14"/>
      <c r="G1019" s="16"/>
    </row>
    <row r="1020" spans="2:7" x14ac:dyDescent="0.25">
      <c r="B1020" s="38"/>
      <c r="C1020" s="14"/>
      <c r="D1020" s="14"/>
      <c r="E1020" s="14"/>
      <c r="F1020" s="14"/>
      <c r="G1020" s="16"/>
    </row>
    <row r="1021" spans="2:7" x14ac:dyDescent="0.25">
      <c r="B1021" s="38"/>
      <c r="C1021" s="14"/>
      <c r="D1021" s="14"/>
      <c r="E1021" s="14"/>
      <c r="F1021" s="14"/>
      <c r="G1021" s="16"/>
    </row>
    <row r="1022" spans="2:7" x14ac:dyDescent="0.25">
      <c r="B1022" s="38"/>
      <c r="C1022" s="14"/>
      <c r="D1022" s="14"/>
      <c r="E1022" s="14"/>
      <c r="F1022" s="14"/>
      <c r="G1022" s="16"/>
    </row>
    <row r="1023" spans="2:7" x14ac:dyDescent="0.25">
      <c r="B1023" s="38"/>
      <c r="C1023" s="14"/>
      <c r="D1023" s="14"/>
      <c r="E1023" s="14"/>
      <c r="F1023" s="14"/>
      <c r="G1023" s="16"/>
    </row>
    <row r="1024" spans="2:7" x14ac:dyDescent="0.25">
      <c r="B1024" s="38"/>
      <c r="C1024" s="14"/>
      <c r="D1024" s="14"/>
      <c r="E1024" s="14"/>
      <c r="F1024" s="14"/>
      <c r="G1024" s="16"/>
    </row>
    <row r="1025" spans="2:7" x14ac:dyDescent="0.25">
      <c r="B1025" s="38"/>
      <c r="C1025" s="14"/>
      <c r="D1025" s="14"/>
      <c r="E1025" s="14"/>
      <c r="F1025" s="14"/>
      <c r="G1025" s="16"/>
    </row>
    <row r="1026" spans="2:7" x14ac:dyDescent="0.25">
      <c r="B1026" s="38"/>
      <c r="C1026" s="14"/>
      <c r="D1026" s="14"/>
      <c r="E1026" s="14"/>
      <c r="F1026" s="14"/>
      <c r="G1026" s="16"/>
    </row>
    <row r="1027" spans="2:7" x14ac:dyDescent="0.25">
      <c r="B1027" s="38"/>
      <c r="C1027" s="14"/>
      <c r="D1027" s="14"/>
      <c r="E1027" s="14"/>
      <c r="F1027" s="14"/>
      <c r="G1027" s="16"/>
    </row>
    <row r="1028" spans="2:7" x14ac:dyDescent="0.25">
      <c r="B1028" s="38"/>
      <c r="C1028" s="14"/>
      <c r="D1028" s="14"/>
      <c r="E1028" s="14"/>
      <c r="F1028" s="14"/>
      <c r="G1028" s="16"/>
    </row>
    <row r="1029" spans="2:7" x14ac:dyDescent="0.25">
      <c r="B1029" s="38"/>
      <c r="C1029" s="14"/>
      <c r="D1029" s="14"/>
      <c r="E1029" s="14"/>
      <c r="F1029" s="14"/>
      <c r="G1029" s="16"/>
    </row>
    <row r="1030" spans="2:7" x14ac:dyDescent="0.25">
      <c r="B1030" s="38"/>
      <c r="C1030" s="14"/>
      <c r="D1030" s="14"/>
      <c r="E1030" s="14"/>
      <c r="F1030" s="14"/>
      <c r="G1030" s="16"/>
    </row>
    <row r="1031" spans="2:7" x14ac:dyDescent="0.25">
      <c r="B1031" s="38"/>
      <c r="C1031" s="14"/>
      <c r="D1031" s="14"/>
      <c r="E1031" s="14"/>
      <c r="F1031" s="14"/>
      <c r="G1031" s="16"/>
    </row>
    <row r="1032" spans="2:7" x14ac:dyDescent="0.25">
      <c r="B1032" s="38"/>
      <c r="C1032" s="14"/>
      <c r="D1032" s="14"/>
      <c r="E1032" s="14"/>
      <c r="F1032" s="14"/>
      <c r="G1032" s="16"/>
    </row>
    <row r="1033" spans="2:7" x14ac:dyDescent="0.25">
      <c r="B1033" s="38"/>
      <c r="C1033" s="14"/>
      <c r="D1033" s="14"/>
      <c r="E1033" s="14"/>
      <c r="F1033" s="14"/>
      <c r="G1033" s="16"/>
    </row>
    <row r="1034" spans="2:7" x14ac:dyDescent="0.25">
      <c r="B1034" s="38"/>
      <c r="C1034" s="14"/>
      <c r="D1034" s="14"/>
      <c r="E1034" s="14"/>
      <c r="F1034" s="14"/>
      <c r="G1034" s="16"/>
    </row>
    <row r="1035" spans="2:7" x14ac:dyDescent="0.25">
      <c r="B1035" s="38"/>
      <c r="C1035" s="14"/>
      <c r="D1035" s="14"/>
      <c r="E1035" s="14"/>
      <c r="F1035" s="14"/>
      <c r="G1035" s="16"/>
    </row>
    <row r="1036" spans="2:7" x14ac:dyDescent="0.25">
      <c r="B1036" s="38"/>
      <c r="C1036" s="14"/>
      <c r="D1036" s="14"/>
      <c r="E1036" s="14"/>
      <c r="F1036" s="14"/>
      <c r="G1036" s="16"/>
    </row>
    <row r="1037" spans="2:7" x14ac:dyDescent="0.25">
      <c r="B1037" s="38"/>
      <c r="C1037" s="14"/>
      <c r="D1037" s="14"/>
      <c r="E1037" s="14"/>
      <c r="F1037" s="14"/>
      <c r="G1037" s="16"/>
    </row>
    <row r="1038" spans="2:7" x14ac:dyDescent="0.25">
      <c r="B1038" s="38"/>
      <c r="C1038" s="14"/>
      <c r="D1038" s="14"/>
      <c r="E1038" s="14"/>
      <c r="F1038" s="14"/>
      <c r="G1038" s="16"/>
    </row>
    <row r="1039" spans="2:7" x14ac:dyDescent="0.25">
      <c r="B1039" s="38"/>
      <c r="C1039" s="14"/>
      <c r="D1039" s="14"/>
      <c r="E1039" s="14"/>
      <c r="F1039" s="14"/>
      <c r="G1039" s="16"/>
    </row>
    <row r="1040" spans="2:7" x14ac:dyDescent="0.25">
      <c r="B1040" s="38"/>
      <c r="C1040" s="14"/>
      <c r="D1040" s="14"/>
      <c r="E1040" s="14"/>
      <c r="F1040" s="14"/>
      <c r="G1040" s="16"/>
    </row>
    <row r="1041" spans="2:7" x14ac:dyDescent="0.25">
      <c r="B1041" s="38"/>
      <c r="C1041" s="14"/>
      <c r="D1041" s="14"/>
      <c r="E1041" s="14"/>
      <c r="F1041" s="14"/>
      <c r="G1041" s="16"/>
    </row>
    <row r="1042" spans="2:7" x14ac:dyDescent="0.25">
      <c r="B1042" s="38"/>
      <c r="C1042" s="14"/>
      <c r="D1042" s="14"/>
      <c r="E1042" s="14"/>
      <c r="F1042" s="14"/>
      <c r="G1042" s="16"/>
    </row>
    <row r="1043" spans="2:7" x14ac:dyDescent="0.25">
      <c r="B1043" s="38"/>
      <c r="C1043" s="14"/>
      <c r="D1043" s="14"/>
      <c r="E1043" s="14"/>
      <c r="F1043" s="14"/>
      <c r="G1043" s="16"/>
    </row>
    <row r="1044" spans="2:7" x14ac:dyDescent="0.25">
      <c r="B1044" s="38"/>
      <c r="C1044" s="14"/>
      <c r="D1044" s="14"/>
      <c r="E1044" s="14"/>
      <c r="F1044" s="14"/>
      <c r="G1044" s="16"/>
    </row>
    <row r="1045" spans="2:7" x14ac:dyDescent="0.25">
      <c r="B1045" s="38"/>
      <c r="C1045" s="14"/>
      <c r="D1045" s="14"/>
      <c r="E1045" s="14"/>
      <c r="F1045" s="14"/>
      <c r="G1045" s="16"/>
    </row>
    <row r="1046" spans="2:7" x14ac:dyDescent="0.25">
      <c r="B1046" s="38"/>
      <c r="C1046" s="14"/>
      <c r="D1046" s="14"/>
      <c r="E1046" s="14"/>
      <c r="F1046" s="14"/>
      <c r="G1046" s="16"/>
    </row>
    <row r="1047" spans="2:7" x14ac:dyDescent="0.25">
      <c r="B1047" s="38"/>
      <c r="C1047" s="14"/>
      <c r="D1047" s="14"/>
      <c r="E1047" s="14"/>
      <c r="F1047" s="14"/>
      <c r="G1047" s="16"/>
    </row>
    <row r="1048" spans="2:7" x14ac:dyDescent="0.25">
      <c r="B1048" s="38"/>
      <c r="C1048" s="14"/>
      <c r="D1048" s="14"/>
      <c r="E1048" s="14"/>
      <c r="F1048" s="14"/>
      <c r="G1048" s="16"/>
    </row>
    <row r="1049" spans="2:7" x14ac:dyDescent="0.25">
      <c r="B1049" s="38"/>
      <c r="C1049" s="14"/>
      <c r="D1049" s="14"/>
      <c r="E1049" s="14"/>
      <c r="F1049" s="14"/>
      <c r="G1049" s="16"/>
    </row>
    <row r="1050" spans="2:7" x14ac:dyDescent="0.25">
      <c r="B1050" s="38"/>
      <c r="C1050" s="14"/>
      <c r="D1050" s="14"/>
      <c r="E1050" s="14"/>
      <c r="F1050" s="14"/>
      <c r="G1050" s="16"/>
    </row>
    <row r="1051" spans="2:7" x14ac:dyDescent="0.25">
      <c r="B1051" s="38"/>
      <c r="C1051" s="14"/>
      <c r="D1051" s="14"/>
      <c r="E1051" s="14"/>
      <c r="F1051" s="14"/>
      <c r="G1051" s="16"/>
    </row>
    <row r="1052" spans="2:7" x14ac:dyDescent="0.25">
      <c r="B1052" s="38"/>
      <c r="C1052" s="14"/>
      <c r="D1052" s="14"/>
      <c r="E1052" s="14"/>
      <c r="F1052" s="14"/>
      <c r="G1052" s="16"/>
    </row>
    <row r="1053" spans="2:7" x14ac:dyDescent="0.25">
      <c r="B1053" s="38"/>
      <c r="C1053" s="14"/>
      <c r="D1053" s="14"/>
      <c r="E1053" s="14"/>
      <c r="F1053" s="14"/>
      <c r="G1053" s="16"/>
    </row>
    <row r="1054" spans="2:7" x14ac:dyDescent="0.25">
      <c r="B1054" s="38"/>
      <c r="C1054" s="14"/>
      <c r="D1054" s="14"/>
      <c r="E1054" s="14"/>
      <c r="F1054" s="14"/>
      <c r="G1054" s="16"/>
    </row>
    <row r="1055" spans="2:7" x14ac:dyDescent="0.25">
      <c r="B1055" s="38"/>
      <c r="C1055" s="14"/>
      <c r="D1055" s="14"/>
      <c r="E1055" s="14"/>
      <c r="F1055" s="14"/>
      <c r="G1055" s="16"/>
    </row>
    <row r="1056" spans="2:7" x14ac:dyDescent="0.25">
      <c r="B1056" s="38"/>
      <c r="C1056" s="14"/>
      <c r="D1056" s="14"/>
      <c r="E1056" s="14"/>
      <c r="F1056" s="14"/>
      <c r="G1056" s="16"/>
    </row>
    <row r="1057" spans="2:7" x14ac:dyDescent="0.25">
      <c r="B1057" s="38"/>
      <c r="C1057" s="14"/>
      <c r="D1057" s="14"/>
      <c r="E1057" s="14"/>
      <c r="F1057" s="14"/>
      <c r="G1057" s="16"/>
    </row>
    <row r="1058" spans="2:7" x14ac:dyDescent="0.25">
      <c r="B1058" s="38"/>
      <c r="C1058" s="14"/>
      <c r="D1058" s="14"/>
      <c r="E1058" s="14"/>
      <c r="F1058" s="14"/>
      <c r="G1058" s="16"/>
    </row>
    <row r="1059" spans="2:7" x14ac:dyDescent="0.25">
      <c r="B1059" s="38"/>
      <c r="C1059" s="14"/>
      <c r="D1059" s="14"/>
      <c r="E1059" s="14"/>
      <c r="F1059" s="14"/>
      <c r="G1059" s="16"/>
    </row>
    <row r="1060" spans="2:7" x14ac:dyDescent="0.25">
      <c r="B1060" s="38"/>
      <c r="C1060" s="14"/>
      <c r="D1060" s="14"/>
      <c r="E1060" s="14"/>
      <c r="F1060" s="14"/>
      <c r="G1060" s="16"/>
    </row>
    <row r="1061" spans="2:7" x14ac:dyDescent="0.25">
      <c r="B1061" s="38"/>
      <c r="C1061" s="14"/>
      <c r="D1061" s="14"/>
      <c r="E1061" s="14"/>
      <c r="F1061" s="14"/>
      <c r="G1061" s="16"/>
    </row>
    <row r="1062" spans="2:7" x14ac:dyDescent="0.25">
      <c r="B1062" s="38"/>
      <c r="C1062" s="14"/>
      <c r="D1062" s="14"/>
      <c r="E1062" s="14"/>
      <c r="F1062" s="14"/>
      <c r="G1062" s="16"/>
    </row>
    <row r="1063" spans="2:7" x14ac:dyDescent="0.25">
      <c r="B1063" s="38"/>
      <c r="C1063" s="14"/>
      <c r="D1063" s="14"/>
      <c r="E1063" s="14"/>
      <c r="F1063" s="14"/>
      <c r="G1063" s="16"/>
    </row>
    <row r="1064" spans="2:7" x14ac:dyDescent="0.25">
      <c r="B1064" s="38"/>
      <c r="C1064" s="14"/>
      <c r="D1064" s="14"/>
      <c r="E1064" s="14"/>
      <c r="F1064" s="14"/>
      <c r="G1064" s="16"/>
    </row>
    <row r="1065" spans="2:7" x14ac:dyDescent="0.25">
      <c r="B1065" s="38"/>
      <c r="C1065" s="14"/>
      <c r="D1065" s="14"/>
      <c r="E1065" s="14"/>
      <c r="F1065" s="14"/>
      <c r="G1065" s="16"/>
    </row>
    <row r="1066" spans="2:7" x14ac:dyDescent="0.25">
      <c r="B1066" s="38"/>
      <c r="C1066" s="14"/>
      <c r="D1066" s="14"/>
      <c r="E1066" s="14"/>
      <c r="F1066" s="14"/>
      <c r="G1066" s="16"/>
    </row>
    <row r="1067" spans="2:7" x14ac:dyDescent="0.25">
      <c r="B1067" s="38"/>
      <c r="C1067" s="14"/>
      <c r="D1067" s="14"/>
      <c r="E1067" s="14"/>
      <c r="F1067" s="14"/>
      <c r="G1067" s="16"/>
    </row>
    <row r="1068" spans="2:7" x14ac:dyDescent="0.25">
      <c r="B1068" s="38"/>
      <c r="C1068" s="14"/>
      <c r="D1068" s="14"/>
      <c r="E1068" s="14"/>
      <c r="F1068" s="14"/>
      <c r="G1068" s="16"/>
    </row>
    <row r="1069" spans="2:7" x14ac:dyDescent="0.25">
      <c r="B1069" s="38"/>
      <c r="C1069" s="14"/>
      <c r="D1069" s="14"/>
      <c r="E1069" s="14"/>
      <c r="F1069" s="14"/>
      <c r="G1069" s="16"/>
    </row>
    <row r="1070" spans="2:7" x14ac:dyDescent="0.25">
      <c r="B1070" s="38"/>
      <c r="C1070" s="14"/>
      <c r="D1070" s="14"/>
      <c r="E1070" s="14"/>
      <c r="F1070" s="14"/>
      <c r="G1070" s="16"/>
    </row>
    <row r="1071" spans="2:7" x14ac:dyDescent="0.25">
      <c r="B1071" s="38"/>
      <c r="C1071" s="14"/>
      <c r="D1071" s="14"/>
      <c r="E1071" s="14"/>
      <c r="F1071" s="14"/>
      <c r="G1071" s="16"/>
    </row>
    <row r="1072" spans="2:7" x14ac:dyDescent="0.25">
      <c r="B1072" s="38"/>
      <c r="C1072" s="14"/>
      <c r="D1072" s="14"/>
      <c r="E1072" s="14"/>
      <c r="F1072" s="14"/>
      <c r="G1072" s="16"/>
    </row>
    <row r="1073" spans="2:7" x14ac:dyDescent="0.25">
      <c r="B1073" s="38"/>
      <c r="C1073" s="14"/>
      <c r="D1073" s="14"/>
      <c r="E1073" s="14"/>
      <c r="F1073" s="14"/>
      <c r="G1073" s="16"/>
    </row>
    <row r="1074" spans="2:7" x14ac:dyDescent="0.25">
      <c r="B1074" s="38"/>
      <c r="C1074" s="14"/>
      <c r="D1074" s="14"/>
      <c r="E1074" s="14"/>
      <c r="F1074" s="14"/>
      <c r="G1074" s="16"/>
    </row>
    <row r="1075" spans="2:7" x14ac:dyDescent="0.25">
      <c r="B1075" s="38"/>
      <c r="C1075" s="14"/>
      <c r="D1075" s="14"/>
      <c r="E1075" s="14"/>
      <c r="F1075" s="14"/>
      <c r="G1075" s="16"/>
    </row>
    <row r="1076" spans="2:7" x14ac:dyDescent="0.25">
      <c r="B1076" s="38"/>
      <c r="C1076" s="14"/>
      <c r="D1076" s="14"/>
      <c r="E1076" s="14"/>
      <c r="F1076" s="14"/>
      <c r="G1076" s="16"/>
    </row>
    <row r="1077" spans="2:7" x14ac:dyDescent="0.25">
      <c r="B1077" s="38"/>
      <c r="C1077" s="14"/>
      <c r="D1077" s="14"/>
      <c r="E1077" s="14"/>
      <c r="F1077" s="14"/>
      <c r="G1077" s="16"/>
    </row>
    <row r="1078" spans="2:7" x14ac:dyDescent="0.25">
      <c r="B1078" s="38"/>
      <c r="C1078" s="14"/>
      <c r="D1078" s="14"/>
      <c r="E1078" s="14"/>
      <c r="F1078" s="14"/>
      <c r="G1078" s="16"/>
    </row>
    <row r="1079" spans="2:7" x14ac:dyDescent="0.25">
      <c r="B1079" s="38"/>
      <c r="C1079" s="14"/>
      <c r="D1079" s="14"/>
      <c r="E1079" s="14"/>
      <c r="F1079" s="14"/>
      <c r="G1079" s="16"/>
    </row>
    <row r="1080" spans="2:7" x14ac:dyDescent="0.25">
      <c r="B1080" s="38"/>
      <c r="C1080" s="14"/>
      <c r="D1080" s="14"/>
      <c r="E1080" s="14"/>
      <c r="F1080" s="14"/>
      <c r="G1080" s="16"/>
    </row>
    <row r="1081" spans="2:7" x14ac:dyDescent="0.25">
      <c r="B1081" s="38"/>
      <c r="C1081" s="14"/>
      <c r="D1081" s="14"/>
      <c r="E1081" s="14"/>
      <c r="F1081" s="14"/>
      <c r="G1081" s="16"/>
    </row>
    <row r="1082" spans="2:7" x14ac:dyDescent="0.25">
      <c r="B1082" s="38"/>
      <c r="C1082" s="14"/>
      <c r="D1082" s="14"/>
      <c r="E1082" s="14"/>
      <c r="F1082" s="14"/>
      <c r="G1082" s="16"/>
    </row>
    <row r="1083" spans="2:7" x14ac:dyDescent="0.25">
      <c r="B1083" s="38"/>
      <c r="C1083" s="14"/>
      <c r="D1083" s="14"/>
      <c r="E1083" s="14"/>
      <c r="F1083" s="14"/>
      <c r="G1083" s="16"/>
    </row>
    <row r="1084" spans="2:7" x14ac:dyDescent="0.25">
      <c r="B1084" s="38"/>
      <c r="C1084" s="14"/>
      <c r="D1084" s="14"/>
      <c r="E1084" s="14"/>
      <c r="F1084" s="14"/>
      <c r="G1084" s="16"/>
    </row>
    <row r="1085" spans="2:7" x14ac:dyDescent="0.25">
      <c r="B1085" s="38"/>
      <c r="C1085" s="14"/>
      <c r="D1085" s="14"/>
      <c r="E1085" s="14"/>
      <c r="F1085" s="14"/>
      <c r="G1085" s="16"/>
    </row>
    <row r="1086" spans="2:7" x14ac:dyDescent="0.25">
      <c r="B1086" s="38"/>
      <c r="C1086" s="14"/>
      <c r="D1086" s="14"/>
      <c r="E1086" s="14"/>
      <c r="F1086" s="14"/>
      <c r="G1086" s="16"/>
    </row>
    <row r="1087" spans="2:7" x14ac:dyDescent="0.25">
      <c r="B1087" s="38"/>
      <c r="C1087" s="14"/>
      <c r="D1087" s="14"/>
      <c r="E1087" s="14"/>
      <c r="F1087" s="14"/>
      <c r="G1087" s="16"/>
    </row>
    <row r="1088" spans="2:7" x14ac:dyDescent="0.25">
      <c r="B1088" s="38"/>
      <c r="C1088" s="14"/>
      <c r="D1088" s="14"/>
      <c r="E1088" s="14"/>
      <c r="F1088" s="14"/>
      <c r="G1088" s="16"/>
    </row>
    <row r="1089" spans="2:7" x14ac:dyDescent="0.25">
      <c r="B1089" s="38"/>
      <c r="C1089" s="14"/>
      <c r="D1089" s="14"/>
      <c r="E1089" s="14"/>
      <c r="F1089" s="14"/>
      <c r="G1089" s="16"/>
    </row>
    <row r="1090" spans="2:7" x14ac:dyDescent="0.25">
      <c r="B1090" s="38"/>
      <c r="C1090" s="14"/>
      <c r="D1090" s="14"/>
      <c r="E1090" s="14"/>
      <c r="F1090" s="14"/>
      <c r="G1090" s="16"/>
    </row>
    <row r="1091" spans="2:7" x14ac:dyDescent="0.25">
      <c r="B1091" s="38"/>
      <c r="C1091" s="14"/>
      <c r="D1091" s="14"/>
      <c r="E1091" s="14"/>
      <c r="F1091" s="14"/>
      <c r="G1091" s="16"/>
    </row>
    <row r="1092" spans="2:7" x14ac:dyDescent="0.25">
      <c r="B1092" s="38"/>
      <c r="C1092" s="14"/>
      <c r="D1092" s="14"/>
      <c r="E1092" s="14"/>
      <c r="F1092" s="14"/>
      <c r="G1092" s="16"/>
    </row>
    <row r="1093" spans="2:7" x14ac:dyDescent="0.25">
      <c r="B1093" s="38"/>
      <c r="C1093" s="14"/>
      <c r="D1093" s="14"/>
      <c r="E1093" s="14"/>
      <c r="F1093" s="14"/>
      <c r="G1093" s="16"/>
    </row>
    <row r="1094" spans="2:7" x14ac:dyDescent="0.25">
      <c r="B1094" s="38"/>
      <c r="C1094" s="14"/>
      <c r="D1094" s="14"/>
      <c r="E1094" s="14"/>
      <c r="F1094" s="14"/>
      <c r="G1094" s="16"/>
    </row>
    <row r="1095" spans="2:7" x14ac:dyDescent="0.25">
      <c r="B1095" s="38"/>
      <c r="C1095" s="14"/>
      <c r="D1095" s="14"/>
      <c r="E1095" s="14"/>
      <c r="F1095" s="14"/>
      <c r="G1095" s="16"/>
    </row>
    <row r="1096" spans="2:7" x14ac:dyDescent="0.25">
      <c r="B1096" s="38"/>
      <c r="C1096" s="14"/>
      <c r="D1096" s="14"/>
      <c r="E1096" s="14"/>
      <c r="F1096" s="14"/>
      <c r="G1096" s="16"/>
    </row>
    <row r="1097" spans="2:7" x14ac:dyDescent="0.25">
      <c r="B1097" s="38"/>
      <c r="C1097" s="14"/>
      <c r="D1097" s="14"/>
      <c r="E1097" s="14"/>
      <c r="F1097" s="14"/>
      <c r="G1097" s="16"/>
    </row>
    <row r="1098" spans="2:7" x14ac:dyDescent="0.25">
      <c r="B1098" s="38"/>
      <c r="C1098" s="14"/>
      <c r="D1098" s="14"/>
      <c r="E1098" s="14"/>
      <c r="F1098" s="14"/>
      <c r="G1098" s="16"/>
    </row>
    <row r="1099" spans="2:7" x14ac:dyDescent="0.25">
      <c r="B1099" s="38"/>
      <c r="C1099" s="14"/>
      <c r="D1099" s="14"/>
      <c r="E1099" s="14"/>
      <c r="F1099" s="14"/>
      <c r="G1099" s="16"/>
    </row>
    <row r="1100" spans="2:7" x14ac:dyDescent="0.25">
      <c r="B1100" s="38"/>
      <c r="C1100" s="14"/>
      <c r="D1100" s="14"/>
      <c r="E1100" s="14"/>
      <c r="F1100" s="14"/>
      <c r="G1100" s="16"/>
    </row>
    <row r="1101" spans="2:7" x14ac:dyDescent="0.25">
      <c r="B1101" s="38"/>
      <c r="C1101" s="14"/>
      <c r="D1101" s="14"/>
      <c r="E1101" s="14"/>
      <c r="F1101" s="14"/>
      <c r="G1101" s="16"/>
    </row>
    <row r="1102" spans="2:7" x14ac:dyDescent="0.25">
      <c r="B1102" s="38"/>
      <c r="C1102" s="14"/>
      <c r="D1102" s="14"/>
      <c r="E1102" s="14"/>
      <c r="F1102" s="14"/>
      <c r="G1102" s="16"/>
    </row>
    <row r="1103" spans="2:7" x14ac:dyDescent="0.25">
      <c r="B1103" s="38"/>
      <c r="C1103" s="14"/>
      <c r="D1103" s="14"/>
      <c r="E1103" s="14"/>
      <c r="F1103" s="14"/>
      <c r="G1103" s="16"/>
    </row>
    <row r="1104" spans="2:7" x14ac:dyDescent="0.25">
      <c r="B1104" s="38"/>
      <c r="C1104" s="14"/>
      <c r="D1104" s="14"/>
      <c r="E1104" s="14"/>
      <c r="F1104" s="14"/>
      <c r="G1104" s="16"/>
    </row>
    <row r="1105" spans="2:7" x14ac:dyDescent="0.25">
      <c r="B1105" s="38"/>
      <c r="C1105" s="14"/>
      <c r="D1105" s="14"/>
      <c r="E1105" s="14"/>
      <c r="F1105" s="14"/>
      <c r="G1105" s="16"/>
    </row>
    <row r="1106" spans="2:7" x14ac:dyDescent="0.25">
      <c r="B1106" s="38"/>
      <c r="C1106" s="14"/>
      <c r="D1106" s="14"/>
      <c r="E1106" s="14"/>
      <c r="F1106" s="14"/>
      <c r="G1106" s="16"/>
    </row>
    <row r="1107" spans="2:7" x14ac:dyDescent="0.25">
      <c r="B1107" s="38"/>
      <c r="C1107" s="14"/>
      <c r="D1107" s="14"/>
      <c r="E1107" s="14"/>
      <c r="F1107" s="14"/>
      <c r="G1107" s="16"/>
    </row>
    <row r="1108" spans="2:7" x14ac:dyDescent="0.25">
      <c r="B1108" s="38"/>
      <c r="C1108" s="14"/>
      <c r="D1108" s="14"/>
      <c r="E1108" s="14"/>
      <c r="F1108" s="14"/>
      <c r="G1108" s="16"/>
    </row>
    <row r="1109" spans="2:7" x14ac:dyDescent="0.25">
      <c r="B1109" s="38"/>
      <c r="C1109" s="14"/>
      <c r="D1109" s="14"/>
      <c r="E1109" s="14"/>
      <c r="F1109" s="14"/>
      <c r="G1109" s="16"/>
    </row>
    <row r="1110" spans="2:7" x14ac:dyDescent="0.25">
      <c r="B1110" s="38"/>
      <c r="C1110" s="14"/>
      <c r="D1110" s="14"/>
      <c r="E1110" s="14"/>
      <c r="F1110" s="14"/>
      <c r="G1110" s="16"/>
    </row>
    <row r="1111" spans="2:7" x14ac:dyDescent="0.25">
      <c r="B1111" s="38"/>
      <c r="C1111" s="14"/>
      <c r="D1111" s="14"/>
      <c r="E1111" s="14"/>
      <c r="F1111" s="14"/>
      <c r="G1111" s="16"/>
    </row>
    <row r="1112" spans="2:7" x14ac:dyDescent="0.25">
      <c r="B1112" s="38"/>
      <c r="C1112" s="14"/>
      <c r="D1112" s="14"/>
      <c r="E1112" s="14"/>
      <c r="F1112" s="14"/>
      <c r="G1112" s="16"/>
    </row>
    <row r="1113" spans="2:7" x14ac:dyDescent="0.25">
      <c r="B1113" s="38"/>
      <c r="C1113" s="14"/>
      <c r="D1113" s="14"/>
      <c r="E1113" s="14"/>
      <c r="F1113" s="14"/>
      <c r="G1113" s="16"/>
    </row>
    <row r="1114" spans="2:7" x14ac:dyDescent="0.25">
      <c r="B1114" s="38"/>
      <c r="C1114" s="14"/>
      <c r="D1114" s="14"/>
      <c r="E1114" s="14"/>
      <c r="F1114" s="14"/>
      <c r="G1114" s="16"/>
    </row>
    <row r="1115" spans="2:7" x14ac:dyDescent="0.25">
      <c r="B1115" s="38"/>
      <c r="C1115" s="14"/>
      <c r="D1115" s="14"/>
      <c r="E1115" s="14"/>
      <c r="F1115" s="14"/>
      <c r="G1115" s="16"/>
    </row>
    <row r="1116" spans="2:7" x14ac:dyDescent="0.25">
      <c r="B1116" s="38"/>
      <c r="C1116" s="14"/>
      <c r="D1116" s="14"/>
      <c r="E1116" s="14"/>
      <c r="F1116" s="14"/>
      <c r="G1116" s="16"/>
    </row>
    <row r="1117" spans="2:7" x14ac:dyDescent="0.25">
      <c r="B1117" s="38"/>
      <c r="C1117" s="14"/>
      <c r="D1117" s="14"/>
      <c r="E1117" s="14"/>
      <c r="F1117" s="14"/>
      <c r="G1117" s="16"/>
    </row>
    <row r="1118" spans="2:7" x14ac:dyDescent="0.25">
      <c r="B1118" s="38"/>
      <c r="C1118" s="14"/>
      <c r="D1118" s="14"/>
      <c r="E1118" s="14"/>
      <c r="F1118" s="14"/>
      <c r="G1118" s="16"/>
    </row>
    <row r="1119" spans="2:7" x14ac:dyDescent="0.25">
      <c r="B1119" s="38"/>
      <c r="C1119" s="14"/>
      <c r="D1119" s="14"/>
      <c r="E1119" s="14"/>
      <c r="F1119" s="14"/>
      <c r="G1119" s="16"/>
    </row>
    <row r="1120" spans="2:7" x14ac:dyDescent="0.25">
      <c r="B1120" s="38"/>
      <c r="C1120" s="14"/>
      <c r="D1120" s="14"/>
      <c r="E1120" s="14"/>
      <c r="F1120" s="14"/>
      <c r="G1120" s="16"/>
    </row>
    <row r="1121" spans="2:7" x14ac:dyDescent="0.25">
      <c r="B1121" s="38"/>
      <c r="C1121" s="14"/>
      <c r="D1121" s="14"/>
      <c r="E1121" s="14"/>
      <c r="F1121" s="14"/>
      <c r="G1121" s="16"/>
    </row>
    <row r="1122" spans="2:7" x14ac:dyDescent="0.25">
      <c r="B1122" s="38"/>
      <c r="C1122" s="14"/>
      <c r="D1122" s="14"/>
      <c r="E1122" s="14"/>
      <c r="F1122" s="14"/>
      <c r="G1122" s="16"/>
    </row>
    <row r="1123" spans="2:7" x14ac:dyDescent="0.25">
      <c r="B1123" s="38"/>
      <c r="C1123" s="14"/>
      <c r="D1123" s="14"/>
      <c r="E1123" s="14"/>
      <c r="F1123" s="14"/>
      <c r="G1123" s="16"/>
    </row>
    <row r="1124" spans="2:7" x14ac:dyDescent="0.25">
      <c r="B1124" s="38"/>
      <c r="C1124" s="14"/>
      <c r="D1124" s="14"/>
      <c r="E1124" s="14"/>
      <c r="F1124" s="14"/>
      <c r="G1124" s="16"/>
    </row>
    <row r="1125" spans="2:7" x14ac:dyDescent="0.25">
      <c r="B1125" s="38"/>
      <c r="C1125" s="14"/>
      <c r="D1125" s="14"/>
      <c r="E1125" s="14"/>
      <c r="F1125" s="14"/>
      <c r="G1125" s="16"/>
    </row>
    <row r="1126" spans="2:7" x14ac:dyDescent="0.25">
      <c r="B1126" s="38"/>
      <c r="C1126" s="14"/>
      <c r="D1126" s="14"/>
      <c r="E1126" s="14"/>
      <c r="F1126" s="14"/>
      <c r="G1126" s="16"/>
    </row>
    <row r="1127" spans="2:7" x14ac:dyDescent="0.25">
      <c r="B1127" s="38"/>
      <c r="C1127" s="14"/>
      <c r="D1127" s="14"/>
      <c r="E1127" s="14"/>
      <c r="F1127" s="14"/>
      <c r="G1127" s="16"/>
    </row>
    <row r="1128" spans="2:7" x14ac:dyDescent="0.25">
      <c r="B1128" s="38"/>
      <c r="C1128" s="14"/>
      <c r="D1128" s="14"/>
      <c r="E1128" s="14"/>
      <c r="F1128" s="14"/>
      <c r="G1128" s="16"/>
    </row>
    <row r="1129" spans="2:7" x14ac:dyDescent="0.25">
      <c r="B1129" s="38"/>
      <c r="C1129" s="14"/>
      <c r="D1129" s="14"/>
      <c r="E1129" s="14"/>
      <c r="F1129" s="14"/>
      <c r="G1129" s="16"/>
    </row>
    <row r="1130" spans="2:7" x14ac:dyDescent="0.25">
      <c r="B1130" s="38"/>
      <c r="C1130" s="14"/>
      <c r="D1130" s="14"/>
      <c r="E1130" s="14"/>
      <c r="F1130" s="14"/>
      <c r="G1130" s="16"/>
    </row>
    <row r="1131" spans="2:7" x14ac:dyDescent="0.25">
      <c r="B1131" s="38"/>
      <c r="C1131" s="14"/>
      <c r="D1131" s="14"/>
      <c r="E1131" s="14"/>
      <c r="F1131" s="14"/>
      <c r="G1131" s="16"/>
    </row>
    <row r="1132" spans="2:7" x14ac:dyDescent="0.25">
      <c r="B1132" s="38"/>
      <c r="C1132" s="14"/>
      <c r="D1132" s="14"/>
      <c r="E1132" s="14"/>
      <c r="F1132" s="14"/>
      <c r="G1132" s="16"/>
    </row>
    <row r="1133" spans="2:7" x14ac:dyDescent="0.25">
      <c r="B1133" s="38"/>
      <c r="C1133" s="14"/>
      <c r="D1133" s="14"/>
      <c r="E1133" s="14"/>
      <c r="F1133" s="14"/>
      <c r="G1133" s="16"/>
    </row>
    <row r="1134" spans="2:7" x14ac:dyDescent="0.25">
      <c r="B1134" s="38"/>
      <c r="C1134" s="14"/>
      <c r="D1134" s="14"/>
      <c r="E1134" s="14"/>
      <c r="F1134" s="14"/>
      <c r="G1134" s="16"/>
    </row>
    <row r="1135" spans="2:7" x14ac:dyDescent="0.25">
      <c r="B1135" s="38"/>
      <c r="C1135" s="14"/>
      <c r="D1135" s="14"/>
      <c r="E1135" s="14"/>
      <c r="F1135" s="14"/>
      <c r="G1135" s="16"/>
    </row>
    <row r="1136" spans="2:7" x14ac:dyDescent="0.25">
      <c r="B1136" s="38"/>
      <c r="C1136" s="14"/>
      <c r="D1136" s="14"/>
      <c r="E1136" s="14"/>
      <c r="F1136" s="14"/>
      <c r="G1136" s="16"/>
    </row>
    <row r="1137" spans="2:7" x14ac:dyDescent="0.25">
      <c r="B1137" s="38"/>
      <c r="C1137" s="14"/>
      <c r="D1137" s="14"/>
      <c r="E1137" s="14"/>
      <c r="F1137" s="14"/>
      <c r="G1137" s="16"/>
    </row>
    <row r="1138" spans="2:7" x14ac:dyDescent="0.25">
      <c r="B1138" s="38"/>
      <c r="C1138" s="14"/>
      <c r="D1138" s="14"/>
      <c r="E1138" s="14"/>
      <c r="F1138" s="14"/>
      <c r="G1138" s="16"/>
    </row>
    <row r="1139" spans="2:7" x14ac:dyDescent="0.25">
      <c r="B1139" s="38"/>
      <c r="C1139" s="14"/>
      <c r="D1139" s="14"/>
      <c r="E1139" s="14"/>
      <c r="F1139" s="14"/>
      <c r="G1139" s="16"/>
    </row>
    <row r="1140" spans="2:7" x14ac:dyDescent="0.25">
      <c r="B1140" s="38"/>
      <c r="C1140" s="14"/>
      <c r="D1140" s="14"/>
      <c r="E1140" s="14"/>
      <c r="F1140" s="14"/>
      <c r="G1140" s="16"/>
    </row>
    <row r="1141" spans="2:7" x14ac:dyDescent="0.25">
      <c r="B1141" s="38"/>
      <c r="C1141" s="14"/>
      <c r="D1141" s="14"/>
      <c r="E1141" s="14"/>
      <c r="F1141" s="14"/>
      <c r="G1141" s="16"/>
    </row>
    <row r="1142" spans="2:7" x14ac:dyDescent="0.25">
      <c r="B1142" s="38"/>
      <c r="C1142" s="14"/>
      <c r="D1142" s="14"/>
      <c r="E1142" s="14"/>
      <c r="F1142" s="14"/>
      <c r="G1142" s="16"/>
    </row>
    <row r="1143" spans="2:7" x14ac:dyDescent="0.25">
      <c r="B1143" s="38"/>
      <c r="C1143" s="14"/>
      <c r="D1143" s="14"/>
      <c r="E1143" s="14"/>
      <c r="F1143" s="14"/>
      <c r="G1143" s="16"/>
    </row>
    <row r="1144" spans="2:7" x14ac:dyDescent="0.25">
      <c r="B1144" s="38"/>
      <c r="C1144" s="14"/>
      <c r="D1144" s="14"/>
      <c r="E1144" s="14"/>
      <c r="F1144" s="14"/>
      <c r="G1144" s="16"/>
    </row>
    <row r="1145" spans="2:7" x14ac:dyDescent="0.25">
      <c r="B1145" s="38"/>
      <c r="C1145" s="14"/>
      <c r="D1145" s="14"/>
      <c r="E1145" s="14"/>
      <c r="F1145" s="14"/>
      <c r="G1145" s="16"/>
    </row>
    <row r="1146" spans="2:7" x14ac:dyDescent="0.25">
      <c r="B1146" s="38"/>
      <c r="C1146" s="14"/>
      <c r="D1146" s="14"/>
      <c r="E1146" s="14"/>
      <c r="F1146" s="14"/>
      <c r="G1146" s="16"/>
    </row>
    <row r="1147" spans="2:7" x14ac:dyDescent="0.25">
      <c r="B1147" s="38"/>
      <c r="C1147" s="14"/>
      <c r="D1147" s="14"/>
      <c r="E1147" s="14"/>
      <c r="F1147" s="14"/>
      <c r="G1147" s="16"/>
    </row>
    <row r="1148" spans="2:7" x14ac:dyDescent="0.25">
      <c r="B1148" s="38"/>
      <c r="C1148" s="14"/>
      <c r="D1148" s="14"/>
      <c r="E1148" s="14"/>
      <c r="F1148" s="14"/>
      <c r="G1148" s="16"/>
    </row>
    <row r="1149" spans="2:7" x14ac:dyDescent="0.25">
      <c r="B1149" s="38"/>
      <c r="C1149" s="14"/>
      <c r="D1149" s="14"/>
      <c r="E1149" s="14"/>
      <c r="F1149" s="14"/>
      <c r="G1149" s="16"/>
    </row>
    <row r="1150" spans="2:7" x14ac:dyDescent="0.25">
      <c r="B1150" s="38"/>
      <c r="C1150" s="14"/>
      <c r="D1150" s="14"/>
      <c r="E1150" s="14"/>
      <c r="F1150" s="14"/>
      <c r="G1150" s="16"/>
    </row>
    <row r="1151" spans="2:7" x14ac:dyDescent="0.25">
      <c r="B1151" s="38"/>
      <c r="C1151" s="14"/>
      <c r="D1151" s="14"/>
      <c r="E1151" s="14"/>
      <c r="F1151" s="14"/>
      <c r="G1151" s="16"/>
    </row>
    <row r="1152" spans="2:7" x14ac:dyDescent="0.25">
      <c r="B1152" s="38"/>
      <c r="C1152" s="14"/>
      <c r="D1152" s="14"/>
      <c r="E1152" s="14"/>
      <c r="F1152" s="14"/>
      <c r="G1152" s="16"/>
    </row>
    <row r="1153" spans="2:7" x14ac:dyDescent="0.25">
      <c r="B1153" s="38"/>
      <c r="C1153" s="14"/>
      <c r="D1153" s="14"/>
      <c r="E1153" s="14"/>
      <c r="F1153" s="14"/>
      <c r="G1153" s="16"/>
    </row>
    <row r="1154" spans="2:7" x14ac:dyDescent="0.25">
      <c r="B1154" s="38"/>
      <c r="C1154" s="14"/>
      <c r="D1154" s="14"/>
      <c r="E1154" s="14"/>
      <c r="F1154" s="14"/>
      <c r="G1154" s="16"/>
    </row>
    <row r="1155" spans="2:7" x14ac:dyDescent="0.25">
      <c r="B1155" s="38"/>
      <c r="C1155" s="14"/>
      <c r="D1155" s="14"/>
      <c r="E1155" s="14"/>
      <c r="F1155" s="14"/>
      <c r="G1155" s="16"/>
    </row>
    <row r="1156" spans="2:7" x14ac:dyDescent="0.25">
      <c r="B1156" s="38"/>
      <c r="C1156" s="14"/>
      <c r="D1156" s="14"/>
      <c r="E1156" s="14"/>
      <c r="F1156" s="14"/>
      <c r="G1156" s="16"/>
    </row>
    <row r="1157" spans="2:7" x14ac:dyDescent="0.25">
      <c r="B1157" s="38"/>
      <c r="C1157" s="14"/>
      <c r="D1157" s="14"/>
      <c r="E1157" s="14"/>
      <c r="F1157" s="14"/>
      <c r="G1157" s="16"/>
    </row>
    <row r="1158" spans="2:7" x14ac:dyDescent="0.25">
      <c r="B1158" s="38"/>
      <c r="C1158" s="14"/>
      <c r="D1158" s="14"/>
      <c r="E1158" s="14"/>
      <c r="F1158" s="14"/>
      <c r="G1158" s="16"/>
    </row>
    <row r="1159" spans="2:7" x14ac:dyDescent="0.25">
      <c r="B1159" s="38"/>
      <c r="C1159" s="14"/>
      <c r="D1159" s="14"/>
      <c r="E1159" s="14"/>
      <c r="F1159" s="14"/>
      <c r="G1159" s="16"/>
    </row>
    <row r="1160" spans="2:7" x14ac:dyDescent="0.25">
      <c r="B1160" s="38"/>
      <c r="C1160" s="14"/>
      <c r="D1160" s="14"/>
      <c r="E1160" s="14"/>
      <c r="F1160" s="14"/>
      <c r="G1160" s="16"/>
    </row>
    <row r="1161" spans="2:7" x14ac:dyDescent="0.25">
      <c r="B1161" s="38"/>
      <c r="C1161" s="14"/>
      <c r="D1161" s="14"/>
      <c r="E1161" s="14"/>
      <c r="F1161" s="14"/>
      <c r="G1161" s="16"/>
    </row>
    <row r="1162" spans="2:7" x14ac:dyDescent="0.25">
      <c r="B1162" s="38"/>
      <c r="C1162" s="14"/>
      <c r="D1162" s="14"/>
      <c r="E1162" s="14"/>
      <c r="F1162" s="14"/>
      <c r="G1162" s="16"/>
    </row>
    <row r="1163" spans="2:7" x14ac:dyDescent="0.25">
      <c r="B1163" s="38"/>
      <c r="C1163" s="14"/>
      <c r="D1163" s="14"/>
      <c r="E1163" s="14"/>
      <c r="F1163" s="14"/>
      <c r="G1163" s="16"/>
    </row>
    <row r="1164" spans="2:7" x14ac:dyDescent="0.25">
      <c r="B1164" s="38"/>
      <c r="C1164" s="14"/>
      <c r="D1164" s="14"/>
      <c r="E1164" s="14"/>
      <c r="F1164" s="14"/>
      <c r="G1164" s="16"/>
    </row>
    <row r="1165" spans="2:7" x14ac:dyDescent="0.25">
      <c r="B1165" s="38"/>
      <c r="C1165" s="14"/>
      <c r="D1165" s="14"/>
      <c r="E1165" s="14"/>
      <c r="F1165" s="14"/>
      <c r="G1165" s="16"/>
    </row>
    <row r="1166" spans="2:7" x14ac:dyDescent="0.25">
      <c r="B1166" s="38"/>
      <c r="C1166" s="14"/>
      <c r="D1166" s="14"/>
      <c r="E1166" s="14"/>
      <c r="F1166" s="14"/>
      <c r="G1166" s="16"/>
    </row>
    <row r="1167" spans="2:7" x14ac:dyDescent="0.25">
      <c r="B1167" s="38"/>
      <c r="C1167" s="14"/>
      <c r="D1167" s="14"/>
      <c r="E1167" s="14"/>
      <c r="F1167" s="14"/>
      <c r="G1167" s="16"/>
    </row>
    <row r="1168" spans="2:7" x14ac:dyDescent="0.25">
      <c r="B1168" s="38"/>
      <c r="C1168" s="14"/>
      <c r="D1168" s="14"/>
      <c r="E1168" s="14"/>
      <c r="F1168" s="14"/>
      <c r="G1168" s="16"/>
    </row>
    <row r="1169" spans="2:7" x14ac:dyDescent="0.25">
      <c r="B1169" s="38"/>
      <c r="C1169" s="14"/>
      <c r="D1169" s="14"/>
      <c r="E1169" s="14"/>
      <c r="F1169" s="14"/>
      <c r="G1169" s="16"/>
    </row>
    <row r="1170" spans="2:7" x14ac:dyDescent="0.25">
      <c r="B1170" s="38"/>
      <c r="C1170" s="14"/>
      <c r="D1170" s="14"/>
      <c r="E1170" s="14"/>
      <c r="F1170" s="14"/>
      <c r="G1170" s="16"/>
    </row>
    <row r="1171" spans="2:7" x14ac:dyDescent="0.25">
      <c r="B1171" s="38"/>
      <c r="C1171" s="14"/>
      <c r="D1171" s="14"/>
      <c r="E1171" s="14"/>
      <c r="F1171" s="14"/>
      <c r="G1171" s="16"/>
    </row>
    <row r="1172" spans="2:7" x14ac:dyDescent="0.25">
      <c r="B1172" s="38"/>
      <c r="C1172" s="14"/>
      <c r="D1172" s="14"/>
      <c r="E1172" s="14"/>
      <c r="F1172" s="14"/>
      <c r="G1172" s="16"/>
    </row>
    <row r="1173" spans="2:7" x14ac:dyDescent="0.25">
      <c r="B1173" s="38"/>
      <c r="C1173" s="14"/>
      <c r="D1173" s="14"/>
      <c r="E1173" s="14"/>
      <c r="F1173" s="14"/>
      <c r="G1173" s="16"/>
    </row>
    <row r="1174" spans="2:7" x14ac:dyDescent="0.25">
      <c r="B1174" s="38"/>
      <c r="C1174" s="14"/>
      <c r="D1174" s="14"/>
      <c r="E1174" s="14"/>
      <c r="F1174" s="14"/>
      <c r="G1174" s="16"/>
    </row>
    <row r="1175" spans="2:7" x14ac:dyDescent="0.25">
      <c r="B1175" s="38"/>
      <c r="C1175" s="14"/>
      <c r="D1175" s="14"/>
      <c r="E1175" s="14"/>
      <c r="F1175" s="14"/>
      <c r="G1175" s="16"/>
    </row>
    <row r="1176" spans="2:7" x14ac:dyDescent="0.25">
      <c r="B1176" s="38"/>
      <c r="C1176" s="14"/>
      <c r="D1176" s="14"/>
      <c r="E1176" s="14"/>
      <c r="F1176" s="14"/>
      <c r="G1176" s="16"/>
    </row>
    <row r="1177" spans="2:7" x14ac:dyDescent="0.25">
      <c r="B1177" s="38"/>
      <c r="C1177" s="14"/>
      <c r="D1177" s="14"/>
      <c r="E1177" s="14"/>
      <c r="F1177" s="14"/>
      <c r="G1177" s="16"/>
    </row>
    <row r="1178" spans="2:7" x14ac:dyDescent="0.25">
      <c r="B1178" s="38"/>
      <c r="C1178" s="14"/>
      <c r="D1178" s="14"/>
      <c r="E1178" s="14"/>
      <c r="F1178" s="14"/>
      <c r="G1178" s="16"/>
    </row>
    <row r="1179" spans="2:7" x14ac:dyDescent="0.25">
      <c r="B1179" s="38"/>
      <c r="C1179" s="14"/>
      <c r="D1179" s="14"/>
      <c r="E1179" s="14"/>
      <c r="F1179" s="14"/>
      <c r="G1179" s="16"/>
    </row>
    <row r="1180" spans="2:7" x14ac:dyDescent="0.25">
      <c r="B1180" s="38"/>
      <c r="C1180" s="14"/>
      <c r="D1180" s="14"/>
      <c r="E1180" s="14"/>
      <c r="F1180" s="14"/>
      <c r="G1180" s="16"/>
    </row>
    <row r="1181" spans="2:7" x14ac:dyDescent="0.25">
      <c r="B1181" s="38"/>
      <c r="C1181" s="14"/>
      <c r="D1181" s="14"/>
      <c r="E1181" s="14"/>
      <c r="F1181" s="14"/>
      <c r="G1181" s="16"/>
    </row>
    <row r="1182" spans="2:7" x14ac:dyDescent="0.25">
      <c r="B1182" s="38"/>
      <c r="C1182" s="14"/>
      <c r="D1182" s="14"/>
      <c r="E1182" s="14"/>
      <c r="F1182" s="14"/>
      <c r="G1182" s="16"/>
    </row>
    <row r="1183" spans="2:7" x14ac:dyDescent="0.25">
      <c r="B1183" s="38"/>
      <c r="C1183" s="14"/>
      <c r="D1183" s="14"/>
      <c r="E1183" s="14"/>
      <c r="F1183" s="14"/>
      <c r="G1183" s="16"/>
    </row>
    <row r="1184" spans="2:7" x14ac:dyDescent="0.25">
      <c r="B1184" s="38"/>
      <c r="C1184" s="14"/>
      <c r="D1184" s="14"/>
      <c r="E1184" s="14"/>
      <c r="F1184" s="14"/>
      <c r="G1184" s="16"/>
    </row>
    <row r="1185" spans="2:7" x14ac:dyDescent="0.25">
      <c r="B1185" s="38"/>
      <c r="C1185" s="14"/>
      <c r="D1185" s="14"/>
      <c r="E1185" s="14"/>
      <c r="F1185" s="14"/>
      <c r="G1185" s="16"/>
    </row>
    <row r="1186" spans="2:7" x14ac:dyDescent="0.25">
      <c r="B1186" s="38"/>
      <c r="C1186" s="14"/>
      <c r="D1186" s="14"/>
      <c r="E1186" s="14"/>
      <c r="F1186" s="14"/>
      <c r="G1186" s="16"/>
    </row>
    <row r="1187" spans="2:7" x14ac:dyDescent="0.25">
      <c r="B1187" s="38"/>
      <c r="C1187" s="14"/>
      <c r="D1187" s="14"/>
      <c r="E1187" s="14"/>
      <c r="F1187" s="14"/>
      <c r="G1187" s="16"/>
    </row>
    <row r="1188" spans="2:7" x14ac:dyDescent="0.25">
      <c r="B1188" s="38"/>
      <c r="C1188" s="14"/>
      <c r="D1188" s="14"/>
      <c r="E1188" s="14"/>
      <c r="F1188" s="14"/>
      <c r="G1188" s="16"/>
    </row>
    <row r="1189" spans="2:7" x14ac:dyDescent="0.25">
      <c r="B1189" s="38"/>
      <c r="C1189" s="14"/>
      <c r="D1189" s="14"/>
      <c r="E1189" s="14"/>
      <c r="F1189" s="14"/>
      <c r="G1189" s="16"/>
    </row>
    <row r="1190" spans="2:7" x14ac:dyDescent="0.25">
      <c r="B1190" s="38"/>
      <c r="C1190" s="14"/>
      <c r="D1190" s="14"/>
      <c r="E1190" s="14"/>
      <c r="F1190" s="14"/>
      <c r="G1190" s="16"/>
    </row>
    <row r="1191" spans="2:7" x14ac:dyDescent="0.25">
      <c r="B1191" s="38"/>
      <c r="C1191" s="14"/>
      <c r="D1191" s="14"/>
      <c r="E1191" s="14"/>
      <c r="F1191" s="14"/>
      <c r="G1191" s="16"/>
    </row>
    <row r="1192" spans="2:7" x14ac:dyDescent="0.25">
      <c r="B1192" s="38"/>
      <c r="C1192" s="14"/>
      <c r="D1192" s="14"/>
      <c r="E1192" s="14"/>
      <c r="F1192" s="14"/>
      <c r="G1192" s="16"/>
    </row>
    <row r="1193" spans="2:7" x14ac:dyDescent="0.25">
      <c r="B1193" s="38"/>
      <c r="C1193" s="14"/>
      <c r="D1193" s="14"/>
      <c r="E1193" s="14"/>
      <c r="F1193" s="14"/>
      <c r="G1193" s="16"/>
    </row>
    <row r="1194" spans="2:7" x14ac:dyDescent="0.25">
      <c r="B1194" s="38"/>
      <c r="C1194" s="14"/>
      <c r="D1194" s="14"/>
      <c r="E1194" s="14"/>
      <c r="F1194" s="14"/>
      <c r="G1194" s="16"/>
    </row>
    <row r="1195" spans="2:7" x14ac:dyDescent="0.25">
      <c r="B1195" s="38"/>
      <c r="C1195" s="14"/>
      <c r="D1195" s="14"/>
      <c r="E1195" s="14"/>
      <c r="F1195" s="14"/>
      <c r="G1195" s="16"/>
    </row>
    <row r="1196" spans="2:7" x14ac:dyDescent="0.25">
      <c r="B1196" s="38"/>
      <c r="C1196" s="14"/>
      <c r="D1196" s="14"/>
      <c r="E1196" s="14"/>
      <c r="F1196" s="14"/>
      <c r="G1196" s="16"/>
    </row>
    <row r="1197" spans="2:7" x14ac:dyDescent="0.25">
      <c r="B1197" s="38"/>
      <c r="C1197" s="14"/>
      <c r="D1197" s="14"/>
      <c r="E1197" s="14"/>
      <c r="F1197" s="14"/>
      <c r="G1197" s="16"/>
    </row>
    <row r="1198" spans="2:7" x14ac:dyDescent="0.25">
      <c r="B1198" s="38"/>
      <c r="C1198" s="14"/>
      <c r="D1198" s="14"/>
      <c r="E1198" s="14"/>
      <c r="F1198" s="14"/>
      <c r="G1198" s="16"/>
    </row>
    <row r="1199" spans="2:7" x14ac:dyDescent="0.25">
      <c r="B1199" s="38"/>
      <c r="C1199" s="14"/>
      <c r="D1199" s="14"/>
      <c r="E1199" s="14"/>
      <c r="F1199" s="14"/>
      <c r="G1199" s="16"/>
    </row>
    <row r="1200" spans="2:7" x14ac:dyDescent="0.25">
      <c r="B1200" s="38"/>
      <c r="C1200" s="14"/>
      <c r="D1200" s="14"/>
      <c r="E1200" s="14"/>
      <c r="F1200" s="14"/>
      <c r="G1200" s="16"/>
    </row>
    <row r="1201" spans="2:7" x14ac:dyDescent="0.25">
      <c r="B1201" s="38"/>
      <c r="C1201" s="14"/>
      <c r="D1201" s="14"/>
      <c r="E1201" s="14"/>
      <c r="F1201" s="14"/>
      <c r="G1201" s="16"/>
    </row>
    <row r="1202" spans="2:7" x14ac:dyDescent="0.25">
      <c r="B1202" s="38"/>
      <c r="C1202" s="14"/>
      <c r="D1202" s="14"/>
      <c r="E1202" s="14"/>
      <c r="F1202" s="14"/>
      <c r="G1202" s="16"/>
    </row>
    <row r="1203" spans="2:7" x14ac:dyDescent="0.25">
      <c r="B1203" s="38"/>
      <c r="C1203" s="14"/>
      <c r="D1203" s="14"/>
      <c r="E1203" s="14"/>
      <c r="F1203" s="14"/>
      <c r="G1203" s="16"/>
    </row>
    <row r="1204" spans="2:7" x14ac:dyDescent="0.25">
      <c r="B1204" s="38"/>
      <c r="C1204" s="14"/>
      <c r="D1204" s="14"/>
      <c r="E1204" s="14"/>
      <c r="F1204" s="14"/>
      <c r="G1204" s="16"/>
    </row>
    <row r="1205" spans="2:7" x14ac:dyDescent="0.25">
      <c r="B1205" s="38"/>
      <c r="C1205" s="14"/>
      <c r="D1205" s="14"/>
      <c r="E1205" s="14"/>
      <c r="F1205" s="14"/>
      <c r="G1205" s="16"/>
    </row>
    <row r="1206" spans="2:7" x14ac:dyDescent="0.25">
      <c r="B1206" s="38"/>
      <c r="C1206" s="14"/>
      <c r="D1206" s="14"/>
      <c r="E1206" s="14"/>
      <c r="F1206" s="14"/>
      <c r="G1206" s="16"/>
    </row>
    <row r="1207" spans="2:7" x14ac:dyDescent="0.25">
      <c r="B1207" s="38"/>
      <c r="C1207" s="14"/>
      <c r="D1207" s="14"/>
      <c r="E1207" s="14"/>
      <c r="F1207" s="14"/>
      <c r="G1207" s="16"/>
    </row>
    <row r="1208" spans="2:7" x14ac:dyDescent="0.25">
      <c r="B1208" s="38"/>
      <c r="C1208" s="14"/>
      <c r="D1208" s="14"/>
      <c r="E1208" s="14"/>
      <c r="F1208" s="14"/>
      <c r="G1208" s="16"/>
    </row>
    <row r="1209" spans="2:7" x14ac:dyDescent="0.25">
      <c r="B1209" s="38"/>
      <c r="C1209" s="14"/>
      <c r="D1209" s="14"/>
      <c r="E1209" s="14"/>
      <c r="F1209" s="14"/>
      <c r="G1209" s="16"/>
    </row>
    <row r="1210" spans="2:7" x14ac:dyDescent="0.25">
      <c r="B1210" s="38"/>
      <c r="C1210" s="14"/>
      <c r="D1210" s="14"/>
      <c r="E1210" s="14"/>
      <c r="F1210" s="14"/>
      <c r="G1210" s="16"/>
    </row>
    <row r="1211" spans="2:7" x14ac:dyDescent="0.25">
      <c r="B1211" s="38"/>
      <c r="C1211" s="14"/>
      <c r="D1211" s="14"/>
      <c r="E1211" s="14"/>
      <c r="F1211" s="14"/>
      <c r="G1211" s="16"/>
    </row>
    <row r="1212" spans="2:7" x14ac:dyDescent="0.25">
      <c r="B1212" s="38"/>
      <c r="C1212" s="14"/>
      <c r="D1212" s="14"/>
      <c r="E1212" s="14"/>
      <c r="F1212" s="14"/>
      <c r="G1212" s="16"/>
    </row>
    <row r="1213" spans="2:7" x14ac:dyDescent="0.25">
      <c r="B1213" s="38"/>
      <c r="C1213" s="14"/>
      <c r="D1213" s="14"/>
      <c r="E1213" s="14"/>
      <c r="F1213" s="14"/>
      <c r="G1213" s="16"/>
    </row>
    <row r="1214" spans="2:7" x14ac:dyDescent="0.25">
      <c r="B1214" s="38"/>
      <c r="C1214" s="14"/>
      <c r="D1214" s="14"/>
      <c r="E1214" s="14"/>
      <c r="F1214" s="14"/>
      <c r="G1214" s="16"/>
    </row>
    <row r="1215" spans="2:7" x14ac:dyDescent="0.25">
      <c r="B1215" s="38"/>
      <c r="C1215" s="14"/>
      <c r="D1215" s="14"/>
      <c r="E1215" s="14"/>
      <c r="F1215" s="14"/>
      <c r="G1215" s="16"/>
    </row>
    <row r="1216" spans="2:7" x14ac:dyDescent="0.25">
      <c r="B1216" s="38"/>
      <c r="C1216" s="14"/>
      <c r="D1216" s="14"/>
      <c r="E1216" s="14"/>
      <c r="F1216" s="14"/>
      <c r="G1216" s="16"/>
    </row>
    <row r="1217" spans="2:7" x14ac:dyDescent="0.25">
      <c r="B1217" s="38"/>
      <c r="C1217" s="14"/>
      <c r="D1217" s="14"/>
      <c r="E1217" s="14"/>
      <c r="F1217" s="14"/>
      <c r="G1217" s="16"/>
    </row>
    <row r="1218" spans="2:7" x14ac:dyDescent="0.25">
      <c r="B1218" s="38"/>
      <c r="C1218" s="14"/>
      <c r="D1218" s="14"/>
      <c r="E1218" s="14"/>
      <c r="F1218" s="14"/>
      <c r="G1218" s="16"/>
    </row>
    <row r="1219" spans="2:7" x14ac:dyDescent="0.25">
      <c r="B1219" s="38"/>
      <c r="C1219" s="14"/>
      <c r="D1219" s="14"/>
      <c r="E1219" s="14"/>
      <c r="F1219" s="14"/>
      <c r="G1219" s="16"/>
    </row>
    <row r="1220" spans="2:7" x14ac:dyDescent="0.25">
      <c r="B1220" s="38"/>
      <c r="C1220" s="14"/>
      <c r="D1220" s="14"/>
      <c r="E1220" s="14"/>
      <c r="F1220" s="14"/>
      <c r="G1220" s="16"/>
    </row>
    <row r="1221" spans="2:7" x14ac:dyDescent="0.25">
      <c r="B1221" s="38"/>
      <c r="C1221" s="14"/>
      <c r="D1221" s="14"/>
      <c r="E1221" s="14"/>
      <c r="F1221" s="14"/>
      <c r="G1221" s="16"/>
    </row>
    <row r="1222" spans="2:7" x14ac:dyDescent="0.25">
      <c r="B1222" s="38"/>
      <c r="C1222" s="14"/>
      <c r="D1222" s="14"/>
      <c r="E1222" s="14"/>
      <c r="F1222" s="14"/>
      <c r="G1222" s="16"/>
    </row>
    <row r="1223" spans="2:7" x14ac:dyDescent="0.25">
      <c r="B1223" s="38"/>
      <c r="C1223" s="14"/>
      <c r="D1223" s="14"/>
      <c r="E1223" s="14"/>
      <c r="F1223" s="14"/>
      <c r="G1223" s="16"/>
    </row>
    <row r="1224" spans="2:7" x14ac:dyDescent="0.25">
      <c r="B1224" s="38"/>
      <c r="C1224" s="14"/>
      <c r="D1224" s="14"/>
      <c r="E1224" s="14"/>
      <c r="F1224" s="14"/>
      <c r="G1224" s="16"/>
    </row>
    <row r="1225" spans="2:7" x14ac:dyDescent="0.25">
      <c r="B1225" s="38"/>
      <c r="C1225" s="14"/>
      <c r="D1225" s="14"/>
      <c r="E1225" s="14"/>
      <c r="F1225" s="14"/>
      <c r="G1225" s="16"/>
    </row>
    <row r="1226" spans="2:7" x14ac:dyDescent="0.25">
      <c r="B1226" s="38"/>
      <c r="C1226" s="14"/>
      <c r="D1226" s="14"/>
      <c r="E1226" s="14"/>
      <c r="F1226" s="14"/>
      <c r="G1226" s="16"/>
    </row>
    <row r="1227" spans="2:7" x14ac:dyDescent="0.25">
      <c r="B1227" s="38"/>
      <c r="C1227" s="14"/>
      <c r="D1227" s="14"/>
      <c r="E1227" s="14"/>
      <c r="F1227" s="14"/>
      <c r="G1227" s="16"/>
    </row>
    <row r="1228" spans="2:7" x14ac:dyDescent="0.25">
      <c r="B1228" s="38"/>
      <c r="C1228" s="14"/>
      <c r="D1228" s="14"/>
      <c r="E1228" s="14"/>
      <c r="F1228" s="14"/>
      <c r="G1228" s="16"/>
    </row>
    <row r="1229" spans="2:7" x14ac:dyDescent="0.25">
      <c r="B1229" s="38"/>
      <c r="C1229" s="14"/>
      <c r="D1229" s="14"/>
      <c r="E1229" s="14"/>
      <c r="F1229" s="14"/>
      <c r="G1229" s="16"/>
    </row>
    <row r="1230" spans="2:7" x14ac:dyDescent="0.25">
      <c r="B1230" s="38"/>
      <c r="C1230" s="14"/>
      <c r="D1230" s="14"/>
      <c r="E1230" s="14"/>
      <c r="F1230" s="14"/>
      <c r="G1230" s="16"/>
    </row>
    <row r="1231" spans="2:7" x14ac:dyDescent="0.25">
      <c r="B1231" s="38"/>
      <c r="C1231" s="14"/>
      <c r="D1231" s="14"/>
      <c r="E1231" s="14"/>
      <c r="F1231" s="14"/>
      <c r="G1231" s="16"/>
    </row>
    <row r="1232" spans="2:7" x14ac:dyDescent="0.25">
      <c r="B1232" s="38"/>
      <c r="C1232" s="14"/>
      <c r="D1232" s="14"/>
      <c r="E1232" s="14"/>
      <c r="F1232" s="14"/>
      <c r="G1232" s="16"/>
    </row>
    <row r="1233" spans="2:7" x14ac:dyDescent="0.25">
      <c r="B1233" s="38"/>
      <c r="C1233" s="14"/>
      <c r="D1233" s="14"/>
      <c r="E1233" s="14"/>
      <c r="F1233" s="14"/>
      <c r="G1233" s="16"/>
    </row>
    <row r="1234" spans="2:7" x14ac:dyDescent="0.25">
      <c r="B1234" s="38"/>
      <c r="C1234" s="14"/>
      <c r="D1234" s="14"/>
      <c r="E1234" s="14"/>
      <c r="F1234" s="14"/>
      <c r="G1234" s="16"/>
    </row>
    <row r="1235" spans="2:7" x14ac:dyDescent="0.25">
      <c r="B1235" s="38"/>
      <c r="C1235" s="14"/>
      <c r="D1235" s="14"/>
      <c r="E1235" s="14"/>
      <c r="F1235" s="14"/>
      <c r="G1235" s="16"/>
    </row>
    <row r="1236" spans="2:7" x14ac:dyDescent="0.25">
      <c r="B1236" s="38"/>
      <c r="C1236" s="14"/>
      <c r="D1236" s="14"/>
      <c r="E1236" s="14"/>
      <c r="F1236" s="14"/>
      <c r="G1236" s="16"/>
    </row>
    <row r="1237" spans="2:7" x14ac:dyDescent="0.25">
      <c r="B1237" s="38"/>
      <c r="C1237" s="14"/>
      <c r="D1237" s="14"/>
      <c r="E1237" s="14"/>
      <c r="F1237" s="14"/>
      <c r="G1237" s="16"/>
    </row>
    <row r="1238" spans="2:7" x14ac:dyDescent="0.25">
      <c r="B1238" s="38"/>
      <c r="C1238" s="14"/>
      <c r="D1238" s="14"/>
      <c r="E1238" s="14"/>
      <c r="F1238" s="14"/>
      <c r="G1238" s="16"/>
    </row>
    <row r="1239" spans="2:7" x14ac:dyDescent="0.25">
      <c r="B1239" s="38"/>
      <c r="C1239" s="14"/>
      <c r="D1239" s="14"/>
      <c r="E1239" s="14"/>
      <c r="F1239" s="14"/>
      <c r="G1239" s="16"/>
    </row>
    <row r="1240" spans="2:7" x14ac:dyDescent="0.25">
      <c r="B1240" s="38"/>
      <c r="C1240" s="14"/>
      <c r="D1240" s="14"/>
      <c r="E1240" s="14"/>
      <c r="F1240" s="14"/>
      <c r="G1240" s="16"/>
    </row>
    <row r="1241" spans="2:7" x14ac:dyDescent="0.25">
      <c r="B1241" s="38"/>
      <c r="C1241" s="14"/>
      <c r="D1241" s="14"/>
      <c r="E1241" s="14"/>
      <c r="F1241" s="14"/>
      <c r="G1241" s="16"/>
    </row>
    <row r="1242" spans="2:7" x14ac:dyDescent="0.25">
      <c r="B1242" s="38"/>
      <c r="C1242" s="14"/>
      <c r="D1242" s="14"/>
      <c r="E1242" s="14"/>
      <c r="F1242" s="14"/>
      <c r="G1242" s="16"/>
    </row>
    <row r="1243" spans="2:7" x14ac:dyDescent="0.25">
      <c r="B1243" s="38"/>
      <c r="C1243" s="14"/>
      <c r="D1243" s="14"/>
      <c r="E1243" s="14"/>
      <c r="F1243" s="14"/>
      <c r="G1243" s="16"/>
    </row>
    <row r="1244" spans="2:7" x14ac:dyDescent="0.25">
      <c r="B1244" s="38"/>
      <c r="C1244" s="14"/>
      <c r="D1244" s="14"/>
      <c r="E1244" s="14"/>
      <c r="F1244" s="14"/>
      <c r="G1244" s="16"/>
    </row>
    <row r="1245" spans="2:7" x14ac:dyDescent="0.25">
      <c r="B1245" s="38"/>
      <c r="C1245" s="14"/>
      <c r="D1245" s="14"/>
      <c r="E1245" s="14"/>
      <c r="F1245" s="14"/>
      <c r="G1245" s="16"/>
    </row>
    <row r="1246" spans="2:7" x14ac:dyDescent="0.25">
      <c r="B1246" s="38"/>
      <c r="C1246" s="14"/>
      <c r="D1246" s="14"/>
      <c r="E1246" s="14"/>
      <c r="F1246" s="14"/>
      <c r="G1246" s="16"/>
    </row>
    <row r="1247" spans="2:7" x14ac:dyDescent="0.25">
      <c r="B1247" s="38"/>
      <c r="C1247" s="14"/>
      <c r="D1247" s="14"/>
      <c r="E1247" s="14"/>
      <c r="F1247" s="14"/>
      <c r="G1247" s="16"/>
    </row>
    <row r="1248" spans="2:7" x14ac:dyDescent="0.25">
      <c r="B1248" s="38"/>
      <c r="C1248" s="14"/>
      <c r="D1248" s="14"/>
      <c r="E1248" s="14"/>
      <c r="F1248" s="14"/>
      <c r="G1248" s="16"/>
    </row>
    <row r="1249" spans="2:7" x14ac:dyDescent="0.25">
      <c r="B1249" s="38"/>
      <c r="C1249" s="14"/>
      <c r="D1249" s="14"/>
      <c r="E1249" s="14"/>
      <c r="F1249" s="14"/>
      <c r="G1249" s="16"/>
    </row>
    <row r="1250" spans="2:7" x14ac:dyDescent="0.25">
      <c r="B1250" s="38"/>
      <c r="C1250" s="14"/>
      <c r="D1250" s="14"/>
      <c r="E1250" s="14"/>
      <c r="F1250" s="14"/>
      <c r="G1250" s="16"/>
    </row>
    <row r="1251" spans="2:7" x14ac:dyDescent="0.25">
      <c r="B1251" s="38"/>
      <c r="C1251" s="14"/>
      <c r="D1251" s="14"/>
      <c r="E1251" s="14"/>
      <c r="F1251" s="14"/>
      <c r="G1251" s="16"/>
    </row>
    <row r="1252" spans="2:7" x14ac:dyDescent="0.25">
      <c r="B1252" s="38"/>
      <c r="C1252" s="14"/>
      <c r="D1252" s="14"/>
      <c r="E1252" s="14"/>
      <c r="F1252" s="14"/>
      <c r="G1252" s="16"/>
    </row>
    <row r="1253" spans="2:7" x14ac:dyDescent="0.25">
      <c r="B1253" s="38"/>
      <c r="C1253" s="14"/>
      <c r="D1253" s="14"/>
      <c r="E1253" s="14"/>
      <c r="F1253" s="14"/>
      <c r="G1253" s="16"/>
    </row>
    <row r="1254" spans="2:7" x14ac:dyDescent="0.25">
      <c r="B1254" s="38"/>
      <c r="C1254" s="14"/>
      <c r="D1254" s="14"/>
      <c r="E1254" s="14"/>
      <c r="F1254" s="14"/>
      <c r="G1254" s="16"/>
    </row>
    <row r="1255" spans="2:7" x14ac:dyDescent="0.25">
      <c r="B1255" s="38"/>
      <c r="C1255" s="14"/>
      <c r="D1255" s="14"/>
      <c r="E1255" s="14"/>
      <c r="F1255" s="14"/>
      <c r="G1255" s="16"/>
    </row>
    <row r="1256" spans="2:7" x14ac:dyDescent="0.25">
      <c r="B1256" s="38"/>
      <c r="C1256" s="14"/>
      <c r="D1256" s="14"/>
      <c r="E1256" s="14"/>
      <c r="F1256" s="14"/>
      <c r="G1256" s="16"/>
    </row>
    <row r="1257" spans="2:7" x14ac:dyDescent="0.25">
      <c r="B1257" s="38"/>
      <c r="C1257" s="14"/>
      <c r="D1257" s="14"/>
      <c r="E1257" s="14"/>
      <c r="F1257" s="14"/>
      <c r="G1257" s="16"/>
    </row>
    <row r="1258" spans="2:7" x14ac:dyDescent="0.25">
      <c r="B1258" s="38"/>
      <c r="C1258" s="14"/>
      <c r="D1258" s="14"/>
      <c r="E1258" s="14"/>
      <c r="F1258" s="14"/>
      <c r="G1258" s="16"/>
    </row>
    <row r="1259" spans="2:7" x14ac:dyDescent="0.25">
      <c r="B1259" s="38"/>
      <c r="C1259" s="14"/>
      <c r="D1259" s="14"/>
      <c r="E1259" s="14"/>
      <c r="F1259" s="14"/>
      <c r="G1259" s="16"/>
    </row>
    <row r="1260" spans="2:7" x14ac:dyDescent="0.25">
      <c r="B1260" s="38"/>
      <c r="C1260" s="14"/>
      <c r="D1260" s="14"/>
      <c r="E1260" s="14"/>
      <c r="F1260" s="14"/>
      <c r="G1260" s="16"/>
    </row>
    <row r="1261" spans="2:7" x14ac:dyDescent="0.25">
      <c r="B1261" s="38"/>
      <c r="C1261" s="14"/>
      <c r="D1261" s="14"/>
      <c r="E1261" s="14"/>
      <c r="F1261" s="14"/>
      <c r="G1261" s="16"/>
    </row>
    <row r="1262" spans="2:7" x14ac:dyDescent="0.25">
      <c r="B1262" s="38"/>
      <c r="C1262" s="14"/>
      <c r="D1262" s="14"/>
      <c r="E1262" s="14"/>
      <c r="F1262" s="14"/>
      <c r="G1262" s="16"/>
    </row>
    <row r="1263" spans="2:7" x14ac:dyDescent="0.25">
      <c r="B1263" s="38"/>
      <c r="C1263" s="14"/>
      <c r="D1263" s="14"/>
      <c r="E1263" s="14"/>
      <c r="F1263" s="14"/>
      <c r="G1263" s="16"/>
    </row>
    <row r="1264" spans="2:7" x14ac:dyDescent="0.25">
      <c r="B1264" s="38"/>
      <c r="C1264" s="14"/>
      <c r="D1264" s="14"/>
      <c r="E1264" s="14"/>
      <c r="F1264" s="14"/>
      <c r="G1264" s="16"/>
    </row>
    <row r="1265" spans="2:7" x14ac:dyDescent="0.25">
      <c r="B1265" s="38"/>
      <c r="C1265" s="14"/>
      <c r="D1265" s="14"/>
      <c r="E1265" s="14"/>
      <c r="F1265" s="14"/>
      <c r="G1265" s="16"/>
    </row>
    <row r="1266" spans="2:7" x14ac:dyDescent="0.25">
      <c r="B1266" s="38"/>
      <c r="C1266" s="14"/>
      <c r="D1266" s="14"/>
      <c r="E1266" s="14"/>
      <c r="F1266" s="14"/>
      <c r="G1266" s="16"/>
    </row>
    <row r="1267" spans="2:7" x14ac:dyDescent="0.25">
      <c r="B1267" s="38"/>
      <c r="C1267" s="14"/>
      <c r="D1267" s="14"/>
      <c r="E1267" s="14"/>
      <c r="F1267" s="14"/>
      <c r="G1267" s="16"/>
    </row>
    <row r="1268" spans="2:7" x14ac:dyDescent="0.25">
      <c r="B1268" s="38"/>
      <c r="C1268" s="14"/>
      <c r="D1268" s="14"/>
      <c r="E1268" s="14"/>
      <c r="F1268" s="14"/>
      <c r="G1268" s="16"/>
    </row>
    <row r="1269" spans="2:7" x14ac:dyDescent="0.25">
      <c r="B1269" s="38"/>
      <c r="C1269" s="14"/>
      <c r="D1269" s="14"/>
      <c r="E1269" s="14"/>
      <c r="F1269" s="14"/>
      <c r="G1269" s="16"/>
    </row>
    <row r="1270" spans="2:7" x14ac:dyDescent="0.25">
      <c r="B1270" s="38"/>
      <c r="C1270" s="14"/>
      <c r="D1270" s="14"/>
      <c r="E1270" s="14"/>
      <c r="F1270" s="14"/>
      <c r="G1270" s="16"/>
    </row>
    <row r="1271" spans="2:7" x14ac:dyDescent="0.25">
      <c r="B1271" s="38"/>
      <c r="C1271" s="14"/>
      <c r="D1271" s="14"/>
      <c r="E1271" s="14"/>
      <c r="F1271" s="14"/>
      <c r="G1271" s="16"/>
    </row>
    <row r="1272" spans="2:7" x14ac:dyDescent="0.25">
      <c r="B1272" s="38"/>
      <c r="C1272" s="14"/>
      <c r="D1272" s="14"/>
      <c r="E1272" s="14"/>
      <c r="F1272" s="14"/>
      <c r="G1272" s="16"/>
    </row>
    <row r="1273" spans="2:7" x14ac:dyDescent="0.25">
      <c r="B1273" s="38"/>
      <c r="C1273" s="14"/>
      <c r="D1273" s="14"/>
      <c r="E1273" s="14"/>
      <c r="F1273" s="14"/>
      <c r="G1273" s="16"/>
    </row>
    <row r="1274" spans="2:7" x14ac:dyDescent="0.25">
      <c r="B1274" s="38"/>
      <c r="C1274" s="14"/>
      <c r="D1274" s="14"/>
      <c r="E1274" s="14"/>
      <c r="F1274" s="14"/>
      <c r="G1274" s="16"/>
    </row>
    <row r="1275" spans="2:7" x14ac:dyDescent="0.25">
      <c r="B1275" s="38"/>
      <c r="C1275" s="14"/>
      <c r="D1275" s="14"/>
      <c r="E1275" s="14"/>
      <c r="F1275" s="14"/>
      <c r="G1275" s="16"/>
    </row>
    <row r="1276" spans="2:7" x14ac:dyDescent="0.25">
      <c r="B1276" s="38"/>
      <c r="C1276" s="14"/>
      <c r="D1276" s="14"/>
      <c r="E1276" s="14"/>
      <c r="F1276" s="14"/>
      <c r="G1276" s="16"/>
    </row>
    <row r="1277" spans="2:7" x14ac:dyDescent="0.25">
      <c r="B1277" s="38"/>
      <c r="C1277" s="14"/>
      <c r="D1277" s="14"/>
      <c r="E1277" s="14"/>
      <c r="F1277" s="14"/>
      <c r="G1277" s="16"/>
    </row>
    <row r="1278" spans="2:7" x14ac:dyDescent="0.25">
      <c r="B1278" s="38"/>
      <c r="C1278" s="14"/>
      <c r="D1278" s="14"/>
      <c r="E1278" s="14"/>
      <c r="F1278" s="14"/>
      <c r="G1278" s="16"/>
    </row>
    <row r="1279" spans="2:7" x14ac:dyDescent="0.25">
      <c r="B1279" s="38"/>
      <c r="C1279" s="14"/>
      <c r="D1279" s="14"/>
      <c r="E1279" s="14"/>
      <c r="F1279" s="14"/>
      <c r="G1279" s="16"/>
    </row>
    <row r="1280" spans="2:7" x14ac:dyDescent="0.25">
      <c r="B1280" s="38"/>
      <c r="C1280" s="14"/>
      <c r="D1280" s="14"/>
      <c r="E1280" s="14"/>
      <c r="F1280" s="14"/>
      <c r="G1280" s="16"/>
    </row>
    <row r="1281" spans="2:7" x14ac:dyDescent="0.25">
      <c r="B1281" s="38"/>
      <c r="C1281" s="14"/>
      <c r="D1281" s="14"/>
      <c r="E1281" s="14"/>
      <c r="F1281" s="14"/>
      <c r="G1281" s="16"/>
    </row>
    <row r="1282" spans="2:7" x14ac:dyDescent="0.25">
      <c r="B1282" s="38"/>
      <c r="C1282" s="14"/>
      <c r="D1282" s="14"/>
      <c r="E1282" s="14"/>
      <c r="F1282" s="14"/>
      <c r="G1282" s="16"/>
    </row>
    <row r="1283" spans="2:7" x14ac:dyDescent="0.25">
      <c r="B1283" s="38"/>
      <c r="C1283" s="14"/>
      <c r="D1283" s="14"/>
      <c r="E1283" s="14"/>
      <c r="F1283" s="14"/>
      <c r="G1283" s="16"/>
    </row>
    <row r="1284" spans="2:7" x14ac:dyDescent="0.25">
      <c r="B1284" s="38"/>
      <c r="C1284" s="14"/>
      <c r="D1284" s="14"/>
      <c r="E1284" s="14"/>
      <c r="F1284" s="14"/>
      <c r="G1284" s="16"/>
    </row>
    <row r="1285" spans="2:7" x14ac:dyDescent="0.25">
      <c r="B1285" s="38"/>
      <c r="C1285" s="14"/>
      <c r="D1285" s="14"/>
      <c r="E1285" s="14"/>
      <c r="F1285" s="14"/>
      <c r="G1285" s="16"/>
    </row>
    <row r="1286" spans="2:7" x14ac:dyDescent="0.25">
      <c r="B1286" s="38"/>
      <c r="C1286" s="14"/>
      <c r="D1286" s="14"/>
      <c r="E1286" s="14"/>
      <c r="F1286" s="14"/>
      <c r="G1286" s="16"/>
    </row>
    <row r="1287" spans="2:7" x14ac:dyDescent="0.25">
      <c r="B1287" s="38"/>
      <c r="C1287" s="14"/>
      <c r="D1287" s="14"/>
      <c r="E1287" s="14"/>
      <c r="F1287" s="14"/>
      <c r="G1287" s="16"/>
    </row>
    <row r="1288" spans="2:7" x14ac:dyDescent="0.25">
      <c r="B1288" s="38"/>
      <c r="C1288" s="14"/>
      <c r="D1288" s="14"/>
      <c r="E1288" s="14"/>
      <c r="F1288" s="14"/>
      <c r="G1288" s="16"/>
    </row>
    <row r="1289" spans="2:7" x14ac:dyDescent="0.25">
      <c r="B1289" s="38"/>
      <c r="C1289" s="14"/>
      <c r="D1289" s="14"/>
      <c r="E1289" s="14"/>
      <c r="F1289" s="14"/>
      <c r="G1289" s="16"/>
    </row>
    <row r="1290" spans="2:7" x14ac:dyDescent="0.25">
      <c r="B1290" s="38"/>
      <c r="C1290" s="14"/>
      <c r="D1290" s="14"/>
      <c r="E1290" s="14"/>
      <c r="F1290" s="14"/>
      <c r="G1290" s="16"/>
    </row>
    <row r="1291" spans="2:7" x14ac:dyDescent="0.25">
      <c r="B1291" s="38"/>
      <c r="C1291" s="14"/>
      <c r="D1291" s="14"/>
      <c r="E1291" s="14"/>
      <c r="F1291" s="14"/>
      <c r="G1291" s="16"/>
    </row>
    <row r="1292" spans="2:7" x14ac:dyDescent="0.25">
      <c r="B1292" s="38"/>
      <c r="C1292" s="14"/>
      <c r="D1292" s="14"/>
      <c r="E1292" s="14"/>
      <c r="F1292" s="14"/>
      <c r="G1292" s="16"/>
    </row>
    <row r="1293" spans="2:7" x14ac:dyDescent="0.25">
      <c r="B1293" s="38"/>
      <c r="C1293" s="14"/>
      <c r="D1293" s="14"/>
      <c r="E1293" s="14"/>
      <c r="F1293" s="14"/>
      <c r="G1293" s="16"/>
    </row>
    <row r="1294" spans="2:7" x14ac:dyDescent="0.25">
      <c r="B1294" s="38"/>
      <c r="C1294" s="14"/>
      <c r="D1294" s="14"/>
      <c r="E1294" s="14"/>
      <c r="F1294" s="14"/>
      <c r="G1294" s="16"/>
    </row>
    <row r="1295" spans="2:7" x14ac:dyDescent="0.25">
      <c r="B1295" s="38"/>
      <c r="C1295" s="14"/>
      <c r="D1295" s="14"/>
      <c r="E1295" s="14"/>
      <c r="F1295" s="14"/>
      <c r="G1295" s="16"/>
    </row>
    <row r="1296" spans="2:7" x14ac:dyDescent="0.25">
      <c r="B1296" s="38"/>
      <c r="C1296" s="14"/>
      <c r="D1296" s="14"/>
      <c r="E1296" s="14"/>
      <c r="F1296" s="14"/>
      <c r="G1296" s="16"/>
    </row>
    <row r="1297" spans="2:7" x14ac:dyDescent="0.25">
      <c r="B1297" s="38"/>
      <c r="C1297" s="14"/>
      <c r="D1297" s="14"/>
      <c r="E1297" s="14"/>
      <c r="F1297" s="14"/>
      <c r="G1297" s="16"/>
    </row>
    <row r="1298" spans="2:7" x14ac:dyDescent="0.25">
      <c r="B1298" s="38"/>
      <c r="C1298" s="14"/>
      <c r="D1298" s="14"/>
      <c r="E1298" s="14"/>
      <c r="F1298" s="14"/>
      <c r="G1298" s="16"/>
    </row>
    <row r="1299" spans="2:7" x14ac:dyDescent="0.25">
      <c r="B1299" s="38"/>
      <c r="C1299" s="14"/>
      <c r="D1299" s="14"/>
      <c r="E1299" s="14"/>
      <c r="F1299" s="14"/>
      <c r="G1299" s="16"/>
    </row>
    <row r="1300" spans="2:7" x14ac:dyDescent="0.25">
      <c r="B1300" s="38"/>
      <c r="C1300" s="14"/>
      <c r="D1300" s="14"/>
      <c r="E1300" s="14"/>
      <c r="F1300" s="14"/>
      <c r="G1300" s="16"/>
    </row>
    <row r="1301" spans="2:7" x14ac:dyDescent="0.25">
      <c r="B1301" s="38"/>
      <c r="C1301" s="14"/>
      <c r="D1301" s="14"/>
      <c r="E1301" s="14"/>
      <c r="F1301" s="14"/>
      <c r="G1301" s="16"/>
    </row>
    <row r="1302" spans="2:7" x14ac:dyDescent="0.25">
      <c r="B1302" s="38"/>
      <c r="C1302" s="14"/>
      <c r="D1302" s="14"/>
      <c r="E1302" s="14"/>
      <c r="F1302" s="14"/>
      <c r="G1302" s="16"/>
    </row>
    <row r="1303" spans="2:7" x14ac:dyDescent="0.25">
      <c r="B1303" s="38"/>
      <c r="C1303" s="14"/>
      <c r="D1303" s="14"/>
      <c r="E1303" s="14"/>
      <c r="F1303" s="14"/>
      <c r="G1303" s="16"/>
    </row>
    <row r="1304" spans="2:7" x14ac:dyDescent="0.25">
      <c r="B1304" s="38"/>
      <c r="C1304" s="14"/>
      <c r="D1304" s="14"/>
      <c r="E1304" s="14"/>
      <c r="F1304" s="14"/>
      <c r="G1304" s="16"/>
    </row>
    <row r="1305" spans="2:7" x14ac:dyDescent="0.25">
      <c r="B1305" s="38"/>
      <c r="C1305" s="14"/>
      <c r="D1305" s="14"/>
      <c r="E1305" s="14"/>
      <c r="F1305" s="14"/>
      <c r="G1305" s="16"/>
    </row>
    <row r="1306" spans="2:7" x14ac:dyDescent="0.25">
      <c r="B1306" s="38"/>
      <c r="C1306" s="14"/>
      <c r="D1306" s="14"/>
      <c r="E1306" s="14"/>
      <c r="F1306" s="14"/>
      <c r="G1306" s="16"/>
    </row>
    <row r="1307" spans="2:7" x14ac:dyDescent="0.25">
      <c r="B1307" s="38"/>
      <c r="C1307" s="14"/>
      <c r="D1307" s="14"/>
      <c r="E1307" s="14"/>
      <c r="F1307" s="14"/>
      <c r="G1307" s="16"/>
    </row>
    <row r="1308" spans="2:7" x14ac:dyDescent="0.25">
      <c r="B1308" s="38"/>
      <c r="C1308" s="14"/>
      <c r="D1308" s="14"/>
      <c r="E1308" s="14"/>
      <c r="F1308" s="14"/>
      <c r="G1308" s="16"/>
    </row>
    <row r="1309" spans="2:7" x14ac:dyDescent="0.25">
      <c r="B1309" s="38"/>
      <c r="C1309" s="14"/>
      <c r="D1309" s="14"/>
      <c r="E1309" s="14"/>
      <c r="F1309" s="14"/>
      <c r="G1309" s="16"/>
    </row>
    <row r="1310" spans="2:7" x14ac:dyDescent="0.25">
      <c r="B1310" s="38"/>
      <c r="C1310" s="14"/>
      <c r="D1310" s="14"/>
      <c r="E1310" s="14"/>
      <c r="F1310" s="14"/>
      <c r="G1310" s="16"/>
    </row>
    <row r="1311" spans="2:7" x14ac:dyDescent="0.25">
      <c r="B1311" s="38"/>
      <c r="C1311" s="14"/>
      <c r="D1311" s="14"/>
      <c r="E1311" s="14"/>
      <c r="F1311" s="14"/>
      <c r="G1311" s="16"/>
    </row>
    <row r="1312" spans="2:7" x14ac:dyDescent="0.25">
      <c r="B1312" s="38"/>
      <c r="C1312" s="14"/>
      <c r="D1312" s="14"/>
      <c r="E1312" s="14"/>
      <c r="F1312" s="14"/>
      <c r="G1312" s="16"/>
    </row>
    <row r="1313" spans="2:7" x14ac:dyDescent="0.25">
      <c r="B1313" s="38"/>
      <c r="C1313" s="14"/>
      <c r="D1313" s="14"/>
      <c r="E1313" s="14"/>
      <c r="F1313" s="14"/>
      <c r="G1313" s="16"/>
    </row>
    <row r="1314" spans="2:7" x14ac:dyDescent="0.25">
      <c r="B1314" s="38"/>
      <c r="C1314" s="14"/>
      <c r="D1314" s="14"/>
      <c r="E1314" s="14"/>
      <c r="F1314" s="14"/>
      <c r="G1314" s="16"/>
    </row>
    <row r="1315" spans="2:7" x14ac:dyDescent="0.25">
      <c r="B1315" s="38"/>
      <c r="C1315" s="14"/>
      <c r="D1315" s="14"/>
      <c r="E1315" s="14"/>
      <c r="F1315" s="14"/>
      <c r="G1315" s="16"/>
    </row>
    <row r="1316" spans="2:7" x14ac:dyDescent="0.25">
      <c r="B1316" s="38"/>
      <c r="C1316" s="14"/>
      <c r="D1316" s="14"/>
      <c r="E1316" s="14"/>
      <c r="F1316" s="14"/>
      <c r="G1316" s="16"/>
    </row>
    <row r="1317" spans="2:7" x14ac:dyDescent="0.25">
      <c r="B1317" s="38"/>
      <c r="C1317" s="14"/>
      <c r="D1317" s="14"/>
      <c r="E1317" s="14"/>
      <c r="F1317" s="14"/>
      <c r="G1317" s="16"/>
    </row>
    <row r="1318" spans="2:7" x14ac:dyDescent="0.25">
      <c r="B1318" s="38"/>
      <c r="C1318" s="14"/>
      <c r="D1318" s="14"/>
      <c r="E1318" s="14"/>
      <c r="F1318" s="14"/>
      <c r="G1318" s="16"/>
    </row>
    <row r="1319" spans="2:7" x14ac:dyDescent="0.25">
      <c r="B1319" s="38"/>
      <c r="C1319" s="14"/>
      <c r="D1319" s="14"/>
      <c r="E1319" s="14"/>
      <c r="F1319" s="14"/>
      <c r="G1319" s="16"/>
    </row>
    <row r="1320" spans="2:7" x14ac:dyDescent="0.25">
      <c r="B1320" s="38"/>
      <c r="C1320" s="14"/>
      <c r="D1320" s="14"/>
      <c r="E1320" s="14"/>
      <c r="F1320" s="14"/>
      <c r="G1320" s="16"/>
    </row>
    <row r="1321" spans="2:7" x14ac:dyDescent="0.25">
      <c r="B1321" s="38"/>
      <c r="C1321" s="14"/>
      <c r="D1321" s="14"/>
      <c r="E1321" s="14"/>
      <c r="F1321" s="14"/>
      <c r="G1321" s="16"/>
    </row>
    <row r="1322" spans="2:7" x14ac:dyDescent="0.25">
      <c r="B1322" s="38"/>
      <c r="C1322" s="14"/>
      <c r="D1322" s="14"/>
      <c r="E1322" s="14"/>
      <c r="F1322" s="14"/>
      <c r="G1322" s="16"/>
    </row>
    <row r="1323" spans="2:7" x14ac:dyDescent="0.25">
      <c r="B1323" s="38"/>
      <c r="C1323" s="14"/>
      <c r="D1323" s="14"/>
      <c r="E1323" s="14"/>
      <c r="F1323" s="14"/>
      <c r="G1323" s="16"/>
    </row>
    <row r="1324" spans="2:7" x14ac:dyDescent="0.25">
      <c r="B1324" s="38"/>
      <c r="C1324" s="14"/>
      <c r="D1324" s="14"/>
      <c r="E1324" s="14"/>
      <c r="F1324" s="14"/>
      <c r="G1324" s="16"/>
    </row>
    <row r="1325" spans="2:7" x14ac:dyDescent="0.25">
      <c r="B1325" s="38"/>
      <c r="C1325" s="14"/>
      <c r="D1325" s="14"/>
      <c r="E1325" s="14"/>
      <c r="F1325" s="14"/>
      <c r="G1325" s="16"/>
    </row>
    <row r="1326" spans="2:7" x14ac:dyDescent="0.25">
      <c r="B1326" s="38"/>
      <c r="C1326" s="14"/>
      <c r="D1326" s="14"/>
      <c r="E1326" s="14"/>
      <c r="F1326" s="14"/>
      <c r="G1326" s="16"/>
    </row>
    <row r="1327" spans="2:7" x14ac:dyDescent="0.25">
      <c r="B1327" s="38"/>
      <c r="C1327" s="14"/>
      <c r="D1327" s="14"/>
      <c r="E1327" s="14"/>
      <c r="F1327" s="14"/>
      <c r="G1327" s="16"/>
    </row>
    <row r="1328" spans="2:7" x14ac:dyDescent="0.25">
      <c r="B1328" s="38"/>
      <c r="C1328" s="14"/>
      <c r="D1328" s="14"/>
      <c r="E1328" s="14"/>
      <c r="F1328" s="14"/>
      <c r="G1328" s="16"/>
    </row>
    <row r="1329" spans="2:7" x14ac:dyDescent="0.25">
      <c r="B1329" s="38"/>
      <c r="C1329" s="14"/>
      <c r="D1329" s="14"/>
      <c r="E1329" s="14"/>
      <c r="F1329" s="14"/>
      <c r="G1329" s="16"/>
    </row>
    <row r="1330" spans="2:7" x14ac:dyDescent="0.25">
      <c r="B1330" s="38"/>
      <c r="C1330" s="14"/>
      <c r="D1330" s="14"/>
      <c r="E1330" s="14"/>
      <c r="F1330" s="14"/>
      <c r="G1330" s="16"/>
    </row>
    <row r="1331" spans="2:7" x14ac:dyDescent="0.25">
      <c r="B1331" s="38"/>
      <c r="C1331" s="14"/>
      <c r="D1331" s="14"/>
      <c r="E1331" s="14"/>
      <c r="F1331" s="14"/>
      <c r="G1331" s="16"/>
    </row>
    <row r="1332" spans="2:7" x14ac:dyDescent="0.25">
      <c r="B1332" s="38"/>
      <c r="C1332" s="14"/>
      <c r="D1332" s="14"/>
      <c r="E1332" s="14"/>
      <c r="F1332" s="14"/>
      <c r="G1332" s="16"/>
    </row>
    <row r="1333" spans="2:7" x14ac:dyDescent="0.25">
      <c r="B1333" s="38"/>
      <c r="C1333" s="14"/>
      <c r="D1333" s="14"/>
      <c r="E1333" s="14"/>
      <c r="F1333" s="14"/>
      <c r="G1333" s="16"/>
    </row>
    <row r="1334" spans="2:7" x14ac:dyDescent="0.25">
      <c r="B1334" s="38"/>
      <c r="C1334" s="14"/>
      <c r="D1334" s="14"/>
      <c r="E1334" s="14"/>
      <c r="F1334" s="14"/>
      <c r="G1334" s="16"/>
    </row>
    <row r="1335" spans="2:7" x14ac:dyDescent="0.25">
      <c r="B1335" s="38"/>
      <c r="C1335" s="14"/>
      <c r="D1335" s="14"/>
      <c r="E1335" s="14"/>
      <c r="F1335" s="14"/>
      <c r="G1335" s="16"/>
    </row>
    <row r="1336" spans="2:7" x14ac:dyDescent="0.25">
      <c r="B1336" s="38"/>
      <c r="C1336" s="14"/>
      <c r="D1336" s="14"/>
      <c r="E1336" s="14"/>
      <c r="F1336" s="14"/>
      <c r="G1336" s="16"/>
    </row>
    <row r="1337" spans="2:7" x14ac:dyDescent="0.25">
      <c r="B1337" s="38"/>
      <c r="C1337" s="14"/>
      <c r="D1337" s="14"/>
      <c r="E1337" s="14"/>
      <c r="F1337" s="14"/>
      <c r="G1337" s="16"/>
    </row>
    <row r="1338" spans="2:7" x14ac:dyDescent="0.25">
      <c r="B1338" s="38"/>
      <c r="C1338" s="14"/>
      <c r="D1338" s="14"/>
      <c r="E1338" s="14"/>
      <c r="F1338" s="14"/>
      <c r="G1338" s="16"/>
    </row>
    <row r="1339" spans="2:7" x14ac:dyDescent="0.25">
      <c r="B1339" s="38"/>
      <c r="C1339" s="14"/>
      <c r="D1339" s="14"/>
      <c r="E1339" s="14"/>
      <c r="F1339" s="14"/>
      <c r="G1339" s="16"/>
    </row>
    <row r="1340" spans="2:7" x14ac:dyDescent="0.25">
      <c r="B1340" s="38"/>
      <c r="C1340" s="14"/>
      <c r="D1340" s="14"/>
      <c r="E1340" s="14"/>
      <c r="F1340" s="14"/>
      <c r="G1340" s="16"/>
    </row>
    <row r="1341" spans="2:7" x14ac:dyDescent="0.25">
      <c r="B1341" s="38"/>
      <c r="C1341" s="14"/>
      <c r="D1341" s="14"/>
      <c r="E1341" s="14"/>
      <c r="F1341" s="14"/>
      <c r="G1341" s="16"/>
    </row>
    <row r="1342" spans="2:7" x14ac:dyDescent="0.25">
      <c r="B1342" s="38"/>
      <c r="C1342" s="14"/>
      <c r="D1342" s="14"/>
      <c r="E1342" s="14"/>
      <c r="F1342" s="14"/>
      <c r="G1342" s="16"/>
    </row>
    <row r="1343" spans="2:7" x14ac:dyDescent="0.25">
      <c r="B1343" s="38"/>
      <c r="C1343" s="14"/>
      <c r="D1343" s="14"/>
      <c r="E1343" s="14"/>
      <c r="F1343" s="14"/>
      <c r="G1343" s="16"/>
    </row>
    <row r="1344" spans="2:7" x14ac:dyDescent="0.25">
      <c r="B1344" s="38"/>
      <c r="C1344" s="14"/>
      <c r="D1344" s="14"/>
      <c r="E1344" s="14"/>
      <c r="F1344" s="14"/>
      <c r="G1344" s="16"/>
    </row>
    <row r="1345" spans="2:7" x14ac:dyDescent="0.25">
      <c r="B1345" s="38"/>
      <c r="C1345" s="14"/>
      <c r="D1345" s="14"/>
      <c r="E1345" s="14"/>
      <c r="F1345" s="14"/>
      <c r="G1345" s="16"/>
    </row>
    <row r="1346" spans="2:7" x14ac:dyDescent="0.25">
      <c r="B1346" s="38"/>
      <c r="C1346" s="14"/>
      <c r="D1346" s="14"/>
      <c r="E1346" s="14"/>
      <c r="F1346" s="14"/>
      <c r="G1346" s="16"/>
    </row>
    <row r="1347" spans="2:7" x14ac:dyDescent="0.25">
      <c r="B1347" s="38"/>
      <c r="C1347" s="14"/>
      <c r="D1347" s="14"/>
      <c r="E1347" s="14"/>
      <c r="F1347" s="14"/>
      <c r="G1347" s="16"/>
    </row>
    <row r="1348" spans="2:7" x14ac:dyDescent="0.25">
      <c r="B1348" s="38"/>
      <c r="C1348" s="14"/>
      <c r="D1348" s="14"/>
      <c r="E1348" s="14"/>
      <c r="F1348" s="14"/>
      <c r="G1348" s="16"/>
    </row>
    <row r="1349" spans="2:7" x14ac:dyDescent="0.25">
      <c r="B1349" s="38"/>
      <c r="C1349" s="14"/>
      <c r="D1349" s="14"/>
      <c r="E1349" s="14"/>
      <c r="F1349" s="14"/>
      <c r="G1349" s="16"/>
    </row>
    <row r="1350" spans="2:7" x14ac:dyDescent="0.25">
      <c r="B1350" s="38"/>
      <c r="C1350" s="14"/>
      <c r="D1350" s="14"/>
      <c r="E1350" s="14"/>
      <c r="F1350" s="14"/>
      <c r="G1350" s="16"/>
    </row>
    <row r="1351" spans="2:7" x14ac:dyDescent="0.25">
      <c r="B1351" s="38"/>
      <c r="C1351" s="14"/>
      <c r="D1351" s="14"/>
      <c r="E1351" s="14"/>
      <c r="F1351" s="14"/>
      <c r="G1351" s="16"/>
    </row>
    <row r="1352" spans="2:7" x14ac:dyDescent="0.25">
      <c r="B1352" s="38"/>
      <c r="C1352" s="14"/>
      <c r="D1352" s="14"/>
      <c r="E1352" s="14"/>
      <c r="F1352" s="14"/>
      <c r="G1352" s="16"/>
    </row>
    <row r="1353" spans="2:7" x14ac:dyDescent="0.25">
      <c r="B1353" s="38"/>
      <c r="C1353" s="14"/>
      <c r="D1353" s="14"/>
      <c r="E1353" s="14"/>
      <c r="F1353" s="14"/>
      <c r="G1353" s="16"/>
    </row>
    <row r="1354" spans="2:7" x14ac:dyDescent="0.25">
      <c r="B1354" s="38"/>
      <c r="C1354" s="14"/>
      <c r="D1354" s="14"/>
      <c r="E1354" s="14"/>
      <c r="F1354" s="14"/>
      <c r="G1354" s="16"/>
    </row>
    <row r="1355" spans="2:7" x14ac:dyDescent="0.25">
      <c r="B1355" s="38"/>
      <c r="C1355" s="14"/>
      <c r="D1355" s="14"/>
      <c r="E1355" s="14"/>
      <c r="F1355" s="14"/>
      <c r="G1355" s="16"/>
    </row>
    <row r="1356" spans="2:7" x14ac:dyDescent="0.25">
      <c r="B1356" s="38"/>
      <c r="C1356" s="14"/>
      <c r="D1356" s="14"/>
      <c r="E1356" s="14"/>
      <c r="F1356" s="14"/>
      <c r="G1356" s="16"/>
    </row>
    <row r="1357" spans="2:7" x14ac:dyDescent="0.25">
      <c r="B1357" s="38"/>
      <c r="C1357" s="14"/>
      <c r="D1357" s="14"/>
      <c r="E1357" s="14"/>
      <c r="F1357" s="14"/>
      <c r="G1357" s="16"/>
    </row>
    <row r="1358" spans="2:7" x14ac:dyDescent="0.25">
      <c r="B1358" s="38"/>
      <c r="C1358" s="14"/>
      <c r="D1358" s="14"/>
      <c r="E1358" s="14"/>
      <c r="F1358" s="14"/>
      <c r="G1358" s="16"/>
    </row>
    <row r="1359" spans="2:7" x14ac:dyDescent="0.25">
      <c r="B1359" s="38"/>
      <c r="C1359" s="14"/>
      <c r="D1359" s="14"/>
      <c r="E1359" s="14"/>
      <c r="F1359" s="14"/>
      <c r="G1359" s="16"/>
    </row>
    <row r="1360" spans="2:7" x14ac:dyDescent="0.25">
      <c r="B1360" s="38"/>
      <c r="C1360" s="14"/>
      <c r="D1360" s="14"/>
      <c r="E1360" s="14"/>
      <c r="F1360" s="14"/>
      <c r="G1360" s="16"/>
    </row>
    <row r="1361" spans="2:7" x14ac:dyDescent="0.25">
      <c r="B1361" s="38"/>
      <c r="C1361" s="14"/>
      <c r="D1361" s="14"/>
      <c r="E1361" s="14"/>
      <c r="F1361" s="14"/>
      <c r="G1361" s="16"/>
    </row>
    <row r="1362" spans="2:7" x14ac:dyDescent="0.25">
      <c r="B1362" s="38"/>
      <c r="C1362" s="14"/>
      <c r="D1362" s="14"/>
      <c r="E1362" s="14"/>
      <c r="F1362" s="14"/>
      <c r="G1362" s="16"/>
    </row>
    <row r="1363" spans="2:7" x14ac:dyDescent="0.25">
      <c r="B1363" s="38"/>
      <c r="C1363" s="14"/>
      <c r="D1363" s="14"/>
      <c r="E1363" s="14"/>
      <c r="F1363" s="14"/>
      <c r="G1363" s="16"/>
    </row>
    <row r="1364" spans="2:7" x14ac:dyDescent="0.25">
      <c r="B1364" s="38"/>
      <c r="C1364" s="14"/>
      <c r="D1364" s="14"/>
      <c r="E1364" s="14"/>
      <c r="F1364" s="14"/>
      <c r="G1364" s="16"/>
    </row>
    <row r="1365" spans="2:7" x14ac:dyDescent="0.25">
      <c r="B1365" s="38"/>
      <c r="C1365" s="14"/>
      <c r="D1365" s="14"/>
      <c r="E1365" s="14"/>
      <c r="F1365" s="14"/>
      <c r="G1365" s="16"/>
    </row>
    <row r="1366" spans="2:7" x14ac:dyDescent="0.25">
      <c r="B1366" s="38"/>
      <c r="C1366" s="14"/>
      <c r="D1366" s="14"/>
      <c r="E1366" s="14"/>
      <c r="F1366" s="14"/>
      <c r="G1366" s="16"/>
    </row>
    <row r="1367" spans="2:7" x14ac:dyDescent="0.25">
      <c r="B1367" s="38"/>
      <c r="C1367" s="14"/>
      <c r="D1367" s="14"/>
      <c r="E1367" s="14"/>
      <c r="F1367" s="14"/>
      <c r="G1367" s="16"/>
    </row>
    <row r="1368" spans="2:7" x14ac:dyDescent="0.25">
      <c r="B1368" s="38"/>
      <c r="C1368" s="14"/>
      <c r="D1368" s="14"/>
      <c r="E1368" s="14"/>
      <c r="F1368" s="14"/>
      <c r="G1368" s="16"/>
    </row>
    <row r="1369" spans="2:7" x14ac:dyDescent="0.25">
      <c r="B1369" s="38"/>
      <c r="C1369" s="14"/>
      <c r="D1369" s="14"/>
      <c r="E1369" s="14"/>
      <c r="F1369" s="14"/>
      <c r="G1369" s="16"/>
    </row>
    <row r="1370" spans="2:7" x14ac:dyDescent="0.25">
      <c r="B1370" s="38"/>
      <c r="C1370" s="14"/>
      <c r="D1370" s="14"/>
      <c r="E1370" s="14"/>
      <c r="F1370" s="14"/>
      <c r="G1370" s="16"/>
    </row>
    <row r="1371" spans="2:7" x14ac:dyDescent="0.25">
      <c r="B1371" s="38"/>
      <c r="C1371" s="14"/>
      <c r="D1371" s="14"/>
      <c r="E1371" s="14"/>
      <c r="F1371" s="14"/>
      <c r="G1371" s="16"/>
    </row>
    <row r="1372" spans="2:7" x14ac:dyDescent="0.25">
      <c r="B1372" s="38"/>
      <c r="C1372" s="14"/>
      <c r="D1372" s="14"/>
      <c r="E1372" s="14"/>
      <c r="F1372" s="14"/>
      <c r="G1372" s="16"/>
    </row>
    <row r="1373" spans="2:7" x14ac:dyDescent="0.25">
      <c r="B1373" s="38"/>
      <c r="C1373" s="14"/>
      <c r="D1373" s="14"/>
      <c r="E1373" s="14"/>
      <c r="F1373" s="14"/>
      <c r="G1373" s="16"/>
    </row>
    <row r="1374" spans="2:7" x14ac:dyDescent="0.25">
      <c r="B1374" s="38"/>
      <c r="C1374" s="14"/>
      <c r="D1374" s="14"/>
      <c r="E1374" s="14"/>
      <c r="F1374" s="14"/>
      <c r="G1374" s="16"/>
    </row>
    <row r="1375" spans="2:7" x14ac:dyDescent="0.25">
      <c r="B1375" s="38"/>
      <c r="C1375" s="14"/>
      <c r="D1375" s="14"/>
      <c r="E1375" s="14"/>
      <c r="F1375" s="14"/>
      <c r="G1375" s="16"/>
    </row>
    <row r="1376" spans="2:7" x14ac:dyDescent="0.25">
      <c r="B1376" s="38"/>
      <c r="C1376" s="14"/>
      <c r="D1376" s="14"/>
      <c r="E1376" s="14"/>
      <c r="F1376" s="14"/>
      <c r="G1376" s="16"/>
    </row>
    <row r="1377" spans="2:7" x14ac:dyDescent="0.25">
      <c r="B1377" s="38"/>
      <c r="C1377" s="14"/>
      <c r="D1377" s="14"/>
      <c r="E1377" s="14"/>
      <c r="F1377" s="14"/>
      <c r="G1377" s="16"/>
    </row>
    <row r="1378" spans="2:7" x14ac:dyDescent="0.25">
      <c r="B1378" s="38"/>
      <c r="C1378" s="14"/>
      <c r="D1378" s="14"/>
      <c r="E1378" s="14"/>
      <c r="F1378" s="14"/>
      <c r="G1378" s="16"/>
    </row>
    <row r="1379" spans="2:7" x14ac:dyDescent="0.25">
      <c r="B1379" s="38"/>
      <c r="C1379" s="14"/>
      <c r="D1379" s="14"/>
      <c r="E1379" s="14"/>
      <c r="F1379" s="14"/>
      <c r="G1379" s="16"/>
    </row>
    <row r="1380" spans="2:7" x14ac:dyDescent="0.25">
      <c r="B1380" s="38"/>
      <c r="C1380" s="14"/>
      <c r="D1380" s="14"/>
      <c r="E1380" s="14"/>
      <c r="F1380" s="14"/>
      <c r="G1380" s="16"/>
    </row>
    <row r="1381" spans="2:7" x14ac:dyDescent="0.25">
      <c r="B1381" s="38"/>
      <c r="C1381" s="14"/>
      <c r="D1381" s="14"/>
      <c r="E1381" s="14"/>
      <c r="F1381" s="14"/>
      <c r="G1381" s="16"/>
    </row>
    <row r="1382" spans="2:7" x14ac:dyDescent="0.25">
      <c r="B1382" s="38"/>
      <c r="C1382" s="14"/>
      <c r="D1382" s="14"/>
      <c r="E1382" s="14"/>
      <c r="F1382" s="14"/>
      <c r="G1382" s="16"/>
    </row>
    <row r="1383" spans="2:7" x14ac:dyDescent="0.25">
      <c r="B1383" s="38"/>
      <c r="C1383" s="14"/>
      <c r="D1383" s="14"/>
      <c r="E1383" s="14"/>
      <c r="F1383" s="14"/>
      <c r="G1383" s="16"/>
    </row>
    <row r="1384" spans="2:7" x14ac:dyDescent="0.25">
      <c r="B1384" s="38"/>
      <c r="C1384" s="14"/>
      <c r="D1384" s="14"/>
      <c r="E1384" s="14"/>
      <c r="F1384" s="14"/>
      <c r="G1384" s="16"/>
    </row>
    <row r="1385" spans="2:7" x14ac:dyDescent="0.25">
      <c r="B1385" s="38"/>
      <c r="C1385" s="14"/>
      <c r="D1385" s="14"/>
      <c r="E1385" s="14"/>
      <c r="F1385" s="14"/>
      <c r="G1385" s="16"/>
    </row>
    <row r="1386" spans="2:7" x14ac:dyDescent="0.25">
      <c r="B1386" s="38"/>
      <c r="C1386" s="14"/>
      <c r="D1386" s="14"/>
      <c r="E1386" s="14"/>
      <c r="F1386" s="14"/>
      <c r="G1386" s="16"/>
    </row>
    <row r="1387" spans="2:7" x14ac:dyDescent="0.25">
      <c r="B1387" s="38"/>
      <c r="C1387" s="14"/>
      <c r="D1387" s="14"/>
      <c r="E1387" s="14"/>
      <c r="F1387" s="14"/>
      <c r="G1387" s="16"/>
    </row>
    <row r="1388" spans="2:7" x14ac:dyDescent="0.25">
      <c r="B1388" s="38"/>
      <c r="C1388" s="14"/>
      <c r="D1388" s="14"/>
      <c r="E1388" s="14"/>
      <c r="F1388" s="14"/>
      <c r="G1388" s="16"/>
    </row>
    <row r="1389" spans="2:7" x14ac:dyDescent="0.25">
      <c r="B1389" s="38"/>
      <c r="C1389" s="14"/>
      <c r="D1389" s="14"/>
      <c r="E1389" s="14"/>
      <c r="F1389" s="14"/>
      <c r="G1389" s="16"/>
    </row>
    <row r="1390" spans="2:7" x14ac:dyDescent="0.25">
      <c r="B1390" s="38"/>
      <c r="C1390" s="14"/>
      <c r="D1390" s="14"/>
      <c r="E1390" s="14"/>
      <c r="F1390" s="14"/>
      <c r="G1390" s="16"/>
    </row>
    <row r="1391" spans="2:7" x14ac:dyDescent="0.25">
      <c r="B1391" s="38"/>
      <c r="C1391" s="14"/>
      <c r="D1391" s="14"/>
      <c r="E1391" s="14"/>
      <c r="F1391" s="14"/>
      <c r="G1391" s="16"/>
    </row>
    <row r="1392" spans="2:7" x14ac:dyDescent="0.25">
      <c r="B1392" s="38"/>
      <c r="C1392" s="14"/>
      <c r="D1392" s="14"/>
      <c r="E1392" s="14"/>
      <c r="F1392" s="14"/>
      <c r="G1392" s="16"/>
    </row>
    <row r="1393" spans="2:7" x14ac:dyDescent="0.25">
      <c r="B1393" s="38"/>
      <c r="C1393" s="14"/>
      <c r="D1393" s="14"/>
      <c r="E1393" s="14"/>
      <c r="F1393" s="14"/>
      <c r="G1393" s="16"/>
    </row>
    <row r="1394" spans="2:7" x14ac:dyDescent="0.25">
      <c r="B1394" s="38"/>
      <c r="C1394" s="14"/>
      <c r="D1394" s="14"/>
      <c r="E1394" s="14"/>
      <c r="F1394" s="14"/>
      <c r="G1394" s="16"/>
    </row>
    <row r="1395" spans="2:7" x14ac:dyDescent="0.25">
      <c r="B1395" s="38"/>
      <c r="C1395" s="14"/>
      <c r="D1395" s="14"/>
      <c r="E1395" s="14"/>
      <c r="F1395" s="14"/>
      <c r="G1395" s="16"/>
    </row>
    <row r="1396" spans="2:7" x14ac:dyDescent="0.25">
      <c r="B1396" s="38"/>
      <c r="C1396" s="14"/>
      <c r="D1396" s="14"/>
      <c r="E1396" s="14"/>
      <c r="F1396" s="14"/>
      <c r="G1396" s="16"/>
    </row>
    <row r="1397" spans="2:7" x14ac:dyDescent="0.25">
      <c r="B1397" s="38"/>
      <c r="C1397" s="14"/>
      <c r="D1397" s="14"/>
      <c r="E1397" s="14"/>
      <c r="F1397" s="14"/>
      <c r="G1397" s="16"/>
    </row>
    <row r="1398" spans="2:7" x14ac:dyDescent="0.25">
      <c r="B1398" s="38"/>
      <c r="C1398" s="14"/>
      <c r="D1398" s="14"/>
      <c r="E1398" s="14"/>
      <c r="F1398" s="14"/>
      <c r="G1398" s="16"/>
    </row>
    <row r="1399" spans="2:7" x14ac:dyDescent="0.25">
      <c r="B1399" s="38"/>
      <c r="C1399" s="14"/>
      <c r="D1399" s="14"/>
      <c r="E1399" s="14"/>
      <c r="F1399" s="14"/>
      <c r="G1399" s="16"/>
    </row>
    <row r="1400" spans="2:7" x14ac:dyDescent="0.25">
      <c r="B1400" s="38"/>
      <c r="C1400" s="14"/>
      <c r="D1400" s="14"/>
      <c r="E1400" s="14"/>
      <c r="F1400" s="14"/>
      <c r="G1400" s="16"/>
    </row>
    <row r="1401" spans="2:7" x14ac:dyDescent="0.25">
      <c r="B1401" s="38"/>
      <c r="C1401" s="14"/>
      <c r="D1401" s="14"/>
      <c r="E1401" s="14"/>
      <c r="F1401" s="14"/>
      <c r="G1401" s="16"/>
    </row>
    <row r="1402" spans="2:7" x14ac:dyDescent="0.25">
      <c r="B1402" s="38"/>
      <c r="C1402" s="14"/>
      <c r="D1402" s="14"/>
      <c r="E1402" s="14"/>
      <c r="F1402" s="14"/>
      <c r="G1402" s="16"/>
    </row>
    <row r="1403" spans="2:7" x14ac:dyDescent="0.25">
      <c r="B1403" s="38"/>
      <c r="C1403" s="14"/>
      <c r="D1403" s="14"/>
      <c r="E1403" s="14"/>
      <c r="F1403" s="14"/>
      <c r="G1403" s="16"/>
    </row>
    <row r="1404" spans="2:7" x14ac:dyDescent="0.25">
      <c r="B1404" s="38"/>
      <c r="C1404" s="14"/>
      <c r="D1404" s="14"/>
      <c r="E1404" s="14"/>
      <c r="F1404" s="14"/>
      <c r="G1404" s="16"/>
    </row>
    <row r="1405" spans="2:7" x14ac:dyDescent="0.25">
      <c r="B1405" s="38"/>
      <c r="C1405" s="14"/>
      <c r="D1405" s="14"/>
      <c r="E1405" s="14"/>
      <c r="F1405" s="14"/>
      <c r="G1405" s="16"/>
    </row>
    <row r="1406" spans="2:7" x14ac:dyDescent="0.25">
      <c r="B1406" s="38"/>
      <c r="C1406" s="14"/>
      <c r="D1406" s="14"/>
      <c r="E1406" s="14"/>
      <c r="F1406" s="14"/>
      <c r="G1406" s="16"/>
    </row>
    <row r="1407" spans="2:7" x14ac:dyDescent="0.25">
      <c r="B1407" s="38"/>
      <c r="C1407" s="14"/>
      <c r="D1407" s="14"/>
      <c r="E1407" s="14"/>
      <c r="F1407" s="14"/>
      <c r="G1407" s="16"/>
    </row>
    <row r="1408" spans="2:7" x14ac:dyDescent="0.25">
      <c r="B1408" s="38"/>
      <c r="C1408" s="14"/>
      <c r="D1408" s="14"/>
      <c r="E1408" s="14"/>
      <c r="F1408" s="14"/>
      <c r="G1408" s="16"/>
    </row>
    <row r="1409" spans="2:7" x14ac:dyDescent="0.25">
      <c r="B1409" s="38"/>
      <c r="C1409" s="14"/>
      <c r="D1409" s="14"/>
      <c r="E1409" s="14"/>
      <c r="F1409" s="14"/>
      <c r="G1409" s="16"/>
    </row>
    <row r="1410" spans="2:7" x14ac:dyDescent="0.25">
      <c r="B1410" s="38"/>
      <c r="C1410" s="14"/>
      <c r="D1410" s="14"/>
      <c r="E1410" s="14"/>
      <c r="F1410" s="14"/>
      <c r="G1410" s="16"/>
    </row>
    <row r="1411" spans="2:7" x14ac:dyDescent="0.25">
      <c r="B1411" s="38"/>
      <c r="C1411" s="14"/>
      <c r="D1411" s="14"/>
      <c r="E1411" s="14"/>
      <c r="F1411" s="14"/>
      <c r="G1411" s="16"/>
    </row>
    <row r="1412" spans="2:7" x14ac:dyDescent="0.25">
      <c r="B1412" s="38"/>
      <c r="C1412" s="14"/>
      <c r="D1412" s="14"/>
      <c r="E1412" s="14"/>
      <c r="F1412" s="14"/>
      <c r="G1412" s="16"/>
    </row>
    <row r="1413" spans="2:7" x14ac:dyDescent="0.25">
      <c r="B1413" s="38"/>
      <c r="C1413" s="14"/>
      <c r="D1413" s="14"/>
      <c r="E1413" s="14"/>
      <c r="F1413" s="14"/>
      <c r="G1413" s="16"/>
    </row>
    <row r="1414" spans="2:7" x14ac:dyDescent="0.25">
      <c r="B1414" s="38"/>
      <c r="C1414" s="14"/>
      <c r="D1414" s="14"/>
      <c r="E1414" s="14"/>
      <c r="F1414" s="14"/>
      <c r="G1414" s="16"/>
    </row>
    <row r="1415" spans="2:7" x14ac:dyDescent="0.25">
      <c r="B1415" s="38"/>
      <c r="C1415" s="14"/>
      <c r="D1415" s="14"/>
      <c r="E1415" s="14"/>
      <c r="F1415" s="14"/>
      <c r="G1415" s="16"/>
    </row>
    <row r="1416" spans="2:7" x14ac:dyDescent="0.25">
      <c r="B1416" s="38"/>
      <c r="C1416" s="14"/>
      <c r="D1416" s="14"/>
      <c r="E1416" s="14"/>
      <c r="F1416" s="14"/>
      <c r="G1416" s="16"/>
    </row>
    <row r="1417" spans="2:7" x14ac:dyDescent="0.25">
      <c r="B1417" s="38"/>
      <c r="C1417" s="14"/>
      <c r="D1417" s="14"/>
      <c r="E1417" s="14"/>
      <c r="F1417" s="14"/>
      <c r="G1417" s="16"/>
    </row>
    <row r="1418" spans="2:7" x14ac:dyDescent="0.25">
      <c r="B1418" s="38"/>
      <c r="C1418" s="14"/>
      <c r="D1418" s="14"/>
      <c r="E1418" s="14"/>
      <c r="F1418" s="14"/>
      <c r="G1418" s="16"/>
    </row>
    <row r="1419" spans="2:7" x14ac:dyDescent="0.25">
      <c r="B1419" s="38"/>
      <c r="C1419" s="14"/>
      <c r="D1419" s="14"/>
      <c r="E1419" s="14"/>
      <c r="F1419" s="14"/>
      <c r="G1419" s="16"/>
    </row>
    <row r="1420" spans="2:7" x14ac:dyDescent="0.25">
      <c r="B1420" s="38"/>
      <c r="C1420" s="14"/>
      <c r="D1420" s="14"/>
      <c r="E1420" s="14"/>
      <c r="F1420" s="14"/>
      <c r="G1420" s="16"/>
    </row>
    <row r="1421" spans="2:7" x14ac:dyDescent="0.25">
      <c r="B1421" s="38"/>
      <c r="C1421" s="14"/>
      <c r="D1421" s="14"/>
      <c r="E1421" s="14"/>
      <c r="F1421" s="14"/>
      <c r="G1421" s="16"/>
    </row>
    <row r="1422" spans="2:7" x14ac:dyDescent="0.25">
      <c r="B1422" s="38"/>
      <c r="C1422" s="14"/>
      <c r="D1422" s="14"/>
      <c r="E1422" s="14"/>
      <c r="F1422" s="14"/>
      <c r="G1422" s="16"/>
    </row>
    <row r="1423" spans="2:7" x14ac:dyDescent="0.25">
      <c r="B1423" s="38"/>
      <c r="C1423" s="14"/>
      <c r="D1423" s="14"/>
      <c r="E1423" s="14"/>
      <c r="F1423" s="14"/>
      <c r="G1423" s="16"/>
    </row>
    <row r="1424" spans="2:7" x14ac:dyDescent="0.25">
      <c r="B1424" s="38"/>
      <c r="C1424" s="14"/>
      <c r="D1424" s="14"/>
      <c r="E1424" s="14"/>
      <c r="F1424" s="14"/>
      <c r="G1424" s="16"/>
    </row>
    <row r="1425" spans="2:7" x14ac:dyDescent="0.25">
      <c r="B1425" s="38"/>
      <c r="C1425" s="14"/>
      <c r="D1425" s="14"/>
      <c r="E1425" s="14"/>
      <c r="F1425" s="14"/>
      <c r="G1425" s="16"/>
    </row>
    <row r="1426" spans="2:7" x14ac:dyDescent="0.25">
      <c r="B1426" s="38"/>
      <c r="C1426" s="14"/>
      <c r="D1426" s="14"/>
      <c r="E1426" s="14"/>
      <c r="F1426" s="14"/>
      <c r="G1426" s="16"/>
    </row>
    <row r="1427" spans="2:7" x14ac:dyDescent="0.25">
      <c r="B1427" s="38"/>
      <c r="C1427" s="14"/>
      <c r="D1427" s="14"/>
      <c r="E1427" s="14"/>
      <c r="F1427" s="14"/>
      <c r="G1427" s="16"/>
    </row>
    <row r="1428" spans="2:7" x14ac:dyDescent="0.25">
      <c r="B1428" s="38"/>
      <c r="C1428" s="14"/>
      <c r="D1428" s="14"/>
      <c r="E1428" s="14"/>
      <c r="F1428" s="14"/>
      <c r="G1428" s="16"/>
    </row>
    <row r="1429" spans="2:7" x14ac:dyDescent="0.25">
      <c r="B1429" s="38"/>
      <c r="C1429" s="14"/>
      <c r="D1429" s="14"/>
      <c r="E1429" s="14"/>
      <c r="F1429" s="14"/>
      <c r="G1429" s="16"/>
    </row>
    <row r="1430" spans="2:7" x14ac:dyDescent="0.25">
      <c r="B1430" s="38"/>
      <c r="C1430" s="14"/>
      <c r="D1430" s="14"/>
      <c r="E1430" s="14"/>
      <c r="F1430" s="14"/>
      <c r="G1430" s="16"/>
    </row>
    <row r="1431" spans="2:7" x14ac:dyDescent="0.25">
      <c r="B1431" s="38"/>
      <c r="C1431" s="14"/>
      <c r="D1431" s="14"/>
      <c r="E1431" s="14"/>
      <c r="F1431" s="14"/>
      <c r="G1431" s="16"/>
    </row>
    <row r="1432" spans="2:7" x14ac:dyDescent="0.25">
      <c r="B1432" s="38"/>
      <c r="C1432" s="14"/>
      <c r="D1432" s="14"/>
      <c r="E1432" s="14"/>
      <c r="F1432" s="14"/>
      <c r="G1432" s="16"/>
    </row>
    <row r="1433" spans="2:7" x14ac:dyDescent="0.25">
      <c r="B1433" s="38"/>
      <c r="C1433" s="14"/>
      <c r="D1433" s="14"/>
      <c r="E1433" s="14"/>
      <c r="F1433" s="14"/>
      <c r="G1433" s="16"/>
    </row>
    <row r="1434" spans="2:7" x14ac:dyDescent="0.25">
      <c r="B1434" s="38"/>
      <c r="C1434" s="14"/>
      <c r="D1434" s="14"/>
      <c r="E1434" s="14"/>
      <c r="F1434" s="14"/>
      <c r="G1434" s="16"/>
    </row>
    <row r="1435" spans="2:7" x14ac:dyDescent="0.25">
      <c r="B1435" s="38"/>
      <c r="C1435" s="14"/>
      <c r="D1435" s="14"/>
      <c r="E1435" s="14"/>
      <c r="F1435" s="14"/>
      <c r="G1435" s="16"/>
    </row>
    <row r="1436" spans="2:7" x14ac:dyDescent="0.25">
      <c r="B1436" s="38"/>
      <c r="C1436" s="14"/>
      <c r="D1436" s="14"/>
      <c r="E1436" s="14"/>
      <c r="F1436" s="14"/>
      <c r="G1436" s="16"/>
    </row>
    <row r="1437" spans="2:7" x14ac:dyDescent="0.25">
      <c r="B1437" s="38"/>
      <c r="C1437" s="14"/>
      <c r="D1437" s="14"/>
      <c r="E1437" s="14"/>
      <c r="F1437" s="14"/>
      <c r="G1437" s="16"/>
    </row>
    <row r="1438" spans="2:7" x14ac:dyDescent="0.25">
      <c r="B1438" s="38"/>
      <c r="C1438" s="14"/>
      <c r="D1438" s="14"/>
      <c r="E1438" s="14"/>
      <c r="F1438" s="14"/>
      <c r="G1438" s="16"/>
    </row>
    <row r="1439" spans="2:7" x14ac:dyDescent="0.25">
      <c r="B1439" s="38"/>
      <c r="C1439" s="14"/>
      <c r="D1439" s="14"/>
      <c r="E1439" s="14"/>
      <c r="F1439" s="14"/>
      <c r="G1439" s="16"/>
    </row>
    <row r="1440" spans="2:7" x14ac:dyDescent="0.25">
      <c r="B1440" s="38"/>
      <c r="C1440" s="14"/>
      <c r="D1440" s="14"/>
      <c r="E1440" s="14"/>
      <c r="F1440" s="14"/>
      <c r="G1440" s="16"/>
    </row>
    <row r="1441" spans="2:7" x14ac:dyDescent="0.25">
      <c r="B1441" s="38"/>
      <c r="C1441" s="14"/>
      <c r="D1441" s="14"/>
      <c r="E1441" s="14"/>
      <c r="F1441" s="14"/>
      <c r="G1441" s="16"/>
    </row>
    <row r="1442" spans="2:7" x14ac:dyDescent="0.25">
      <c r="B1442" s="38"/>
      <c r="C1442" s="14"/>
      <c r="D1442" s="14"/>
      <c r="E1442" s="14"/>
      <c r="F1442" s="14"/>
      <c r="G1442" s="16"/>
    </row>
    <row r="1443" spans="2:7" x14ac:dyDescent="0.25">
      <c r="B1443" s="38"/>
      <c r="C1443" s="14"/>
      <c r="D1443" s="14"/>
      <c r="E1443" s="14"/>
      <c r="F1443" s="14"/>
      <c r="G1443" s="16"/>
    </row>
    <row r="1444" spans="2:7" x14ac:dyDescent="0.25">
      <c r="B1444" s="38"/>
      <c r="C1444" s="14"/>
      <c r="D1444" s="14"/>
      <c r="E1444" s="14"/>
      <c r="F1444" s="14"/>
      <c r="G1444" s="16"/>
    </row>
    <row r="1445" spans="2:7" x14ac:dyDescent="0.25">
      <c r="B1445" s="38"/>
      <c r="C1445" s="14"/>
      <c r="D1445" s="14"/>
      <c r="E1445" s="14"/>
      <c r="F1445" s="14"/>
      <c r="G1445" s="16"/>
    </row>
    <row r="1446" spans="2:7" x14ac:dyDescent="0.25">
      <c r="B1446" s="38"/>
      <c r="C1446" s="14"/>
      <c r="D1446" s="14"/>
      <c r="E1446" s="14"/>
      <c r="F1446" s="14"/>
      <c r="G1446" s="16"/>
    </row>
    <row r="1447" spans="2:7" x14ac:dyDescent="0.25">
      <c r="B1447" s="38"/>
      <c r="C1447" s="14"/>
      <c r="D1447" s="14"/>
      <c r="E1447" s="14"/>
      <c r="F1447" s="14"/>
      <c r="G1447" s="16"/>
    </row>
    <row r="1448" spans="2:7" x14ac:dyDescent="0.25">
      <c r="B1448" s="38"/>
      <c r="C1448" s="14"/>
      <c r="D1448" s="14"/>
      <c r="E1448" s="14"/>
      <c r="F1448" s="14"/>
      <c r="G1448" s="16"/>
    </row>
    <row r="1449" spans="2:7" x14ac:dyDescent="0.25">
      <c r="B1449" s="38"/>
      <c r="C1449" s="14"/>
      <c r="D1449" s="14"/>
      <c r="E1449" s="14"/>
      <c r="F1449" s="14"/>
      <c r="G1449" s="16"/>
    </row>
    <row r="1450" spans="2:7" x14ac:dyDescent="0.25">
      <c r="B1450" s="38"/>
      <c r="C1450" s="14"/>
      <c r="D1450" s="14"/>
      <c r="E1450" s="14"/>
      <c r="F1450" s="14"/>
      <c r="G1450" s="16"/>
    </row>
    <row r="1451" spans="2:7" x14ac:dyDescent="0.25">
      <c r="B1451" s="38"/>
      <c r="C1451" s="14"/>
      <c r="D1451" s="14"/>
      <c r="E1451" s="14"/>
      <c r="F1451" s="14"/>
      <c r="G1451" s="16"/>
    </row>
    <row r="1452" spans="2:7" x14ac:dyDescent="0.25">
      <c r="B1452" s="38"/>
      <c r="C1452" s="14"/>
      <c r="D1452" s="14"/>
      <c r="E1452" s="14"/>
      <c r="F1452" s="14"/>
      <c r="G1452" s="16"/>
    </row>
    <row r="1453" spans="2:7" x14ac:dyDescent="0.25">
      <c r="B1453" s="38"/>
      <c r="C1453" s="14"/>
      <c r="D1453" s="14"/>
      <c r="E1453" s="14"/>
      <c r="F1453" s="14"/>
      <c r="G1453" s="16"/>
    </row>
    <row r="1454" spans="2:7" x14ac:dyDescent="0.25">
      <c r="B1454" s="38"/>
      <c r="C1454" s="14"/>
      <c r="D1454" s="14"/>
      <c r="E1454" s="14"/>
      <c r="F1454" s="14"/>
      <c r="G1454" s="16"/>
    </row>
    <row r="1455" spans="2:7" x14ac:dyDescent="0.25">
      <c r="B1455" s="38"/>
      <c r="C1455" s="14"/>
      <c r="D1455" s="14"/>
      <c r="E1455" s="14"/>
      <c r="F1455" s="14"/>
      <c r="G1455" s="16"/>
    </row>
    <row r="1456" spans="2:7" x14ac:dyDescent="0.25">
      <c r="B1456" s="38"/>
      <c r="C1456" s="14"/>
      <c r="D1456" s="14"/>
      <c r="E1456" s="14"/>
      <c r="F1456" s="14"/>
      <c r="G1456" s="16"/>
    </row>
    <row r="1457" spans="2:7" x14ac:dyDescent="0.25">
      <c r="B1457" s="38"/>
      <c r="C1457" s="14"/>
      <c r="D1457" s="14"/>
      <c r="E1457" s="14"/>
      <c r="F1457" s="14"/>
      <c r="G1457" s="16"/>
    </row>
    <row r="1458" spans="2:7" x14ac:dyDescent="0.25">
      <c r="B1458" s="38"/>
      <c r="C1458" s="14"/>
      <c r="D1458" s="14"/>
      <c r="E1458" s="14"/>
      <c r="F1458" s="14"/>
      <c r="G1458" s="16"/>
    </row>
    <row r="1459" spans="2:7" x14ac:dyDescent="0.25">
      <c r="B1459" s="38"/>
      <c r="C1459" s="14"/>
      <c r="D1459" s="14"/>
      <c r="E1459" s="14"/>
      <c r="F1459" s="14"/>
      <c r="G1459" s="16"/>
    </row>
    <row r="1460" spans="2:7" x14ac:dyDescent="0.25">
      <c r="B1460" s="38"/>
      <c r="C1460" s="14"/>
      <c r="D1460" s="14"/>
      <c r="E1460" s="14"/>
      <c r="F1460" s="14"/>
      <c r="G1460" s="16"/>
    </row>
    <row r="1461" spans="2:7" x14ac:dyDescent="0.25">
      <c r="B1461" s="38"/>
      <c r="C1461" s="14"/>
      <c r="D1461" s="14"/>
      <c r="E1461" s="14"/>
      <c r="F1461" s="14"/>
      <c r="G1461" s="16"/>
    </row>
    <row r="1462" spans="2:7" x14ac:dyDescent="0.25">
      <c r="B1462" s="38"/>
      <c r="C1462" s="14"/>
      <c r="D1462" s="14"/>
      <c r="E1462" s="14"/>
      <c r="F1462" s="14"/>
      <c r="G1462" s="16"/>
    </row>
    <row r="1463" spans="2:7" x14ac:dyDescent="0.25">
      <c r="B1463" s="38"/>
      <c r="C1463" s="14"/>
      <c r="D1463" s="14"/>
      <c r="E1463" s="14"/>
      <c r="F1463" s="14"/>
      <c r="G1463" s="16"/>
    </row>
    <row r="1464" spans="2:7" x14ac:dyDescent="0.25">
      <c r="B1464" s="38"/>
      <c r="C1464" s="14"/>
      <c r="D1464" s="14"/>
      <c r="E1464" s="14"/>
      <c r="F1464" s="14"/>
      <c r="G1464" s="16"/>
    </row>
    <row r="1465" spans="2:7" x14ac:dyDescent="0.25">
      <c r="B1465" s="38"/>
      <c r="C1465" s="14"/>
      <c r="D1465" s="14"/>
      <c r="E1465" s="14"/>
      <c r="F1465" s="14"/>
      <c r="G1465" s="16"/>
    </row>
    <row r="1466" spans="2:7" x14ac:dyDescent="0.25">
      <c r="B1466" s="38"/>
      <c r="C1466" s="14"/>
      <c r="D1466" s="14"/>
      <c r="E1466" s="14"/>
      <c r="F1466" s="14"/>
      <c r="G1466" s="16"/>
    </row>
    <row r="1467" spans="2:7" x14ac:dyDescent="0.25">
      <c r="B1467" s="38"/>
      <c r="C1467" s="14"/>
      <c r="D1467" s="14"/>
      <c r="E1467" s="14"/>
      <c r="F1467" s="14"/>
      <c r="G1467" s="16"/>
    </row>
    <row r="1468" spans="2:7" x14ac:dyDescent="0.25">
      <c r="B1468" s="38"/>
      <c r="C1468" s="14"/>
      <c r="D1468" s="14"/>
      <c r="E1468" s="14"/>
      <c r="F1468" s="14"/>
      <c r="G1468" s="16"/>
    </row>
    <row r="1469" spans="2:7" x14ac:dyDescent="0.25">
      <c r="B1469" s="38"/>
      <c r="C1469" s="14"/>
      <c r="D1469" s="14"/>
      <c r="E1469" s="14"/>
      <c r="F1469" s="14"/>
      <c r="G1469" s="16"/>
    </row>
    <row r="1470" spans="2:7" x14ac:dyDescent="0.25">
      <c r="B1470" s="38"/>
      <c r="C1470" s="14"/>
      <c r="D1470" s="14"/>
      <c r="E1470" s="14"/>
      <c r="F1470" s="14"/>
      <c r="G1470" s="16"/>
    </row>
    <row r="1471" spans="2:7" x14ac:dyDescent="0.25">
      <c r="B1471" s="38"/>
      <c r="C1471" s="14"/>
      <c r="D1471" s="14"/>
      <c r="E1471" s="14"/>
      <c r="F1471" s="14"/>
      <c r="G1471" s="16"/>
    </row>
    <row r="1472" spans="2:7" x14ac:dyDescent="0.25">
      <c r="B1472" s="38"/>
      <c r="C1472" s="14"/>
      <c r="D1472" s="14"/>
      <c r="E1472" s="14"/>
      <c r="F1472" s="14"/>
      <c r="G1472" s="16"/>
    </row>
    <row r="1473" spans="2:7" x14ac:dyDescent="0.25">
      <c r="B1473" s="38"/>
      <c r="C1473" s="14"/>
      <c r="D1473" s="14"/>
      <c r="E1473" s="14"/>
      <c r="F1473" s="14"/>
      <c r="G1473" s="16"/>
    </row>
    <row r="1474" spans="2:7" x14ac:dyDescent="0.25">
      <c r="B1474" s="38"/>
      <c r="C1474" s="14"/>
      <c r="D1474" s="14"/>
      <c r="E1474" s="14"/>
      <c r="F1474" s="14"/>
      <c r="G1474" s="16"/>
    </row>
    <row r="1475" spans="2:7" x14ac:dyDescent="0.25">
      <c r="B1475" s="38"/>
      <c r="C1475" s="14"/>
      <c r="D1475" s="14"/>
      <c r="E1475" s="14"/>
      <c r="F1475" s="14"/>
      <c r="G1475" s="16"/>
    </row>
    <row r="1476" spans="2:7" x14ac:dyDescent="0.25">
      <c r="B1476" s="38"/>
      <c r="C1476" s="14"/>
      <c r="D1476" s="14"/>
      <c r="E1476" s="14"/>
      <c r="F1476" s="14"/>
      <c r="G1476" s="16"/>
    </row>
    <row r="1477" spans="2:7" x14ac:dyDescent="0.25">
      <c r="B1477" s="38"/>
      <c r="C1477" s="14"/>
      <c r="D1477" s="14"/>
      <c r="E1477" s="14"/>
      <c r="F1477" s="14"/>
      <c r="G1477" s="16"/>
    </row>
    <row r="1478" spans="2:7" x14ac:dyDescent="0.25">
      <c r="B1478" s="38"/>
      <c r="C1478" s="14"/>
      <c r="D1478" s="14"/>
      <c r="E1478" s="14"/>
      <c r="F1478" s="14"/>
      <c r="G1478" s="16"/>
    </row>
    <row r="1479" spans="2:7" x14ac:dyDescent="0.25">
      <c r="B1479" s="38"/>
      <c r="C1479" s="14"/>
      <c r="D1479" s="14"/>
      <c r="E1479" s="14"/>
      <c r="F1479" s="14"/>
      <c r="G1479" s="16"/>
    </row>
    <row r="1480" spans="2:7" x14ac:dyDescent="0.25">
      <c r="B1480" s="38"/>
      <c r="C1480" s="14"/>
      <c r="D1480" s="14"/>
      <c r="E1480" s="14"/>
      <c r="F1480" s="14"/>
      <c r="G1480" s="16"/>
    </row>
    <row r="1481" spans="2:7" x14ac:dyDescent="0.25">
      <c r="B1481" s="38"/>
      <c r="C1481" s="14"/>
      <c r="D1481" s="14"/>
      <c r="E1481" s="14"/>
      <c r="F1481" s="14"/>
      <c r="G1481" s="16"/>
    </row>
    <row r="1482" spans="2:7" x14ac:dyDescent="0.25">
      <c r="B1482" s="38"/>
      <c r="C1482" s="14"/>
      <c r="D1482" s="14"/>
      <c r="E1482" s="14"/>
      <c r="F1482" s="14"/>
      <c r="G1482" s="16"/>
    </row>
    <row r="1483" spans="2:7" x14ac:dyDescent="0.25">
      <c r="B1483" s="38"/>
      <c r="C1483" s="14"/>
      <c r="D1483" s="14"/>
      <c r="E1483" s="14"/>
      <c r="F1483" s="14"/>
      <c r="G1483" s="16"/>
    </row>
    <row r="1484" spans="2:7" x14ac:dyDescent="0.25">
      <c r="B1484" s="38"/>
      <c r="C1484" s="14"/>
      <c r="D1484" s="14"/>
      <c r="E1484" s="14"/>
      <c r="F1484" s="14"/>
      <c r="G1484" s="16"/>
    </row>
    <row r="1485" spans="2:7" x14ac:dyDescent="0.25">
      <c r="B1485" s="38"/>
      <c r="C1485" s="14"/>
      <c r="D1485" s="14"/>
      <c r="E1485" s="14"/>
      <c r="F1485" s="14"/>
      <c r="G1485" s="16"/>
    </row>
    <row r="1486" spans="2:7" x14ac:dyDescent="0.25">
      <c r="B1486" s="38"/>
      <c r="C1486" s="14"/>
      <c r="D1486" s="14"/>
      <c r="E1486" s="14"/>
      <c r="F1486" s="14"/>
      <c r="G1486" s="16"/>
    </row>
    <row r="1487" spans="2:7" x14ac:dyDescent="0.25">
      <c r="B1487" s="38"/>
      <c r="C1487" s="14"/>
      <c r="D1487" s="14"/>
      <c r="E1487" s="14"/>
      <c r="F1487" s="14"/>
      <c r="G1487" s="16"/>
    </row>
    <row r="1488" spans="2:7" x14ac:dyDescent="0.25">
      <c r="B1488" s="38"/>
      <c r="C1488" s="14"/>
      <c r="D1488" s="14"/>
      <c r="E1488" s="14"/>
      <c r="F1488" s="14"/>
      <c r="G1488" s="16"/>
    </row>
    <row r="1489" spans="2:7" x14ac:dyDescent="0.25">
      <c r="B1489" s="38"/>
      <c r="C1489" s="14"/>
      <c r="D1489" s="14"/>
      <c r="E1489" s="14"/>
      <c r="F1489" s="14"/>
      <c r="G1489" s="16"/>
    </row>
    <row r="1490" spans="2:7" x14ac:dyDescent="0.25">
      <c r="B1490" s="38"/>
      <c r="C1490" s="14"/>
      <c r="D1490" s="14"/>
      <c r="E1490" s="14"/>
      <c r="F1490" s="14"/>
      <c r="G1490" s="16"/>
    </row>
    <row r="1491" spans="2:7" x14ac:dyDescent="0.25">
      <c r="B1491" s="38"/>
      <c r="C1491" s="14"/>
      <c r="D1491" s="14"/>
      <c r="E1491" s="14"/>
      <c r="F1491" s="14"/>
      <c r="G1491" s="16"/>
    </row>
    <row r="1492" spans="2:7" x14ac:dyDescent="0.25">
      <c r="B1492" s="38"/>
      <c r="C1492" s="14"/>
      <c r="D1492" s="14"/>
      <c r="E1492" s="14"/>
      <c r="F1492" s="14"/>
      <c r="G1492" s="16"/>
    </row>
    <row r="1493" spans="2:7" x14ac:dyDescent="0.25">
      <c r="B1493" s="38"/>
      <c r="C1493" s="14"/>
      <c r="D1493" s="14"/>
      <c r="E1493" s="14"/>
      <c r="F1493" s="14"/>
      <c r="G1493" s="16"/>
    </row>
    <row r="1494" spans="2:7" x14ac:dyDescent="0.25">
      <c r="B1494" s="38"/>
      <c r="C1494" s="14"/>
      <c r="D1494" s="14"/>
      <c r="E1494" s="14"/>
      <c r="F1494" s="14"/>
      <c r="G1494" s="16"/>
    </row>
    <row r="1495" spans="2:7" x14ac:dyDescent="0.25">
      <c r="B1495" s="38"/>
      <c r="C1495" s="14"/>
      <c r="D1495" s="14"/>
      <c r="E1495" s="14"/>
      <c r="F1495" s="14"/>
      <c r="G1495" s="16"/>
    </row>
    <row r="1496" spans="2:7" x14ac:dyDescent="0.25">
      <c r="B1496" s="38"/>
      <c r="C1496" s="14"/>
      <c r="D1496" s="14"/>
      <c r="E1496" s="14"/>
      <c r="F1496" s="14"/>
      <c r="G1496" s="16"/>
    </row>
    <row r="1497" spans="2:7" x14ac:dyDescent="0.25">
      <c r="B1497" s="38"/>
      <c r="C1497" s="14"/>
      <c r="D1497" s="14"/>
      <c r="E1497" s="14"/>
      <c r="F1497" s="14"/>
      <c r="G1497" s="16"/>
    </row>
    <row r="1498" spans="2:7" x14ac:dyDescent="0.25">
      <c r="B1498" s="38"/>
      <c r="C1498" s="14"/>
      <c r="D1498" s="14"/>
      <c r="E1498" s="14"/>
      <c r="F1498" s="14"/>
      <c r="G1498" s="16"/>
    </row>
    <row r="1499" spans="2:7" x14ac:dyDescent="0.25">
      <c r="B1499" s="38"/>
      <c r="C1499" s="14"/>
      <c r="D1499" s="14"/>
      <c r="E1499" s="14"/>
      <c r="F1499" s="14"/>
      <c r="G1499" s="16"/>
    </row>
    <row r="1500" spans="2:7" x14ac:dyDescent="0.25">
      <c r="B1500" s="38"/>
      <c r="C1500" s="14"/>
      <c r="D1500" s="14"/>
      <c r="E1500" s="14"/>
      <c r="F1500" s="14"/>
      <c r="G1500" s="16"/>
    </row>
    <row r="1501" spans="2:7" x14ac:dyDescent="0.25">
      <c r="B1501" s="38"/>
      <c r="C1501" s="14"/>
      <c r="D1501" s="14"/>
      <c r="E1501" s="14"/>
      <c r="F1501" s="14"/>
      <c r="G1501" s="16"/>
    </row>
    <row r="1502" spans="2:7" x14ac:dyDescent="0.25">
      <c r="B1502" s="38"/>
      <c r="C1502" s="14"/>
      <c r="D1502" s="14"/>
      <c r="E1502" s="14"/>
      <c r="F1502" s="14"/>
      <c r="G1502" s="16"/>
    </row>
    <row r="1503" spans="2:7" x14ac:dyDescent="0.25">
      <c r="B1503" s="38"/>
      <c r="C1503" s="14"/>
      <c r="D1503" s="14"/>
      <c r="E1503" s="14"/>
      <c r="F1503" s="14"/>
      <c r="G1503" s="16"/>
    </row>
    <row r="1504" spans="2:7" x14ac:dyDescent="0.25">
      <c r="B1504" s="38"/>
      <c r="C1504" s="14"/>
      <c r="D1504" s="14"/>
      <c r="E1504" s="14"/>
      <c r="F1504" s="14"/>
      <c r="G1504" s="16"/>
    </row>
    <row r="1505" spans="2:7" x14ac:dyDescent="0.25">
      <c r="B1505" s="38"/>
      <c r="C1505" s="14"/>
      <c r="D1505" s="14"/>
      <c r="E1505" s="14"/>
      <c r="F1505" s="14"/>
      <c r="G1505" s="16"/>
    </row>
    <row r="1506" spans="2:7" x14ac:dyDescent="0.25">
      <c r="B1506" s="38"/>
      <c r="C1506" s="14"/>
      <c r="D1506" s="14"/>
      <c r="E1506" s="14"/>
      <c r="F1506" s="14"/>
      <c r="G1506" s="16"/>
    </row>
    <row r="1507" spans="2:7" x14ac:dyDescent="0.25">
      <c r="B1507" s="38"/>
      <c r="C1507" s="14"/>
      <c r="D1507" s="14"/>
      <c r="E1507" s="14"/>
      <c r="F1507" s="14"/>
      <c r="G1507" s="16"/>
    </row>
    <row r="1508" spans="2:7" x14ac:dyDescent="0.25">
      <c r="B1508" s="38"/>
      <c r="C1508" s="14"/>
      <c r="D1508" s="14"/>
      <c r="E1508" s="14"/>
      <c r="F1508" s="14"/>
      <c r="G1508" s="16"/>
    </row>
    <row r="1509" spans="2:7" x14ac:dyDescent="0.25">
      <c r="B1509" s="38"/>
      <c r="C1509" s="14"/>
      <c r="D1509" s="14"/>
      <c r="E1509" s="14"/>
      <c r="F1509" s="14"/>
      <c r="G1509" s="16"/>
    </row>
    <row r="1510" spans="2:7" x14ac:dyDescent="0.25">
      <c r="B1510" s="38"/>
      <c r="C1510" s="14"/>
      <c r="D1510" s="14"/>
      <c r="E1510" s="14"/>
      <c r="F1510" s="14"/>
      <c r="G1510" s="16"/>
    </row>
    <row r="1511" spans="2:7" x14ac:dyDescent="0.25">
      <c r="B1511" s="38"/>
      <c r="C1511" s="14"/>
      <c r="D1511" s="14"/>
      <c r="E1511" s="14"/>
      <c r="F1511" s="14"/>
      <c r="G1511" s="16"/>
    </row>
    <row r="1512" spans="2:7" x14ac:dyDescent="0.25">
      <c r="B1512" s="38"/>
      <c r="C1512" s="14"/>
      <c r="D1512" s="14"/>
      <c r="E1512" s="14"/>
      <c r="F1512" s="14"/>
      <c r="G1512" s="16"/>
    </row>
    <row r="1513" spans="2:7" x14ac:dyDescent="0.25">
      <c r="B1513" s="38"/>
      <c r="C1513" s="14"/>
      <c r="D1513" s="14"/>
      <c r="E1513" s="14"/>
      <c r="F1513" s="14"/>
      <c r="G1513" s="16"/>
    </row>
    <row r="1514" spans="2:7" x14ac:dyDescent="0.25">
      <c r="B1514" s="38"/>
      <c r="C1514" s="14"/>
      <c r="D1514" s="14"/>
      <c r="E1514" s="14"/>
      <c r="F1514" s="14"/>
      <c r="G1514" s="16"/>
    </row>
    <row r="1515" spans="2:7" x14ac:dyDescent="0.25">
      <c r="B1515" s="38"/>
      <c r="C1515" s="14"/>
      <c r="D1515" s="14"/>
      <c r="E1515" s="14"/>
      <c r="F1515" s="14"/>
      <c r="G1515" s="16"/>
    </row>
    <row r="1516" spans="2:7" x14ac:dyDescent="0.25">
      <c r="B1516" s="38"/>
      <c r="C1516" s="14"/>
      <c r="D1516" s="14"/>
      <c r="E1516" s="14"/>
      <c r="F1516" s="14"/>
      <c r="G1516" s="16"/>
    </row>
    <row r="1517" spans="2:7" x14ac:dyDescent="0.25">
      <c r="B1517" s="38"/>
      <c r="C1517" s="14"/>
      <c r="D1517" s="14"/>
      <c r="E1517" s="14"/>
      <c r="F1517" s="14"/>
      <c r="G1517" s="16"/>
    </row>
    <row r="1518" spans="2:7" x14ac:dyDescent="0.25">
      <c r="B1518" s="38"/>
      <c r="C1518" s="14"/>
      <c r="D1518" s="14"/>
      <c r="E1518" s="14"/>
      <c r="F1518" s="14"/>
      <c r="G1518" s="16"/>
    </row>
    <row r="1519" spans="2:7" x14ac:dyDescent="0.25">
      <c r="B1519" s="38"/>
      <c r="C1519" s="14"/>
      <c r="D1519" s="14"/>
      <c r="E1519" s="14"/>
      <c r="F1519" s="14"/>
      <c r="G1519" s="16"/>
    </row>
    <row r="1520" spans="2:7" x14ac:dyDescent="0.25">
      <c r="B1520" s="38"/>
      <c r="C1520" s="14"/>
      <c r="D1520" s="14"/>
      <c r="E1520" s="14"/>
      <c r="F1520" s="14"/>
      <c r="G1520" s="16"/>
    </row>
    <row r="1521" spans="2:7" x14ac:dyDescent="0.25">
      <c r="B1521" s="38"/>
      <c r="C1521" s="14"/>
      <c r="D1521" s="14"/>
      <c r="E1521" s="14"/>
      <c r="F1521" s="14"/>
      <c r="G1521" s="16"/>
    </row>
    <row r="1522" spans="2:7" x14ac:dyDescent="0.25">
      <c r="B1522" s="38"/>
      <c r="C1522" s="14"/>
      <c r="D1522" s="14"/>
      <c r="E1522" s="14"/>
      <c r="F1522" s="14"/>
      <c r="G1522" s="16"/>
    </row>
    <row r="1523" spans="2:7" x14ac:dyDescent="0.25">
      <c r="B1523" s="38"/>
      <c r="C1523" s="14"/>
      <c r="D1523" s="14"/>
      <c r="E1523" s="14"/>
      <c r="F1523" s="14"/>
      <c r="G1523" s="16"/>
    </row>
    <row r="1524" spans="2:7" x14ac:dyDescent="0.25">
      <c r="B1524" s="38"/>
      <c r="C1524" s="14"/>
      <c r="D1524" s="14"/>
      <c r="E1524" s="14"/>
      <c r="F1524" s="14"/>
      <c r="G1524" s="16"/>
    </row>
    <row r="1525" spans="2:7" x14ac:dyDescent="0.25">
      <c r="B1525" s="38"/>
      <c r="C1525" s="14"/>
      <c r="D1525" s="14"/>
      <c r="E1525" s="14"/>
      <c r="F1525" s="14"/>
      <c r="G1525" s="16"/>
    </row>
    <row r="1526" spans="2:7" x14ac:dyDescent="0.25">
      <c r="B1526" s="38"/>
      <c r="C1526" s="14"/>
      <c r="D1526" s="14"/>
      <c r="E1526" s="14"/>
      <c r="F1526" s="14"/>
      <c r="G1526" s="16"/>
    </row>
    <row r="1527" spans="2:7" x14ac:dyDescent="0.25">
      <c r="B1527" s="38"/>
      <c r="C1527" s="14"/>
      <c r="D1527" s="14"/>
      <c r="E1527" s="14"/>
      <c r="F1527" s="14"/>
      <c r="G1527" s="16"/>
    </row>
    <row r="1528" spans="2:7" x14ac:dyDescent="0.25">
      <c r="B1528" s="38"/>
      <c r="C1528" s="14"/>
      <c r="D1528" s="14"/>
      <c r="E1528" s="14"/>
      <c r="F1528" s="14"/>
      <c r="G1528" s="16"/>
    </row>
    <row r="1529" spans="2:7" x14ac:dyDescent="0.25">
      <c r="B1529" s="38"/>
      <c r="C1529" s="14"/>
      <c r="D1529" s="14"/>
      <c r="E1529" s="14"/>
      <c r="F1529" s="14"/>
      <c r="G1529" s="16"/>
    </row>
    <row r="1530" spans="2:7" x14ac:dyDescent="0.25">
      <c r="B1530" s="38"/>
      <c r="C1530" s="14"/>
      <c r="D1530" s="14"/>
      <c r="E1530" s="14"/>
      <c r="F1530" s="14"/>
      <c r="G1530" s="16"/>
    </row>
    <row r="1531" spans="2:7" x14ac:dyDescent="0.25">
      <c r="B1531" s="38"/>
      <c r="C1531" s="14"/>
      <c r="D1531" s="14"/>
      <c r="E1531" s="14"/>
      <c r="F1531" s="14"/>
      <c r="G1531" s="16"/>
    </row>
    <row r="1532" spans="2:7" x14ac:dyDescent="0.25">
      <c r="B1532" s="38"/>
      <c r="C1532" s="14"/>
      <c r="D1532" s="14"/>
      <c r="E1532" s="14"/>
      <c r="F1532" s="14"/>
      <c r="G1532" s="16"/>
    </row>
    <row r="1533" spans="2:7" x14ac:dyDescent="0.25">
      <c r="B1533" s="38"/>
      <c r="C1533" s="14"/>
      <c r="D1533" s="14"/>
      <c r="E1533" s="14"/>
      <c r="F1533" s="14"/>
      <c r="G1533" s="16"/>
    </row>
    <row r="1534" spans="2:7" x14ac:dyDescent="0.25">
      <c r="B1534" s="38"/>
      <c r="C1534" s="14"/>
      <c r="D1534" s="14"/>
      <c r="E1534" s="14"/>
      <c r="F1534" s="14"/>
      <c r="G1534" s="16"/>
    </row>
    <row r="1535" spans="2:7" x14ac:dyDescent="0.25">
      <c r="B1535" s="38"/>
      <c r="C1535" s="14"/>
      <c r="D1535" s="14"/>
      <c r="E1535" s="14"/>
      <c r="F1535" s="14"/>
      <c r="G1535" s="16"/>
    </row>
    <row r="1536" spans="2:7" x14ac:dyDescent="0.25">
      <c r="B1536" s="38"/>
      <c r="C1536" s="14"/>
      <c r="D1536" s="14"/>
      <c r="E1536" s="14"/>
      <c r="F1536" s="14"/>
      <c r="G1536" s="16"/>
    </row>
    <row r="1537" spans="2:7" x14ac:dyDescent="0.25">
      <c r="B1537" s="38"/>
      <c r="C1537" s="14"/>
      <c r="D1537" s="14"/>
      <c r="E1537" s="14"/>
      <c r="F1537" s="14"/>
      <c r="G1537" s="16"/>
    </row>
    <row r="1538" spans="2:7" x14ac:dyDescent="0.25">
      <c r="B1538" s="38"/>
      <c r="C1538" s="14"/>
      <c r="D1538" s="14"/>
      <c r="E1538" s="14"/>
      <c r="F1538" s="14"/>
      <c r="G1538" s="16"/>
    </row>
    <row r="1539" spans="2:7" x14ac:dyDescent="0.25">
      <c r="B1539" s="38"/>
      <c r="C1539" s="14"/>
      <c r="D1539" s="14"/>
      <c r="E1539" s="14"/>
      <c r="F1539" s="14"/>
      <c r="G1539" s="16"/>
    </row>
    <row r="1540" spans="2:7" x14ac:dyDescent="0.25">
      <c r="B1540" s="38"/>
      <c r="C1540" s="14"/>
      <c r="D1540" s="14"/>
      <c r="E1540" s="14"/>
      <c r="F1540" s="14"/>
      <c r="G1540" s="16"/>
    </row>
    <row r="1541" spans="2:7" x14ac:dyDescent="0.25">
      <c r="B1541" s="38"/>
      <c r="C1541" s="14"/>
      <c r="D1541" s="14"/>
      <c r="E1541" s="14"/>
      <c r="F1541" s="14"/>
      <c r="G1541" s="16"/>
    </row>
    <row r="1542" spans="2:7" x14ac:dyDescent="0.25">
      <c r="B1542" s="38"/>
      <c r="C1542" s="14"/>
      <c r="D1542" s="14"/>
      <c r="E1542" s="14"/>
      <c r="F1542" s="14"/>
      <c r="G1542" s="16"/>
    </row>
    <row r="1543" spans="2:7" x14ac:dyDescent="0.25">
      <c r="B1543" s="38"/>
      <c r="C1543" s="14"/>
      <c r="D1543" s="14"/>
      <c r="E1543" s="14"/>
      <c r="F1543" s="14"/>
      <c r="G1543" s="16"/>
    </row>
    <row r="1544" spans="2:7" x14ac:dyDescent="0.25">
      <c r="B1544" s="38"/>
      <c r="C1544" s="14"/>
      <c r="D1544" s="14"/>
      <c r="E1544" s="14"/>
      <c r="F1544" s="14"/>
      <c r="G1544" s="16"/>
    </row>
    <row r="1545" spans="2:7" x14ac:dyDescent="0.25">
      <c r="B1545" s="38"/>
      <c r="C1545" s="14"/>
      <c r="D1545" s="14"/>
      <c r="E1545" s="14"/>
      <c r="F1545" s="14"/>
      <c r="G1545" s="16"/>
    </row>
    <row r="1546" spans="2:7" x14ac:dyDescent="0.25">
      <c r="B1546" s="38"/>
      <c r="C1546" s="14"/>
      <c r="D1546" s="14"/>
      <c r="E1546" s="14"/>
      <c r="F1546" s="14"/>
      <c r="G1546" s="16"/>
    </row>
    <row r="1547" spans="2:7" x14ac:dyDescent="0.25">
      <c r="B1547" s="38"/>
      <c r="C1547" s="14"/>
      <c r="D1547" s="14"/>
      <c r="E1547" s="14"/>
      <c r="F1547" s="14"/>
      <c r="G1547" s="16"/>
    </row>
    <row r="1548" spans="2:7" x14ac:dyDescent="0.25">
      <c r="B1548" s="38"/>
      <c r="C1548" s="14"/>
      <c r="D1548" s="14"/>
      <c r="E1548" s="14"/>
      <c r="F1548" s="14"/>
      <c r="G1548" s="16"/>
    </row>
    <row r="1549" spans="2:7" x14ac:dyDescent="0.25">
      <c r="B1549" s="38"/>
      <c r="C1549" s="14"/>
      <c r="D1549" s="14"/>
      <c r="E1549" s="14"/>
      <c r="F1549" s="14"/>
      <c r="G1549" s="16"/>
    </row>
    <row r="1550" spans="2:7" x14ac:dyDescent="0.25">
      <c r="B1550" s="38"/>
      <c r="C1550" s="14"/>
      <c r="D1550" s="14"/>
      <c r="E1550" s="14"/>
      <c r="F1550" s="14"/>
      <c r="G1550" s="16"/>
    </row>
    <row r="1551" spans="2:7" x14ac:dyDescent="0.25">
      <c r="B1551" s="38"/>
      <c r="C1551" s="14"/>
      <c r="D1551" s="14"/>
      <c r="E1551" s="14"/>
      <c r="F1551" s="14"/>
      <c r="G1551" s="16"/>
    </row>
    <row r="1552" spans="2:7" x14ac:dyDescent="0.25">
      <c r="B1552" s="38"/>
      <c r="C1552" s="14"/>
      <c r="D1552" s="14"/>
      <c r="E1552" s="14"/>
      <c r="F1552" s="14"/>
      <c r="G1552" s="16"/>
    </row>
    <row r="1553" spans="2:7" x14ac:dyDescent="0.25">
      <c r="B1553" s="38"/>
      <c r="C1553" s="14"/>
      <c r="D1553" s="14"/>
      <c r="E1553" s="14"/>
      <c r="F1553" s="14"/>
      <c r="G1553" s="16"/>
    </row>
    <row r="1554" spans="2:7" x14ac:dyDescent="0.25">
      <c r="B1554" s="38"/>
      <c r="C1554" s="14"/>
      <c r="D1554" s="14"/>
      <c r="E1554" s="14"/>
      <c r="F1554" s="14"/>
      <c r="G1554" s="16"/>
    </row>
    <row r="1555" spans="2:7" x14ac:dyDescent="0.25">
      <c r="B1555" s="38"/>
      <c r="C1555" s="14"/>
      <c r="D1555" s="14"/>
      <c r="E1555" s="14"/>
      <c r="F1555" s="14"/>
      <c r="G1555" s="16"/>
    </row>
    <row r="1556" spans="2:7" x14ac:dyDescent="0.25">
      <c r="B1556" s="38"/>
      <c r="C1556" s="14"/>
      <c r="D1556" s="14"/>
      <c r="E1556" s="14"/>
      <c r="F1556" s="14"/>
      <c r="G1556" s="16"/>
    </row>
    <row r="1557" spans="2:7" x14ac:dyDescent="0.25">
      <c r="B1557" s="38"/>
      <c r="C1557" s="14"/>
      <c r="D1557" s="14"/>
      <c r="E1557" s="14"/>
      <c r="F1557" s="14"/>
      <c r="G1557" s="16"/>
    </row>
    <row r="1558" spans="2:7" x14ac:dyDescent="0.25">
      <c r="B1558" s="38"/>
      <c r="C1558" s="14"/>
      <c r="D1558" s="14"/>
      <c r="E1558" s="14"/>
      <c r="F1558" s="14"/>
      <c r="G1558" s="16"/>
    </row>
    <row r="1559" spans="2:7" x14ac:dyDescent="0.25">
      <c r="B1559" s="38"/>
      <c r="C1559" s="14"/>
      <c r="D1559" s="14"/>
      <c r="E1559" s="14"/>
      <c r="F1559" s="14"/>
      <c r="G1559" s="16"/>
    </row>
    <row r="1560" spans="2:7" x14ac:dyDescent="0.25">
      <c r="B1560" s="38"/>
      <c r="C1560" s="14"/>
      <c r="D1560" s="14"/>
      <c r="E1560" s="14"/>
      <c r="F1560" s="14"/>
      <c r="G1560" s="16"/>
    </row>
    <row r="1561" spans="2:7" x14ac:dyDescent="0.25">
      <c r="B1561" s="38"/>
      <c r="C1561" s="14"/>
      <c r="D1561" s="14"/>
      <c r="E1561" s="14"/>
      <c r="F1561" s="14"/>
      <c r="G1561" s="16"/>
    </row>
    <row r="1562" spans="2:7" x14ac:dyDescent="0.25">
      <c r="B1562" s="38"/>
      <c r="C1562" s="14"/>
      <c r="D1562" s="14"/>
      <c r="E1562" s="14"/>
      <c r="F1562" s="14"/>
      <c r="G1562" s="16"/>
    </row>
    <row r="1563" spans="2:7" x14ac:dyDescent="0.25">
      <c r="B1563" s="38"/>
      <c r="C1563" s="14"/>
      <c r="D1563" s="14"/>
      <c r="E1563" s="14"/>
      <c r="F1563" s="14"/>
      <c r="G1563" s="16"/>
    </row>
    <row r="1564" spans="2:7" x14ac:dyDescent="0.25">
      <c r="B1564" s="38"/>
      <c r="C1564" s="14"/>
      <c r="D1564" s="14"/>
      <c r="E1564" s="14"/>
      <c r="F1564" s="14"/>
      <c r="G1564" s="16"/>
    </row>
    <row r="1565" spans="2:7" x14ac:dyDescent="0.25">
      <c r="B1565" s="38"/>
      <c r="C1565" s="14"/>
      <c r="D1565" s="14"/>
      <c r="E1565" s="14"/>
      <c r="F1565" s="14"/>
      <c r="G1565" s="16"/>
    </row>
    <row r="1566" spans="2:7" x14ac:dyDescent="0.25">
      <c r="B1566" s="38"/>
      <c r="C1566" s="14"/>
      <c r="D1566" s="14"/>
      <c r="E1566" s="14"/>
      <c r="F1566" s="14"/>
      <c r="G1566" s="16"/>
    </row>
    <row r="1567" spans="2:7" x14ac:dyDescent="0.25">
      <c r="B1567" s="38"/>
      <c r="C1567" s="14"/>
      <c r="D1567" s="14"/>
      <c r="E1567" s="14"/>
      <c r="F1567" s="14"/>
      <c r="G1567" s="16"/>
    </row>
    <row r="1568" spans="2:7" x14ac:dyDescent="0.25">
      <c r="B1568" s="38"/>
      <c r="C1568" s="14"/>
      <c r="D1568" s="14"/>
      <c r="E1568" s="14"/>
      <c r="F1568" s="14"/>
      <c r="G1568" s="16"/>
    </row>
    <row r="1569" spans="2:7" x14ac:dyDescent="0.25">
      <c r="B1569" s="38"/>
      <c r="C1569" s="14"/>
      <c r="D1569" s="14"/>
      <c r="E1569" s="14"/>
      <c r="F1569" s="14"/>
      <c r="G1569" s="16"/>
    </row>
    <row r="1570" spans="2:7" x14ac:dyDescent="0.25">
      <c r="B1570" s="38"/>
      <c r="C1570" s="14"/>
      <c r="D1570" s="14"/>
      <c r="E1570" s="14"/>
      <c r="F1570" s="14"/>
      <c r="G1570" s="16"/>
    </row>
    <row r="1571" spans="2:7" x14ac:dyDescent="0.25">
      <c r="B1571" s="38"/>
      <c r="C1571" s="14"/>
      <c r="D1571" s="14"/>
      <c r="E1571" s="14"/>
      <c r="F1571" s="14"/>
      <c r="G1571" s="16"/>
    </row>
    <row r="1572" spans="2:7" x14ac:dyDescent="0.25">
      <c r="B1572" s="38"/>
      <c r="C1572" s="14"/>
      <c r="D1572" s="14"/>
      <c r="E1572" s="14"/>
      <c r="F1572" s="14"/>
      <c r="G1572" s="16"/>
    </row>
    <row r="1573" spans="2:7" x14ac:dyDescent="0.25">
      <c r="B1573" s="38"/>
      <c r="C1573" s="14"/>
      <c r="D1573" s="14"/>
      <c r="E1573" s="14"/>
      <c r="F1573" s="14"/>
      <c r="G1573" s="16"/>
    </row>
    <row r="1574" spans="2:7" x14ac:dyDescent="0.25">
      <c r="B1574" s="38"/>
      <c r="C1574" s="14"/>
      <c r="D1574" s="14"/>
      <c r="E1574" s="14"/>
      <c r="F1574" s="14"/>
      <c r="G1574" s="16"/>
    </row>
    <row r="1575" spans="2:7" x14ac:dyDescent="0.25">
      <c r="B1575" s="38"/>
      <c r="C1575" s="14"/>
      <c r="D1575" s="14"/>
      <c r="E1575" s="14"/>
      <c r="F1575" s="14"/>
      <c r="G1575" s="16"/>
    </row>
    <row r="1576" spans="2:7" x14ac:dyDescent="0.25">
      <c r="B1576" s="38"/>
      <c r="C1576" s="14"/>
      <c r="D1576" s="14"/>
      <c r="E1576" s="14"/>
      <c r="F1576" s="14"/>
      <c r="G1576" s="16"/>
    </row>
    <row r="1577" spans="2:7" x14ac:dyDescent="0.25">
      <c r="B1577" s="38"/>
      <c r="C1577" s="14"/>
      <c r="D1577" s="14"/>
      <c r="E1577" s="14"/>
      <c r="F1577" s="14"/>
      <c r="G1577" s="16"/>
    </row>
    <row r="1578" spans="2:7" x14ac:dyDescent="0.25">
      <c r="B1578" s="38"/>
      <c r="C1578" s="14"/>
      <c r="D1578" s="14"/>
      <c r="E1578" s="14"/>
      <c r="F1578" s="14"/>
      <c r="G1578" s="16"/>
    </row>
    <row r="1579" spans="2:7" x14ac:dyDescent="0.25">
      <c r="B1579" s="38"/>
      <c r="C1579" s="14"/>
      <c r="D1579" s="14"/>
      <c r="E1579" s="14"/>
      <c r="F1579" s="14"/>
      <c r="G1579" s="16"/>
    </row>
    <row r="1580" spans="2:7" x14ac:dyDescent="0.25">
      <c r="B1580" s="38"/>
      <c r="C1580" s="14"/>
      <c r="D1580" s="14"/>
      <c r="E1580" s="14"/>
      <c r="F1580" s="14"/>
      <c r="G1580" s="16"/>
    </row>
    <row r="1581" spans="2:7" x14ac:dyDescent="0.25">
      <c r="B1581" s="38"/>
      <c r="C1581" s="14"/>
      <c r="D1581" s="14"/>
      <c r="E1581" s="14"/>
      <c r="F1581" s="14"/>
      <c r="G1581" s="16"/>
    </row>
    <row r="1582" spans="2:7" x14ac:dyDescent="0.25">
      <c r="B1582" s="38"/>
      <c r="C1582" s="14"/>
      <c r="D1582" s="14"/>
      <c r="E1582" s="14"/>
      <c r="F1582" s="14"/>
      <c r="G1582" s="16"/>
    </row>
    <row r="1583" spans="2:7" x14ac:dyDescent="0.25">
      <c r="B1583" s="38"/>
      <c r="C1583" s="14"/>
      <c r="D1583" s="14"/>
      <c r="E1583" s="14"/>
      <c r="F1583" s="14"/>
      <c r="G1583" s="16"/>
    </row>
    <row r="1584" spans="2:7" x14ac:dyDescent="0.25">
      <c r="B1584" s="38"/>
      <c r="C1584" s="14"/>
      <c r="D1584" s="14"/>
      <c r="E1584" s="14"/>
      <c r="F1584" s="14"/>
      <c r="G1584" s="16"/>
    </row>
    <row r="1585" spans="2:7" x14ac:dyDescent="0.25">
      <c r="B1585" s="38"/>
      <c r="C1585" s="14"/>
      <c r="D1585" s="14"/>
      <c r="E1585" s="14"/>
      <c r="F1585" s="14"/>
      <c r="G1585" s="16"/>
    </row>
    <row r="1586" spans="2:7" x14ac:dyDescent="0.25">
      <c r="B1586" s="38"/>
      <c r="C1586" s="14"/>
      <c r="D1586" s="14"/>
      <c r="E1586" s="14"/>
      <c r="F1586" s="14"/>
      <c r="G1586" s="16"/>
    </row>
    <row r="1587" spans="2:7" x14ac:dyDescent="0.25">
      <c r="B1587" s="38"/>
      <c r="C1587" s="14"/>
      <c r="D1587" s="14"/>
      <c r="E1587" s="14"/>
      <c r="F1587" s="14"/>
      <c r="G1587" s="16"/>
    </row>
    <row r="1588" spans="2:7" x14ac:dyDescent="0.25">
      <c r="B1588" s="38"/>
      <c r="C1588" s="14"/>
      <c r="D1588" s="14"/>
      <c r="E1588" s="14"/>
      <c r="F1588" s="14"/>
      <c r="G1588" s="16"/>
    </row>
    <row r="1589" spans="2:7" x14ac:dyDescent="0.25">
      <c r="B1589" s="38"/>
      <c r="C1589" s="14"/>
      <c r="D1589" s="14"/>
      <c r="E1589" s="14"/>
      <c r="F1589" s="14"/>
      <c r="G1589" s="16"/>
    </row>
    <row r="1590" spans="2:7" x14ac:dyDescent="0.25">
      <c r="B1590" s="38"/>
      <c r="C1590" s="14"/>
      <c r="D1590" s="14"/>
      <c r="E1590" s="14"/>
      <c r="F1590" s="14"/>
      <c r="G1590" s="16"/>
    </row>
    <row r="1591" spans="2:7" x14ac:dyDescent="0.25">
      <c r="B1591" s="38"/>
      <c r="C1591" s="14"/>
      <c r="D1591" s="14"/>
      <c r="E1591" s="14"/>
      <c r="F1591" s="14"/>
      <c r="G1591" s="16"/>
    </row>
    <row r="1592" spans="2:7" x14ac:dyDescent="0.25">
      <c r="B1592" s="38"/>
      <c r="C1592" s="14"/>
      <c r="D1592" s="14"/>
      <c r="E1592" s="14"/>
      <c r="F1592" s="14"/>
      <c r="G1592" s="16"/>
    </row>
    <row r="1593" spans="2:7" x14ac:dyDescent="0.25">
      <c r="B1593" s="38"/>
      <c r="C1593" s="14"/>
      <c r="D1593" s="14"/>
      <c r="E1593" s="14"/>
      <c r="F1593" s="14"/>
      <c r="G1593" s="16"/>
    </row>
    <row r="1594" spans="2:7" x14ac:dyDescent="0.25">
      <c r="B1594" s="38"/>
      <c r="C1594" s="14"/>
      <c r="D1594" s="14"/>
      <c r="E1594" s="14"/>
      <c r="F1594" s="14"/>
      <c r="G1594" s="16"/>
    </row>
    <row r="1595" spans="2:7" x14ac:dyDescent="0.25">
      <c r="B1595" s="38"/>
      <c r="C1595" s="14"/>
      <c r="D1595" s="14"/>
      <c r="E1595" s="14"/>
      <c r="F1595" s="14"/>
      <c r="G1595" s="16"/>
    </row>
    <row r="1596" spans="2:7" x14ac:dyDescent="0.25">
      <c r="B1596" s="38"/>
      <c r="C1596" s="14"/>
      <c r="D1596" s="14"/>
      <c r="E1596" s="14"/>
      <c r="F1596" s="14"/>
      <c r="G1596" s="16"/>
    </row>
    <row r="1597" spans="2:7" x14ac:dyDescent="0.25">
      <c r="B1597" s="38"/>
      <c r="C1597" s="14"/>
      <c r="D1597" s="14"/>
      <c r="E1597" s="14"/>
      <c r="F1597" s="14"/>
      <c r="G1597" s="16"/>
    </row>
    <row r="1598" spans="2:7" x14ac:dyDescent="0.25">
      <c r="B1598" s="38"/>
      <c r="C1598" s="14"/>
      <c r="D1598" s="14"/>
      <c r="E1598" s="14"/>
      <c r="F1598" s="14"/>
      <c r="G1598" s="16"/>
    </row>
    <row r="1599" spans="2:7" x14ac:dyDescent="0.25">
      <c r="B1599" s="38"/>
      <c r="C1599" s="14"/>
      <c r="D1599" s="14"/>
      <c r="E1599" s="14"/>
      <c r="F1599" s="14"/>
      <c r="G1599" s="16"/>
    </row>
    <row r="1600" spans="2:7" x14ac:dyDescent="0.25">
      <c r="B1600" s="38"/>
      <c r="C1600" s="14"/>
      <c r="D1600" s="14"/>
      <c r="E1600" s="14"/>
      <c r="F1600" s="14"/>
      <c r="G1600" s="16"/>
    </row>
    <row r="1601" spans="2:7" x14ac:dyDescent="0.25">
      <c r="B1601" s="38"/>
      <c r="C1601" s="14"/>
      <c r="D1601" s="14"/>
      <c r="E1601" s="14"/>
      <c r="F1601" s="14"/>
      <c r="G1601" s="16"/>
    </row>
    <row r="1602" spans="2:7" x14ac:dyDescent="0.25">
      <c r="B1602" s="38"/>
      <c r="C1602" s="14"/>
      <c r="D1602" s="14"/>
      <c r="E1602" s="14"/>
      <c r="F1602" s="14"/>
      <c r="G1602" s="16"/>
    </row>
    <row r="1603" spans="2:7" x14ac:dyDescent="0.25">
      <c r="B1603" s="38"/>
      <c r="C1603" s="14"/>
      <c r="D1603" s="14"/>
      <c r="E1603" s="14"/>
      <c r="F1603" s="14"/>
      <c r="G1603" s="16"/>
    </row>
    <row r="1604" spans="2:7" x14ac:dyDescent="0.25">
      <c r="B1604" s="38"/>
      <c r="C1604" s="14"/>
      <c r="D1604" s="14"/>
      <c r="E1604" s="14"/>
      <c r="F1604" s="14"/>
      <c r="G1604" s="16"/>
    </row>
    <row r="1605" spans="2:7" x14ac:dyDescent="0.25">
      <c r="B1605" s="38"/>
      <c r="C1605" s="14"/>
      <c r="D1605" s="14"/>
      <c r="E1605" s="14"/>
      <c r="F1605" s="14"/>
      <c r="G1605" s="16"/>
    </row>
    <row r="1606" spans="2:7" x14ac:dyDescent="0.25">
      <c r="B1606" s="38"/>
      <c r="C1606" s="14"/>
      <c r="D1606" s="14"/>
      <c r="E1606" s="14"/>
      <c r="F1606" s="14"/>
      <c r="G1606" s="16"/>
    </row>
    <row r="1607" spans="2:7" x14ac:dyDescent="0.25">
      <c r="B1607" s="38"/>
      <c r="C1607" s="14"/>
      <c r="D1607" s="14"/>
      <c r="E1607" s="14"/>
      <c r="F1607" s="14"/>
      <c r="G1607" s="16"/>
    </row>
    <row r="1608" spans="2:7" x14ac:dyDescent="0.25">
      <c r="B1608" s="38"/>
      <c r="C1608" s="14"/>
      <c r="D1608" s="14"/>
      <c r="E1608" s="14"/>
      <c r="F1608" s="14"/>
      <c r="G1608" s="16"/>
    </row>
    <row r="1609" spans="2:7" x14ac:dyDescent="0.25">
      <c r="B1609" s="38"/>
      <c r="C1609" s="14"/>
      <c r="D1609" s="14"/>
      <c r="E1609" s="14"/>
      <c r="F1609" s="14"/>
      <c r="G1609" s="16"/>
    </row>
    <row r="1610" spans="2:7" x14ac:dyDescent="0.25">
      <c r="B1610" s="38"/>
      <c r="C1610" s="14"/>
      <c r="D1610" s="14"/>
      <c r="E1610" s="14"/>
      <c r="F1610" s="14"/>
      <c r="G1610" s="16"/>
    </row>
    <row r="1611" spans="2:7" x14ac:dyDescent="0.25">
      <c r="B1611" s="38"/>
      <c r="C1611" s="14"/>
      <c r="D1611" s="14"/>
      <c r="E1611" s="14"/>
      <c r="F1611" s="14"/>
      <c r="G1611" s="16"/>
    </row>
    <row r="1612" spans="2:7" x14ac:dyDescent="0.25">
      <c r="B1612" s="38"/>
      <c r="C1612" s="14"/>
      <c r="D1612" s="14"/>
      <c r="E1612" s="14"/>
      <c r="F1612" s="14"/>
      <c r="G1612" s="16"/>
    </row>
    <row r="1613" spans="2:7" x14ac:dyDescent="0.25">
      <c r="B1613" s="38"/>
      <c r="C1613" s="14"/>
      <c r="D1613" s="14"/>
      <c r="E1613" s="14"/>
      <c r="F1613" s="14"/>
      <c r="G1613" s="16"/>
    </row>
    <row r="1614" spans="2:7" x14ac:dyDescent="0.25">
      <c r="B1614" s="38"/>
      <c r="C1614" s="14"/>
      <c r="D1614" s="14"/>
      <c r="E1614" s="14"/>
      <c r="F1614" s="14"/>
      <c r="G1614" s="16"/>
    </row>
    <row r="1615" spans="2:7" x14ac:dyDescent="0.25">
      <c r="B1615" s="38"/>
      <c r="C1615" s="14"/>
      <c r="D1615" s="14"/>
      <c r="E1615" s="14"/>
      <c r="F1615" s="14"/>
      <c r="G1615" s="16"/>
    </row>
    <row r="1616" spans="2:7" x14ac:dyDescent="0.25">
      <c r="B1616" s="38"/>
      <c r="C1616" s="14"/>
      <c r="D1616" s="14"/>
      <c r="E1616" s="14"/>
      <c r="F1616" s="14"/>
      <c r="G1616" s="16"/>
    </row>
    <row r="1617" spans="2:7" x14ac:dyDescent="0.25">
      <c r="B1617" s="38"/>
      <c r="C1617" s="14"/>
      <c r="D1617" s="14"/>
      <c r="E1617" s="14"/>
      <c r="F1617" s="14"/>
      <c r="G1617" s="16"/>
    </row>
    <row r="1618" spans="2:7" x14ac:dyDescent="0.25">
      <c r="B1618" s="38"/>
      <c r="C1618" s="14"/>
      <c r="D1618" s="14"/>
      <c r="E1618" s="14"/>
      <c r="F1618" s="14"/>
      <c r="G1618" s="16"/>
    </row>
    <row r="1619" spans="2:7" x14ac:dyDescent="0.25">
      <c r="B1619" s="38"/>
      <c r="C1619" s="14"/>
      <c r="D1619" s="14"/>
      <c r="E1619" s="14"/>
      <c r="F1619" s="14"/>
      <c r="G1619" s="16"/>
    </row>
    <row r="1620" spans="2:7" x14ac:dyDescent="0.25">
      <c r="B1620" s="38"/>
      <c r="C1620" s="14"/>
      <c r="D1620" s="14"/>
      <c r="E1620" s="14"/>
      <c r="F1620" s="14"/>
      <c r="G1620" s="16"/>
    </row>
    <row r="1621" spans="2:7" x14ac:dyDescent="0.25">
      <c r="B1621" s="38"/>
      <c r="C1621" s="14"/>
      <c r="D1621" s="14"/>
      <c r="E1621" s="14"/>
      <c r="F1621" s="14"/>
      <c r="G1621" s="16"/>
    </row>
    <row r="1622" spans="2:7" x14ac:dyDescent="0.25">
      <c r="B1622" s="38"/>
      <c r="C1622" s="14"/>
      <c r="D1622" s="14"/>
      <c r="E1622" s="14"/>
      <c r="F1622" s="14"/>
      <c r="G1622" s="16"/>
    </row>
    <row r="1623" spans="2:7" x14ac:dyDescent="0.25">
      <c r="B1623" s="38"/>
      <c r="C1623" s="14"/>
      <c r="D1623" s="14"/>
      <c r="E1623" s="14"/>
      <c r="F1623" s="14"/>
      <c r="G1623" s="16"/>
    </row>
    <row r="1624" spans="2:7" x14ac:dyDescent="0.25">
      <c r="B1624" s="38"/>
      <c r="C1624" s="14"/>
      <c r="D1624" s="14"/>
      <c r="E1624" s="14"/>
      <c r="F1624" s="14"/>
      <c r="G1624" s="16"/>
    </row>
    <row r="1625" spans="2:7" x14ac:dyDescent="0.25">
      <c r="B1625" s="38"/>
      <c r="C1625" s="14"/>
      <c r="D1625" s="14"/>
      <c r="E1625" s="14"/>
      <c r="F1625" s="14"/>
      <c r="G1625" s="16"/>
    </row>
    <row r="1626" spans="2:7" x14ac:dyDescent="0.25">
      <c r="B1626" s="38"/>
      <c r="C1626" s="14"/>
      <c r="D1626" s="14"/>
      <c r="E1626" s="14"/>
      <c r="F1626" s="14"/>
      <c r="G1626" s="16"/>
    </row>
    <row r="1627" spans="2:7" x14ac:dyDescent="0.25">
      <c r="B1627" s="38"/>
      <c r="C1627" s="14"/>
      <c r="D1627" s="14"/>
      <c r="E1627" s="14"/>
      <c r="F1627" s="14"/>
      <c r="G1627" s="16"/>
    </row>
    <row r="1628" spans="2:7" x14ac:dyDescent="0.25">
      <c r="B1628" s="38"/>
      <c r="C1628" s="14"/>
      <c r="D1628" s="14"/>
      <c r="E1628" s="14"/>
      <c r="F1628" s="14"/>
      <c r="G1628" s="16"/>
    </row>
    <row r="1629" spans="2:7" x14ac:dyDescent="0.25">
      <c r="B1629" s="38"/>
      <c r="C1629" s="14"/>
      <c r="D1629" s="14"/>
      <c r="E1629" s="14"/>
      <c r="F1629" s="14"/>
      <c r="G1629" s="16"/>
    </row>
    <row r="1630" spans="2:7" x14ac:dyDescent="0.25">
      <c r="B1630" s="38"/>
      <c r="C1630" s="14"/>
      <c r="D1630" s="14"/>
      <c r="E1630" s="14"/>
      <c r="F1630" s="14"/>
      <c r="G1630" s="16"/>
    </row>
    <row r="1631" spans="2:7" x14ac:dyDescent="0.25">
      <c r="B1631" s="38"/>
      <c r="C1631" s="14"/>
      <c r="D1631" s="14"/>
      <c r="E1631" s="14"/>
      <c r="F1631" s="14"/>
      <c r="G1631" s="16"/>
    </row>
    <row r="1632" spans="2:7" x14ac:dyDescent="0.25">
      <c r="B1632" s="38"/>
      <c r="C1632" s="14"/>
      <c r="D1632" s="14"/>
      <c r="E1632" s="14"/>
      <c r="F1632" s="14"/>
      <c r="G1632" s="16"/>
    </row>
    <row r="1633" spans="2:7" x14ac:dyDescent="0.25">
      <c r="B1633" s="38"/>
      <c r="C1633" s="14"/>
      <c r="D1633" s="14"/>
      <c r="E1633" s="14"/>
      <c r="F1633" s="14"/>
      <c r="G1633" s="16"/>
    </row>
    <row r="1634" spans="2:7" x14ac:dyDescent="0.25">
      <c r="B1634" s="38"/>
      <c r="C1634" s="14"/>
      <c r="D1634" s="14"/>
      <c r="E1634" s="14"/>
      <c r="F1634" s="14"/>
      <c r="G1634" s="16"/>
    </row>
    <row r="1635" spans="2:7" x14ac:dyDescent="0.25">
      <c r="B1635" s="38"/>
      <c r="C1635" s="14"/>
      <c r="D1635" s="14"/>
      <c r="E1635" s="14"/>
      <c r="F1635" s="14"/>
      <c r="G1635" s="16"/>
    </row>
    <row r="1636" spans="2:7" x14ac:dyDescent="0.25">
      <c r="B1636" s="38"/>
      <c r="C1636" s="14"/>
      <c r="D1636" s="14"/>
      <c r="E1636" s="14"/>
      <c r="F1636" s="14"/>
      <c r="G1636" s="16"/>
    </row>
    <row r="1637" spans="2:7" x14ac:dyDescent="0.25">
      <c r="B1637" s="38"/>
      <c r="C1637" s="14"/>
      <c r="D1637" s="14"/>
      <c r="E1637" s="14"/>
      <c r="F1637" s="14"/>
      <c r="G1637" s="16"/>
    </row>
    <row r="1638" spans="2:7" x14ac:dyDescent="0.25">
      <c r="B1638" s="38"/>
      <c r="C1638" s="14"/>
      <c r="D1638" s="14"/>
      <c r="E1638" s="14"/>
      <c r="F1638" s="14"/>
      <c r="G1638" s="16"/>
    </row>
    <row r="1639" spans="2:7" x14ac:dyDescent="0.25">
      <c r="B1639" s="38"/>
      <c r="C1639" s="14"/>
      <c r="D1639" s="14"/>
      <c r="E1639" s="14"/>
      <c r="F1639" s="14"/>
      <c r="G1639" s="16"/>
    </row>
    <row r="1640" spans="2:7" x14ac:dyDescent="0.25">
      <c r="B1640" s="38"/>
      <c r="C1640" s="14"/>
      <c r="D1640" s="14"/>
      <c r="E1640" s="14"/>
      <c r="F1640" s="14"/>
      <c r="G1640" s="16"/>
    </row>
    <row r="1641" spans="2:7" x14ac:dyDescent="0.25">
      <c r="B1641" s="38"/>
      <c r="C1641" s="14"/>
      <c r="D1641" s="14"/>
      <c r="E1641" s="14"/>
      <c r="F1641" s="14"/>
      <c r="G1641" s="16"/>
    </row>
    <row r="1642" spans="2:7" x14ac:dyDescent="0.25">
      <c r="B1642" s="38"/>
      <c r="C1642" s="14"/>
      <c r="D1642" s="14"/>
      <c r="E1642" s="14"/>
      <c r="F1642" s="14"/>
      <c r="G1642" s="16"/>
    </row>
    <row r="1643" spans="2:7" x14ac:dyDescent="0.25">
      <c r="B1643" s="38"/>
      <c r="C1643" s="14"/>
      <c r="D1643" s="14"/>
      <c r="E1643" s="14"/>
      <c r="F1643" s="14"/>
      <c r="G1643" s="16"/>
    </row>
    <row r="1644" spans="2:7" x14ac:dyDescent="0.25">
      <c r="B1644" s="38"/>
      <c r="C1644" s="14"/>
      <c r="D1644" s="14"/>
      <c r="E1644" s="14"/>
      <c r="F1644" s="14"/>
      <c r="G1644" s="16"/>
    </row>
    <row r="1645" spans="2:7" x14ac:dyDescent="0.25">
      <c r="B1645" s="38"/>
      <c r="C1645" s="14"/>
      <c r="D1645" s="14"/>
      <c r="E1645" s="14"/>
      <c r="F1645" s="14"/>
      <c r="G1645" s="16"/>
    </row>
    <row r="1646" spans="2:7" x14ac:dyDescent="0.25">
      <c r="B1646" s="38"/>
      <c r="C1646" s="14"/>
      <c r="D1646" s="14"/>
      <c r="E1646" s="14"/>
      <c r="F1646" s="14"/>
      <c r="G1646" s="16"/>
    </row>
    <row r="1647" spans="2:7" x14ac:dyDescent="0.25">
      <c r="B1647" s="38"/>
      <c r="C1647" s="14"/>
      <c r="D1647" s="14"/>
      <c r="E1647" s="14"/>
      <c r="F1647" s="14"/>
      <c r="G1647" s="16"/>
    </row>
    <row r="1648" spans="2:7" x14ac:dyDescent="0.25">
      <c r="B1648" s="38"/>
      <c r="C1648" s="14"/>
      <c r="D1648" s="14"/>
      <c r="E1648" s="14"/>
      <c r="F1648" s="14"/>
      <c r="G1648" s="16"/>
    </row>
    <row r="1649" spans="2:7" x14ac:dyDescent="0.25">
      <c r="B1649" s="38"/>
      <c r="C1649" s="14"/>
      <c r="D1649" s="14"/>
      <c r="E1649" s="14"/>
      <c r="F1649" s="14"/>
      <c r="G1649" s="16"/>
    </row>
    <row r="1650" spans="2:7" x14ac:dyDescent="0.25">
      <c r="B1650" s="38"/>
      <c r="C1650" s="14"/>
      <c r="D1650" s="14"/>
      <c r="E1650" s="14"/>
      <c r="F1650" s="14"/>
      <c r="G1650" s="16"/>
    </row>
    <row r="1651" spans="2:7" x14ac:dyDescent="0.25">
      <c r="B1651" s="38"/>
      <c r="C1651" s="14"/>
      <c r="D1651" s="14"/>
      <c r="E1651" s="14"/>
      <c r="F1651" s="14"/>
      <c r="G1651" s="16"/>
    </row>
    <row r="1652" spans="2:7" x14ac:dyDescent="0.25">
      <c r="B1652" s="38"/>
      <c r="C1652" s="14"/>
      <c r="D1652" s="14"/>
      <c r="E1652" s="14"/>
      <c r="F1652" s="14"/>
      <c r="G1652" s="16"/>
    </row>
    <row r="1653" spans="2:7" x14ac:dyDescent="0.25">
      <c r="B1653" s="38"/>
      <c r="C1653" s="14"/>
      <c r="D1653" s="14"/>
      <c r="E1653" s="14"/>
      <c r="F1653" s="14"/>
      <c r="G1653" s="16"/>
    </row>
    <row r="1654" spans="2:7" x14ac:dyDescent="0.25">
      <c r="B1654" s="38"/>
      <c r="C1654" s="14"/>
      <c r="D1654" s="14"/>
      <c r="E1654" s="14"/>
      <c r="F1654" s="14"/>
      <c r="G1654" s="16"/>
    </row>
    <row r="1655" spans="2:7" x14ac:dyDescent="0.25">
      <c r="B1655" s="38"/>
      <c r="C1655" s="14"/>
      <c r="D1655" s="14"/>
      <c r="E1655" s="14"/>
      <c r="F1655" s="14"/>
      <c r="G1655" s="16"/>
    </row>
    <row r="1656" spans="2:7" x14ac:dyDescent="0.25">
      <c r="B1656" s="38"/>
      <c r="C1656" s="14"/>
      <c r="D1656" s="14"/>
      <c r="E1656" s="14"/>
      <c r="F1656" s="14"/>
      <c r="G1656" s="16"/>
    </row>
    <row r="1657" spans="2:7" x14ac:dyDescent="0.25">
      <c r="B1657" s="38"/>
      <c r="C1657" s="14"/>
      <c r="D1657" s="14"/>
      <c r="E1657" s="14"/>
      <c r="F1657" s="14"/>
      <c r="G1657" s="16"/>
    </row>
    <row r="1658" spans="2:7" x14ac:dyDescent="0.25">
      <c r="B1658" s="38"/>
      <c r="C1658" s="14"/>
      <c r="D1658" s="14"/>
      <c r="E1658" s="14"/>
      <c r="F1658" s="14"/>
      <c r="G1658" s="16"/>
    </row>
    <row r="1659" spans="2:7" x14ac:dyDescent="0.25">
      <c r="B1659" s="38"/>
      <c r="C1659" s="14"/>
      <c r="D1659" s="14"/>
      <c r="E1659" s="14"/>
      <c r="F1659" s="14"/>
      <c r="G1659" s="16"/>
    </row>
    <row r="1660" spans="2:7" x14ac:dyDescent="0.25">
      <c r="B1660" s="38"/>
      <c r="C1660" s="14"/>
      <c r="D1660" s="14"/>
      <c r="E1660" s="14"/>
      <c r="F1660" s="14"/>
      <c r="G1660" s="16"/>
    </row>
    <row r="1661" spans="2:7" x14ac:dyDescent="0.25">
      <c r="B1661" s="38"/>
      <c r="C1661" s="14"/>
      <c r="D1661" s="14"/>
      <c r="E1661" s="14"/>
      <c r="F1661" s="14"/>
      <c r="G1661" s="16"/>
    </row>
    <row r="1662" spans="2:7" x14ac:dyDescent="0.25">
      <c r="B1662" s="38"/>
      <c r="C1662" s="14"/>
      <c r="D1662" s="14"/>
      <c r="E1662" s="14"/>
      <c r="F1662" s="14"/>
      <c r="G1662" s="16"/>
    </row>
    <row r="1663" spans="2:7" x14ac:dyDescent="0.25">
      <c r="B1663" s="38"/>
      <c r="C1663" s="14"/>
      <c r="D1663" s="14"/>
      <c r="E1663" s="14"/>
      <c r="F1663" s="14"/>
      <c r="G1663" s="16"/>
    </row>
    <row r="1664" spans="2:7" x14ac:dyDescent="0.25">
      <c r="B1664" s="38"/>
      <c r="C1664" s="14"/>
      <c r="D1664" s="14"/>
      <c r="E1664" s="14"/>
      <c r="F1664" s="14"/>
      <c r="G1664" s="16"/>
    </row>
    <row r="1665" spans="2:7" x14ac:dyDescent="0.25">
      <c r="B1665" s="38"/>
      <c r="C1665" s="14"/>
      <c r="D1665" s="14"/>
      <c r="E1665" s="14"/>
      <c r="F1665" s="14"/>
      <c r="G1665" s="16"/>
    </row>
    <row r="1666" spans="2:7" x14ac:dyDescent="0.25">
      <c r="B1666" s="38"/>
      <c r="C1666" s="14"/>
      <c r="D1666" s="14"/>
      <c r="E1666" s="14"/>
      <c r="F1666" s="14"/>
      <c r="G1666" s="16"/>
    </row>
    <row r="1667" spans="2:7" x14ac:dyDescent="0.25">
      <c r="B1667" s="38"/>
      <c r="C1667" s="14"/>
      <c r="D1667" s="14"/>
      <c r="E1667" s="14"/>
      <c r="F1667" s="14"/>
      <c r="G1667" s="16"/>
    </row>
    <row r="1668" spans="2:7" x14ac:dyDescent="0.25">
      <c r="B1668" s="38"/>
      <c r="C1668" s="14"/>
      <c r="D1668" s="14"/>
      <c r="E1668" s="14"/>
      <c r="F1668" s="14"/>
      <c r="G1668" s="16"/>
    </row>
    <row r="1669" spans="2:7" x14ac:dyDescent="0.25">
      <c r="B1669" s="38"/>
      <c r="C1669" s="14"/>
      <c r="D1669" s="14"/>
      <c r="E1669" s="14"/>
      <c r="F1669" s="14"/>
      <c r="G1669" s="16"/>
    </row>
    <row r="1670" spans="2:7" x14ac:dyDescent="0.25">
      <c r="B1670" s="38"/>
      <c r="C1670" s="14"/>
      <c r="D1670" s="14"/>
      <c r="E1670" s="14"/>
      <c r="F1670" s="14"/>
      <c r="G1670" s="16"/>
    </row>
    <row r="1671" spans="2:7" x14ac:dyDescent="0.25">
      <c r="B1671" s="38"/>
      <c r="C1671" s="14"/>
      <c r="D1671" s="14"/>
      <c r="E1671" s="14"/>
      <c r="F1671" s="14"/>
      <c r="G1671" s="16"/>
    </row>
    <row r="1672" spans="2:7" x14ac:dyDescent="0.25">
      <c r="B1672" s="38"/>
      <c r="C1672" s="14"/>
      <c r="D1672" s="14"/>
      <c r="E1672" s="14"/>
      <c r="F1672" s="14"/>
      <c r="G1672" s="16"/>
    </row>
    <row r="1673" spans="2:7" x14ac:dyDescent="0.25">
      <c r="B1673" s="38"/>
      <c r="C1673" s="14"/>
      <c r="D1673" s="14"/>
      <c r="E1673" s="14"/>
      <c r="F1673" s="14"/>
      <c r="G1673" s="16"/>
    </row>
    <row r="1674" spans="2:7" x14ac:dyDescent="0.25">
      <c r="B1674" s="38"/>
      <c r="C1674" s="14"/>
      <c r="D1674" s="14"/>
      <c r="E1674" s="14"/>
      <c r="F1674" s="14"/>
      <c r="G1674" s="16"/>
    </row>
    <row r="1675" spans="2:7" x14ac:dyDescent="0.25">
      <c r="B1675" s="38"/>
      <c r="C1675" s="14"/>
      <c r="D1675" s="14"/>
      <c r="E1675" s="14"/>
      <c r="F1675" s="14"/>
      <c r="G1675" s="16"/>
    </row>
    <row r="1676" spans="2:7" x14ac:dyDescent="0.25">
      <c r="B1676" s="38"/>
      <c r="C1676" s="14"/>
      <c r="D1676" s="14"/>
      <c r="E1676" s="14"/>
      <c r="F1676" s="14"/>
      <c r="G1676" s="16"/>
    </row>
    <row r="1677" spans="2:7" x14ac:dyDescent="0.25">
      <c r="B1677" s="38"/>
      <c r="C1677" s="14"/>
      <c r="D1677" s="14"/>
      <c r="E1677" s="14"/>
      <c r="F1677" s="14"/>
      <c r="G1677" s="16"/>
    </row>
    <row r="1678" spans="2:7" x14ac:dyDescent="0.25">
      <c r="B1678" s="38"/>
      <c r="C1678" s="14"/>
      <c r="D1678" s="14"/>
      <c r="E1678" s="14"/>
      <c r="F1678" s="14"/>
      <c r="G1678" s="16"/>
    </row>
    <row r="1679" spans="2:7" x14ac:dyDescent="0.25">
      <c r="B1679" s="38"/>
      <c r="C1679" s="14"/>
      <c r="D1679" s="14"/>
      <c r="E1679" s="14"/>
      <c r="F1679" s="14"/>
      <c r="G1679" s="16"/>
    </row>
    <row r="1680" spans="2:7" x14ac:dyDescent="0.25">
      <c r="B1680" s="38"/>
      <c r="C1680" s="14"/>
      <c r="D1680" s="14"/>
      <c r="E1680" s="14"/>
      <c r="F1680" s="14"/>
      <c r="G1680" s="16"/>
    </row>
    <row r="1681" spans="2:7" x14ac:dyDescent="0.25">
      <c r="B1681" s="38"/>
      <c r="C1681" s="14"/>
      <c r="D1681" s="14"/>
      <c r="E1681" s="14"/>
      <c r="F1681" s="14"/>
      <c r="G1681" s="16"/>
    </row>
    <row r="1682" spans="2:7" x14ac:dyDescent="0.25">
      <c r="B1682" s="38"/>
      <c r="C1682" s="14"/>
      <c r="D1682" s="14"/>
      <c r="E1682" s="14"/>
      <c r="F1682" s="14"/>
      <c r="G1682" s="16"/>
    </row>
    <row r="1683" spans="2:7" x14ac:dyDescent="0.25">
      <c r="B1683" s="38"/>
      <c r="C1683" s="14"/>
      <c r="D1683" s="14"/>
      <c r="E1683" s="14"/>
      <c r="F1683" s="14"/>
      <c r="G1683" s="16"/>
    </row>
    <row r="1684" spans="2:7" x14ac:dyDescent="0.25">
      <c r="B1684" s="38"/>
      <c r="C1684" s="14"/>
      <c r="D1684" s="14"/>
      <c r="E1684" s="14"/>
      <c r="F1684" s="14"/>
      <c r="G1684" s="16"/>
    </row>
    <row r="1685" spans="2:7" x14ac:dyDescent="0.25">
      <c r="B1685" s="38"/>
      <c r="C1685" s="14"/>
      <c r="D1685" s="14"/>
      <c r="E1685" s="14"/>
      <c r="F1685" s="14"/>
      <c r="G1685" s="16"/>
    </row>
    <row r="1686" spans="2:7" x14ac:dyDescent="0.25">
      <c r="B1686" s="38"/>
      <c r="C1686" s="14"/>
      <c r="D1686" s="14"/>
      <c r="E1686" s="14"/>
      <c r="F1686" s="14"/>
      <c r="G1686" s="16"/>
    </row>
    <row r="1687" spans="2:7" x14ac:dyDescent="0.25">
      <c r="B1687" s="38"/>
      <c r="C1687" s="14"/>
      <c r="D1687" s="14"/>
      <c r="E1687" s="14"/>
      <c r="F1687" s="14"/>
      <c r="G1687" s="16"/>
    </row>
    <row r="1688" spans="2:7" x14ac:dyDescent="0.25">
      <c r="B1688" s="38"/>
      <c r="C1688" s="14"/>
      <c r="D1688" s="14"/>
      <c r="E1688" s="14"/>
      <c r="F1688" s="14"/>
      <c r="G1688" s="16"/>
    </row>
    <row r="1689" spans="2:7" x14ac:dyDescent="0.25">
      <c r="B1689" s="38"/>
      <c r="C1689" s="14"/>
      <c r="D1689" s="14"/>
      <c r="E1689" s="14"/>
      <c r="F1689" s="14"/>
      <c r="G1689" s="16"/>
    </row>
    <row r="1690" spans="2:7" x14ac:dyDescent="0.25">
      <c r="B1690" s="38"/>
      <c r="C1690" s="14"/>
      <c r="D1690" s="14"/>
      <c r="E1690" s="14"/>
      <c r="F1690" s="14"/>
      <c r="G1690" s="16"/>
    </row>
    <row r="1691" spans="2:7" x14ac:dyDescent="0.25">
      <c r="B1691" s="38"/>
      <c r="C1691" s="14"/>
      <c r="D1691" s="14"/>
      <c r="E1691" s="14"/>
      <c r="F1691" s="14"/>
      <c r="G1691" s="16"/>
    </row>
    <row r="1692" spans="2:7" x14ac:dyDescent="0.25">
      <c r="B1692" s="38"/>
      <c r="C1692" s="14"/>
      <c r="D1692" s="14"/>
      <c r="E1692" s="14"/>
      <c r="F1692" s="14"/>
      <c r="G1692" s="16"/>
    </row>
    <row r="1693" spans="2:7" x14ac:dyDescent="0.25">
      <c r="B1693" s="38"/>
      <c r="C1693" s="14"/>
      <c r="D1693" s="14"/>
      <c r="E1693" s="14"/>
      <c r="F1693" s="14"/>
      <c r="G1693" s="16"/>
    </row>
    <row r="1694" spans="2:7" x14ac:dyDescent="0.25">
      <c r="B1694" s="38"/>
      <c r="C1694" s="14"/>
      <c r="D1694" s="14"/>
      <c r="E1694" s="14"/>
      <c r="F1694" s="14"/>
      <c r="G1694" s="16"/>
    </row>
    <row r="1695" spans="2:7" x14ac:dyDescent="0.25">
      <c r="B1695" s="38"/>
      <c r="C1695" s="14"/>
      <c r="D1695" s="14"/>
      <c r="E1695" s="14"/>
      <c r="F1695" s="14"/>
      <c r="G1695" s="16"/>
    </row>
    <row r="1696" spans="2:7" x14ac:dyDescent="0.25">
      <c r="B1696" s="38"/>
      <c r="C1696" s="14"/>
      <c r="D1696" s="14"/>
      <c r="E1696" s="14"/>
      <c r="F1696" s="14"/>
      <c r="G1696" s="16"/>
    </row>
    <row r="1697" spans="2:7" x14ac:dyDescent="0.25">
      <c r="B1697" s="38"/>
      <c r="C1697" s="14"/>
      <c r="D1697" s="14"/>
      <c r="E1697" s="14"/>
      <c r="F1697" s="14"/>
      <c r="G1697" s="16"/>
    </row>
    <row r="1698" spans="2:7" x14ac:dyDescent="0.25">
      <c r="B1698" s="38"/>
      <c r="C1698" s="14"/>
      <c r="D1698" s="14"/>
      <c r="E1698" s="14"/>
      <c r="F1698" s="14"/>
      <c r="G1698" s="16"/>
    </row>
    <row r="1699" spans="2:7" x14ac:dyDescent="0.25">
      <c r="B1699" s="38"/>
      <c r="C1699" s="14"/>
      <c r="D1699" s="14"/>
      <c r="E1699" s="14"/>
      <c r="F1699" s="14"/>
      <c r="G1699" s="16"/>
    </row>
    <row r="1700" spans="2:7" x14ac:dyDescent="0.25">
      <c r="B1700" s="38"/>
      <c r="C1700" s="14"/>
      <c r="D1700" s="14"/>
      <c r="E1700" s="14"/>
      <c r="F1700" s="14"/>
      <c r="G1700" s="16"/>
    </row>
    <row r="1701" spans="2:7" x14ac:dyDescent="0.25">
      <c r="B1701" s="38"/>
      <c r="C1701" s="14"/>
      <c r="D1701" s="14"/>
      <c r="E1701" s="14"/>
      <c r="F1701" s="14"/>
      <c r="G1701" s="16"/>
    </row>
    <row r="1702" spans="2:7" x14ac:dyDescent="0.25">
      <c r="B1702" s="38"/>
      <c r="C1702" s="14"/>
      <c r="D1702" s="14"/>
      <c r="E1702" s="14"/>
      <c r="F1702" s="14"/>
      <c r="G1702" s="16"/>
    </row>
    <row r="1703" spans="2:7" x14ac:dyDescent="0.25">
      <c r="B1703" s="38"/>
      <c r="C1703" s="14"/>
      <c r="D1703" s="14"/>
      <c r="E1703" s="14"/>
      <c r="F1703" s="14"/>
      <c r="G1703" s="16"/>
    </row>
    <row r="1704" spans="2:7" x14ac:dyDescent="0.25">
      <c r="B1704" s="38"/>
      <c r="C1704" s="14"/>
      <c r="D1704" s="14"/>
      <c r="E1704" s="14"/>
      <c r="F1704" s="14"/>
      <c r="G1704" s="16"/>
    </row>
    <row r="1705" spans="2:7" x14ac:dyDescent="0.25">
      <c r="B1705" s="38"/>
      <c r="C1705" s="14"/>
      <c r="D1705" s="14"/>
      <c r="E1705" s="14"/>
      <c r="F1705" s="14"/>
      <c r="G1705" s="16"/>
    </row>
    <row r="1706" spans="2:7" x14ac:dyDescent="0.25">
      <c r="B1706" s="38"/>
      <c r="C1706" s="14"/>
      <c r="D1706" s="14"/>
      <c r="E1706" s="14"/>
      <c r="F1706" s="14"/>
      <c r="G1706" s="16"/>
    </row>
    <row r="1707" spans="2:7" x14ac:dyDescent="0.25">
      <c r="B1707" s="38"/>
      <c r="C1707" s="14"/>
      <c r="D1707" s="14"/>
      <c r="E1707" s="14"/>
      <c r="F1707" s="14"/>
      <c r="G1707" s="16"/>
    </row>
    <row r="1708" spans="2:7" x14ac:dyDescent="0.25">
      <c r="B1708" s="38"/>
      <c r="C1708" s="14"/>
      <c r="D1708" s="14"/>
      <c r="E1708" s="14"/>
      <c r="F1708" s="14"/>
      <c r="G1708" s="16"/>
    </row>
    <row r="1709" spans="2:7" x14ac:dyDescent="0.25">
      <c r="B1709" s="38"/>
      <c r="C1709" s="14"/>
      <c r="D1709" s="14"/>
      <c r="E1709" s="14"/>
      <c r="F1709" s="14"/>
      <c r="G1709" s="16"/>
    </row>
    <row r="1710" spans="2:7" x14ac:dyDescent="0.25">
      <c r="B1710" s="38"/>
      <c r="C1710" s="14"/>
      <c r="D1710" s="14"/>
      <c r="E1710" s="14"/>
      <c r="F1710" s="14"/>
      <c r="G1710" s="16"/>
    </row>
    <row r="1711" spans="2:7" x14ac:dyDescent="0.25">
      <c r="B1711" s="38"/>
      <c r="C1711" s="14"/>
      <c r="D1711" s="14"/>
      <c r="E1711" s="14"/>
      <c r="F1711" s="14"/>
      <c r="G1711" s="16"/>
    </row>
    <row r="1712" spans="2:7" x14ac:dyDescent="0.25">
      <c r="B1712" s="38"/>
      <c r="C1712" s="14"/>
      <c r="D1712" s="14"/>
      <c r="E1712" s="14"/>
      <c r="F1712" s="14"/>
      <c r="G1712" s="16"/>
    </row>
    <row r="1713" spans="2:7" x14ac:dyDescent="0.25">
      <c r="B1713" s="38"/>
      <c r="C1713" s="14"/>
      <c r="D1713" s="14"/>
      <c r="E1713" s="14"/>
      <c r="F1713" s="14"/>
      <c r="G1713" s="16"/>
    </row>
    <row r="1714" spans="2:7" x14ac:dyDescent="0.25">
      <c r="B1714" s="38"/>
      <c r="C1714" s="14"/>
      <c r="D1714" s="14"/>
      <c r="E1714" s="14"/>
      <c r="F1714" s="14"/>
      <c r="G1714" s="16"/>
    </row>
    <row r="1715" spans="2:7" x14ac:dyDescent="0.25">
      <c r="B1715" s="38"/>
      <c r="C1715" s="14"/>
      <c r="D1715" s="14"/>
      <c r="E1715" s="14"/>
      <c r="F1715" s="14"/>
      <c r="G1715" s="16"/>
    </row>
    <row r="1716" spans="2:7" x14ac:dyDescent="0.25">
      <c r="B1716" s="38"/>
      <c r="C1716" s="14"/>
      <c r="D1716" s="14"/>
      <c r="E1716" s="14"/>
      <c r="F1716" s="14"/>
      <c r="G1716" s="16"/>
    </row>
    <row r="1717" spans="2:7" x14ac:dyDescent="0.25">
      <c r="B1717" s="38"/>
      <c r="C1717" s="14"/>
      <c r="D1717" s="14"/>
      <c r="E1717" s="14"/>
      <c r="F1717" s="14"/>
      <c r="G1717" s="16"/>
    </row>
    <row r="1718" spans="2:7" x14ac:dyDescent="0.25">
      <c r="B1718" s="38"/>
      <c r="C1718" s="14"/>
      <c r="D1718" s="14"/>
      <c r="E1718" s="14"/>
      <c r="F1718" s="14"/>
      <c r="G1718" s="16"/>
    </row>
    <row r="1719" spans="2:7" x14ac:dyDescent="0.25">
      <c r="B1719" s="38"/>
      <c r="C1719" s="14"/>
      <c r="D1719" s="14"/>
      <c r="E1719" s="14"/>
      <c r="F1719" s="14"/>
      <c r="G1719" s="16"/>
    </row>
    <row r="1720" spans="2:7" x14ac:dyDescent="0.25">
      <c r="B1720" s="38"/>
      <c r="C1720" s="14"/>
      <c r="D1720" s="14"/>
      <c r="E1720" s="14"/>
      <c r="F1720" s="14"/>
      <c r="G1720" s="16"/>
    </row>
    <row r="1721" spans="2:7" x14ac:dyDescent="0.25">
      <c r="B1721" s="38"/>
      <c r="C1721" s="14"/>
      <c r="D1721" s="14"/>
      <c r="E1721" s="14"/>
      <c r="F1721" s="14"/>
      <c r="G1721" s="16"/>
    </row>
    <row r="1722" spans="2:7" x14ac:dyDescent="0.25">
      <c r="B1722" s="38"/>
      <c r="C1722" s="14"/>
      <c r="D1722" s="14"/>
      <c r="E1722" s="14"/>
      <c r="F1722" s="14"/>
      <c r="G1722" s="16"/>
    </row>
    <row r="1723" spans="2:7" x14ac:dyDescent="0.25">
      <c r="B1723" s="38"/>
      <c r="C1723" s="14"/>
      <c r="D1723" s="14"/>
      <c r="E1723" s="14"/>
      <c r="F1723" s="14"/>
      <c r="G1723" s="16"/>
    </row>
    <row r="1724" spans="2:7" x14ac:dyDescent="0.25">
      <c r="B1724" s="38"/>
      <c r="C1724" s="14"/>
      <c r="D1724" s="14"/>
      <c r="E1724" s="14"/>
      <c r="F1724" s="14"/>
      <c r="G1724" s="16"/>
    </row>
    <row r="1725" spans="2:7" x14ac:dyDescent="0.25">
      <c r="B1725" s="38"/>
      <c r="C1725" s="14"/>
      <c r="D1725" s="14"/>
      <c r="E1725" s="14"/>
      <c r="F1725" s="14"/>
      <c r="G1725" s="16"/>
    </row>
    <row r="1726" spans="2:7" x14ac:dyDescent="0.25">
      <c r="B1726" s="38"/>
      <c r="C1726" s="14"/>
      <c r="D1726" s="14"/>
      <c r="E1726" s="14"/>
      <c r="F1726" s="14"/>
      <c r="G1726" s="16"/>
    </row>
    <row r="1727" spans="2:7" x14ac:dyDescent="0.25">
      <c r="B1727" s="38"/>
      <c r="C1727" s="14"/>
      <c r="D1727" s="14"/>
      <c r="E1727" s="14"/>
      <c r="F1727" s="14"/>
      <c r="G1727" s="16"/>
    </row>
    <row r="1728" spans="2:7" x14ac:dyDescent="0.25">
      <c r="B1728" s="38"/>
      <c r="C1728" s="14"/>
      <c r="D1728" s="14"/>
      <c r="E1728" s="14"/>
      <c r="F1728" s="14"/>
      <c r="G1728" s="16"/>
    </row>
    <row r="1729" spans="2:7" x14ac:dyDescent="0.25">
      <c r="B1729" s="38"/>
      <c r="C1729" s="14"/>
      <c r="D1729" s="14"/>
      <c r="E1729" s="14"/>
      <c r="F1729" s="14"/>
      <c r="G1729" s="16"/>
    </row>
    <row r="1730" spans="2:7" x14ac:dyDescent="0.25">
      <c r="B1730" s="38"/>
      <c r="C1730" s="14"/>
      <c r="D1730" s="14"/>
      <c r="E1730" s="14"/>
      <c r="F1730" s="14"/>
      <c r="G1730" s="16"/>
    </row>
    <row r="1731" spans="2:7" x14ac:dyDescent="0.25">
      <c r="B1731" s="38"/>
      <c r="C1731" s="14"/>
      <c r="D1731" s="14"/>
      <c r="E1731" s="14"/>
      <c r="F1731" s="14"/>
      <c r="G1731" s="16"/>
    </row>
    <row r="1732" spans="2:7" x14ac:dyDescent="0.25">
      <c r="B1732" s="38"/>
      <c r="C1732" s="14"/>
      <c r="D1732" s="14"/>
      <c r="E1732" s="14"/>
      <c r="F1732" s="14"/>
      <c r="G1732" s="16"/>
    </row>
    <row r="1733" spans="2:7" x14ac:dyDescent="0.25">
      <c r="B1733" s="38"/>
      <c r="C1733" s="14"/>
      <c r="D1733" s="14"/>
      <c r="E1733" s="14"/>
      <c r="F1733" s="14"/>
      <c r="G1733" s="16"/>
    </row>
    <row r="1734" spans="2:7" x14ac:dyDescent="0.25">
      <c r="B1734" s="38"/>
      <c r="C1734" s="14"/>
      <c r="D1734" s="14"/>
      <c r="E1734" s="14"/>
      <c r="F1734" s="14"/>
      <c r="G1734" s="16"/>
    </row>
    <row r="1735" spans="2:7" x14ac:dyDescent="0.25">
      <c r="B1735" s="38"/>
      <c r="C1735" s="14"/>
      <c r="D1735" s="14"/>
      <c r="E1735" s="14"/>
      <c r="F1735" s="14"/>
      <c r="G1735" s="16"/>
    </row>
    <row r="1736" spans="2:7" x14ac:dyDescent="0.25">
      <c r="B1736" s="38"/>
      <c r="C1736" s="14"/>
      <c r="D1736" s="14"/>
      <c r="E1736" s="14"/>
      <c r="F1736" s="14"/>
      <c r="G1736" s="16"/>
    </row>
    <row r="1737" spans="2:7" x14ac:dyDescent="0.25">
      <c r="B1737" s="38"/>
      <c r="C1737" s="14"/>
      <c r="D1737" s="14"/>
      <c r="E1737" s="14"/>
      <c r="F1737" s="14"/>
      <c r="G1737" s="16"/>
    </row>
    <row r="1738" spans="2:7" x14ac:dyDescent="0.25">
      <c r="B1738" s="38"/>
      <c r="C1738" s="14"/>
      <c r="D1738" s="14"/>
      <c r="E1738" s="14"/>
      <c r="F1738" s="14"/>
      <c r="G1738" s="16"/>
    </row>
    <row r="1739" spans="2:7" x14ac:dyDescent="0.25">
      <c r="B1739" s="38"/>
      <c r="C1739" s="14"/>
      <c r="D1739" s="14"/>
      <c r="E1739" s="14"/>
      <c r="F1739" s="14"/>
      <c r="G1739" s="16"/>
    </row>
    <row r="1740" spans="2:7" x14ac:dyDescent="0.25">
      <c r="B1740" s="38"/>
      <c r="C1740" s="14"/>
      <c r="D1740" s="14"/>
      <c r="E1740" s="14"/>
      <c r="F1740" s="14"/>
      <c r="G1740" s="16"/>
    </row>
    <row r="1741" spans="2:7" x14ac:dyDescent="0.25">
      <c r="B1741" s="38"/>
      <c r="C1741" s="14"/>
      <c r="D1741" s="14"/>
      <c r="E1741" s="14"/>
      <c r="F1741" s="14"/>
      <c r="G1741" s="16"/>
    </row>
    <row r="1742" spans="2:7" x14ac:dyDescent="0.25">
      <c r="B1742" s="38"/>
      <c r="C1742" s="14"/>
      <c r="D1742" s="14"/>
      <c r="E1742" s="14"/>
      <c r="F1742" s="14"/>
      <c r="G1742" s="16"/>
    </row>
    <row r="1743" spans="2:7" x14ac:dyDescent="0.25">
      <c r="B1743" s="38"/>
      <c r="C1743" s="14"/>
      <c r="D1743" s="14"/>
      <c r="E1743" s="14"/>
      <c r="F1743" s="14"/>
      <c r="G1743" s="16"/>
    </row>
    <row r="1744" spans="2:7" x14ac:dyDescent="0.25">
      <c r="B1744" s="38"/>
      <c r="C1744" s="14"/>
      <c r="D1744" s="14"/>
      <c r="E1744" s="14"/>
      <c r="F1744" s="14"/>
      <c r="G1744" s="16"/>
    </row>
    <row r="1745" spans="2:7" x14ac:dyDescent="0.25">
      <c r="B1745" s="38"/>
      <c r="C1745" s="14"/>
      <c r="D1745" s="14"/>
      <c r="E1745" s="14"/>
      <c r="F1745" s="14"/>
      <c r="G1745" s="16"/>
    </row>
    <row r="1746" spans="2:7" x14ac:dyDescent="0.25">
      <c r="B1746" s="38"/>
      <c r="C1746" s="14"/>
      <c r="D1746" s="14"/>
      <c r="E1746" s="14"/>
      <c r="F1746" s="14"/>
      <c r="G1746" s="16"/>
    </row>
    <row r="1747" spans="2:7" x14ac:dyDescent="0.25">
      <c r="B1747" s="38"/>
      <c r="C1747" s="14"/>
      <c r="D1747" s="14"/>
      <c r="E1747" s="14"/>
      <c r="F1747" s="14"/>
      <c r="G1747" s="16"/>
    </row>
    <row r="1748" spans="2:7" x14ac:dyDescent="0.25">
      <c r="B1748" s="38"/>
      <c r="C1748" s="14"/>
      <c r="D1748" s="14"/>
      <c r="E1748" s="14"/>
      <c r="F1748" s="14"/>
      <c r="G1748" s="16"/>
    </row>
    <row r="1749" spans="2:7" x14ac:dyDescent="0.25">
      <c r="B1749" s="38"/>
      <c r="C1749" s="14"/>
      <c r="D1749" s="14"/>
      <c r="E1749" s="14"/>
      <c r="F1749" s="14"/>
      <c r="G1749" s="16"/>
    </row>
    <row r="1750" spans="2:7" x14ac:dyDescent="0.25">
      <c r="B1750" s="38"/>
      <c r="C1750" s="14"/>
      <c r="D1750" s="14"/>
      <c r="E1750" s="14"/>
      <c r="F1750" s="14"/>
      <c r="G1750" s="16"/>
    </row>
    <row r="1751" spans="2:7" x14ac:dyDescent="0.25">
      <c r="B1751" s="38"/>
      <c r="C1751" s="14"/>
      <c r="D1751" s="14"/>
      <c r="E1751" s="14"/>
      <c r="F1751" s="14"/>
      <c r="G1751" s="16"/>
    </row>
    <row r="1752" spans="2:7" x14ac:dyDescent="0.25">
      <c r="B1752" s="38"/>
      <c r="C1752" s="14"/>
      <c r="D1752" s="14"/>
      <c r="E1752" s="14"/>
      <c r="F1752" s="14"/>
      <c r="G1752" s="16"/>
    </row>
    <row r="1753" spans="2:7" x14ac:dyDescent="0.25">
      <c r="B1753" s="38"/>
      <c r="C1753" s="14"/>
      <c r="D1753" s="14"/>
      <c r="E1753" s="14"/>
      <c r="F1753" s="14"/>
      <c r="G1753" s="16"/>
    </row>
    <row r="1754" spans="2:7" x14ac:dyDescent="0.25">
      <c r="B1754" s="38"/>
      <c r="C1754" s="14"/>
      <c r="D1754" s="14"/>
      <c r="E1754" s="14"/>
      <c r="F1754" s="14"/>
      <c r="G1754" s="16"/>
    </row>
    <row r="1755" spans="2:7" x14ac:dyDescent="0.25">
      <c r="B1755" s="38"/>
      <c r="C1755" s="14"/>
      <c r="D1755" s="14"/>
      <c r="E1755" s="14"/>
      <c r="F1755" s="14"/>
      <c r="G1755" s="16"/>
    </row>
    <row r="1756" spans="2:7" x14ac:dyDescent="0.25">
      <c r="B1756" s="38"/>
      <c r="C1756" s="14"/>
      <c r="D1756" s="14"/>
      <c r="E1756" s="14"/>
      <c r="F1756" s="14"/>
      <c r="G1756" s="16"/>
    </row>
    <row r="1757" spans="2:7" x14ac:dyDescent="0.25">
      <c r="B1757" s="38"/>
      <c r="C1757" s="14"/>
      <c r="D1757" s="14"/>
      <c r="E1757" s="14"/>
      <c r="F1757" s="14"/>
      <c r="G1757" s="16"/>
    </row>
    <row r="1758" spans="2:7" x14ac:dyDescent="0.25">
      <c r="B1758" s="38"/>
      <c r="C1758" s="14"/>
      <c r="D1758" s="14"/>
      <c r="E1758" s="14"/>
      <c r="F1758" s="14"/>
      <c r="G1758" s="16"/>
    </row>
    <row r="1759" spans="2:7" x14ac:dyDescent="0.25">
      <c r="B1759" s="38"/>
      <c r="C1759" s="14"/>
      <c r="D1759" s="14"/>
      <c r="E1759" s="14"/>
      <c r="F1759" s="14"/>
      <c r="G1759" s="16"/>
    </row>
    <row r="1760" spans="2:7" x14ac:dyDescent="0.25">
      <c r="B1760" s="38"/>
      <c r="C1760" s="14"/>
      <c r="D1760" s="14"/>
      <c r="E1760" s="14"/>
      <c r="F1760" s="14"/>
      <c r="G1760" s="16"/>
    </row>
    <row r="1761" spans="2:7" x14ac:dyDescent="0.25">
      <c r="B1761" s="38"/>
      <c r="C1761" s="14"/>
      <c r="D1761" s="14"/>
      <c r="E1761" s="14"/>
      <c r="F1761" s="14"/>
      <c r="G1761" s="16"/>
    </row>
    <row r="1762" spans="2:7" x14ac:dyDescent="0.25">
      <c r="B1762" s="38"/>
      <c r="C1762" s="14"/>
      <c r="D1762" s="14"/>
      <c r="E1762" s="14"/>
      <c r="F1762" s="14"/>
      <c r="G1762" s="16"/>
    </row>
    <row r="1763" spans="2:7" x14ac:dyDescent="0.25">
      <c r="B1763" s="38"/>
      <c r="C1763" s="14"/>
      <c r="D1763" s="14"/>
      <c r="E1763" s="14"/>
      <c r="F1763" s="14"/>
      <c r="G1763" s="16"/>
    </row>
    <row r="1764" spans="2:7" x14ac:dyDescent="0.25">
      <c r="B1764" s="38"/>
      <c r="C1764" s="14"/>
      <c r="D1764" s="14"/>
      <c r="E1764" s="14"/>
      <c r="F1764" s="14"/>
      <c r="G1764" s="16"/>
    </row>
    <row r="1765" spans="2:7" x14ac:dyDescent="0.25">
      <c r="B1765" s="38"/>
      <c r="C1765" s="14"/>
      <c r="D1765" s="14"/>
      <c r="E1765" s="14"/>
      <c r="F1765" s="14"/>
      <c r="G1765" s="16"/>
    </row>
    <row r="1766" spans="2:7" x14ac:dyDescent="0.25">
      <c r="B1766" s="38"/>
      <c r="C1766" s="14"/>
      <c r="D1766" s="14"/>
      <c r="E1766" s="14"/>
      <c r="F1766" s="14"/>
      <c r="G1766" s="16"/>
    </row>
    <row r="1767" spans="2:7" x14ac:dyDescent="0.25">
      <c r="B1767" s="38"/>
      <c r="C1767" s="14"/>
      <c r="D1767" s="14"/>
      <c r="E1767" s="14"/>
      <c r="F1767" s="14"/>
      <c r="G1767" s="16"/>
    </row>
    <row r="1768" spans="2:7" x14ac:dyDescent="0.25">
      <c r="B1768" s="38"/>
      <c r="C1768" s="14"/>
      <c r="D1768" s="14"/>
      <c r="E1768" s="14"/>
      <c r="F1768" s="14"/>
      <c r="G1768" s="16"/>
    </row>
    <row r="1769" spans="2:7" x14ac:dyDescent="0.25">
      <c r="B1769" s="38"/>
      <c r="C1769" s="14"/>
      <c r="D1769" s="14"/>
      <c r="E1769" s="14"/>
      <c r="F1769" s="14"/>
      <c r="G1769" s="16"/>
    </row>
    <row r="1770" spans="2:7" x14ac:dyDescent="0.25">
      <c r="B1770" s="38"/>
      <c r="C1770" s="14"/>
      <c r="D1770" s="14"/>
      <c r="E1770" s="14"/>
      <c r="F1770" s="14"/>
      <c r="G1770" s="16"/>
    </row>
    <row r="1771" spans="2:7" x14ac:dyDescent="0.25">
      <c r="B1771" s="38"/>
      <c r="C1771" s="14"/>
      <c r="D1771" s="14"/>
      <c r="E1771" s="14"/>
      <c r="F1771" s="14"/>
      <c r="G1771" s="16"/>
    </row>
    <row r="1772" spans="2:7" x14ac:dyDescent="0.25">
      <c r="B1772" s="38"/>
      <c r="C1772" s="14"/>
      <c r="D1772" s="14"/>
      <c r="E1772" s="14"/>
      <c r="F1772" s="14"/>
      <c r="G1772" s="16"/>
    </row>
    <row r="1773" spans="2:7" x14ac:dyDescent="0.25">
      <c r="B1773" s="38"/>
      <c r="C1773" s="14"/>
      <c r="D1773" s="14"/>
      <c r="E1773" s="14"/>
      <c r="F1773" s="14"/>
      <c r="G1773" s="16"/>
    </row>
    <row r="1774" spans="2:7" x14ac:dyDescent="0.25">
      <c r="B1774" s="38"/>
      <c r="C1774" s="14"/>
      <c r="D1774" s="14"/>
      <c r="E1774" s="14"/>
      <c r="F1774" s="14"/>
      <c r="G1774" s="16"/>
    </row>
    <row r="1775" spans="2:7" x14ac:dyDescent="0.25">
      <c r="B1775" s="38"/>
      <c r="C1775" s="14"/>
      <c r="D1775" s="14"/>
      <c r="E1775" s="14"/>
      <c r="F1775" s="14"/>
      <c r="G1775" s="16"/>
    </row>
    <row r="1776" spans="2:7" x14ac:dyDescent="0.25">
      <c r="B1776" s="38"/>
      <c r="C1776" s="14"/>
      <c r="D1776" s="14"/>
      <c r="E1776" s="14"/>
      <c r="F1776" s="14"/>
      <c r="G1776" s="16"/>
    </row>
    <row r="1777" spans="2:7" x14ac:dyDescent="0.25">
      <c r="B1777" s="38"/>
      <c r="C1777" s="14"/>
      <c r="D1777" s="14"/>
      <c r="E1777" s="14"/>
      <c r="F1777" s="14"/>
      <c r="G1777" s="16"/>
    </row>
    <row r="1778" spans="2:7" x14ac:dyDescent="0.25">
      <c r="B1778" s="38"/>
      <c r="C1778" s="14"/>
      <c r="D1778" s="14"/>
      <c r="E1778" s="14"/>
      <c r="F1778" s="14"/>
      <c r="G1778" s="16"/>
    </row>
    <row r="1779" spans="2:7" x14ac:dyDescent="0.25">
      <c r="B1779" s="38"/>
      <c r="C1779" s="14"/>
      <c r="D1779" s="14"/>
      <c r="E1779" s="14"/>
      <c r="F1779" s="14"/>
      <c r="G1779" s="16"/>
    </row>
    <row r="1780" spans="2:7" x14ac:dyDescent="0.25">
      <c r="B1780" s="38"/>
      <c r="C1780" s="14"/>
      <c r="D1780" s="14"/>
      <c r="E1780" s="14"/>
      <c r="F1780" s="14"/>
      <c r="G1780" s="16"/>
    </row>
    <row r="1781" spans="2:7" x14ac:dyDescent="0.25">
      <c r="B1781" s="38"/>
      <c r="C1781" s="14"/>
      <c r="D1781" s="14"/>
      <c r="E1781" s="14"/>
      <c r="F1781" s="14"/>
      <c r="G1781" s="16"/>
    </row>
    <row r="1782" spans="2:7" x14ac:dyDescent="0.25">
      <c r="B1782" s="38"/>
      <c r="C1782" s="14"/>
      <c r="D1782" s="14"/>
      <c r="E1782" s="14"/>
      <c r="F1782" s="14"/>
      <c r="G1782" s="16"/>
    </row>
    <row r="1783" spans="2:7" x14ac:dyDescent="0.25">
      <c r="B1783" s="38"/>
      <c r="C1783" s="14"/>
      <c r="D1783" s="14"/>
      <c r="E1783" s="14"/>
      <c r="F1783" s="14"/>
      <c r="G1783" s="16"/>
    </row>
    <row r="1784" spans="2:7" x14ac:dyDescent="0.25">
      <c r="B1784" s="38"/>
      <c r="C1784" s="14"/>
      <c r="D1784" s="14"/>
      <c r="E1784" s="14"/>
      <c r="F1784" s="14"/>
      <c r="G1784" s="16"/>
    </row>
    <row r="1785" spans="2:7" x14ac:dyDescent="0.25">
      <c r="B1785" s="38"/>
      <c r="C1785" s="14"/>
      <c r="D1785" s="14"/>
      <c r="E1785" s="14"/>
      <c r="F1785" s="14"/>
      <c r="G1785" s="16"/>
    </row>
    <row r="1786" spans="2:7" x14ac:dyDescent="0.25">
      <c r="B1786" s="38"/>
      <c r="C1786" s="14"/>
      <c r="D1786" s="14"/>
      <c r="E1786" s="14"/>
      <c r="F1786" s="14"/>
      <c r="G1786" s="16"/>
    </row>
    <row r="1787" spans="2:7" x14ac:dyDescent="0.25">
      <c r="B1787" s="38"/>
      <c r="C1787" s="14"/>
      <c r="D1787" s="14"/>
      <c r="E1787" s="14"/>
      <c r="F1787" s="14"/>
      <c r="G1787" s="16"/>
    </row>
    <row r="1788" spans="2:7" x14ac:dyDescent="0.25">
      <c r="B1788" s="38"/>
      <c r="C1788" s="14"/>
      <c r="D1788" s="14"/>
      <c r="E1788" s="14"/>
      <c r="F1788" s="14"/>
      <c r="G1788" s="16"/>
    </row>
    <row r="1789" spans="2:7" x14ac:dyDescent="0.25">
      <c r="B1789" s="38"/>
      <c r="C1789" s="14"/>
      <c r="D1789" s="14"/>
      <c r="E1789" s="14"/>
      <c r="F1789" s="14"/>
      <c r="G1789" s="16"/>
    </row>
    <row r="1790" spans="2:7" x14ac:dyDescent="0.25">
      <c r="B1790" s="38"/>
      <c r="C1790" s="14"/>
      <c r="D1790" s="14"/>
      <c r="E1790" s="14"/>
      <c r="F1790" s="14"/>
      <c r="G1790" s="16"/>
    </row>
    <row r="1791" spans="2:7" x14ac:dyDescent="0.25">
      <c r="B1791" s="38"/>
      <c r="C1791" s="14"/>
      <c r="D1791" s="14"/>
      <c r="E1791" s="14"/>
      <c r="F1791" s="14"/>
      <c r="G1791" s="16"/>
    </row>
    <row r="1792" spans="2:7" x14ac:dyDescent="0.25">
      <c r="B1792" s="38"/>
      <c r="C1792" s="14"/>
      <c r="D1792" s="14"/>
      <c r="E1792" s="14"/>
      <c r="F1792" s="14"/>
      <c r="G1792" s="16"/>
    </row>
    <row r="1793" spans="2:7" x14ac:dyDescent="0.25">
      <c r="B1793" s="38"/>
      <c r="C1793" s="14"/>
      <c r="D1793" s="14"/>
      <c r="E1793" s="14"/>
      <c r="F1793" s="14"/>
      <c r="G1793" s="16"/>
    </row>
    <row r="1794" spans="2:7" x14ac:dyDescent="0.25">
      <c r="B1794" s="38"/>
      <c r="C1794" s="14"/>
      <c r="D1794" s="14"/>
      <c r="E1794" s="14"/>
      <c r="F1794" s="14"/>
      <c r="G1794" s="16"/>
    </row>
    <row r="1795" spans="2:7" x14ac:dyDescent="0.25">
      <c r="B1795" s="38"/>
      <c r="C1795" s="14"/>
      <c r="D1795" s="14"/>
      <c r="E1795" s="14"/>
      <c r="F1795" s="14"/>
      <c r="G1795" s="16"/>
    </row>
    <row r="1796" spans="2:7" x14ac:dyDescent="0.25">
      <c r="B1796" s="38"/>
      <c r="C1796" s="14"/>
      <c r="D1796" s="14"/>
      <c r="E1796" s="14"/>
      <c r="F1796" s="14"/>
      <c r="G1796" s="16"/>
    </row>
    <row r="1797" spans="2:7" x14ac:dyDescent="0.25">
      <c r="B1797" s="38"/>
      <c r="C1797" s="14"/>
      <c r="D1797" s="14"/>
      <c r="E1797" s="14"/>
      <c r="F1797" s="14"/>
      <c r="G1797" s="16"/>
    </row>
    <row r="1798" spans="2:7" x14ac:dyDescent="0.25">
      <c r="B1798" s="38"/>
      <c r="C1798" s="14"/>
      <c r="D1798" s="14"/>
      <c r="E1798" s="14"/>
      <c r="F1798" s="14"/>
      <c r="G1798" s="16"/>
    </row>
    <row r="1799" spans="2:7" x14ac:dyDescent="0.25">
      <c r="B1799" s="38"/>
      <c r="C1799" s="14"/>
      <c r="D1799" s="14"/>
      <c r="E1799" s="14"/>
      <c r="F1799" s="14"/>
      <c r="G1799" s="16"/>
    </row>
    <row r="1800" spans="2:7" x14ac:dyDescent="0.25">
      <c r="B1800" s="38"/>
      <c r="C1800" s="14"/>
      <c r="D1800" s="14"/>
      <c r="E1800" s="14"/>
      <c r="F1800" s="14"/>
      <c r="G1800" s="16"/>
    </row>
    <row r="1801" spans="2:7" x14ac:dyDescent="0.25">
      <c r="B1801" s="38"/>
      <c r="C1801" s="14"/>
      <c r="D1801" s="14"/>
      <c r="E1801" s="14"/>
      <c r="F1801" s="14"/>
      <c r="G1801" s="16"/>
    </row>
    <row r="1802" spans="2:7" x14ac:dyDescent="0.25">
      <c r="B1802" s="38"/>
      <c r="C1802" s="14"/>
      <c r="D1802" s="14"/>
      <c r="E1802" s="14"/>
      <c r="F1802" s="14"/>
      <c r="G1802" s="16"/>
    </row>
    <row r="1803" spans="2:7" x14ac:dyDescent="0.25">
      <c r="B1803" s="38"/>
      <c r="C1803" s="14"/>
      <c r="D1803" s="14"/>
      <c r="E1803" s="14"/>
      <c r="F1803" s="14"/>
      <c r="G1803" s="16"/>
    </row>
    <row r="1804" spans="2:7" x14ac:dyDescent="0.25">
      <c r="B1804" s="38"/>
      <c r="C1804" s="14"/>
      <c r="D1804" s="14"/>
      <c r="E1804" s="14"/>
      <c r="F1804" s="14"/>
      <c r="G1804" s="16"/>
    </row>
    <row r="1805" spans="2:7" x14ac:dyDescent="0.25">
      <c r="B1805" s="38"/>
      <c r="C1805" s="14"/>
      <c r="D1805" s="14"/>
      <c r="E1805" s="14"/>
      <c r="F1805" s="14"/>
      <c r="G1805" s="16"/>
    </row>
    <row r="1806" spans="2:7" x14ac:dyDescent="0.25">
      <c r="B1806" s="38"/>
      <c r="C1806" s="14"/>
      <c r="D1806" s="14"/>
      <c r="E1806" s="14"/>
      <c r="F1806" s="14"/>
      <c r="G1806" s="16"/>
    </row>
    <row r="1807" spans="2:7" x14ac:dyDescent="0.25">
      <c r="B1807" s="38"/>
      <c r="C1807" s="14"/>
      <c r="D1807" s="14"/>
      <c r="E1807" s="14"/>
      <c r="F1807" s="14"/>
      <c r="G1807" s="16"/>
    </row>
    <row r="1808" spans="2:7" x14ac:dyDescent="0.25">
      <c r="B1808" s="38"/>
      <c r="C1808" s="14"/>
      <c r="D1808" s="14"/>
      <c r="E1808" s="14"/>
      <c r="F1808" s="14"/>
      <c r="G1808" s="16"/>
    </row>
    <row r="1809" spans="2:7" x14ac:dyDescent="0.25">
      <c r="B1809" s="38"/>
      <c r="C1809" s="14"/>
      <c r="D1809" s="14"/>
      <c r="E1809" s="14"/>
      <c r="F1809" s="14"/>
      <c r="G1809" s="16"/>
    </row>
    <row r="1810" spans="2:7" x14ac:dyDescent="0.25">
      <c r="B1810" s="38"/>
      <c r="C1810" s="14"/>
      <c r="D1810" s="14"/>
      <c r="E1810" s="14"/>
      <c r="F1810" s="14"/>
      <c r="G1810" s="16"/>
    </row>
    <row r="1811" spans="2:7" x14ac:dyDescent="0.25">
      <c r="B1811" s="38"/>
      <c r="C1811" s="14"/>
      <c r="D1811" s="14"/>
      <c r="E1811" s="14"/>
      <c r="F1811" s="14"/>
      <c r="G1811" s="16"/>
    </row>
    <row r="1812" spans="2:7" x14ac:dyDescent="0.25">
      <c r="B1812" s="38"/>
      <c r="C1812" s="14"/>
      <c r="D1812" s="14"/>
      <c r="E1812" s="14"/>
      <c r="F1812" s="14"/>
      <c r="G1812" s="16"/>
    </row>
    <row r="1813" spans="2:7" x14ac:dyDescent="0.25">
      <c r="B1813" s="38"/>
      <c r="C1813" s="14"/>
      <c r="D1813" s="14"/>
      <c r="E1813" s="14"/>
      <c r="F1813" s="14"/>
      <c r="G1813" s="16"/>
    </row>
    <row r="1814" spans="2:7" x14ac:dyDescent="0.25">
      <c r="B1814" s="38"/>
      <c r="C1814" s="14"/>
      <c r="D1814" s="14"/>
      <c r="E1814" s="14"/>
      <c r="F1814" s="14"/>
      <c r="G1814" s="16"/>
    </row>
    <row r="1815" spans="2:7" x14ac:dyDescent="0.25">
      <c r="B1815" s="38"/>
      <c r="C1815" s="14"/>
      <c r="D1815" s="14"/>
      <c r="E1815" s="14"/>
      <c r="F1815" s="14"/>
      <c r="G1815" s="16"/>
    </row>
    <row r="1816" spans="2:7" x14ac:dyDescent="0.25">
      <c r="B1816" s="38"/>
      <c r="C1816" s="14"/>
      <c r="D1816" s="14"/>
      <c r="E1816" s="14"/>
      <c r="F1816" s="14"/>
      <c r="G1816" s="16"/>
    </row>
    <row r="1817" spans="2:7" x14ac:dyDescent="0.25">
      <c r="B1817" s="38"/>
      <c r="C1817" s="14"/>
      <c r="D1817" s="14"/>
      <c r="E1817" s="14"/>
      <c r="F1817" s="14"/>
      <c r="G1817" s="16"/>
    </row>
    <row r="1818" spans="2:7" x14ac:dyDescent="0.25">
      <c r="B1818" s="38"/>
      <c r="C1818" s="14"/>
      <c r="D1818" s="14"/>
      <c r="E1818" s="14"/>
      <c r="F1818" s="14"/>
      <c r="G1818" s="16"/>
    </row>
    <row r="1819" spans="2:7" x14ac:dyDescent="0.25">
      <c r="B1819" s="38"/>
      <c r="C1819" s="14"/>
      <c r="D1819" s="14"/>
      <c r="E1819" s="14"/>
      <c r="F1819" s="14"/>
      <c r="G1819" s="16"/>
    </row>
    <row r="1820" spans="2:7" x14ac:dyDescent="0.25">
      <c r="B1820" s="38"/>
      <c r="C1820" s="14"/>
      <c r="D1820" s="14"/>
      <c r="E1820" s="14"/>
      <c r="F1820" s="14"/>
      <c r="G1820" s="16"/>
    </row>
    <row r="1821" spans="2:7" x14ac:dyDescent="0.25">
      <c r="B1821" s="38"/>
      <c r="C1821" s="14"/>
      <c r="D1821" s="14"/>
      <c r="E1821" s="14"/>
      <c r="F1821" s="14"/>
      <c r="G1821" s="16"/>
    </row>
    <row r="1822" spans="2:7" x14ac:dyDescent="0.25">
      <c r="B1822" s="38"/>
      <c r="C1822" s="14"/>
      <c r="D1822" s="14"/>
      <c r="E1822" s="14"/>
      <c r="F1822" s="14"/>
      <c r="G1822" s="16"/>
    </row>
    <row r="1823" spans="2:7" x14ac:dyDescent="0.25">
      <c r="B1823" s="38"/>
      <c r="C1823" s="14"/>
      <c r="D1823" s="14"/>
      <c r="E1823" s="14"/>
      <c r="F1823" s="14"/>
      <c r="G1823" s="16"/>
    </row>
    <row r="1824" spans="2:7" x14ac:dyDescent="0.25">
      <c r="B1824" s="38"/>
      <c r="C1824" s="14"/>
      <c r="D1824" s="14"/>
      <c r="E1824" s="14"/>
      <c r="F1824" s="14"/>
      <c r="G1824" s="16"/>
    </row>
    <row r="1825" spans="2:7" x14ac:dyDescent="0.25">
      <c r="B1825" s="38"/>
      <c r="C1825" s="14"/>
      <c r="D1825" s="14"/>
      <c r="E1825" s="14"/>
      <c r="F1825" s="14"/>
      <c r="G1825" s="16"/>
    </row>
    <row r="1826" spans="2:7" x14ac:dyDescent="0.25">
      <c r="B1826" s="38"/>
      <c r="C1826" s="14"/>
      <c r="D1826" s="14"/>
      <c r="E1826" s="14"/>
      <c r="F1826" s="14"/>
      <c r="G1826" s="16"/>
    </row>
    <row r="1827" spans="2:7" x14ac:dyDescent="0.25">
      <c r="B1827" s="38"/>
      <c r="C1827" s="14"/>
      <c r="D1827" s="14"/>
      <c r="E1827" s="14"/>
      <c r="F1827" s="14"/>
      <c r="G1827" s="16"/>
    </row>
    <row r="1828" spans="2:7" x14ac:dyDescent="0.25">
      <c r="B1828" s="38"/>
      <c r="C1828" s="14"/>
      <c r="D1828" s="14"/>
      <c r="E1828" s="14"/>
      <c r="F1828" s="14"/>
      <c r="G1828" s="16"/>
    </row>
    <row r="1829" spans="2:7" x14ac:dyDescent="0.25">
      <c r="B1829" s="38"/>
      <c r="C1829" s="14"/>
      <c r="D1829" s="14"/>
      <c r="E1829" s="14"/>
      <c r="F1829" s="14"/>
      <c r="G1829" s="16"/>
    </row>
    <row r="1830" spans="2:7" x14ac:dyDescent="0.25">
      <c r="B1830" s="38"/>
      <c r="C1830" s="14"/>
      <c r="D1830" s="14"/>
      <c r="E1830" s="14"/>
      <c r="F1830" s="14"/>
      <c r="G1830" s="16"/>
    </row>
    <row r="1831" spans="2:7" x14ac:dyDescent="0.25">
      <c r="B1831" s="38"/>
      <c r="C1831" s="14"/>
      <c r="D1831" s="14"/>
      <c r="E1831" s="14"/>
      <c r="F1831" s="14"/>
      <c r="G1831" s="16"/>
    </row>
    <row r="1832" spans="2:7" x14ac:dyDescent="0.25">
      <c r="B1832" s="38"/>
      <c r="C1832" s="14"/>
      <c r="D1832" s="14"/>
      <c r="E1832" s="14"/>
      <c r="F1832" s="14"/>
      <c r="G1832" s="16"/>
    </row>
    <row r="1833" spans="2:7" x14ac:dyDescent="0.25">
      <c r="B1833" s="38"/>
      <c r="C1833" s="14"/>
      <c r="D1833" s="14"/>
      <c r="E1833" s="14"/>
      <c r="F1833" s="14"/>
      <c r="G1833" s="16"/>
    </row>
    <row r="1834" spans="2:7" x14ac:dyDescent="0.25">
      <c r="B1834" s="38"/>
      <c r="C1834" s="14"/>
      <c r="D1834" s="14"/>
      <c r="E1834" s="14"/>
      <c r="F1834" s="14"/>
      <c r="G1834" s="16"/>
    </row>
    <row r="1835" spans="2:7" x14ac:dyDescent="0.25">
      <c r="B1835" s="38"/>
      <c r="C1835" s="14"/>
      <c r="D1835" s="14"/>
      <c r="E1835" s="14"/>
      <c r="F1835" s="14"/>
      <c r="G1835" s="16"/>
    </row>
    <row r="1836" spans="2:7" x14ac:dyDescent="0.25">
      <c r="B1836" s="38"/>
      <c r="C1836" s="14"/>
      <c r="D1836" s="14"/>
      <c r="E1836" s="14"/>
      <c r="F1836" s="14"/>
      <c r="G1836" s="16"/>
    </row>
    <row r="1837" spans="2:7" x14ac:dyDescent="0.25">
      <c r="B1837" s="38"/>
      <c r="C1837" s="14"/>
      <c r="D1837" s="14"/>
      <c r="E1837" s="14"/>
      <c r="F1837" s="14"/>
      <c r="G1837" s="16"/>
    </row>
    <row r="1838" spans="2:7" x14ac:dyDescent="0.25">
      <c r="B1838" s="38"/>
      <c r="C1838" s="14"/>
      <c r="D1838" s="14"/>
      <c r="E1838" s="14"/>
      <c r="F1838" s="14"/>
      <c r="G1838" s="16"/>
    </row>
    <row r="1839" spans="2:7" x14ac:dyDescent="0.25">
      <c r="B1839" s="38"/>
      <c r="C1839" s="14"/>
      <c r="D1839" s="14"/>
      <c r="E1839" s="14"/>
      <c r="F1839" s="14"/>
      <c r="G1839" s="16"/>
    </row>
    <row r="1840" spans="2:7" x14ac:dyDescent="0.25">
      <c r="B1840" s="38"/>
      <c r="C1840" s="14"/>
      <c r="D1840" s="14"/>
      <c r="E1840" s="14"/>
      <c r="F1840" s="14"/>
      <c r="G1840" s="16"/>
    </row>
    <row r="1841" spans="2:7" x14ac:dyDescent="0.25">
      <c r="B1841" s="38"/>
      <c r="C1841" s="14"/>
      <c r="D1841" s="14"/>
      <c r="E1841" s="14"/>
      <c r="F1841" s="14"/>
      <c r="G1841" s="16"/>
    </row>
    <row r="1842" spans="2:7" x14ac:dyDescent="0.25">
      <c r="B1842" s="38"/>
      <c r="C1842" s="14"/>
      <c r="D1842" s="14"/>
      <c r="E1842" s="14"/>
      <c r="F1842" s="14"/>
      <c r="G1842" s="16"/>
    </row>
    <row r="1843" spans="2:7" x14ac:dyDescent="0.25">
      <c r="B1843" s="38"/>
      <c r="C1843" s="14"/>
      <c r="D1843" s="14"/>
      <c r="E1843" s="14"/>
      <c r="F1843" s="14"/>
      <c r="G1843" s="16"/>
    </row>
    <row r="1844" spans="2:7" x14ac:dyDescent="0.25">
      <c r="B1844" s="38"/>
      <c r="C1844" s="14"/>
      <c r="D1844" s="14"/>
      <c r="E1844" s="14"/>
      <c r="F1844" s="14"/>
      <c r="G1844" s="16"/>
    </row>
    <row r="1845" spans="2:7" x14ac:dyDescent="0.25">
      <c r="B1845" s="38"/>
      <c r="C1845" s="14"/>
      <c r="D1845" s="14"/>
      <c r="E1845" s="14"/>
      <c r="F1845" s="14"/>
      <c r="G1845" s="16"/>
    </row>
    <row r="1846" spans="2:7" x14ac:dyDescent="0.25">
      <c r="B1846" s="38"/>
      <c r="C1846" s="14"/>
      <c r="D1846" s="14"/>
      <c r="E1846" s="14"/>
      <c r="F1846" s="14"/>
      <c r="G1846" s="16"/>
    </row>
    <row r="1847" spans="2:7" x14ac:dyDescent="0.25">
      <c r="B1847" s="38"/>
      <c r="C1847" s="14"/>
      <c r="D1847" s="14"/>
      <c r="E1847" s="14"/>
      <c r="F1847" s="14"/>
      <c r="G1847" s="16"/>
    </row>
    <row r="1848" spans="2:7" x14ac:dyDescent="0.25">
      <c r="B1848" s="38"/>
      <c r="C1848" s="14"/>
      <c r="D1848" s="14"/>
      <c r="E1848" s="14"/>
      <c r="F1848" s="14"/>
      <c r="G1848" s="16"/>
    </row>
    <row r="1849" spans="2:7" x14ac:dyDescent="0.25">
      <c r="B1849" s="38"/>
      <c r="C1849" s="14"/>
      <c r="D1849" s="14"/>
      <c r="E1849" s="14"/>
      <c r="F1849" s="14"/>
      <c r="G1849" s="16"/>
    </row>
    <row r="1850" spans="2:7" x14ac:dyDescent="0.25">
      <c r="B1850" s="38"/>
      <c r="C1850" s="14"/>
      <c r="D1850" s="14"/>
      <c r="E1850" s="14"/>
      <c r="F1850" s="14"/>
      <c r="G1850" s="16"/>
    </row>
    <row r="1851" spans="2:7" x14ac:dyDescent="0.25">
      <c r="B1851" s="38"/>
      <c r="C1851" s="14"/>
      <c r="D1851" s="14"/>
      <c r="E1851" s="14"/>
      <c r="F1851" s="14"/>
      <c r="G1851" s="16"/>
    </row>
    <row r="1852" spans="2:7" x14ac:dyDescent="0.25">
      <c r="B1852" s="38"/>
      <c r="C1852" s="14"/>
      <c r="D1852" s="14"/>
      <c r="E1852" s="14"/>
      <c r="F1852" s="14"/>
      <c r="G1852" s="16"/>
    </row>
    <row r="1853" spans="2:7" x14ac:dyDescent="0.25">
      <c r="B1853" s="38"/>
      <c r="C1853" s="14"/>
      <c r="D1853" s="14"/>
      <c r="E1853" s="14"/>
      <c r="F1853" s="14"/>
      <c r="G1853" s="16"/>
    </row>
    <row r="1854" spans="2:7" x14ac:dyDescent="0.25">
      <c r="B1854" s="38"/>
      <c r="C1854" s="14"/>
      <c r="D1854" s="14"/>
      <c r="E1854" s="14"/>
      <c r="F1854" s="14"/>
      <c r="G1854" s="16"/>
    </row>
    <row r="1855" spans="2:7" x14ac:dyDescent="0.25">
      <c r="B1855" s="38"/>
      <c r="C1855" s="14"/>
      <c r="D1855" s="14"/>
      <c r="E1855" s="14"/>
      <c r="F1855" s="14"/>
      <c r="G1855" s="16"/>
    </row>
    <row r="1856" spans="2:7" x14ac:dyDescent="0.25">
      <c r="B1856" s="38"/>
      <c r="C1856" s="14"/>
      <c r="D1856" s="14"/>
      <c r="E1856" s="14"/>
      <c r="F1856" s="14"/>
      <c r="G1856" s="16"/>
    </row>
    <row r="1857" spans="2:7" x14ac:dyDescent="0.25">
      <c r="B1857" s="38"/>
      <c r="C1857" s="14"/>
      <c r="D1857" s="14"/>
      <c r="E1857" s="14"/>
      <c r="F1857" s="14"/>
      <c r="G1857" s="16"/>
    </row>
    <row r="1858" spans="2:7" x14ac:dyDescent="0.25">
      <c r="B1858" s="38"/>
      <c r="C1858" s="14"/>
      <c r="D1858" s="14"/>
      <c r="E1858" s="14"/>
      <c r="F1858" s="14"/>
      <c r="G1858" s="16"/>
    </row>
    <row r="1859" spans="2:7" x14ac:dyDescent="0.25">
      <c r="B1859" s="38"/>
      <c r="C1859" s="14"/>
      <c r="D1859" s="14"/>
      <c r="E1859" s="14"/>
      <c r="F1859" s="14"/>
      <c r="G1859" s="16"/>
    </row>
    <row r="1860" spans="2:7" x14ac:dyDescent="0.25">
      <c r="B1860" s="38"/>
      <c r="C1860" s="14"/>
      <c r="D1860" s="14"/>
      <c r="E1860" s="14"/>
      <c r="F1860" s="14"/>
      <c r="G1860" s="16"/>
    </row>
    <row r="1861" spans="2:7" x14ac:dyDescent="0.25">
      <c r="B1861" s="38"/>
      <c r="C1861" s="14"/>
      <c r="D1861" s="14"/>
      <c r="E1861" s="14"/>
      <c r="F1861" s="14"/>
      <c r="G1861" s="16"/>
    </row>
    <row r="1862" spans="2:7" x14ac:dyDescent="0.25">
      <c r="B1862" s="38"/>
      <c r="C1862" s="14"/>
      <c r="D1862" s="14"/>
      <c r="E1862" s="14"/>
      <c r="F1862" s="14"/>
      <c r="G1862" s="16"/>
    </row>
    <row r="1863" spans="2:7" x14ac:dyDescent="0.25">
      <c r="B1863" s="38"/>
      <c r="C1863" s="14"/>
      <c r="D1863" s="14"/>
      <c r="E1863" s="14"/>
      <c r="F1863" s="14"/>
      <c r="G1863" s="16"/>
    </row>
    <row r="1864" spans="2:7" x14ac:dyDescent="0.25">
      <c r="B1864" s="38"/>
      <c r="C1864" s="14"/>
      <c r="D1864" s="14"/>
      <c r="E1864" s="14"/>
      <c r="F1864" s="14"/>
      <c r="G1864" s="16"/>
    </row>
    <row r="1865" spans="2:7" x14ac:dyDescent="0.25">
      <c r="B1865" s="38"/>
      <c r="C1865" s="14"/>
      <c r="D1865" s="14"/>
      <c r="E1865" s="14"/>
      <c r="F1865" s="14"/>
      <c r="G1865" s="16"/>
    </row>
    <row r="1866" spans="2:7" x14ac:dyDescent="0.25">
      <c r="B1866" s="38"/>
      <c r="C1866" s="14"/>
      <c r="D1866" s="14"/>
      <c r="E1866" s="14"/>
      <c r="F1866" s="14"/>
      <c r="G1866" s="16"/>
    </row>
    <row r="1867" spans="2:7" x14ac:dyDescent="0.25">
      <c r="B1867" s="38"/>
      <c r="C1867" s="14"/>
      <c r="D1867" s="14"/>
      <c r="E1867" s="14"/>
      <c r="F1867" s="14"/>
      <c r="G1867" s="16"/>
    </row>
    <row r="1868" spans="2:7" x14ac:dyDescent="0.25">
      <c r="B1868" s="38"/>
      <c r="C1868" s="14"/>
      <c r="D1868" s="14"/>
      <c r="E1868" s="14"/>
      <c r="F1868" s="14"/>
      <c r="G1868" s="16"/>
    </row>
    <row r="1869" spans="2:7" x14ac:dyDescent="0.25">
      <c r="B1869" s="38"/>
      <c r="C1869" s="14"/>
      <c r="D1869" s="14"/>
      <c r="E1869" s="14"/>
      <c r="F1869" s="14"/>
      <c r="G1869" s="16"/>
    </row>
    <row r="1870" spans="2:7" x14ac:dyDescent="0.25">
      <c r="B1870" s="38"/>
      <c r="C1870" s="14"/>
      <c r="D1870" s="14"/>
      <c r="E1870" s="14"/>
      <c r="F1870" s="14"/>
      <c r="G1870" s="16"/>
    </row>
    <row r="1871" spans="2:7" x14ac:dyDescent="0.25">
      <c r="B1871" s="38"/>
      <c r="C1871" s="14"/>
      <c r="D1871" s="14"/>
      <c r="E1871" s="14"/>
      <c r="F1871" s="14"/>
      <c r="G1871" s="16"/>
    </row>
    <row r="1872" spans="2:7" x14ac:dyDescent="0.25">
      <c r="B1872" s="38"/>
      <c r="C1872" s="14"/>
      <c r="D1872" s="14"/>
      <c r="E1872" s="14"/>
      <c r="F1872" s="14"/>
      <c r="G1872" s="16"/>
    </row>
    <row r="1873" spans="2:7" x14ac:dyDescent="0.25">
      <c r="B1873" s="38"/>
      <c r="C1873" s="14"/>
      <c r="D1873" s="14"/>
      <c r="E1873" s="14"/>
      <c r="F1873" s="14"/>
      <c r="G1873" s="16"/>
    </row>
    <row r="1874" spans="2:7" x14ac:dyDescent="0.25">
      <c r="B1874" s="38"/>
      <c r="C1874" s="14"/>
      <c r="D1874" s="14"/>
      <c r="E1874" s="14"/>
      <c r="F1874" s="14"/>
      <c r="G1874" s="16"/>
    </row>
    <row r="1875" spans="2:7" x14ac:dyDescent="0.25">
      <c r="B1875" s="38"/>
      <c r="C1875" s="14"/>
      <c r="D1875" s="14"/>
      <c r="E1875" s="14"/>
      <c r="F1875" s="14"/>
      <c r="G1875" s="16"/>
    </row>
    <row r="1876" spans="2:7" x14ac:dyDescent="0.25">
      <c r="B1876" s="38"/>
      <c r="C1876" s="14"/>
      <c r="D1876" s="14"/>
      <c r="E1876" s="14"/>
      <c r="F1876" s="14"/>
      <c r="G1876" s="16"/>
    </row>
    <row r="1877" spans="2:7" x14ac:dyDescent="0.25">
      <c r="B1877" s="38"/>
      <c r="C1877" s="14"/>
      <c r="D1877" s="14"/>
      <c r="E1877" s="14"/>
      <c r="F1877" s="14"/>
      <c r="G1877" s="16"/>
    </row>
    <row r="1878" spans="2:7" x14ac:dyDescent="0.25">
      <c r="B1878" s="38"/>
      <c r="C1878" s="14"/>
      <c r="D1878" s="14"/>
      <c r="E1878" s="14"/>
      <c r="F1878" s="14"/>
      <c r="G1878" s="16"/>
    </row>
    <row r="1879" spans="2:7" x14ac:dyDescent="0.25">
      <c r="B1879" s="38"/>
      <c r="C1879" s="14"/>
      <c r="D1879" s="14"/>
      <c r="E1879" s="14"/>
      <c r="F1879" s="14"/>
      <c r="G1879" s="16"/>
    </row>
    <row r="1880" spans="2:7" x14ac:dyDescent="0.25">
      <c r="B1880" s="38"/>
      <c r="C1880" s="14"/>
      <c r="D1880" s="14"/>
      <c r="E1880" s="14"/>
      <c r="F1880" s="14"/>
      <c r="G1880" s="16"/>
    </row>
    <row r="1881" spans="2:7" x14ac:dyDescent="0.25">
      <c r="B1881" s="38"/>
      <c r="C1881" s="14"/>
      <c r="D1881" s="14"/>
      <c r="E1881" s="14"/>
      <c r="F1881" s="14"/>
      <c r="G1881" s="16"/>
    </row>
    <row r="1882" spans="2:7" x14ac:dyDescent="0.25">
      <c r="B1882" s="38"/>
      <c r="C1882" s="14"/>
      <c r="D1882" s="14"/>
      <c r="E1882" s="14"/>
      <c r="F1882" s="14"/>
      <c r="G1882" s="16"/>
    </row>
    <row r="1883" spans="2:7" x14ac:dyDescent="0.25">
      <c r="B1883" s="38"/>
      <c r="C1883" s="14"/>
      <c r="D1883" s="14"/>
      <c r="E1883" s="14"/>
      <c r="F1883" s="14"/>
      <c r="G1883" s="16"/>
    </row>
    <row r="1884" spans="2:7" x14ac:dyDescent="0.25">
      <c r="B1884" s="38"/>
      <c r="C1884" s="14"/>
      <c r="D1884" s="14"/>
      <c r="E1884" s="14"/>
      <c r="F1884" s="14"/>
      <c r="G1884" s="16"/>
    </row>
    <row r="1885" spans="2:7" x14ac:dyDescent="0.25">
      <c r="B1885" s="38"/>
      <c r="C1885" s="14"/>
      <c r="D1885" s="14"/>
      <c r="E1885" s="14"/>
      <c r="F1885" s="14"/>
      <c r="G1885" s="16"/>
    </row>
    <row r="1886" spans="2:7" x14ac:dyDescent="0.25">
      <c r="B1886" s="38"/>
      <c r="C1886" s="14"/>
      <c r="D1886" s="14"/>
      <c r="E1886" s="14"/>
      <c r="F1886" s="14"/>
      <c r="G1886" s="16"/>
    </row>
    <row r="1887" spans="2:7" x14ac:dyDescent="0.25">
      <c r="B1887" s="38"/>
      <c r="C1887" s="14"/>
      <c r="D1887" s="14"/>
      <c r="E1887" s="14"/>
      <c r="F1887" s="14"/>
      <c r="G1887" s="16"/>
    </row>
    <row r="1888" spans="2:7" x14ac:dyDescent="0.25">
      <c r="B1888" s="38"/>
      <c r="C1888" s="14"/>
      <c r="D1888" s="14"/>
      <c r="E1888" s="14"/>
      <c r="F1888" s="14"/>
      <c r="G1888" s="16"/>
    </row>
    <row r="1889" spans="2:7" x14ac:dyDescent="0.25">
      <c r="B1889" s="38"/>
      <c r="C1889" s="14"/>
      <c r="D1889" s="14"/>
      <c r="E1889" s="14"/>
      <c r="F1889" s="14"/>
      <c r="G1889" s="16"/>
    </row>
    <row r="1890" spans="2:7" x14ac:dyDescent="0.25">
      <c r="B1890" s="38"/>
      <c r="C1890" s="14"/>
      <c r="D1890" s="14"/>
      <c r="E1890" s="14"/>
      <c r="F1890" s="14"/>
      <c r="G1890" s="16"/>
    </row>
    <row r="1891" spans="2:7" x14ac:dyDescent="0.25">
      <c r="B1891" s="38"/>
      <c r="C1891" s="14"/>
      <c r="D1891" s="14"/>
      <c r="E1891" s="14"/>
      <c r="F1891" s="14"/>
      <c r="G1891" s="16"/>
    </row>
    <row r="1892" spans="2:7" x14ac:dyDescent="0.25">
      <c r="B1892" s="38"/>
      <c r="C1892" s="14"/>
      <c r="D1892" s="14"/>
      <c r="E1892" s="14"/>
      <c r="F1892" s="14"/>
      <c r="G1892" s="16"/>
    </row>
    <row r="1893" spans="2:7" x14ac:dyDescent="0.25">
      <c r="B1893" s="38"/>
      <c r="C1893" s="14"/>
      <c r="D1893" s="14"/>
      <c r="E1893" s="14"/>
      <c r="F1893" s="14"/>
      <c r="G1893" s="16"/>
    </row>
    <row r="1894" spans="2:7" x14ac:dyDescent="0.25">
      <c r="B1894" s="38"/>
      <c r="C1894" s="14"/>
      <c r="D1894" s="14"/>
      <c r="E1894" s="14"/>
      <c r="F1894" s="14"/>
      <c r="G1894" s="16"/>
    </row>
    <row r="1895" spans="2:7" x14ac:dyDescent="0.25">
      <c r="B1895" s="38"/>
      <c r="C1895" s="14"/>
      <c r="D1895" s="14"/>
      <c r="E1895" s="14"/>
      <c r="F1895" s="14"/>
      <c r="G1895" s="16"/>
    </row>
    <row r="1896" spans="2:7" x14ac:dyDescent="0.25">
      <c r="B1896" s="38"/>
      <c r="C1896" s="14"/>
      <c r="D1896" s="14"/>
      <c r="E1896" s="14"/>
      <c r="F1896" s="14"/>
      <c r="G1896" s="16"/>
    </row>
    <row r="1897" spans="2:7" x14ac:dyDescent="0.25">
      <c r="B1897" s="38"/>
      <c r="C1897" s="14"/>
      <c r="D1897" s="14"/>
      <c r="E1897" s="14"/>
      <c r="F1897" s="14"/>
      <c r="G1897" s="16"/>
    </row>
    <row r="1898" spans="2:7" x14ac:dyDescent="0.25">
      <c r="B1898" s="38"/>
      <c r="C1898" s="14"/>
      <c r="D1898" s="14"/>
      <c r="E1898" s="14"/>
      <c r="F1898" s="14"/>
      <c r="G1898" s="16"/>
    </row>
    <row r="1899" spans="2:7" x14ac:dyDescent="0.25">
      <c r="B1899" s="38"/>
      <c r="C1899" s="14"/>
      <c r="D1899" s="14"/>
      <c r="E1899" s="14"/>
      <c r="F1899" s="14"/>
      <c r="G1899" s="16"/>
    </row>
    <row r="1900" spans="2:7" x14ac:dyDescent="0.25">
      <c r="B1900" s="38"/>
      <c r="C1900" s="14"/>
      <c r="D1900" s="14"/>
      <c r="E1900" s="14"/>
      <c r="F1900" s="14"/>
      <c r="G1900" s="16"/>
    </row>
    <row r="1901" spans="2:7" x14ac:dyDescent="0.25">
      <c r="B1901" s="38"/>
      <c r="C1901" s="14"/>
      <c r="D1901" s="14"/>
      <c r="E1901" s="14"/>
      <c r="F1901" s="14"/>
      <c r="G1901" s="16"/>
    </row>
    <row r="1902" spans="2:7" x14ac:dyDescent="0.25">
      <c r="B1902" s="38"/>
      <c r="C1902" s="14"/>
      <c r="D1902" s="14"/>
      <c r="E1902" s="14"/>
      <c r="F1902" s="14"/>
      <c r="G1902" s="16"/>
    </row>
    <row r="1903" spans="2:7" x14ac:dyDescent="0.25">
      <c r="B1903" s="38"/>
      <c r="C1903" s="14"/>
      <c r="D1903" s="14"/>
      <c r="E1903" s="14"/>
      <c r="F1903" s="14"/>
      <c r="G1903" s="16"/>
    </row>
    <row r="1904" spans="2:7" x14ac:dyDescent="0.25">
      <c r="B1904" s="38"/>
      <c r="C1904" s="14"/>
      <c r="D1904" s="14"/>
      <c r="E1904" s="14"/>
      <c r="F1904" s="14"/>
      <c r="G1904" s="16"/>
    </row>
    <row r="1905" spans="2:7" x14ac:dyDescent="0.25">
      <c r="B1905" s="38"/>
      <c r="C1905" s="14"/>
      <c r="D1905" s="14"/>
      <c r="E1905" s="14"/>
      <c r="F1905" s="14"/>
      <c r="G1905" s="16"/>
    </row>
    <row r="1906" spans="2:7" x14ac:dyDescent="0.25">
      <c r="B1906" s="38"/>
      <c r="C1906" s="14"/>
      <c r="D1906" s="14"/>
      <c r="E1906" s="14"/>
      <c r="F1906" s="14"/>
      <c r="G1906" s="16"/>
    </row>
    <row r="1907" spans="2:7" x14ac:dyDescent="0.25">
      <c r="B1907" s="38"/>
      <c r="C1907" s="14"/>
      <c r="D1907" s="14"/>
      <c r="E1907" s="14"/>
      <c r="F1907" s="14"/>
      <c r="G1907" s="16"/>
    </row>
    <row r="1908" spans="2:7" x14ac:dyDescent="0.25">
      <c r="B1908" s="38"/>
      <c r="C1908" s="14"/>
      <c r="D1908" s="14"/>
      <c r="E1908" s="14"/>
      <c r="F1908" s="14"/>
      <c r="G1908" s="16"/>
    </row>
    <row r="1909" spans="2:7" x14ac:dyDescent="0.25">
      <c r="B1909" s="38"/>
      <c r="C1909" s="14"/>
      <c r="D1909" s="14"/>
      <c r="E1909" s="14"/>
      <c r="F1909" s="14"/>
      <c r="G1909" s="16"/>
    </row>
    <row r="1910" spans="2:7" x14ac:dyDescent="0.25">
      <c r="B1910" s="38"/>
      <c r="C1910" s="14"/>
      <c r="D1910" s="14"/>
      <c r="E1910" s="14"/>
      <c r="F1910" s="14"/>
      <c r="G1910" s="16"/>
    </row>
    <row r="1911" spans="2:7" x14ac:dyDescent="0.25">
      <c r="B1911" s="38"/>
      <c r="C1911" s="14"/>
      <c r="D1911" s="14"/>
      <c r="E1911" s="14"/>
      <c r="F1911" s="14"/>
      <c r="G1911" s="16"/>
    </row>
    <row r="1912" spans="2:7" x14ac:dyDescent="0.25">
      <c r="B1912" s="38"/>
      <c r="C1912" s="14"/>
      <c r="D1912" s="14"/>
      <c r="E1912" s="14"/>
      <c r="F1912" s="14"/>
      <c r="G1912" s="16"/>
    </row>
    <row r="1913" spans="2:7" x14ac:dyDescent="0.25">
      <c r="B1913" s="38"/>
      <c r="C1913" s="14"/>
      <c r="D1913" s="14"/>
      <c r="E1913" s="14"/>
      <c r="F1913" s="14"/>
      <c r="G1913" s="16"/>
    </row>
    <row r="1914" spans="2:7" x14ac:dyDescent="0.25">
      <c r="B1914" s="38"/>
      <c r="C1914" s="14"/>
      <c r="D1914" s="14"/>
      <c r="E1914" s="14"/>
      <c r="F1914" s="14"/>
      <c r="G1914" s="16"/>
    </row>
    <row r="1915" spans="2:7" x14ac:dyDescent="0.25">
      <c r="B1915" s="38"/>
      <c r="C1915" s="14"/>
      <c r="D1915" s="14"/>
      <c r="E1915" s="14"/>
      <c r="F1915" s="14"/>
      <c r="G1915" s="16"/>
    </row>
    <row r="1916" spans="2:7" x14ac:dyDescent="0.25">
      <c r="B1916" s="38"/>
      <c r="C1916" s="14"/>
      <c r="D1916" s="14"/>
      <c r="E1916" s="14"/>
      <c r="F1916" s="14"/>
      <c r="G1916" s="16"/>
    </row>
    <row r="1917" spans="2:7" x14ac:dyDescent="0.25">
      <c r="B1917" s="38"/>
      <c r="C1917" s="14"/>
      <c r="D1917" s="14"/>
      <c r="E1917" s="14"/>
      <c r="F1917" s="14"/>
      <c r="G1917" s="16"/>
    </row>
    <row r="1918" spans="2:7" x14ac:dyDescent="0.25">
      <c r="B1918" s="38"/>
      <c r="C1918" s="14"/>
      <c r="D1918" s="14"/>
      <c r="E1918" s="14"/>
      <c r="F1918" s="14"/>
      <c r="G1918" s="16"/>
    </row>
    <row r="1919" spans="2:7" x14ac:dyDescent="0.25">
      <c r="B1919" s="38"/>
      <c r="C1919" s="14"/>
      <c r="D1919" s="14"/>
      <c r="E1919" s="14"/>
      <c r="F1919" s="14"/>
      <c r="G1919" s="16"/>
    </row>
    <row r="1920" spans="2:7" x14ac:dyDescent="0.25">
      <c r="B1920" s="38"/>
      <c r="C1920" s="14"/>
      <c r="D1920" s="14"/>
      <c r="E1920" s="14"/>
      <c r="F1920" s="14"/>
      <c r="G1920" s="16"/>
    </row>
    <row r="1921" spans="2:7" x14ac:dyDescent="0.25">
      <c r="B1921" s="38"/>
      <c r="C1921" s="14"/>
      <c r="D1921" s="14"/>
      <c r="E1921" s="14"/>
      <c r="F1921" s="14"/>
      <c r="G1921" s="16"/>
    </row>
    <row r="1922" spans="2:7" x14ac:dyDescent="0.25">
      <c r="B1922" s="38"/>
      <c r="C1922" s="14"/>
      <c r="D1922" s="14"/>
      <c r="E1922" s="14"/>
      <c r="F1922" s="14"/>
      <c r="G1922" s="16"/>
    </row>
    <row r="1923" spans="2:7" x14ac:dyDescent="0.25">
      <c r="B1923" s="38"/>
      <c r="C1923" s="14"/>
      <c r="D1923" s="14"/>
      <c r="E1923" s="14"/>
      <c r="F1923" s="14"/>
      <c r="G1923" s="16"/>
    </row>
    <row r="1924" spans="2:7" x14ac:dyDescent="0.25">
      <c r="B1924" s="38"/>
      <c r="C1924" s="14"/>
      <c r="D1924" s="14"/>
      <c r="E1924" s="14"/>
      <c r="F1924" s="14"/>
      <c r="G1924" s="16"/>
    </row>
    <row r="1925" spans="2:7" x14ac:dyDescent="0.25">
      <c r="B1925" s="38"/>
      <c r="C1925" s="14"/>
      <c r="D1925" s="14"/>
      <c r="E1925" s="14"/>
      <c r="F1925" s="14"/>
      <c r="G1925" s="16"/>
    </row>
    <row r="1926" spans="2:7" x14ac:dyDescent="0.25">
      <c r="B1926" s="38"/>
      <c r="C1926" s="14"/>
      <c r="D1926" s="14"/>
      <c r="E1926" s="14"/>
      <c r="F1926" s="14"/>
      <c r="G1926" s="16"/>
    </row>
    <row r="1927" spans="2:7" x14ac:dyDescent="0.25">
      <c r="B1927" s="38"/>
      <c r="C1927" s="14"/>
      <c r="D1927" s="14"/>
      <c r="E1927" s="14"/>
      <c r="F1927" s="14"/>
      <c r="G1927" s="16"/>
    </row>
    <row r="1928" spans="2:7" x14ac:dyDescent="0.25">
      <c r="B1928" s="38"/>
      <c r="C1928" s="14"/>
      <c r="D1928" s="14"/>
      <c r="E1928" s="14"/>
      <c r="F1928" s="14"/>
      <c r="G1928" s="16"/>
    </row>
    <row r="1929" spans="2:7" x14ac:dyDescent="0.25">
      <c r="B1929" s="38"/>
      <c r="C1929" s="14"/>
      <c r="D1929" s="14"/>
      <c r="E1929" s="14"/>
      <c r="F1929" s="14"/>
      <c r="G1929" s="16"/>
    </row>
    <row r="1930" spans="2:7" x14ac:dyDescent="0.25">
      <c r="B1930" s="38"/>
      <c r="C1930" s="14"/>
      <c r="D1930" s="14"/>
      <c r="E1930" s="14"/>
      <c r="F1930" s="14"/>
      <c r="G1930" s="16"/>
    </row>
    <row r="1931" spans="2:7" x14ac:dyDescent="0.25">
      <c r="B1931" s="38"/>
      <c r="C1931" s="14"/>
      <c r="D1931" s="14"/>
      <c r="E1931" s="14"/>
      <c r="F1931" s="14"/>
      <c r="G1931" s="16"/>
    </row>
    <row r="1932" spans="2:7" x14ac:dyDescent="0.25">
      <c r="B1932" s="38"/>
      <c r="C1932" s="14"/>
      <c r="D1932" s="14"/>
      <c r="E1932" s="14"/>
      <c r="F1932" s="14"/>
      <c r="G1932" s="16"/>
    </row>
    <row r="1933" spans="2:7" x14ac:dyDescent="0.25">
      <c r="B1933" s="38"/>
      <c r="C1933" s="14"/>
      <c r="D1933" s="14"/>
      <c r="E1933" s="14"/>
      <c r="F1933" s="14"/>
      <c r="G1933" s="16"/>
    </row>
    <row r="1934" spans="2:7" x14ac:dyDescent="0.25">
      <c r="B1934" s="38"/>
      <c r="C1934" s="14"/>
      <c r="D1934" s="14"/>
      <c r="E1934" s="14"/>
      <c r="F1934" s="14"/>
      <c r="G1934" s="16"/>
    </row>
    <row r="1935" spans="2:7" x14ac:dyDescent="0.25">
      <c r="B1935" s="38"/>
      <c r="C1935" s="14"/>
      <c r="D1935" s="14"/>
      <c r="E1935" s="14"/>
      <c r="F1935" s="14"/>
      <c r="G1935" s="16"/>
    </row>
    <row r="1936" spans="2:7" x14ac:dyDescent="0.25">
      <c r="B1936" s="38"/>
      <c r="C1936" s="14"/>
      <c r="D1936" s="14"/>
      <c r="E1936" s="14"/>
      <c r="F1936" s="14"/>
      <c r="G1936" s="16"/>
    </row>
    <row r="1937" spans="2:7" x14ac:dyDescent="0.25">
      <c r="B1937" s="38"/>
      <c r="C1937" s="14"/>
      <c r="D1937" s="14"/>
      <c r="E1937" s="14"/>
      <c r="F1937" s="14"/>
      <c r="G1937" s="16"/>
    </row>
    <row r="1938" spans="2:7" x14ac:dyDescent="0.25">
      <c r="B1938" s="38"/>
      <c r="C1938" s="14"/>
      <c r="D1938" s="14"/>
      <c r="E1938" s="14"/>
      <c r="F1938" s="14"/>
      <c r="G1938" s="16"/>
    </row>
    <row r="1939" spans="2:7" x14ac:dyDescent="0.25">
      <c r="B1939" s="38"/>
      <c r="C1939" s="14"/>
      <c r="D1939" s="14"/>
      <c r="E1939" s="14"/>
      <c r="F1939" s="14"/>
      <c r="G1939" s="16"/>
    </row>
    <row r="1940" spans="2:7" x14ac:dyDescent="0.25">
      <c r="B1940" s="38"/>
      <c r="C1940" s="14"/>
      <c r="D1940" s="14"/>
      <c r="E1940" s="14"/>
      <c r="F1940" s="14"/>
      <c r="G1940" s="16"/>
    </row>
    <row r="1941" spans="2:7" x14ac:dyDescent="0.25">
      <c r="B1941" s="38"/>
      <c r="C1941" s="14"/>
      <c r="D1941" s="14"/>
      <c r="E1941" s="14"/>
      <c r="F1941" s="14"/>
      <c r="G1941" s="16"/>
    </row>
    <row r="1942" spans="2:7" x14ac:dyDescent="0.25">
      <c r="B1942" s="38"/>
      <c r="C1942" s="14"/>
      <c r="D1942" s="14"/>
      <c r="E1942" s="14"/>
      <c r="F1942" s="14"/>
      <c r="G1942" s="16"/>
    </row>
    <row r="1943" spans="2:7" x14ac:dyDescent="0.25">
      <c r="B1943" s="38"/>
      <c r="C1943" s="14"/>
      <c r="D1943" s="14"/>
      <c r="E1943" s="14"/>
      <c r="F1943" s="14"/>
      <c r="G1943" s="16"/>
    </row>
    <row r="1944" spans="2:7" x14ac:dyDescent="0.25">
      <c r="B1944" s="38"/>
      <c r="C1944" s="14"/>
      <c r="D1944" s="14"/>
      <c r="E1944" s="14"/>
      <c r="F1944" s="14"/>
      <c r="G1944" s="16"/>
    </row>
    <row r="1945" spans="2:7" x14ac:dyDescent="0.25">
      <c r="B1945" s="38"/>
      <c r="C1945" s="14"/>
      <c r="D1945" s="14"/>
      <c r="E1945" s="14"/>
      <c r="F1945" s="14"/>
      <c r="G1945" s="16"/>
    </row>
    <row r="1946" spans="2:7" x14ac:dyDescent="0.25">
      <c r="B1946" s="38"/>
      <c r="C1946" s="14"/>
      <c r="D1946" s="14"/>
      <c r="E1946" s="14"/>
      <c r="F1946" s="14"/>
      <c r="G1946" s="16"/>
    </row>
    <row r="1947" spans="2:7" x14ac:dyDescent="0.25">
      <c r="B1947" s="38"/>
      <c r="C1947" s="14"/>
      <c r="D1947" s="14"/>
      <c r="E1947" s="14"/>
      <c r="F1947" s="14"/>
      <c r="G1947" s="16"/>
    </row>
    <row r="1948" spans="2:7" x14ac:dyDescent="0.25">
      <c r="B1948" s="38"/>
      <c r="C1948" s="14"/>
      <c r="D1948" s="14"/>
      <c r="E1948" s="14"/>
      <c r="F1948" s="14"/>
      <c r="G1948" s="16"/>
    </row>
    <row r="1949" spans="2:7" x14ac:dyDescent="0.25">
      <c r="B1949" s="38"/>
      <c r="C1949" s="14"/>
      <c r="D1949" s="14"/>
      <c r="E1949" s="14"/>
      <c r="F1949" s="14"/>
      <c r="G1949" s="16"/>
    </row>
    <row r="1950" spans="2:7" x14ac:dyDescent="0.25">
      <c r="B1950" s="38"/>
      <c r="C1950" s="14"/>
      <c r="D1950" s="14"/>
      <c r="E1950" s="14"/>
      <c r="F1950" s="14"/>
      <c r="G1950" s="16"/>
    </row>
    <row r="1951" spans="2:7" x14ac:dyDescent="0.25">
      <c r="B1951" s="38"/>
      <c r="C1951" s="14"/>
      <c r="D1951" s="14"/>
      <c r="E1951" s="14"/>
      <c r="F1951" s="14"/>
      <c r="G1951" s="16"/>
    </row>
    <row r="1952" spans="2:7" x14ac:dyDescent="0.25">
      <c r="B1952" s="38"/>
      <c r="C1952" s="14"/>
      <c r="D1952" s="14"/>
      <c r="E1952" s="14"/>
      <c r="F1952" s="14"/>
      <c r="G1952" s="16"/>
    </row>
    <row r="1953" spans="2:7" x14ac:dyDescent="0.25">
      <c r="B1953" s="38"/>
      <c r="C1953" s="14"/>
      <c r="D1953" s="14"/>
      <c r="E1953" s="14"/>
      <c r="F1953" s="14"/>
      <c r="G1953" s="16"/>
    </row>
    <row r="1954" spans="2:7" x14ac:dyDescent="0.25">
      <c r="B1954" s="38"/>
      <c r="C1954" s="14"/>
      <c r="D1954" s="14"/>
      <c r="E1954" s="14"/>
      <c r="F1954" s="14"/>
      <c r="G1954" s="16"/>
    </row>
    <row r="1955" spans="2:7" x14ac:dyDescent="0.25">
      <c r="B1955" s="38"/>
      <c r="C1955" s="14"/>
      <c r="D1955" s="14"/>
      <c r="E1955" s="14"/>
      <c r="F1955" s="14"/>
      <c r="G1955" s="16"/>
    </row>
    <row r="1956" spans="2:7" x14ac:dyDescent="0.25">
      <c r="B1956" s="38"/>
      <c r="C1956" s="14"/>
      <c r="D1956" s="14"/>
      <c r="E1956" s="14"/>
      <c r="F1956" s="14"/>
      <c r="G1956" s="16"/>
    </row>
    <row r="1957" spans="2:7" x14ac:dyDescent="0.25">
      <c r="B1957" s="38"/>
      <c r="C1957" s="14"/>
      <c r="D1957" s="14"/>
      <c r="E1957" s="14"/>
      <c r="F1957" s="14"/>
      <c r="G1957" s="16"/>
    </row>
    <row r="1958" spans="2:7" x14ac:dyDescent="0.25">
      <c r="B1958" s="38"/>
      <c r="C1958" s="14"/>
      <c r="D1958" s="14"/>
      <c r="E1958" s="14"/>
      <c r="F1958" s="14"/>
      <c r="G1958" s="16"/>
    </row>
    <row r="1959" spans="2:7" x14ac:dyDescent="0.25">
      <c r="B1959" s="38"/>
      <c r="C1959" s="14"/>
      <c r="D1959" s="14"/>
      <c r="E1959" s="14"/>
      <c r="F1959" s="14"/>
      <c r="G1959" s="16"/>
    </row>
    <row r="1960" spans="2:7" x14ac:dyDescent="0.25">
      <c r="B1960" s="38"/>
      <c r="C1960" s="14"/>
      <c r="D1960" s="14"/>
      <c r="E1960" s="14"/>
      <c r="F1960" s="14"/>
      <c r="G1960" s="16"/>
    </row>
    <row r="1961" spans="2:7" x14ac:dyDescent="0.25">
      <c r="B1961" s="38"/>
      <c r="C1961" s="14"/>
      <c r="D1961" s="14"/>
      <c r="E1961" s="14"/>
      <c r="F1961" s="14"/>
      <c r="G1961" s="16"/>
    </row>
    <row r="1962" spans="2:7" x14ac:dyDescent="0.25">
      <c r="B1962" s="38"/>
      <c r="C1962" s="14"/>
      <c r="D1962" s="14"/>
      <c r="E1962" s="14"/>
      <c r="F1962" s="14"/>
      <c r="G1962" s="16"/>
    </row>
    <row r="1963" spans="2:7" x14ac:dyDescent="0.25">
      <c r="B1963" s="38"/>
      <c r="C1963" s="14"/>
      <c r="D1963" s="14"/>
      <c r="E1963" s="14"/>
      <c r="F1963" s="14"/>
      <c r="G1963" s="16"/>
    </row>
    <row r="1964" spans="2:7" x14ac:dyDescent="0.25">
      <c r="B1964" s="38"/>
      <c r="C1964" s="14"/>
      <c r="D1964" s="14"/>
      <c r="E1964" s="14"/>
      <c r="F1964" s="14"/>
      <c r="G1964" s="16"/>
    </row>
    <row r="1965" spans="2:7" x14ac:dyDescent="0.25">
      <c r="B1965" s="38"/>
      <c r="C1965" s="14"/>
      <c r="D1965" s="14"/>
      <c r="E1965" s="14"/>
      <c r="F1965" s="14"/>
      <c r="G1965" s="16"/>
    </row>
    <row r="1966" spans="2:7" x14ac:dyDescent="0.25">
      <c r="B1966" s="38"/>
      <c r="C1966" s="14"/>
      <c r="D1966" s="14"/>
      <c r="E1966" s="14"/>
      <c r="F1966" s="14"/>
      <c r="G1966" s="16"/>
    </row>
    <row r="1967" spans="2:7" x14ac:dyDescent="0.25">
      <c r="B1967" s="38"/>
      <c r="C1967" s="14"/>
      <c r="D1967" s="14"/>
      <c r="E1967" s="14"/>
      <c r="F1967" s="14"/>
      <c r="G1967" s="16"/>
    </row>
    <row r="1968" spans="2:7" x14ac:dyDescent="0.25">
      <c r="B1968" s="38"/>
      <c r="C1968" s="14"/>
      <c r="D1968" s="14"/>
      <c r="E1968" s="14"/>
      <c r="F1968" s="14"/>
      <c r="G1968" s="16"/>
    </row>
    <row r="1969" spans="2:7" x14ac:dyDescent="0.25">
      <c r="B1969" s="38"/>
      <c r="C1969" s="14"/>
      <c r="D1969" s="14"/>
      <c r="E1969" s="14"/>
      <c r="F1969" s="14"/>
      <c r="G1969" s="16"/>
    </row>
    <row r="1970" spans="2:7" x14ac:dyDescent="0.25">
      <c r="B1970" s="38"/>
      <c r="C1970" s="14"/>
      <c r="D1970" s="14"/>
      <c r="E1970" s="14"/>
      <c r="F1970" s="14"/>
      <c r="G1970" s="16"/>
    </row>
    <row r="1971" spans="2:7" x14ac:dyDescent="0.25">
      <c r="B1971" s="38"/>
      <c r="C1971" s="14"/>
      <c r="D1971" s="14"/>
      <c r="E1971" s="14"/>
      <c r="F1971" s="14"/>
      <c r="G1971" s="16"/>
    </row>
    <row r="1972" spans="2:7" x14ac:dyDescent="0.25">
      <c r="B1972" s="38"/>
      <c r="C1972" s="14"/>
      <c r="D1972" s="14"/>
      <c r="E1972" s="14"/>
      <c r="F1972" s="14"/>
      <c r="G1972" s="16"/>
    </row>
    <row r="1973" spans="2:7" x14ac:dyDescent="0.25">
      <c r="B1973" s="38"/>
      <c r="C1973" s="14"/>
      <c r="D1973" s="14"/>
      <c r="E1973" s="14"/>
      <c r="F1973" s="14"/>
      <c r="G1973" s="16"/>
    </row>
    <row r="1974" spans="2:7" x14ac:dyDescent="0.25">
      <c r="B1974" s="38"/>
      <c r="C1974" s="14"/>
      <c r="D1974" s="14"/>
      <c r="E1974" s="14"/>
      <c r="F1974" s="14"/>
      <c r="G1974" s="16"/>
    </row>
    <row r="1975" spans="2:7" x14ac:dyDescent="0.25">
      <c r="B1975" s="38"/>
      <c r="C1975" s="14"/>
      <c r="D1975" s="14"/>
      <c r="E1975" s="14"/>
      <c r="F1975" s="14"/>
      <c r="G1975" s="16"/>
    </row>
    <row r="1976" spans="2:7" x14ac:dyDescent="0.25">
      <c r="B1976" s="38"/>
      <c r="C1976" s="14"/>
      <c r="D1976" s="14"/>
      <c r="E1976" s="14"/>
      <c r="F1976" s="14"/>
      <c r="G1976" s="16"/>
    </row>
    <row r="1977" spans="2:7" x14ac:dyDescent="0.25">
      <c r="B1977" s="38"/>
      <c r="C1977" s="14"/>
      <c r="D1977" s="14"/>
      <c r="E1977" s="14"/>
      <c r="F1977" s="14"/>
      <c r="G1977" s="16"/>
    </row>
    <row r="1978" spans="2:7" x14ac:dyDescent="0.25">
      <c r="B1978" s="38"/>
      <c r="C1978" s="14"/>
      <c r="D1978" s="14"/>
      <c r="E1978" s="14"/>
      <c r="F1978" s="14"/>
      <c r="G1978" s="16"/>
    </row>
    <row r="1979" spans="2:7" x14ac:dyDescent="0.25">
      <c r="B1979" s="38"/>
      <c r="C1979" s="14"/>
      <c r="D1979" s="14"/>
      <c r="E1979" s="14"/>
      <c r="F1979" s="14"/>
      <c r="G1979" s="16"/>
    </row>
    <row r="1980" spans="2:7" x14ac:dyDescent="0.25">
      <c r="B1980" s="38"/>
      <c r="C1980" s="14"/>
      <c r="D1980" s="14"/>
      <c r="E1980" s="14"/>
      <c r="F1980" s="14"/>
      <c r="G1980" s="16"/>
    </row>
    <row r="1981" spans="2:7" x14ac:dyDescent="0.25">
      <c r="B1981" s="38"/>
      <c r="C1981" s="14"/>
      <c r="D1981" s="14"/>
      <c r="E1981" s="14"/>
      <c r="F1981" s="14"/>
      <c r="G1981" s="16"/>
    </row>
    <row r="1982" spans="2:7" x14ac:dyDescent="0.25">
      <c r="B1982" s="38"/>
      <c r="C1982" s="14"/>
      <c r="D1982" s="14"/>
      <c r="E1982" s="14"/>
      <c r="F1982" s="14"/>
      <c r="G1982" s="16"/>
    </row>
    <row r="1983" spans="2:7" x14ac:dyDescent="0.25">
      <c r="B1983" s="38"/>
      <c r="C1983" s="14"/>
      <c r="D1983" s="14"/>
      <c r="E1983" s="14"/>
      <c r="F1983" s="14"/>
      <c r="G1983" s="16"/>
    </row>
    <row r="1984" spans="2:7" x14ac:dyDescent="0.25">
      <c r="B1984" s="38"/>
      <c r="C1984" s="14"/>
      <c r="D1984" s="14"/>
      <c r="E1984" s="14"/>
      <c r="F1984" s="14"/>
      <c r="G1984" s="16"/>
    </row>
    <row r="1985" spans="2:7" x14ac:dyDescent="0.25">
      <c r="B1985" s="38"/>
      <c r="C1985" s="14"/>
      <c r="D1985" s="14"/>
      <c r="E1985" s="14"/>
      <c r="F1985" s="14"/>
      <c r="G1985" s="16"/>
    </row>
    <row r="1986" spans="2:7" x14ac:dyDescent="0.25">
      <c r="B1986" s="38"/>
      <c r="C1986" s="14"/>
      <c r="D1986" s="14"/>
      <c r="E1986" s="14"/>
      <c r="F1986" s="14"/>
      <c r="G1986" s="16"/>
    </row>
    <row r="1987" spans="2:7" x14ac:dyDescent="0.25">
      <c r="B1987" s="38"/>
      <c r="C1987" s="14"/>
      <c r="D1987" s="14"/>
      <c r="E1987" s="14"/>
      <c r="F1987" s="14"/>
      <c r="G1987" s="16"/>
    </row>
    <row r="1988" spans="2:7" x14ac:dyDescent="0.25">
      <c r="B1988" s="38"/>
      <c r="C1988" s="14"/>
      <c r="D1988" s="14"/>
      <c r="E1988" s="14"/>
      <c r="F1988" s="14"/>
      <c r="G1988" s="16"/>
    </row>
    <row r="1989" spans="2:7" x14ac:dyDescent="0.25">
      <c r="B1989" s="38"/>
      <c r="C1989" s="14"/>
      <c r="D1989" s="14"/>
      <c r="E1989" s="14"/>
      <c r="F1989" s="14"/>
      <c r="G1989" s="16"/>
    </row>
    <row r="1990" spans="2:7" x14ac:dyDescent="0.25">
      <c r="B1990" s="38"/>
      <c r="C1990" s="14"/>
      <c r="D1990" s="14"/>
      <c r="E1990" s="14"/>
      <c r="F1990" s="14"/>
      <c r="G1990" s="16"/>
    </row>
    <row r="1991" spans="2:7" x14ac:dyDescent="0.25">
      <c r="B1991" s="38"/>
      <c r="C1991" s="14"/>
      <c r="D1991" s="14"/>
      <c r="E1991" s="14"/>
      <c r="F1991" s="14"/>
      <c r="G1991" s="16"/>
    </row>
    <row r="1992" spans="2:7" x14ac:dyDescent="0.25">
      <c r="B1992" s="38"/>
      <c r="C1992" s="14"/>
      <c r="D1992" s="14"/>
      <c r="E1992" s="14"/>
      <c r="F1992" s="14"/>
      <c r="G1992" s="16"/>
    </row>
    <row r="1993" spans="2:7" x14ac:dyDescent="0.25">
      <c r="B1993" s="38"/>
      <c r="C1993" s="14"/>
      <c r="D1993" s="14"/>
      <c r="E1993" s="14"/>
      <c r="F1993" s="14"/>
      <c r="G1993" s="16"/>
    </row>
    <row r="1994" spans="2:7" x14ac:dyDescent="0.25">
      <c r="B1994" s="38"/>
      <c r="C1994" s="14"/>
      <c r="D1994" s="14"/>
      <c r="E1994" s="14"/>
      <c r="F1994" s="14"/>
      <c r="G1994" s="16"/>
    </row>
    <row r="1995" spans="2:7" x14ac:dyDescent="0.25">
      <c r="B1995" s="38"/>
      <c r="C1995" s="14"/>
      <c r="D1995" s="14"/>
      <c r="E1995" s="14"/>
      <c r="F1995" s="14"/>
      <c r="G1995" s="16"/>
    </row>
    <row r="1996" spans="2:7" x14ac:dyDescent="0.25">
      <c r="B1996" s="38"/>
      <c r="C1996" s="14"/>
      <c r="D1996" s="14"/>
      <c r="E1996" s="14"/>
      <c r="F1996" s="14"/>
      <c r="G1996" s="16"/>
    </row>
    <row r="1997" spans="2:7" x14ac:dyDescent="0.25">
      <c r="B1997" s="38"/>
      <c r="C1997" s="14"/>
      <c r="D1997" s="14"/>
      <c r="E1997" s="14"/>
      <c r="F1997" s="14"/>
      <c r="G1997" s="16"/>
    </row>
    <row r="1998" spans="2:7" x14ac:dyDescent="0.25">
      <c r="B1998" s="38"/>
      <c r="C1998" s="14"/>
      <c r="D1998" s="14"/>
      <c r="E1998" s="14"/>
      <c r="F1998" s="14"/>
      <c r="G1998" s="16"/>
    </row>
    <row r="1999" spans="2:7" x14ac:dyDescent="0.25">
      <c r="B1999" s="38"/>
      <c r="C1999" s="14"/>
      <c r="D1999" s="14"/>
      <c r="E1999" s="14"/>
      <c r="F1999" s="14"/>
      <c r="G1999" s="16"/>
    </row>
    <row r="2000" spans="2:7" x14ac:dyDescent="0.25">
      <c r="B2000" s="38"/>
      <c r="C2000" s="14"/>
      <c r="D2000" s="14"/>
      <c r="E2000" s="14"/>
      <c r="F2000" s="14"/>
      <c r="G2000" s="16"/>
    </row>
    <row r="2001" spans="2:7" x14ac:dyDescent="0.25">
      <c r="B2001" s="38"/>
      <c r="C2001" s="14"/>
      <c r="D2001" s="14"/>
      <c r="E2001" s="14"/>
      <c r="F2001" s="14"/>
      <c r="G2001" s="16"/>
    </row>
    <row r="2002" spans="2:7" x14ac:dyDescent="0.25">
      <c r="B2002" s="38"/>
      <c r="C2002" s="14"/>
      <c r="D2002" s="14"/>
      <c r="E2002" s="14"/>
      <c r="F2002" s="14"/>
      <c r="G2002" s="16"/>
    </row>
    <row r="2003" spans="2:7" x14ac:dyDescent="0.25">
      <c r="B2003" s="38"/>
      <c r="C2003" s="14"/>
      <c r="D2003" s="14"/>
      <c r="E2003" s="14"/>
      <c r="F2003" s="14"/>
      <c r="G2003" s="16"/>
    </row>
    <row r="2004" spans="2:7" x14ac:dyDescent="0.25">
      <c r="B2004" s="38"/>
      <c r="C2004" s="14"/>
      <c r="D2004" s="14"/>
      <c r="E2004" s="14"/>
      <c r="F2004" s="14"/>
      <c r="G2004" s="16"/>
    </row>
    <row r="2005" spans="2:7" x14ac:dyDescent="0.25">
      <c r="B2005" s="38"/>
      <c r="C2005" s="14"/>
      <c r="D2005" s="14"/>
      <c r="E2005" s="14"/>
      <c r="F2005" s="14"/>
      <c r="G2005" s="16"/>
    </row>
    <row r="2006" spans="2:7" x14ac:dyDescent="0.25">
      <c r="B2006" s="38"/>
      <c r="C2006" s="14"/>
      <c r="D2006" s="14"/>
      <c r="E2006" s="14"/>
      <c r="F2006" s="14"/>
      <c r="G2006" s="16"/>
    </row>
    <row r="2007" spans="2:7" x14ac:dyDescent="0.25">
      <c r="B2007" s="38"/>
      <c r="C2007" s="14"/>
      <c r="D2007" s="14"/>
      <c r="E2007" s="14"/>
      <c r="F2007" s="14"/>
      <c r="G2007" s="16"/>
    </row>
    <row r="2008" spans="2:7" x14ac:dyDescent="0.25">
      <c r="B2008" s="38"/>
      <c r="C2008" s="14"/>
      <c r="D2008" s="14"/>
      <c r="E2008" s="14"/>
      <c r="F2008" s="14"/>
      <c r="G2008" s="16"/>
    </row>
    <row r="2009" spans="2:7" x14ac:dyDescent="0.25">
      <c r="B2009" s="38"/>
      <c r="C2009" s="14"/>
      <c r="D2009" s="14"/>
      <c r="E2009" s="14"/>
      <c r="F2009" s="14"/>
      <c r="G2009" s="16"/>
    </row>
    <row r="2010" spans="2:7" x14ac:dyDescent="0.25">
      <c r="B2010" s="38"/>
      <c r="C2010" s="14"/>
      <c r="D2010" s="14"/>
      <c r="E2010" s="14"/>
      <c r="F2010" s="14"/>
      <c r="G2010" s="16"/>
    </row>
    <row r="2011" spans="2:7" x14ac:dyDescent="0.25">
      <c r="B2011" s="38"/>
      <c r="C2011" s="14"/>
      <c r="D2011" s="14"/>
      <c r="E2011" s="14"/>
      <c r="F2011" s="14"/>
      <c r="G2011" s="16"/>
    </row>
    <row r="2012" spans="2:7" x14ac:dyDescent="0.25">
      <c r="B2012" s="38"/>
      <c r="C2012" s="14"/>
      <c r="D2012" s="14"/>
      <c r="E2012" s="14"/>
      <c r="F2012" s="14"/>
      <c r="G2012" s="16"/>
    </row>
    <row r="2013" spans="2:7" x14ac:dyDescent="0.25">
      <c r="B2013" s="38"/>
      <c r="C2013" s="14"/>
      <c r="D2013" s="14"/>
      <c r="E2013" s="14"/>
      <c r="F2013" s="14"/>
      <c r="G2013" s="16"/>
    </row>
    <row r="2014" spans="2:7" x14ac:dyDescent="0.25">
      <c r="B2014" s="38"/>
      <c r="C2014" s="14"/>
      <c r="D2014" s="14"/>
      <c r="E2014" s="14"/>
      <c r="F2014" s="14"/>
      <c r="G2014" s="16"/>
    </row>
    <row r="2015" spans="2:7" x14ac:dyDescent="0.25">
      <c r="B2015" s="38"/>
      <c r="C2015" s="14"/>
      <c r="D2015" s="14"/>
      <c r="E2015" s="14"/>
      <c r="F2015" s="14"/>
      <c r="G2015" s="16"/>
    </row>
    <row r="2016" spans="2:7" x14ac:dyDescent="0.25">
      <c r="B2016" s="38"/>
      <c r="C2016" s="14"/>
      <c r="D2016" s="14"/>
      <c r="E2016" s="14"/>
      <c r="F2016" s="14"/>
      <c r="G2016" s="16"/>
    </row>
    <row r="2017" spans="2:7" x14ac:dyDescent="0.25">
      <c r="B2017" s="38"/>
      <c r="C2017" s="14"/>
      <c r="D2017" s="14"/>
      <c r="E2017" s="14"/>
      <c r="F2017" s="14"/>
      <c r="G2017" s="16"/>
    </row>
    <row r="2018" spans="2:7" x14ac:dyDescent="0.25">
      <c r="B2018" s="38"/>
      <c r="C2018" s="14"/>
      <c r="D2018" s="14"/>
      <c r="E2018" s="14"/>
      <c r="F2018" s="14"/>
      <c r="G2018" s="16"/>
    </row>
    <row r="2019" spans="2:7" x14ac:dyDescent="0.25">
      <c r="B2019" s="38"/>
      <c r="C2019" s="14"/>
      <c r="D2019" s="14"/>
      <c r="E2019" s="14"/>
      <c r="F2019" s="14"/>
      <c r="G2019" s="16"/>
    </row>
    <row r="2020" spans="2:7" x14ac:dyDescent="0.25">
      <c r="B2020" s="38"/>
      <c r="C2020" s="14"/>
      <c r="D2020" s="14"/>
      <c r="E2020" s="14"/>
      <c r="F2020" s="14"/>
      <c r="G2020" s="16"/>
    </row>
    <row r="2021" spans="2:7" x14ac:dyDescent="0.25">
      <c r="B2021" s="38"/>
      <c r="C2021" s="14"/>
      <c r="D2021" s="14"/>
      <c r="E2021" s="14"/>
      <c r="F2021" s="14"/>
      <c r="G2021" s="16"/>
    </row>
    <row r="2022" spans="2:7" x14ac:dyDescent="0.25">
      <c r="B2022" s="38"/>
      <c r="C2022" s="14"/>
      <c r="D2022" s="14"/>
      <c r="E2022" s="14"/>
      <c r="F2022" s="14"/>
      <c r="G2022" s="16"/>
    </row>
    <row r="2023" spans="2:7" x14ac:dyDescent="0.25">
      <c r="B2023" s="38"/>
      <c r="C2023" s="14"/>
      <c r="D2023" s="14"/>
      <c r="E2023" s="14"/>
      <c r="F2023" s="14"/>
      <c r="G2023" s="16"/>
    </row>
    <row r="2024" spans="2:7" x14ac:dyDescent="0.25">
      <c r="B2024" s="38"/>
      <c r="C2024" s="14"/>
      <c r="D2024" s="14"/>
      <c r="E2024" s="14"/>
      <c r="F2024" s="14"/>
      <c r="G2024" s="16"/>
    </row>
    <row r="2025" spans="2:7" x14ac:dyDescent="0.25">
      <c r="B2025" s="38"/>
      <c r="C2025" s="14"/>
      <c r="D2025" s="14"/>
      <c r="E2025" s="14"/>
      <c r="F2025" s="14"/>
      <c r="G2025" s="16"/>
    </row>
    <row r="2026" spans="2:7" x14ac:dyDescent="0.25">
      <c r="B2026" s="38"/>
      <c r="C2026" s="14"/>
      <c r="D2026" s="14"/>
      <c r="E2026" s="14"/>
      <c r="F2026" s="14"/>
      <c r="G2026" s="16"/>
    </row>
    <row r="2027" spans="2:7" x14ac:dyDescent="0.25">
      <c r="B2027" s="38"/>
      <c r="C2027" s="14"/>
      <c r="D2027" s="14"/>
      <c r="E2027" s="14"/>
      <c r="F2027" s="14"/>
      <c r="G2027" s="16"/>
    </row>
    <row r="2028" spans="2:7" x14ac:dyDescent="0.25">
      <c r="B2028" s="38"/>
      <c r="C2028" s="14"/>
      <c r="D2028" s="14"/>
      <c r="E2028" s="14"/>
      <c r="F2028" s="14"/>
      <c r="G2028" s="16"/>
    </row>
    <row r="2029" spans="2:7" x14ac:dyDescent="0.25">
      <c r="B2029" s="38"/>
      <c r="C2029" s="14"/>
      <c r="D2029" s="14"/>
      <c r="E2029" s="14"/>
      <c r="F2029" s="14"/>
      <c r="G2029" s="16"/>
    </row>
    <row r="2030" spans="2:7" x14ac:dyDescent="0.25">
      <c r="B2030" s="38"/>
      <c r="C2030" s="14"/>
      <c r="D2030" s="14"/>
      <c r="E2030" s="14"/>
      <c r="F2030" s="14"/>
      <c r="G2030" s="16"/>
    </row>
    <row r="2031" spans="2:7" x14ac:dyDescent="0.25">
      <c r="B2031" s="38"/>
      <c r="C2031" s="14"/>
      <c r="D2031" s="14"/>
      <c r="E2031" s="14"/>
      <c r="F2031" s="14"/>
      <c r="G2031" s="16"/>
    </row>
    <row r="2032" spans="2:7" x14ac:dyDescent="0.25">
      <c r="B2032" s="38"/>
      <c r="C2032" s="14"/>
      <c r="D2032" s="14"/>
      <c r="E2032" s="14"/>
      <c r="F2032" s="14"/>
      <c r="G2032" s="16"/>
    </row>
    <row r="2033" spans="2:7" x14ac:dyDescent="0.25">
      <c r="B2033" s="38"/>
      <c r="C2033" s="14"/>
      <c r="D2033" s="14"/>
      <c r="E2033" s="14"/>
      <c r="F2033" s="14"/>
      <c r="G2033" s="16"/>
    </row>
    <row r="2034" spans="2:7" x14ac:dyDescent="0.25">
      <c r="B2034" s="38"/>
      <c r="C2034" s="14"/>
      <c r="D2034" s="14"/>
      <c r="E2034" s="14"/>
      <c r="F2034" s="14"/>
      <c r="G2034" s="16"/>
    </row>
    <row r="2035" spans="2:7" x14ac:dyDescent="0.25">
      <c r="B2035" s="38"/>
      <c r="C2035" s="14"/>
      <c r="D2035" s="14"/>
      <c r="E2035" s="14"/>
      <c r="F2035" s="14"/>
      <c r="G2035" s="16"/>
    </row>
    <row r="2036" spans="2:7" x14ac:dyDescent="0.25">
      <c r="B2036" s="38"/>
      <c r="C2036" s="14"/>
      <c r="D2036" s="14"/>
      <c r="E2036" s="14"/>
      <c r="F2036" s="14"/>
      <c r="G2036" s="16"/>
    </row>
    <row r="2037" spans="2:7" x14ac:dyDescent="0.25">
      <c r="B2037" s="38"/>
      <c r="C2037" s="14"/>
      <c r="D2037" s="14"/>
      <c r="E2037" s="14"/>
      <c r="F2037" s="14"/>
      <c r="G2037" s="16"/>
    </row>
    <row r="2038" spans="2:7" x14ac:dyDescent="0.25">
      <c r="B2038" s="38"/>
      <c r="C2038" s="14"/>
      <c r="D2038" s="14"/>
      <c r="E2038" s="14"/>
      <c r="F2038" s="14"/>
      <c r="G2038" s="16"/>
    </row>
    <row r="2039" spans="2:7" x14ac:dyDescent="0.25">
      <c r="B2039" s="38"/>
      <c r="C2039" s="14"/>
      <c r="D2039" s="14"/>
      <c r="E2039" s="14"/>
      <c r="F2039" s="14"/>
      <c r="G2039" s="16"/>
    </row>
    <row r="2040" spans="2:7" x14ac:dyDescent="0.25">
      <c r="B2040" s="38"/>
      <c r="C2040" s="14"/>
      <c r="D2040" s="14"/>
      <c r="E2040" s="14"/>
      <c r="F2040" s="14"/>
      <c r="G2040" s="16"/>
    </row>
    <row r="2041" spans="2:7" x14ac:dyDescent="0.25">
      <c r="B2041" s="38"/>
      <c r="C2041" s="14"/>
      <c r="D2041" s="14"/>
      <c r="E2041" s="14"/>
      <c r="F2041" s="14"/>
      <c r="G2041" s="16"/>
    </row>
    <row r="2042" spans="2:7" x14ac:dyDescent="0.25">
      <c r="B2042" s="38"/>
      <c r="C2042" s="14"/>
      <c r="D2042" s="14"/>
      <c r="E2042" s="14"/>
      <c r="F2042" s="14"/>
      <c r="G2042" s="16"/>
    </row>
    <row r="2043" spans="2:7" x14ac:dyDescent="0.25">
      <c r="B2043" s="38"/>
      <c r="C2043" s="14"/>
      <c r="D2043" s="14"/>
      <c r="E2043" s="14"/>
      <c r="F2043" s="14"/>
      <c r="G2043" s="16"/>
    </row>
    <row r="2044" spans="2:7" x14ac:dyDescent="0.25">
      <c r="B2044" s="38"/>
      <c r="C2044" s="14"/>
      <c r="D2044" s="14"/>
      <c r="E2044" s="14"/>
      <c r="F2044" s="14"/>
      <c r="G2044" s="16"/>
    </row>
    <row r="2045" spans="2:7" x14ac:dyDescent="0.25">
      <c r="B2045" s="38"/>
      <c r="C2045" s="14"/>
      <c r="D2045" s="14"/>
      <c r="E2045" s="14"/>
      <c r="F2045" s="14"/>
      <c r="G2045" s="16"/>
    </row>
    <row r="2046" spans="2:7" x14ac:dyDescent="0.25">
      <c r="B2046" s="38"/>
      <c r="C2046" s="14"/>
      <c r="D2046" s="14"/>
      <c r="E2046" s="14"/>
      <c r="F2046" s="14"/>
      <c r="G2046" s="16"/>
    </row>
    <row r="2047" spans="2:7" x14ac:dyDescent="0.25">
      <c r="B2047" s="38"/>
      <c r="C2047" s="14"/>
      <c r="D2047" s="14"/>
      <c r="E2047" s="14"/>
      <c r="F2047" s="14"/>
      <c r="G2047" s="16"/>
    </row>
    <row r="2048" spans="2:7" x14ac:dyDescent="0.25">
      <c r="B2048" s="38"/>
      <c r="C2048" s="14"/>
      <c r="D2048" s="14"/>
      <c r="E2048" s="14"/>
      <c r="F2048" s="14"/>
      <c r="G2048" s="16"/>
    </row>
    <row r="2049" spans="2:7" x14ac:dyDescent="0.25">
      <c r="B2049" s="38"/>
      <c r="C2049" s="14"/>
      <c r="D2049" s="14"/>
      <c r="E2049" s="14"/>
      <c r="F2049" s="14"/>
      <c r="G2049" s="16"/>
    </row>
    <row r="2050" spans="2:7" x14ac:dyDescent="0.25">
      <c r="B2050" s="38"/>
      <c r="C2050" s="14"/>
      <c r="D2050" s="14"/>
      <c r="E2050" s="14"/>
      <c r="F2050" s="14"/>
      <c r="G2050" s="16"/>
    </row>
    <row r="2051" spans="2:7" x14ac:dyDescent="0.25">
      <c r="B2051" s="38"/>
      <c r="C2051" s="14"/>
      <c r="D2051" s="14"/>
      <c r="E2051" s="14"/>
      <c r="F2051" s="14"/>
      <c r="G2051" s="16"/>
    </row>
    <row r="2052" spans="2:7" x14ac:dyDescent="0.25">
      <c r="B2052" s="38"/>
      <c r="C2052" s="14"/>
      <c r="D2052" s="14"/>
      <c r="E2052" s="14"/>
      <c r="F2052" s="14"/>
      <c r="G2052" s="16"/>
    </row>
    <row r="2053" spans="2:7" x14ac:dyDescent="0.25">
      <c r="B2053" s="38"/>
      <c r="C2053" s="14"/>
      <c r="D2053" s="14"/>
      <c r="E2053" s="14"/>
      <c r="F2053" s="14"/>
      <c r="G2053" s="16"/>
    </row>
    <row r="2054" spans="2:7" x14ac:dyDescent="0.25">
      <c r="B2054" s="38"/>
      <c r="C2054" s="14"/>
      <c r="D2054" s="14"/>
      <c r="E2054" s="14"/>
      <c r="F2054" s="14"/>
      <c r="G2054" s="16"/>
    </row>
    <row r="2055" spans="2:7" x14ac:dyDescent="0.25">
      <c r="B2055" s="38"/>
      <c r="C2055" s="14"/>
      <c r="D2055" s="14"/>
      <c r="E2055" s="14"/>
      <c r="F2055" s="14"/>
      <c r="G2055" s="16"/>
    </row>
    <row r="2056" spans="2:7" x14ac:dyDescent="0.25">
      <c r="B2056" s="38"/>
      <c r="C2056" s="14"/>
      <c r="D2056" s="14"/>
      <c r="E2056" s="14"/>
      <c r="F2056" s="14"/>
      <c r="G2056" s="16"/>
    </row>
    <row r="2057" spans="2:7" x14ac:dyDescent="0.25">
      <c r="B2057" s="38"/>
      <c r="C2057" s="14"/>
      <c r="D2057" s="14"/>
      <c r="E2057" s="14"/>
      <c r="F2057" s="14"/>
      <c r="G2057" s="16"/>
    </row>
    <row r="2058" spans="2:7" x14ac:dyDescent="0.25">
      <c r="B2058" s="38"/>
      <c r="C2058" s="14"/>
      <c r="D2058" s="14"/>
      <c r="E2058" s="14"/>
      <c r="F2058" s="14"/>
      <c r="G2058" s="16"/>
    </row>
    <row r="2059" spans="2:7" x14ac:dyDescent="0.25">
      <c r="B2059" s="38"/>
      <c r="C2059" s="14"/>
      <c r="D2059" s="14"/>
      <c r="E2059" s="14"/>
      <c r="F2059" s="14"/>
      <c r="G2059" s="16"/>
    </row>
    <row r="2060" spans="2:7" x14ac:dyDescent="0.25">
      <c r="B2060" s="38"/>
      <c r="C2060" s="14"/>
      <c r="D2060" s="14"/>
      <c r="E2060" s="14"/>
      <c r="F2060" s="14"/>
      <c r="G2060" s="16"/>
    </row>
    <row r="2061" spans="2:7" x14ac:dyDescent="0.25">
      <c r="B2061" s="38"/>
      <c r="C2061" s="14"/>
      <c r="D2061" s="14"/>
      <c r="E2061" s="14"/>
      <c r="F2061" s="14"/>
      <c r="G2061" s="16"/>
    </row>
    <row r="2062" spans="2:7" x14ac:dyDescent="0.25">
      <c r="B2062" s="38"/>
      <c r="C2062" s="14"/>
      <c r="D2062" s="14"/>
      <c r="E2062" s="14"/>
      <c r="F2062" s="14"/>
      <c r="G2062" s="16"/>
    </row>
    <row r="2063" spans="2:7" x14ac:dyDescent="0.25">
      <c r="B2063" s="38"/>
      <c r="C2063" s="14"/>
      <c r="D2063" s="14"/>
      <c r="E2063" s="14"/>
      <c r="F2063" s="14"/>
      <c r="G2063" s="16"/>
    </row>
    <row r="2064" spans="2:7" x14ac:dyDescent="0.25">
      <c r="B2064" s="38"/>
      <c r="C2064" s="14"/>
      <c r="D2064" s="14"/>
      <c r="E2064" s="14"/>
      <c r="F2064" s="14"/>
      <c r="G2064" s="16"/>
    </row>
    <row r="2065" spans="2:7" x14ac:dyDescent="0.25">
      <c r="B2065" s="38"/>
      <c r="C2065" s="14"/>
      <c r="D2065" s="14"/>
      <c r="E2065" s="14"/>
      <c r="F2065" s="14"/>
      <c r="G2065" s="16"/>
    </row>
    <row r="2066" spans="2:7" x14ac:dyDescent="0.25">
      <c r="B2066" s="38"/>
      <c r="C2066" s="14"/>
      <c r="D2066" s="14"/>
      <c r="E2066" s="14"/>
      <c r="F2066" s="14"/>
      <c r="G2066" s="16"/>
    </row>
    <row r="2067" spans="2:7" x14ac:dyDescent="0.25">
      <c r="B2067" s="38"/>
      <c r="C2067" s="14"/>
      <c r="D2067" s="14"/>
      <c r="E2067" s="14"/>
      <c r="F2067" s="14"/>
      <c r="G2067" s="16"/>
    </row>
    <row r="2068" spans="2:7" x14ac:dyDescent="0.25">
      <c r="B2068" s="38"/>
      <c r="C2068" s="14"/>
      <c r="D2068" s="14"/>
      <c r="E2068" s="14"/>
      <c r="F2068" s="14"/>
      <c r="G2068" s="16"/>
    </row>
    <row r="2069" spans="2:7" x14ac:dyDescent="0.25">
      <c r="B2069" s="38"/>
      <c r="C2069" s="14"/>
      <c r="D2069" s="14"/>
      <c r="E2069" s="14"/>
      <c r="F2069" s="14"/>
      <c r="G2069" s="16"/>
    </row>
    <row r="2070" spans="2:7" x14ac:dyDescent="0.25">
      <c r="B2070" s="38"/>
      <c r="C2070" s="14"/>
      <c r="D2070" s="14"/>
      <c r="E2070" s="14"/>
      <c r="F2070" s="14"/>
      <c r="G2070" s="16"/>
    </row>
    <row r="2071" spans="2:7" x14ac:dyDescent="0.25">
      <c r="B2071" s="38"/>
      <c r="C2071" s="14"/>
      <c r="D2071" s="14"/>
      <c r="E2071" s="14"/>
      <c r="F2071" s="14"/>
      <c r="G2071" s="16"/>
    </row>
    <row r="2072" spans="2:7" x14ac:dyDescent="0.25">
      <c r="B2072" s="38"/>
      <c r="C2072" s="14"/>
      <c r="D2072" s="14"/>
      <c r="E2072" s="14"/>
      <c r="F2072" s="14"/>
      <c r="G2072" s="16"/>
    </row>
    <row r="2073" spans="2:7" x14ac:dyDescent="0.25">
      <c r="B2073" s="38"/>
      <c r="C2073" s="14"/>
      <c r="D2073" s="14"/>
      <c r="E2073" s="14"/>
      <c r="F2073" s="14"/>
      <c r="G2073" s="16"/>
    </row>
    <row r="2074" spans="2:7" x14ac:dyDescent="0.25">
      <c r="B2074" s="38"/>
      <c r="C2074" s="14"/>
      <c r="D2074" s="14"/>
      <c r="E2074" s="14"/>
      <c r="F2074" s="14"/>
      <c r="G2074" s="16"/>
    </row>
    <row r="2075" spans="2:7" x14ac:dyDescent="0.25">
      <c r="B2075" s="38"/>
      <c r="C2075" s="14"/>
      <c r="D2075" s="14"/>
      <c r="E2075" s="14"/>
      <c r="F2075" s="14"/>
      <c r="G2075" s="16"/>
    </row>
    <row r="2076" spans="2:7" x14ac:dyDescent="0.25">
      <c r="B2076" s="38"/>
      <c r="C2076" s="14"/>
      <c r="D2076" s="14"/>
      <c r="E2076" s="14"/>
      <c r="F2076" s="14"/>
      <c r="G2076" s="16"/>
    </row>
    <row r="2077" spans="2:7" x14ac:dyDescent="0.25">
      <c r="B2077" s="38"/>
      <c r="C2077" s="14"/>
      <c r="D2077" s="14"/>
      <c r="E2077" s="14"/>
      <c r="F2077" s="14"/>
      <c r="G2077" s="16"/>
    </row>
    <row r="2078" spans="2:7" x14ac:dyDescent="0.25">
      <c r="B2078" s="38"/>
      <c r="C2078" s="14"/>
      <c r="D2078" s="14"/>
      <c r="E2078" s="14"/>
      <c r="F2078" s="14"/>
      <c r="G2078" s="16"/>
    </row>
    <row r="2079" spans="2:7" x14ac:dyDescent="0.25">
      <c r="B2079" s="38"/>
      <c r="C2079" s="14"/>
      <c r="D2079" s="14"/>
      <c r="E2079" s="14"/>
      <c r="F2079" s="14"/>
      <c r="G2079" s="16"/>
    </row>
    <row r="2080" spans="2:7" x14ac:dyDescent="0.25">
      <c r="B2080" s="38"/>
      <c r="C2080" s="14"/>
      <c r="D2080" s="14"/>
      <c r="E2080" s="14"/>
      <c r="F2080" s="14"/>
      <c r="G2080" s="16"/>
    </row>
    <row r="2081" spans="2:7" x14ac:dyDescent="0.25">
      <c r="B2081" s="38"/>
      <c r="C2081" s="14"/>
      <c r="D2081" s="14"/>
      <c r="E2081" s="14"/>
      <c r="F2081" s="14"/>
      <c r="G2081" s="16"/>
    </row>
    <row r="2082" spans="2:7" x14ac:dyDescent="0.25">
      <c r="B2082" s="38"/>
      <c r="C2082" s="14"/>
      <c r="D2082" s="14"/>
      <c r="E2082" s="14"/>
      <c r="F2082" s="14"/>
      <c r="G2082" s="16"/>
    </row>
    <row r="2083" spans="2:7" x14ac:dyDescent="0.25">
      <c r="B2083" s="38"/>
      <c r="C2083" s="14"/>
      <c r="D2083" s="14"/>
      <c r="E2083" s="14"/>
      <c r="F2083" s="14"/>
      <c r="G2083" s="16"/>
    </row>
    <row r="2084" spans="2:7" x14ac:dyDescent="0.25">
      <c r="B2084" s="38"/>
      <c r="C2084" s="14"/>
      <c r="D2084" s="14"/>
      <c r="E2084" s="14"/>
      <c r="F2084" s="14"/>
      <c r="G2084" s="16"/>
    </row>
    <row r="2085" spans="2:7" x14ac:dyDescent="0.25">
      <c r="B2085" s="38"/>
      <c r="C2085" s="14"/>
      <c r="D2085" s="14"/>
      <c r="E2085" s="14"/>
      <c r="F2085" s="14"/>
      <c r="G2085" s="16"/>
    </row>
    <row r="2086" spans="2:7" x14ac:dyDescent="0.25">
      <c r="B2086" s="38"/>
      <c r="C2086" s="14"/>
      <c r="D2086" s="14"/>
      <c r="E2086" s="14"/>
      <c r="F2086" s="14"/>
      <c r="G2086" s="16"/>
    </row>
    <row r="2087" spans="2:7" x14ac:dyDescent="0.25">
      <c r="B2087" s="38"/>
      <c r="C2087" s="14"/>
      <c r="D2087" s="14"/>
      <c r="E2087" s="14"/>
      <c r="F2087" s="14"/>
      <c r="G2087" s="16"/>
    </row>
    <row r="2088" spans="2:7" x14ac:dyDescent="0.25">
      <c r="B2088" s="38"/>
      <c r="C2088" s="14"/>
      <c r="D2088" s="14"/>
      <c r="E2088" s="14"/>
      <c r="F2088" s="14"/>
      <c r="G2088" s="16"/>
    </row>
    <row r="2089" spans="2:7" x14ac:dyDescent="0.25">
      <c r="B2089" s="38"/>
      <c r="C2089" s="14"/>
      <c r="D2089" s="14"/>
      <c r="E2089" s="14"/>
      <c r="F2089" s="14"/>
      <c r="G2089" s="16"/>
    </row>
    <row r="2090" spans="2:7" x14ac:dyDescent="0.25">
      <c r="B2090" s="38"/>
      <c r="C2090" s="14"/>
      <c r="D2090" s="14"/>
      <c r="E2090" s="14"/>
      <c r="F2090" s="14"/>
      <c r="G2090" s="16"/>
    </row>
    <row r="2091" spans="2:7" x14ac:dyDescent="0.25">
      <c r="B2091" s="38"/>
      <c r="C2091" s="14"/>
      <c r="D2091" s="14"/>
      <c r="E2091" s="14"/>
      <c r="F2091" s="14"/>
      <c r="G2091" s="16"/>
    </row>
    <row r="2092" spans="2:7" x14ac:dyDescent="0.25">
      <c r="B2092" s="38"/>
      <c r="C2092" s="14"/>
      <c r="D2092" s="14"/>
      <c r="E2092" s="14"/>
      <c r="F2092" s="14"/>
      <c r="G2092" s="16"/>
    </row>
    <row r="2093" spans="2:7" x14ac:dyDescent="0.25">
      <c r="B2093" s="38"/>
      <c r="C2093" s="14"/>
      <c r="D2093" s="14"/>
      <c r="E2093" s="14"/>
      <c r="F2093" s="14"/>
      <c r="G2093" s="16"/>
    </row>
    <row r="2094" spans="2:7" x14ac:dyDescent="0.25">
      <c r="B2094" s="38"/>
      <c r="C2094" s="14"/>
      <c r="D2094" s="14"/>
      <c r="E2094" s="14"/>
      <c r="F2094" s="14"/>
      <c r="G2094" s="16"/>
    </row>
    <row r="2095" spans="2:7" x14ac:dyDescent="0.25">
      <c r="B2095" s="38"/>
      <c r="C2095" s="14"/>
      <c r="D2095" s="14"/>
      <c r="E2095" s="14"/>
      <c r="F2095" s="14"/>
      <c r="G2095" s="16"/>
    </row>
    <row r="2096" spans="2:7" x14ac:dyDescent="0.25">
      <c r="B2096" s="38"/>
      <c r="C2096" s="14"/>
      <c r="D2096" s="14"/>
      <c r="E2096" s="14"/>
      <c r="F2096" s="14"/>
      <c r="G2096" s="16"/>
    </row>
    <row r="2097" spans="2:7" x14ac:dyDescent="0.25">
      <c r="B2097" s="38"/>
      <c r="C2097" s="14"/>
      <c r="D2097" s="14"/>
      <c r="E2097" s="14"/>
      <c r="F2097" s="14"/>
      <c r="G2097" s="16"/>
    </row>
    <row r="2098" spans="2:7" x14ac:dyDescent="0.25">
      <c r="B2098" s="38"/>
      <c r="C2098" s="14"/>
      <c r="D2098" s="14"/>
      <c r="E2098" s="14"/>
      <c r="F2098" s="14"/>
      <c r="G2098" s="16"/>
    </row>
    <row r="2099" spans="2:7" x14ac:dyDescent="0.25">
      <c r="B2099" s="38"/>
      <c r="C2099" s="14"/>
      <c r="D2099" s="14"/>
      <c r="E2099" s="14"/>
      <c r="F2099" s="14"/>
      <c r="G2099" s="16"/>
    </row>
    <row r="2100" spans="2:7" x14ac:dyDescent="0.25">
      <c r="B2100" s="38"/>
      <c r="C2100" s="14"/>
      <c r="D2100" s="14"/>
      <c r="E2100" s="14"/>
      <c r="F2100" s="14"/>
      <c r="G2100" s="16"/>
    </row>
    <row r="2101" spans="2:7" x14ac:dyDescent="0.25">
      <c r="B2101" s="38"/>
      <c r="C2101" s="14"/>
      <c r="D2101" s="14"/>
      <c r="E2101" s="14"/>
      <c r="F2101" s="14"/>
      <c r="G2101" s="16"/>
    </row>
    <row r="2102" spans="2:7" x14ac:dyDescent="0.25">
      <c r="B2102" s="38"/>
      <c r="C2102" s="14"/>
      <c r="D2102" s="14"/>
      <c r="E2102" s="14"/>
      <c r="F2102" s="14"/>
      <c r="G2102" s="16"/>
    </row>
    <row r="2103" spans="2:7" x14ac:dyDescent="0.25">
      <c r="B2103" s="38"/>
      <c r="C2103" s="14"/>
      <c r="D2103" s="14"/>
      <c r="E2103" s="14"/>
      <c r="F2103" s="14"/>
      <c r="G2103" s="16"/>
    </row>
    <row r="2104" spans="2:7" x14ac:dyDescent="0.25">
      <c r="B2104" s="38"/>
      <c r="C2104" s="14"/>
      <c r="D2104" s="14"/>
      <c r="E2104" s="14"/>
      <c r="F2104" s="14"/>
      <c r="G2104" s="16"/>
    </row>
    <row r="2105" spans="2:7" x14ac:dyDescent="0.25">
      <c r="B2105" s="38"/>
      <c r="C2105" s="14"/>
      <c r="D2105" s="14"/>
      <c r="E2105" s="14"/>
      <c r="F2105" s="14"/>
      <c r="G2105" s="16"/>
    </row>
    <row r="2106" spans="2:7" x14ac:dyDescent="0.25">
      <c r="B2106" s="38"/>
      <c r="C2106" s="14"/>
      <c r="D2106" s="14"/>
      <c r="E2106" s="14"/>
      <c r="F2106" s="14"/>
      <c r="G2106" s="16"/>
    </row>
    <row r="2107" spans="2:7" x14ac:dyDescent="0.25">
      <c r="B2107" s="38"/>
      <c r="C2107" s="14"/>
      <c r="D2107" s="14"/>
      <c r="E2107" s="14"/>
      <c r="F2107" s="14"/>
      <c r="G2107" s="16"/>
    </row>
    <row r="2108" spans="2:7" x14ac:dyDescent="0.25">
      <c r="B2108" s="38"/>
      <c r="C2108" s="14"/>
      <c r="D2108" s="14"/>
      <c r="E2108" s="14"/>
      <c r="F2108" s="14"/>
      <c r="G2108" s="16"/>
    </row>
    <row r="2109" spans="2:7" x14ac:dyDescent="0.25">
      <c r="B2109" s="38"/>
      <c r="C2109" s="14"/>
      <c r="D2109" s="14"/>
      <c r="E2109" s="14"/>
      <c r="F2109" s="14"/>
      <c r="G2109" s="16"/>
    </row>
    <row r="2110" spans="2:7" x14ac:dyDescent="0.25">
      <c r="B2110" s="38"/>
      <c r="C2110" s="14"/>
      <c r="D2110" s="14"/>
      <c r="E2110" s="14"/>
      <c r="F2110" s="14"/>
      <c r="G2110" s="16"/>
    </row>
    <row r="2111" spans="2:7" x14ac:dyDescent="0.25">
      <c r="B2111" s="38"/>
      <c r="C2111" s="14"/>
      <c r="D2111" s="14"/>
      <c r="E2111" s="14"/>
      <c r="F2111" s="14"/>
      <c r="G2111" s="16"/>
    </row>
    <row r="2112" spans="2:7" x14ac:dyDescent="0.25">
      <c r="B2112" s="38"/>
      <c r="C2112" s="14"/>
      <c r="D2112" s="14"/>
      <c r="E2112" s="14"/>
      <c r="F2112" s="14"/>
      <c r="G2112" s="16"/>
    </row>
    <row r="2113" spans="2:7" x14ac:dyDescent="0.25">
      <c r="B2113" s="38"/>
      <c r="C2113" s="14"/>
      <c r="D2113" s="14"/>
      <c r="E2113" s="14"/>
      <c r="F2113" s="14"/>
      <c r="G2113" s="16"/>
    </row>
    <row r="2114" spans="2:7" x14ac:dyDescent="0.25">
      <c r="B2114" s="38"/>
      <c r="C2114" s="14"/>
      <c r="D2114" s="14"/>
      <c r="E2114" s="14"/>
      <c r="F2114" s="14"/>
      <c r="G2114" s="16"/>
    </row>
    <row r="2115" spans="2:7" x14ac:dyDescent="0.25">
      <c r="B2115" s="38"/>
      <c r="C2115" s="14"/>
      <c r="D2115" s="14"/>
      <c r="E2115" s="14"/>
      <c r="F2115" s="14"/>
      <c r="G2115" s="16"/>
    </row>
    <row r="2116" spans="2:7" x14ac:dyDescent="0.25">
      <c r="B2116" s="38"/>
      <c r="C2116" s="14"/>
      <c r="D2116" s="14"/>
      <c r="E2116" s="14"/>
      <c r="F2116" s="14"/>
      <c r="G2116" s="16"/>
    </row>
    <row r="2117" spans="2:7" x14ac:dyDescent="0.25">
      <c r="B2117" s="38"/>
      <c r="C2117" s="14"/>
      <c r="D2117" s="14"/>
      <c r="E2117" s="14"/>
      <c r="F2117" s="14"/>
      <c r="G2117" s="16"/>
    </row>
    <row r="2118" spans="2:7" x14ac:dyDescent="0.25">
      <c r="B2118" s="38"/>
      <c r="C2118" s="14"/>
      <c r="D2118" s="14"/>
      <c r="E2118" s="14"/>
      <c r="F2118" s="14"/>
      <c r="G2118" s="16"/>
    </row>
    <row r="2119" spans="2:7" x14ac:dyDescent="0.25">
      <c r="B2119" s="38"/>
      <c r="C2119" s="14"/>
      <c r="D2119" s="14"/>
      <c r="E2119" s="14"/>
      <c r="F2119" s="14"/>
      <c r="G2119" s="16"/>
    </row>
    <row r="2120" spans="2:7" x14ac:dyDescent="0.25">
      <c r="B2120" s="38"/>
      <c r="C2120" s="14"/>
      <c r="D2120" s="14"/>
      <c r="E2120" s="14"/>
      <c r="F2120" s="14"/>
      <c r="G2120" s="16"/>
    </row>
    <row r="2121" spans="2:7" x14ac:dyDescent="0.25">
      <c r="B2121" s="38"/>
      <c r="C2121" s="14"/>
      <c r="D2121" s="14"/>
      <c r="E2121" s="14"/>
      <c r="F2121" s="14"/>
      <c r="G2121" s="16"/>
    </row>
    <row r="2122" spans="2:7" x14ac:dyDescent="0.25">
      <c r="B2122" s="38"/>
      <c r="C2122" s="14"/>
      <c r="D2122" s="14"/>
      <c r="E2122" s="14"/>
      <c r="F2122" s="14"/>
      <c r="G2122" s="16"/>
    </row>
    <row r="2123" spans="2:7" x14ac:dyDescent="0.25">
      <c r="B2123" s="38"/>
      <c r="C2123" s="14"/>
      <c r="D2123" s="14"/>
      <c r="E2123" s="14"/>
      <c r="F2123" s="14"/>
      <c r="G2123" s="16"/>
    </row>
    <row r="2124" spans="2:7" x14ac:dyDescent="0.25">
      <c r="B2124" s="38"/>
      <c r="C2124" s="14"/>
      <c r="D2124" s="14"/>
      <c r="E2124" s="14"/>
      <c r="F2124" s="14"/>
      <c r="G2124" s="16"/>
    </row>
    <row r="2125" spans="2:7" x14ac:dyDescent="0.25">
      <c r="B2125" s="38"/>
      <c r="C2125" s="14"/>
      <c r="D2125" s="14"/>
      <c r="E2125" s="14"/>
      <c r="F2125" s="14"/>
      <c r="G2125" s="16"/>
    </row>
    <row r="2126" spans="2:7" x14ac:dyDescent="0.25">
      <c r="B2126" s="38"/>
      <c r="C2126" s="14"/>
      <c r="D2126" s="14"/>
      <c r="E2126" s="14"/>
      <c r="F2126" s="14"/>
      <c r="G2126" s="16"/>
    </row>
    <row r="2127" spans="2:7" x14ac:dyDescent="0.25">
      <c r="B2127" s="38"/>
      <c r="C2127" s="14"/>
      <c r="D2127" s="14"/>
      <c r="E2127" s="14"/>
      <c r="F2127" s="14"/>
      <c r="G2127" s="16"/>
    </row>
    <row r="2128" spans="2:7" x14ac:dyDescent="0.25">
      <c r="B2128" s="38"/>
      <c r="C2128" s="14"/>
      <c r="D2128" s="14"/>
      <c r="E2128" s="14"/>
      <c r="F2128" s="14"/>
      <c r="G2128" s="16"/>
    </row>
    <row r="2129" spans="2:7" x14ac:dyDescent="0.25">
      <c r="B2129" s="38"/>
      <c r="C2129" s="14"/>
      <c r="D2129" s="14"/>
      <c r="E2129" s="14"/>
      <c r="F2129" s="14"/>
      <c r="G2129" s="16"/>
    </row>
    <row r="2130" spans="2:7" x14ac:dyDescent="0.25">
      <c r="B2130" s="38"/>
      <c r="C2130" s="14"/>
      <c r="D2130" s="14"/>
      <c r="E2130" s="14"/>
      <c r="F2130" s="14"/>
      <c r="G2130" s="16"/>
    </row>
    <row r="2131" spans="2:7" x14ac:dyDescent="0.25">
      <c r="B2131" s="38"/>
      <c r="C2131" s="14"/>
      <c r="D2131" s="14"/>
      <c r="E2131" s="14"/>
      <c r="F2131" s="14"/>
      <c r="G2131" s="16"/>
    </row>
    <row r="2132" spans="2:7" x14ac:dyDescent="0.25">
      <c r="B2132" s="38"/>
      <c r="C2132" s="14"/>
      <c r="D2132" s="14"/>
      <c r="E2132" s="14"/>
      <c r="F2132" s="14"/>
      <c r="G2132" s="16"/>
    </row>
    <row r="2133" spans="2:7" x14ac:dyDescent="0.25">
      <c r="B2133" s="38"/>
      <c r="C2133" s="14"/>
      <c r="D2133" s="14"/>
      <c r="E2133" s="14"/>
      <c r="F2133" s="14"/>
      <c r="G2133" s="16"/>
    </row>
    <row r="2134" spans="2:7" x14ac:dyDescent="0.25">
      <c r="B2134" s="38"/>
      <c r="C2134" s="14"/>
      <c r="D2134" s="14"/>
      <c r="E2134" s="14"/>
      <c r="F2134" s="14"/>
      <c r="G2134" s="16"/>
    </row>
    <row r="2135" spans="2:7" x14ac:dyDescent="0.25">
      <c r="B2135" s="38"/>
      <c r="C2135" s="14"/>
      <c r="D2135" s="14"/>
      <c r="E2135" s="14"/>
      <c r="F2135" s="14"/>
      <c r="G2135" s="16"/>
    </row>
    <row r="2136" spans="2:7" x14ac:dyDescent="0.25">
      <c r="B2136" s="38"/>
      <c r="C2136" s="14"/>
      <c r="D2136" s="14"/>
      <c r="E2136" s="14"/>
      <c r="F2136" s="14"/>
      <c r="G2136" s="16"/>
    </row>
    <row r="2137" spans="2:7" x14ac:dyDescent="0.25">
      <c r="B2137" s="38"/>
      <c r="C2137" s="14"/>
      <c r="D2137" s="14"/>
      <c r="E2137" s="14"/>
      <c r="F2137" s="14"/>
      <c r="G2137" s="16"/>
    </row>
    <row r="2138" spans="2:7" x14ac:dyDescent="0.25">
      <c r="B2138" s="38"/>
      <c r="C2138" s="14"/>
      <c r="D2138" s="14"/>
      <c r="E2138" s="14"/>
      <c r="F2138" s="14"/>
      <c r="G2138" s="16"/>
    </row>
    <row r="2139" spans="2:7" x14ac:dyDescent="0.25">
      <c r="B2139" s="38"/>
      <c r="C2139" s="14"/>
      <c r="D2139" s="14"/>
      <c r="E2139" s="14"/>
      <c r="F2139" s="14"/>
      <c r="G2139" s="16"/>
    </row>
    <row r="2140" spans="2:7" x14ac:dyDescent="0.25">
      <c r="B2140" s="38"/>
      <c r="C2140" s="14"/>
      <c r="D2140" s="14"/>
      <c r="E2140" s="14"/>
      <c r="F2140" s="14"/>
      <c r="G2140" s="16"/>
    </row>
    <row r="2141" spans="2:7" x14ac:dyDescent="0.25">
      <c r="B2141" s="38"/>
      <c r="C2141" s="14"/>
      <c r="D2141" s="14"/>
      <c r="E2141" s="14"/>
      <c r="F2141" s="14"/>
      <c r="G2141" s="16"/>
    </row>
    <row r="2142" spans="2:7" x14ac:dyDescent="0.25">
      <c r="B2142" s="38"/>
      <c r="C2142" s="14"/>
      <c r="D2142" s="14"/>
      <c r="E2142" s="14"/>
      <c r="F2142" s="14"/>
      <c r="G2142" s="16"/>
    </row>
    <row r="2143" spans="2:7" x14ac:dyDescent="0.25">
      <c r="B2143" s="38"/>
      <c r="C2143" s="14"/>
      <c r="D2143" s="14"/>
      <c r="E2143" s="14"/>
      <c r="F2143" s="14"/>
      <c r="G2143" s="16"/>
    </row>
    <row r="2144" spans="2:7" x14ac:dyDescent="0.25">
      <c r="B2144" s="38"/>
      <c r="C2144" s="14"/>
      <c r="D2144" s="14"/>
      <c r="E2144" s="14"/>
      <c r="F2144" s="14"/>
      <c r="G2144" s="16"/>
    </row>
    <row r="2145" spans="2:7" x14ac:dyDescent="0.25">
      <c r="B2145" s="38"/>
      <c r="C2145" s="14"/>
      <c r="D2145" s="14"/>
      <c r="E2145" s="14"/>
      <c r="F2145" s="14"/>
      <c r="G2145" s="16"/>
    </row>
    <row r="2146" spans="2:7" x14ac:dyDescent="0.25">
      <c r="B2146" s="38"/>
      <c r="C2146" s="14"/>
      <c r="D2146" s="14"/>
      <c r="E2146" s="14"/>
      <c r="F2146" s="14"/>
      <c r="G2146" s="16"/>
    </row>
    <row r="2147" spans="2:7" x14ac:dyDescent="0.25">
      <c r="B2147" s="38"/>
      <c r="C2147" s="14"/>
      <c r="D2147" s="14"/>
      <c r="E2147" s="14"/>
      <c r="F2147" s="14"/>
      <c r="G2147" s="16"/>
    </row>
    <row r="2148" spans="2:7" x14ac:dyDescent="0.25">
      <c r="B2148" s="38"/>
      <c r="C2148" s="14"/>
      <c r="D2148" s="14"/>
      <c r="E2148" s="14"/>
      <c r="F2148" s="14"/>
      <c r="G2148" s="16"/>
    </row>
    <row r="2149" spans="2:7" x14ac:dyDescent="0.25">
      <c r="B2149" s="38"/>
      <c r="C2149" s="14"/>
      <c r="D2149" s="14"/>
      <c r="E2149" s="14"/>
      <c r="F2149" s="14"/>
      <c r="G2149" s="16"/>
    </row>
    <row r="2150" spans="2:7" x14ac:dyDescent="0.25">
      <c r="B2150" s="38"/>
      <c r="C2150" s="14"/>
      <c r="D2150" s="14"/>
      <c r="E2150" s="14"/>
      <c r="F2150" s="14"/>
      <c r="G2150" s="16"/>
    </row>
    <row r="2151" spans="2:7" x14ac:dyDescent="0.25">
      <c r="B2151" s="38"/>
      <c r="C2151" s="14"/>
      <c r="D2151" s="14"/>
      <c r="E2151" s="14"/>
      <c r="F2151" s="14"/>
      <c r="G2151" s="16"/>
    </row>
    <row r="2152" spans="2:7" x14ac:dyDescent="0.25">
      <c r="B2152" s="38"/>
      <c r="C2152" s="14"/>
      <c r="D2152" s="14"/>
      <c r="E2152" s="14"/>
      <c r="F2152" s="14"/>
      <c r="G2152" s="16"/>
    </row>
    <row r="2153" spans="2:7" x14ac:dyDescent="0.25">
      <c r="B2153" s="38"/>
      <c r="C2153" s="14"/>
      <c r="D2153" s="14"/>
      <c r="E2153" s="14"/>
      <c r="F2153" s="14"/>
      <c r="G2153" s="16"/>
    </row>
    <row r="2154" spans="2:7" x14ac:dyDescent="0.25">
      <c r="B2154" s="38"/>
      <c r="C2154" s="14"/>
      <c r="D2154" s="14"/>
      <c r="E2154" s="14"/>
      <c r="F2154" s="14"/>
      <c r="G2154" s="16"/>
    </row>
    <row r="2155" spans="2:7" x14ac:dyDescent="0.25">
      <c r="B2155" s="38"/>
      <c r="C2155" s="14"/>
      <c r="D2155" s="14"/>
      <c r="E2155" s="14"/>
      <c r="F2155" s="14"/>
      <c r="G2155" s="16"/>
    </row>
    <row r="2156" spans="2:7" x14ac:dyDescent="0.25">
      <c r="B2156" s="38"/>
      <c r="C2156" s="14"/>
      <c r="D2156" s="14"/>
      <c r="E2156" s="14"/>
      <c r="F2156" s="14"/>
      <c r="G2156" s="16"/>
    </row>
    <row r="2157" spans="2:7" x14ac:dyDescent="0.25">
      <c r="B2157" s="38"/>
      <c r="C2157" s="14"/>
      <c r="D2157" s="14"/>
      <c r="E2157" s="14"/>
      <c r="F2157" s="14"/>
      <c r="G2157" s="16"/>
    </row>
    <row r="2158" spans="2:7" x14ac:dyDescent="0.25">
      <c r="B2158" s="38"/>
      <c r="C2158" s="14"/>
      <c r="D2158" s="14"/>
      <c r="E2158" s="14"/>
      <c r="F2158" s="14"/>
      <c r="G2158" s="16"/>
    </row>
    <row r="2159" spans="2:7" x14ac:dyDescent="0.25">
      <c r="B2159" s="38"/>
      <c r="C2159" s="14"/>
      <c r="D2159" s="14"/>
      <c r="E2159" s="14"/>
      <c r="F2159" s="14"/>
      <c r="G2159" s="16"/>
    </row>
    <row r="2160" spans="2:7" x14ac:dyDescent="0.25">
      <c r="B2160" s="38"/>
      <c r="C2160" s="14"/>
      <c r="D2160" s="14"/>
      <c r="E2160" s="14"/>
      <c r="F2160" s="14"/>
      <c r="G2160" s="16"/>
    </row>
    <row r="2161" spans="2:7" x14ac:dyDescent="0.25">
      <c r="B2161" s="38"/>
      <c r="C2161" s="14"/>
      <c r="D2161" s="14"/>
      <c r="E2161" s="14"/>
      <c r="F2161" s="14"/>
      <c r="G2161" s="16"/>
    </row>
    <row r="2162" spans="2:7" x14ac:dyDescent="0.25">
      <c r="B2162" s="38"/>
      <c r="C2162" s="14"/>
      <c r="D2162" s="14"/>
      <c r="E2162" s="14"/>
      <c r="F2162" s="14"/>
      <c r="G2162" s="16"/>
    </row>
    <row r="2163" spans="2:7" x14ac:dyDescent="0.25">
      <c r="B2163" s="38"/>
      <c r="C2163" s="14"/>
      <c r="D2163" s="14"/>
      <c r="E2163" s="14"/>
      <c r="F2163" s="14"/>
      <c r="G2163" s="16"/>
    </row>
    <row r="2164" spans="2:7" x14ac:dyDescent="0.25">
      <c r="B2164" s="38"/>
      <c r="C2164" s="14"/>
      <c r="D2164" s="14"/>
      <c r="E2164" s="14"/>
      <c r="F2164" s="14"/>
      <c r="G2164" s="16"/>
    </row>
    <row r="2165" spans="2:7" x14ac:dyDescent="0.25">
      <c r="B2165" s="38"/>
      <c r="C2165" s="14"/>
      <c r="D2165" s="14"/>
      <c r="E2165" s="14"/>
      <c r="F2165" s="14"/>
      <c r="G2165" s="16"/>
    </row>
    <row r="2166" spans="2:7" x14ac:dyDescent="0.25">
      <c r="B2166" s="38"/>
      <c r="C2166" s="14"/>
      <c r="D2166" s="14"/>
      <c r="E2166" s="14"/>
      <c r="F2166" s="14"/>
      <c r="G2166" s="16"/>
    </row>
    <row r="2167" spans="2:7" x14ac:dyDescent="0.25">
      <c r="B2167" s="38"/>
      <c r="C2167" s="14"/>
      <c r="D2167" s="14"/>
      <c r="E2167" s="14"/>
      <c r="F2167" s="14"/>
      <c r="G2167" s="16"/>
    </row>
    <row r="2168" spans="2:7" x14ac:dyDescent="0.25">
      <c r="B2168" s="38"/>
      <c r="C2168" s="14"/>
      <c r="D2168" s="14"/>
      <c r="E2168" s="14"/>
      <c r="F2168" s="14"/>
      <c r="G2168" s="16"/>
    </row>
    <row r="2169" spans="2:7" x14ac:dyDescent="0.25">
      <c r="B2169" s="38"/>
      <c r="C2169" s="14"/>
      <c r="D2169" s="14"/>
      <c r="E2169" s="14"/>
      <c r="F2169" s="14"/>
      <c r="G2169" s="16"/>
    </row>
    <row r="2170" spans="2:7" x14ac:dyDescent="0.25">
      <c r="B2170" s="38"/>
      <c r="C2170" s="14"/>
      <c r="D2170" s="14"/>
      <c r="E2170" s="14"/>
      <c r="F2170" s="14"/>
      <c r="G2170" s="16"/>
    </row>
    <row r="2171" spans="2:7" x14ac:dyDescent="0.25">
      <c r="B2171" s="38"/>
      <c r="C2171" s="14"/>
      <c r="D2171" s="14"/>
      <c r="E2171" s="14"/>
      <c r="F2171" s="14"/>
      <c r="G2171" s="16"/>
    </row>
    <row r="2172" spans="2:7" x14ac:dyDescent="0.25">
      <c r="B2172" s="38"/>
      <c r="C2172" s="14"/>
      <c r="D2172" s="14"/>
      <c r="E2172" s="14"/>
      <c r="F2172" s="14"/>
      <c r="G2172" s="16"/>
    </row>
    <row r="2173" spans="2:7" x14ac:dyDescent="0.25">
      <c r="B2173" s="38"/>
      <c r="C2173" s="14"/>
      <c r="D2173" s="14"/>
      <c r="E2173" s="14"/>
      <c r="F2173" s="14"/>
      <c r="G2173" s="16"/>
    </row>
    <row r="2174" spans="2:7" x14ac:dyDescent="0.25">
      <c r="B2174" s="38"/>
      <c r="C2174" s="14"/>
      <c r="D2174" s="14"/>
      <c r="E2174" s="14"/>
      <c r="F2174" s="14"/>
      <c r="G2174" s="16"/>
    </row>
    <row r="2175" spans="2:7" x14ac:dyDescent="0.25">
      <c r="B2175" s="38"/>
      <c r="C2175" s="14"/>
      <c r="D2175" s="14"/>
      <c r="E2175" s="14"/>
      <c r="F2175" s="14"/>
      <c r="G2175" s="16"/>
    </row>
    <row r="2176" spans="2:7" x14ac:dyDescent="0.25">
      <c r="B2176" s="38"/>
      <c r="C2176" s="14"/>
      <c r="D2176" s="14"/>
      <c r="E2176" s="14"/>
      <c r="F2176" s="14"/>
      <c r="G2176" s="16"/>
    </row>
    <row r="2177" spans="2:7" x14ac:dyDescent="0.25">
      <c r="B2177" s="38"/>
      <c r="C2177" s="14"/>
      <c r="D2177" s="14"/>
      <c r="E2177" s="14"/>
      <c r="F2177" s="14"/>
      <c r="G2177" s="16"/>
    </row>
    <row r="2178" spans="2:7" x14ac:dyDescent="0.25">
      <c r="B2178" s="38"/>
      <c r="C2178" s="14"/>
      <c r="D2178" s="14"/>
      <c r="E2178" s="14"/>
      <c r="F2178" s="14"/>
      <c r="G2178" s="16"/>
    </row>
    <row r="2179" spans="2:7" x14ac:dyDescent="0.25">
      <c r="B2179" s="38"/>
      <c r="C2179" s="14"/>
      <c r="D2179" s="14"/>
      <c r="E2179" s="14"/>
      <c r="F2179" s="14"/>
      <c r="G2179" s="16"/>
    </row>
    <row r="2180" spans="2:7" x14ac:dyDescent="0.25">
      <c r="B2180" s="38"/>
      <c r="C2180" s="14"/>
      <c r="D2180" s="14"/>
      <c r="E2180" s="14"/>
      <c r="F2180" s="14"/>
      <c r="G2180" s="16"/>
    </row>
    <row r="2181" spans="2:7" x14ac:dyDescent="0.25">
      <c r="B2181" s="38"/>
      <c r="C2181" s="14"/>
      <c r="D2181" s="14"/>
      <c r="E2181" s="14"/>
      <c r="F2181" s="14"/>
      <c r="G2181" s="16"/>
    </row>
    <row r="2182" spans="2:7" x14ac:dyDescent="0.25">
      <c r="B2182" s="38"/>
      <c r="C2182" s="14"/>
      <c r="D2182" s="14"/>
      <c r="E2182" s="14"/>
      <c r="F2182" s="14"/>
      <c r="G2182" s="16"/>
    </row>
    <row r="2183" spans="2:7" x14ac:dyDescent="0.25">
      <c r="B2183" s="38"/>
      <c r="C2183" s="14"/>
      <c r="D2183" s="14"/>
      <c r="E2183" s="14"/>
      <c r="F2183" s="14"/>
      <c r="G2183" s="16"/>
    </row>
    <row r="2184" spans="2:7" x14ac:dyDescent="0.25">
      <c r="B2184" s="38"/>
      <c r="C2184" s="14"/>
      <c r="D2184" s="14"/>
      <c r="E2184" s="14"/>
      <c r="F2184" s="14"/>
      <c r="G2184" s="16"/>
    </row>
    <row r="2185" spans="2:7" x14ac:dyDescent="0.25">
      <c r="B2185" s="38"/>
      <c r="C2185" s="14"/>
      <c r="D2185" s="14"/>
      <c r="E2185" s="14"/>
      <c r="F2185" s="14"/>
      <c r="G2185" s="16"/>
    </row>
    <row r="2186" spans="2:7" x14ac:dyDescent="0.25">
      <c r="B2186" s="38"/>
      <c r="C2186" s="14"/>
      <c r="D2186" s="14"/>
      <c r="E2186" s="14"/>
      <c r="F2186" s="14"/>
      <c r="G2186" s="16"/>
    </row>
    <row r="2187" spans="2:7" x14ac:dyDescent="0.25">
      <c r="B2187" s="38"/>
      <c r="C2187" s="14"/>
      <c r="D2187" s="14"/>
      <c r="E2187" s="14"/>
      <c r="F2187" s="14"/>
      <c r="G2187" s="16"/>
    </row>
    <row r="2188" spans="2:7" x14ac:dyDescent="0.25">
      <c r="B2188" s="38"/>
      <c r="C2188" s="14"/>
      <c r="D2188" s="14"/>
      <c r="E2188" s="14"/>
      <c r="F2188" s="14"/>
      <c r="G2188" s="16"/>
    </row>
    <row r="2189" spans="2:7" x14ac:dyDescent="0.25">
      <c r="B2189" s="38"/>
      <c r="C2189" s="14"/>
      <c r="D2189" s="14"/>
      <c r="E2189" s="14"/>
      <c r="F2189" s="14"/>
      <c r="G2189" s="16"/>
    </row>
    <row r="2190" spans="2:7" x14ac:dyDescent="0.25">
      <c r="B2190" s="38"/>
      <c r="C2190" s="14"/>
      <c r="D2190" s="14"/>
      <c r="E2190" s="14"/>
      <c r="F2190" s="14"/>
      <c r="G2190" s="16"/>
    </row>
    <row r="2191" spans="2:7" x14ac:dyDescent="0.25">
      <c r="B2191" s="38"/>
      <c r="C2191" s="14"/>
      <c r="D2191" s="14"/>
      <c r="E2191" s="14"/>
      <c r="F2191" s="14"/>
      <c r="G2191" s="16"/>
    </row>
    <row r="2192" spans="2:7" x14ac:dyDescent="0.25">
      <c r="B2192" s="38"/>
      <c r="C2192" s="14"/>
      <c r="D2192" s="14"/>
      <c r="E2192" s="14"/>
      <c r="F2192" s="14"/>
      <c r="G2192" s="16"/>
    </row>
    <row r="2193" spans="2:7" x14ac:dyDescent="0.25">
      <c r="B2193" s="38"/>
      <c r="C2193" s="14"/>
      <c r="D2193" s="14"/>
      <c r="E2193" s="14"/>
      <c r="F2193" s="14"/>
      <c r="G2193" s="16"/>
    </row>
    <row r="2194" spans="2:7" x14ac:dyDescent="0.25">
      <c r="B2194" s="38"/>
      <c r="C2194" s="14"/>
      <c r="D2194" s="14"/>
      <c r="E2194" s="14"/>
      <c r="F2194" s="14"/>
      <c r="G2194" s="16"/>
    </row>
    <row r="2195" spans="2:7" x14ac:dyDescent="0.25">
      <c r="B2195" s="38"/>
      <c r="C2195" s="14"/>
      <c r="D2195" s="14"/>
      <c r="E2195" s="14"/>
      <c r="F2195" s="14"/>
      <c r="G2195" s="16"/>
    </row>
    <row r="2196" spans="2:7" x14ac:dyDescent="0.25">
      <c r="B2196" s="38"/>
      <c r="C2196" s="14"/>
      <c r="D2196" s="14"/>
      <c r="E2196" s="14"/>
      <c r="F2196" s="14"/>
      <c r="G2196" s="16"/>
    </row>
    <row r="2197" spans="2:7" x14ac:dyDescent="0.25">
      <c r="B2197" s="38"/>
      <c r="C2197" s="14"/>
      <c r="D2197" s="14"/>
      <c r="E2197" s="14"/>
      <c r="F2197" s="14"/>
      <c r="G2197" s="16"/>
    </row>
    <row r="2198" spans="2:7" x14ac:dyDescent="0.25">
      <c r="B2198" s="38"/>
      <c r="C2198" s="14"/>
      <c r="D2198" s="14"/>
      <c r="E2198" s="14"/>
      <c r="F2198" s="14"/>
      <c r="G2198" s="16"/>
    </row>
    <row r="2199" spans="2:7" x14ac:dyDescent="0.25">
      <c r="B2199" s="38"/>
      <c r="C2199" s="14"/>
      <c r="D2199" s="14"/>
      <c r="E2199" s="14"/>
      <c r="F2199" s="14"/>
      <c r="G2199" s="16"/>
    </row>
    <row r="2200" spans="2:7" x14ac:dyDescent="0.25">
      <c r="B2200" s="38"/>
      <c r="C2200" s="14"/>
      <c r="D2200" s="14"/>
      <c r="E2200" s="14"/>
      <c r="F2200" s="14"/>
      <c r="G2200" s="16"/>
    </row>
    <row r="2201" spans="2:7" x14ac:dyDescent="0.25">
      <c r="B2201" s="38"/>
      <c r="C2201" s="14"/>
      <c r="D2201" s="14"/>
      <c r="E2201" s="14"/>
      <c r="F2201" s="14"/>
      <c r="G2201" s="16"/>
    </row>
    <row r="2202" spans="2:7" x14ac:dyDescent="0.25">
      <c r="B2202" s="38"/>
      <c r="C2202" s="14"/>
      <c r="D2202" s="14"/>
      <c r="E2202" s="14"/>
      <c r="F2202" s="14"/>
      <c r="G2202" s="16"/>
    </row>
    <row r="2203" spans="2:7" x14ac:dyDescent="0.25">
      <c r="B2203" s="38"/>
      <c r="C2203" s="14"/>
      <c r="D2203" s="14"/>
      <c r="E2203" s="14"/>
      <c r="F2203" s="14"/>
      <c r="G2203" s="16"/>
    </row>
    <row r="2204" spans="2:7" x14ac:dyDescent="0.25">
      <c r="B2204" s="38"/>
      <c r="C2204" s="14"/>
      <c r="D2204" s="14"/>
      <c r="E2204" s="14"/>
      <c r="F2204" s="14"/>
      <c r="G2204" s="16"/>
    </row>
    <row r="2205" spans="2:7" x14ac:dyDescent="0.25">
      <c r="B2205" s="38"/>
      <c r="C2205" s="14"/>
      <c r="D2205" s="14"/>
      <c r="E2205" s="14"/>
      <c r="F2205" s="14"/>
      <c r="G2205" s="16"/>
    </row>
    <row r="2206" spans="2:7" x14ac:dyDescent="0.25">
      <c r="B2206" s="38"/>
      <c r="C2206" s="14"/>
      <c r="D2206" s="14"/>
      <c r="E2206" s="14"/>
      <c r="F2206" s="14"/>
      <c r="G2206" s="16"/>
    </row>
    <row r="2207" spans="2:7" x14ac:dyDescent="0.25">
      <c r="B2207" s="38"/>
      <c r="C2207" s="14"/>
      <c r="D2207" s="14"/>
      <c r="E2207" s="14"/>
      <c r="F2207" s="14"/>
      <c r="G2207" s="16"/>
    </row>
    <row r="2208" spans="2:7" x14ac:dyDescent="0.25">
      <c r="B2208" s="38"/>
      <c r="C2208" s="14"/>
      <c r="D2208" s="14"/>
      <c r="E2208" s="14"/>
      <c r="F2208" s="14"/>
      <c r="G2208" s="16"/>
    </row>
    <row r="2209" spans="2:7" x14ac:dyDescent="0.25">
      <c r="B2209" s="38"/>
      <c r="C2209" s="14"/>
      <c r="D2209" s="14"/>
      <c r="E2209" s="14"/>
      <c r="F2209" s="14"/>
      <c r="G2209" s="16"/>
    </row>
    <row r="2210" spans="2:7" x14ac:dyDescent="0.25">
      <c r="B2210" s="38"/>
      <c r="C2210" s="14"/>
      <c r="D2210" s="14"/>
      <c r="E2210" s="14"/>
      <c r="F2210" s="14"/>
      <c r="G2210" s="16"/>
    </row>
    <row r="2211" spans="2:7" x14ac:dyDescent="0.25">
      <c r="B2211" s="38"/>
      <c r="C2211" s="14"/>
      <c r="D2211" s="14"/>
      <c r="E2211" s="14"/>
      <c r="F2211" s="14"/>
      <c r="G2211" s="16"/>
    </row>
    <row r="2212" spans="2:7" x14ac:dyDescent="0.25">
      <c r="B2212" s="38"/>
      <c r="C2212" s="14"/>
      <c r="D2212" s="14"/>
      <c r="E2212" s="14"/>
      <c r="F2212" s="14"/>
      <c r="G2212" s="16"/>
    </row>
    <row r="2213" spans="2:7" x14ac:dyDescent="0.25">
      <c r="B2213" s="38"/>
      <c r="C2213" s="14"/>
      <c r="D2213" s="14"/>
      <c r="E2213" s="14"/>
      <c r="F2213" s="14"/>
      <c r="G2213" s="16"/>
    </row>
    <row r="2214" spans="2:7" x14ac:dyDescent="0.25">
      <c r="B2214" s="38"/>
      <c r="C2214" s="14"/>
      <c r="D2214" s="14"/>
      <c r="E2214" s="14"/>
      <c r="F2214" s="14"/>
      <c r="G2214" s="16"/>
    </row>
    <row r="2215" spans="2:7" x14ac:dyDescent="0.25">
      <c r="B2215" s="38"/>
      <c r="C2215" s="14"/>
      <c r="D2215" s="14"/>
      <c r="E2215" s="14"/>
      <c r="F2215" s="14"/>
      <c r="G2215" s="16"/>
    </row>
    <row r="2216" spans="2:7" x14ac:dyDescent="0.25">
      <c r="B2216" s="38"/>
      <c r="C2216" s="14"/>
      <c r="D2216" s="14"/>
      <c r="E2216" s="14"/>
      <c r="F2216" s="14"/>
      <c r="G2216" s="16"/>
    </row>
    <row r="2217" spans="2:7" x14ac:dyDescent="0.25">
      <c r="B2217" s="38"/>
      <c r="C2217" s="14"/>
      <c r="D2217" s="14"/>
      <c r="E2217" s="14"/>
      <c r="F2217" s="14"/>
      <c r="G2217" s="16"/>
    </row>
    <row r="2218" spans="2:7" x14ac:dyDescent="0.25">
      <c r="B2218" s="38"/>
      <c r="C2218" s="14"/>
      <c r="D2218" s="14"/>
      <c r="E2218" s="14"/>
      <c r="F2218" s="14"/>
      <c r="G2218" s="16"/>
    </row>
    <row r="2219" spans="2:7" x14ac:dyDescent="0.25">
      <c r="B2219" s="38"/>
      <c r="C2219" s="14"/>
      <c r="D2219" s="14"/>
      <c r="E2219" s="14"/>
      <c r="F2219" s="14"/>
      <c r="G2219" s="16"/>
    </row>
    <row r="2220" spans="2:7" x14ac:dyDescent="0.25">
      <c r="B2220" s="38"/>
      <c r="C2220" s="14"/>
      <c r="D2220" s="14"/>
      <c r="E2220" s="14"/>
      <c r="F2220" s="14"/>
      <c r="G2220" s="16"/>
    </row>
    <row r="2221" spans="2:7" x14ac:dyDescent="0.25">
      <c r="B2221" s="38"/>
      <c r="C2221" s="14"/>
      <c r="D2221" s="14"/>
      <c r="E2221" s="14"/>
      <c r="F2221" s="14"/>
      <c r="G2221" s="16"/>
    </row>
    <row r="2222" spans="2:7" x14ac:dyDescent="0.25">
      <c r="B2222" s="38"/>
      <c r="C2222" s="14"/>
      <c r="D2222" s="14"/>
      <c r="E2222" s="14"/>
      <c r="F2222" s="14"/>
      <c r="G2222" s="16"/>
    </row>
    <row r="2223" spans="2:7" x14ac:dyDescent="0.25">
      <c r="B2223" s="38"/>
      <c r="C2223" s="14"/>
      <c r="D2223" s="14"/>
      <c r="E2223" s="14"/>
      <c r="F2223" s="14"/>
      <c r="G2223" s="16"/>
    </row>
    <row r="2224" spans="2:7" x14ac:dyDescent="0.25">
      <c r="B2224" s="38"/>
      <c r="C2224" s="14"/>
      <c r="D2224" s="14"/>
      <c r="E2224" s="14"/>
      <c r="F2224" s="14"/>
      <c r="G2224" s="16"/>
    </row>
    <row r="2225" spans="2:7" x14ac:dyDescent="0.25">
      <c r="B2225" s="38"/>
      <c r="C2225" s="14"/>
      <c r="D2225" s="14"/>
      <c r="E2225" s="14"/>
      <c r="F2225" s="14"/>
      <c r="G2225" s="16"/>
    </row>
    <row r="2226" spans="2:7" x14ac:dyDescent="0.25">
      <c r="B2226" s="38"/>
      <c r="C2226" s="14"/>
      <c r="D2226" s="14"/>
      <c r="E2226" s="14"/>
      <c r="F2226" s="14"/>
      <c r="G2226" s="16"/>
    </row>
    <row r="2227" spans="2:7" x14ac:dyDescent="0.25">
      <c r="B2227" s="38"/>
      <c r="C2227" s="14"/>
      <c r="D2227" s="14"/>
      <c r="E2227" s="14"/>
      <c r="F2227" s="14"/>
      <c r="G2227" s="16"/>
    </row>
    <row r="2228" spans="2:7" x14ac:dyDescent="0.25">
      <c r="B2228" s="38"/>
      <c r="C2228" s="14"/>
      <c r="D2228" s="14"/>
      <c r="E2228" s="14"/>
      <c r="F2228" s="14"/>
      <c r="G2228" s="16"/>
    </row>
    <row r="2229" spans="2:7" x14ac:dyDescent="0.25">
      <c r="B2229" s="38"/>
      <c r="C2229" s="14"/>
      <c r="D2229" s="14"/>
      <c r="E2229" s="14"/>
      <c r="F2229" s="14"/>
      <c r="G2229" s="16"/>
    </row>
    <row r="2230" spans="2:7" x14ac:dyDescent="0.25">
      <c r="B2230" s="38"/>
      <c r="C2230" s="14"/>
      <c r="D2230" s="14"/>
      <c r="E2230" s="14"/>
      <c r="F2230" s="14"/>
      <c r="G2230" s="16"/>
    </row>
    <row r="2231" spans="2:7" x14ac:dyDescent="0.25">
      <c r="B2231" s="38"/>
      <c r="C2231" s="14"/>
      <c r="D2231" s="14"/>
      <c r="E2231" s="14"/>
      <c r="F2231" s="14"/>
      <c r="G2231" s="16"/>
    </row>
    <row r="2232" spans="2:7" x14ac:dyDescent="0.25">
      <c r="B2232" s="38"/>
      <c r="C2232" s="14"/>
      <c r="D2232" s="14"/>
      <c r="E2232" s="14"/>
      <c r="F2232" s="14"/>
      <c r="G2232" s="16"/>
    </row>
    <row r="2233" spans="2:7" x14ac:dyDescent="0.25">
      <c r="B2233" s="38"/>
      <c r="C2233" s="14"/>
      <c r="D2233" s="14"/>
      <c r="E2233" s="14"/>
      <c r="F2233" s="14"/>
      <c r="G2233" s="16"/>
    </row>
    <row r="2234" spans="2:7" x14ac:dyDescent="0.25">
      <c r="B2234" s="38"/>
      <c r="C2234" s="14"/>
      <c r="D2234" s="14"/>
      <c r="E2234" s="14"/>
      <c r="F2234" s="14"/>
      <c r="G2234" s="16"/>
    </row>
    <row r="2235" spans="2:7" x14ac:dyDescent="0.25">
      <c r="B2235" s="38"/>
      <c r="C2235" s="14"/>
      <c r="D2235" s="14"/>
      <c r="E2235" s="14"/>
      <c r="F2235" s="14"/>
      <c r="G2235" s="16"/>
    </row>
    <row r="2236" spans="2:7" x14ac:dyDescent="0.25">
      <c r="B2236" s="38"/>
      <c r="C2236" s="14"/>
      <c r="D2236" s="14"/>
      <c r="E2236" s="14"/>
      <c r="F2236" s="14"/>
      <c r="G2236" s="16"/>
    </row>
    <row r="2237" spans="2:7" x14ac:dyDescent="0.25">
      <c r="B2237" s="38"/>
      <c r="C2237" s="14"/>
      <c r="D2237" s="14"/>
      <c r="E2237" s="14"/>
      <c r="F2237" s="14"/>
      <c r="G2237" s="16"/>
    </row>
    <row r="2238" spans="2:7" x14ac:dyDescent="0.25">
      <c r="B2238" s="38"/>
      <c r="C2238" s="14"/>
      <c r="D2238" s="14"/>
      <c r="E2238" s="14"/>
      <c r="F2238" s="14"/>
      <c r="G2238" s="16"/>
    </row>
    <row r="2239" spans="2:7" x14ac:dyDescent="0.25">
      <c r="B2239" s="38"/>
      <c r="C2239" s="14"/>
      <c r="D2239" s="14"/>
      <c r="E2239" s="14"/>
      <c r="F2239" s="14"/>
      <c r="G2239" s="16"/>
    </row>
    <row r="2240" spans="2:7" x14ac:dyDescent="0.25">
      <c r="B2240" s="38"/>
      <c r="C2240" s="14"/>
      <c r="D2240" s="14"/>
      <c r="E2240" s="14"/>
      <c r="F2240" s="14"/>
      <c r="G2240" s="16"/>
    </row>
    <row r="2241" spans="2:7" x14ac:dyDescent="0.25">
      <c r="B2241" s="38"/>
      <c r="C2241" s="14"/>
      <c r="D2241" s="14"/>
      <c r="E2241" s="14"/>
      <c r="F2241" s="14"/>
      <c r="G2241" s="16"/>
    </row>
    <row r="2242" spans="2:7" x14ac:dyDescent="0.25">
      <c r="B2242" s="38"/>
      <c r="C2242" s="14"/>
      <c r="D2242" s="14"/>
      <c r="E2242" s="14"/>
      <c r="F2242" s="14"/>
      <c r="G2242" s="16"/>
    </row>
    <row r="2243" spans="2:7" x14ac:dyDescent="0.25">
      <c r="B2243" s="38"/>
      <c r="C2243" s="14"/>
      <c r="D2243" s="14"/>
      <c r="E2243" s="14"/>
      <c r="F2243" s="14"/>
      <c r="G2243" s="16"/>
    </row>
    <row r="2244" spans="2:7" x14ac:dyDescent="0.25">
      <c r="B2244" s="38"/>
      <c r="C2244" s="14"/>
      <c r="D2244" s="14"/>
      <c r="E2244" s="14"/>
      <c r="F2244" s="14"/>
      <c r="G2244" s="16"/>
    </row>
    <row r="2245" spans="2:7" x14ac:dyDescent="0.25">
      <c r="B2245" s="38"/>
      <c r="C2245" s="14"/>
      <c r="D2245" s="14"/>
      <c r="E2245" s="14"/>
      <c r="F2245" s="14"/>
      <c r="G2245" s="16"/>
    </row>
    <row r="2246" spans="2:7" x14ac:dyDescent="0.25">
      <c r="B2246" s="38"/>
      <c r="C2246" s="14"/>
      <c r="D2246" s="14"/>
      <c r="E2246" s="14"/>
      <c r="F2246" s="14"/>
      <c r="G2246" s="16"/>
    </row>
    <row r="2247" spans="2:7" x14ac:dyDescent="0.25">
      <c r="B2247" s="38"/>
      <c r="C2247" s="14"/>
      <c r="D2247" s="14"/>
      <c r="E2247" s="14"/>
      <c r="F2247" s="14"/>
      <c r="G2247" s="16"/>
    </row>
    <row r="2248" spans="2:7" x14ac:dyDescent="0.25">
      <c r="B2248" s="38"/>
      <c r="C2248" s="14"/>
      <c r="D2248" s="14"/>
      <c r="E2248" s="14"/>
      <c r="F2248" s="14"/>
      <c r="G2248" s="16"/>
    </row>
    <row r="2249" spans="2:7" x14ac:dyDescent="0.25">
      <c r="B2249" s="38"/>
      <c r="C2249" s="14"/>
      <c r="D2249" s="14"/>
      <c r="E2249" s="14"/>
      <c r="F2249" s="14"/>
      <c r="G2249" s="16"/>
    </row>
    <row r="2250" spans="2:7" x14ac:dyDescent="0.25">
      <c r="B2250" s="38"/>
      <c r="C2250" s="14"/>
      <c r="D2250" s="14"/>
      <c r="E2250" s="14"/>
      <c r="F2250" s="14"/>
      <c r="G2250" s="16"/>
    </row>
    <row r="2251" spans="2:7" x14ac:dyDescent="0.25">
      <c r="B2251" s="38"/>
      <c r="C2251" s="14"/>
      <c r="D2251" s="14"/>
      <c r="E2251" s="14"/>
      <c r="F2251" s="14"/>
      <c r="G2251" s="16"/>
    </row>
    <row r="2252" spans="2:7" x14ac:dyDescent="0.25">
      <c r="B2252" s="38"/>
      <c r="C2252" s="14"/>
      <c r="D2252" s="14"/>
      <c r="E2252" s="14"/>
      <c r="F2252" s="14"/>
      <c r="G2252" s="16"/>
    </row>
    <row r="2253" spans="2:7" x14ac:dyDescent="0.25">
      <c r="B2253" s="38"/>
      <c r="C2253" s="14"/>
      <c r="D2253" s="14"/>
      <c r="E2253" s="14"/>
      <c r="F2253" s="14"/>
      <c r="G2253" s="16"/>
    </row>
    <row r="2254" spans="2:7" x14ac:dyDescent="0.25">
      <c r="B2254" s="38"/>
      <c r="C2254" s="14"/>
      <c r="D2254" s="14"/>
      <c r="E2254" s="14"/>
      <c r="F2254" s="14"/>
      <c r="G2254" s="16"/>
    </row>
    <row r="2255" spans="2:7" x14ac:dyDescent="0.25">
      <c r="B2255" s="38"/>
      <c r="C2255" s="14"/>
      <c r="D2255" s="14"/>
      <c r="E2255" s="14"/>
      <c r="F2255" s="14"/>
      <c r="G2255" s="16"/>
    </row>
    <row r="2256" spans="2:7" x14ac:dyDescent="0.25">
      <c r="B2256" s="38"/>
      <c r="C2256" s="14"/>
      <c r="D2256" s="14"/>
      <c r="E2256" s="14"/>
      <c r="F2256" s="14"/>
      <c r="G2256" s="16"/>
    </row>
    <row r="2257" spans="2:7" x14ac:dyDescent="0.25">
      <c r="B2257" s="38"/>
      <c r="C2257" s="14"/>
      <c r="D2257" s="14"/>
      <c r="E2257" s="14"/>
      <c r="F2257" s="14"/>
      <c r="G2257" s="16"/>
    </row>
    <row r="2258" spans="2:7" x14ac:dyDescent="0.25">
      <c r="B2258" s="38"/>
      <c r="C2258" s="14"/>
      <c r="D2258" s="14"/>
      <c r="E2258" s="14"/>
      <c r="F2258" s="14"/>
      <c r="G2258" s="16"/>
    </row>
    <row r="2259" spans="2:7" x14ac:dyDescent="0.25">
      <c r="B2259" s="38"/>
      <c r="C2259" s="14"/>
      <c r="D2259" s="14"/>
      <c r="E2259" s="14"/>
      <c r="F2259" s="14"/>
      <c r="G2259" s="16"/>
    </row>
    <row r="2260" spans="2:7" x14ac:dyDescent="0.25">
      <c r="B2260" s="38"/>
      <c r="C2260" s="14"/>
      <c r="D2260" s="14"/>
      <c r="E2260" s="14"/>
      <c r="F2260" s="14"/>
      <c r="G2260" s="16"/>
    </row>
    <row r="2261" spans="2:7" x14ac:dyDescent="0.25">
      <c r="B2261" s="38"/>
      <c r="C2261" s="14"/>
      <c r="D2261" s="14"/>
      <c r="E2261" s="14"/>
      <c r="F2261" s="14"/>
      <c r="G2261" s="16"/>
    </row>
    <row r="2262" spans="2:7" x14ac:dyDescent="0.25">
      <c r="B2262" s="38"/>
      <c r="C2262" s="14"/>
      <c r="D2262" s="14"/>
      <c r="E2262" s="14"/>
      <c r="F2262" s="14"/>
      <c r="G2262" s="16"/>
    </row>
    <row r="2263" spans="2:7" x14ac:dyDescent="0.25">
      <c r="B2263" s="38"/>
      <c r="C2263" s="14"/>
      <c r="D2263" s="14"/>
      <c r="E2263" s="14"/>
      <c r="F2263" s="14"/>
      <c r="G2263" s="16"/>
    </row>
    <row r="2264" spans="2:7" x14ac:dyDescent="0.25">
      <c r="B2264" s="38"/>
      <c r="C2264" s="14"/>
      <c r="D2264" s="14"/>
      <c r="E2264" s="14"/>
      <c r="F2264" s="14"/>
      <c r="G2264" s="16"/>
    </row>
    <row r="2265" spans="2:7" x14ac:dyDescent="0.25">
      <c r="B2265" s="38"/>
      <c r="C2265" s="14"/>
      <c r="D2265" s="14"/>
      <c r="E2265" s="14"/>
      <c r="F2265" s="14"/>
      <c r="G2265" s="16"/>
    </row>
    <row r="2266" spans="2:7" x14ac:dyDescent="0.25">
      <c r="B2266" s="38"/>
      <c r="C2266" s="14"/>
      <c r="D2266" s="14"/>
      <c r="E2266" s="14"/>
      <c r="F2266" s="14"/>
      <c r="G2266" s="16"/>
    </row>
    <row r="2267" spans="2:7" x14ac:dyDescent="0.25">
      <c r="B2267" s="38"/>
      <c r="C2267" s="14"/>
      <c r="D2267" s="14"/>
      <c r="E2267" s="14"/>
      <c r="F2267" s="14"/>
      <c r="G2267" s="16"/>
    </row>
    <row r="2268" spans="2:7" x14ac:dyDescent="0.25">
      <c r="B2268" s="38"/>
      <c r="C2268" s="14"/>
      <c r="D2268" s="14"/>
      <c r="E2268" s="14"/>
      <c r="F2268" s="14"/>
      <c r="G2268" s="16"/>
    </row>
    <row r="2269" spans="2:7" x14ac:dyDescent="0.25">
      <c r="B2269" s="38"/>
      <c r="C2269" s="14"/>
      <c r="D2269" s="14"/>
      <c r="E2269" s="14"/>
      <c r="F2269" s="14"/>
      <c r="G2269" s="16"/>
    </row>
    <row r="2270" spans="2:7" x14ac:dyDescent="0.25">
      <c r="B2270" s="38"/>
      <c r="C2270" s="14"/>
      <c r="D2270" s="14"/>
      <c r="E2270" s="14"/>
      <c r="F2270" s="14"/>
      <c r="G2270" s="16"/>
    </row>
    <row r="2271" spans="2:7" x14ac:dyDescent="0.25">
      <c r="B2271" s="38"/>
      <c r="C2271" s="14"/>
      <c r="D2271" s="14"/>
      <c r="E2271" s="14"/>
      <c r="F2271" s="14"/>
      <c r="G2271" s="16"/>
    </row>
    <row r="2272" spans="2:7" x14ac:dyDescent="0.25">
      <c r="B2272" s="38"/>
      <c r="C2272" s="14"/>
      <c r="D2272" s="14"/>
      <c r="E2272" s="14"/>
      <c r="F2272" s="14"/>
      <c r="G2272" s="16"/>
    </row>
    <row r="2273" spans="2:7" x14ac:dyDescent="0.25">
      <c r="B2273" s="38"/>
      <c r="C2273" s="14"/>
      <c r="D2273" s="14"/>
      <c r="E2273" s="14"/>
      <c r="F2273" s="14"/>
      <c r="G2273" s="16"/>
    </row>
    <row r="2274" spans="2:7" x14ac:dyDescent="0.25">
      <c r="B2274" s="38"/>
      <c r="C2274" s="14"/>
      <c r="D2274" s="14"/>
      <c r="E2274" s="14"/>
      <c r="F2274" s="14"/>
      <c r="G2274" s="16"/>
    </row>
    <row r="2275" spans="2:7" x14ac:dyDescent="0.25">
      <c r="B2275" s="38"/>
      <c r="C2275" s="14"/>
      <c r="D2275" s="14"/>
      <c r="E2275" s="14"/>
      <c r="F2275" s="14"/>
      <c r="G2275" s="16"/>
    </row>
    <row r="2276" spans="2:7" x14ac:dyDescent="0.25">
      <c r="B2276" s="38"/>
      <c r="C2276" s="14"/>
      <c r="D2276" s="14"/>
      <c r="E2276" s="14"/>
      <c r="F2276" s="14"/>
      <c r="G2276" s="16"/>
    </row>
    <row r="2277" spans="2:7" x14ac:dyDescent="0.25">
      <c r="B2277" s="38"/>
      <c r="C2277" s="14"/>
      <c r="D2277" s="14"/>
      <c r="E2277" s="14"/>
      <c r="F2277" s="14"/>
      <c r="G2277" s="16"/>
    </row>
    <row r="2278" spans="2:7" x14ac:dyDescent="0.25">
      <c r="B2278" s="38"/>
      <c r="C2278" s="14"/>
      <c r="D2278" s="14"/>
      <c r="E2278" s="14"/>
      <c r="F2278" s="14"/>
      <c r="G2278" s="16"/>
    </row>
    <row r="2279" spans="2:7" x14ac:dyDescent="0.25">
      <c r="B2279" s="38"/>
      <c r="C2279" s="14"/>
      <c r="D2279" s="14"/>
      <c r="E2279" s="14"/>
      <c r="F2279" s="14"/>
      <c r="G2279" s="16"/>
    </row>
    <row r="2280" spans="2:7" x14ac:dyDescent="0.25">
      <c r="B2280" s="38"/>
      <c r="C2280" s="14"/>
      <c r="D2280" s="14"/>
      <c r="E2280" s="14"/>
      <c r="F2280" s="14"/>
      <c r="G2280" s="16"/>
    </row>
    <row r="2281" spans="2:7" x14ac:dyDescent="0.25">
      <c r="B2281" s="38"/>
      <c r="C2281" s="14"/>
      <c r="D2281" s="14"/>
      <c r="E2281" s="14"/>
      <c r="F2281" s="14"/>
      <c r="G2281" s="16"/>
    </row>
    <row r="2282" spans="2:7" x14ac:dyDescent="0.25">
      <c r="B2282" s="38"/>
      <c r="C2282" s="14"/>
      <c r="D2282" s="14"/>
      <c r="E2282" s="14"/>
      <c r="F2282" s="14"/>
      <c r="G2282" s="16"/>
    </row>
    <row r="2283" spans="2:7" x14ac:dyDescent="0.25">
      <c r="B2283" s="38"/>
      <c r="C2283" s="14"/>
      <c r="D2283" s="14"/>
      <c r="E2283" s="14"/>
      <c r="F2283" s="14"/>
      <c r="G2283" s="16"/>
    </row>
    <row r="2284" spans="2:7" x14ac:dyDescent="0.25">
      <c r="B2284" s="38"/>
      <c r="C2284" s="14"/>
      <c r="D2284" s="14"/>
      <c r="E2284" s="14"/>
      <c r="F2284" s="14"/>
      <c r="G2284" s="16"/>
    </row>
    <row r="2285" spans="2:7" x14ac:dyDescent="0.25">
      <c r="B2285" s="38"/>
      <c r="C2285" s="14"/>
      <c r="D2285" s="14"/>
      <c r="E2285" s="14"/>
      <c r="F2285" s="14"/>
      <c r="G2285" s="16"/>
    </row>
    <row r="2286" spans="2:7" x14ac:dyDescent="0.25">
      <c r="B2286" s="38"/>
      <c r="C2286" s="14"/>
      <c r="D2286" s="14"/>
      <c r="E2286" s="14"/>
      <c r="F2286" s="14"/>
      <c r="G2286" s="16"/>
    </row>
    <row r="2287" spans="2:7" x14ac:dyDescent="0.25">
      <c r="B2287" s="38"/>
      <c r="C2287" s="14"/>
      <c r="D2287" s="14"/>
      <c r="E2287" s="14"/>
      <c r="F2287" s="14"/>
      <c r="G2287" s="16"/>
    </row>
    <row r="2288" spans="2:7" x14ac:dyDescent="0.25">
      <c r="B2288" s="38"/>
      <c r="C2288" s="14"/>
      <c r="D2288" s="14"/>
      <c r="E2288" s="14"/>
      <c r="F2288" s="14"/>
      <c r="G2288" s="16"/>
    </row>
    <row r="2289" spans="2:7" x14ac:dyDescent="0.25">
      <c r="B2289" s="38"/>
      <c r="C2289" s="14"/>
      <c r="D2289" s="14"/>
      <c r="E2289" s="14"/>
      <c r="F2289" s="14"/>
      <c r="G2289" s="16"/>
    </row>
    <row r="2290" spans="2:7" x14ac:dyDescent="0.25">
      <c r="B2290" s="38"/>
      <c r="C2290" s="14"/>
      <c r="D2290" s="14"/>
      <c r="E2290" s="14"/>
      <c r="F2290" s="14"/>
      <c r="G2290" s="16"/>
    </row>
    <row r="2291" spans="2:7" x14ac:dyDescent="0.25">
      <c r="B2291" s="38"/>
      <c r="C2291" s="14"/>
      <c r="D2291" s="14"/>
      <c r="E2291" s="14"/>
      <c r="F2291" s="14"/>
      <c r="G2291" s="16"/>
    </row>
    <row r="2292" spans="2:7" x14ac:dyDescent="0.25">
      <c r="B2292" s="38"/>
      <c r="C2292" s="14"/>
      <c r="D2292" s="14"/>
      <c r="E2292" s="14"/>
      <c r="F2292" s="14"/>
      <c r="G2292" s="16"/>
    </row>
    <row r="2293" spans="2:7" x14ac:dyDescent="0.25">
      <c r="B2293" s="38"/>
      <c r="C2293" s="14"/>
      <c r="D2293" s="14"/>
      <c r="E2293" s="14"/>
      <c r="F2293" s="14"/>
      <c r="G2293" s="16"/>
    </row>
    <row r="2294" spans="2:7" x14ac:dyDescent="0.25">
      <c r="B2294" s="38"/>
      <c r="C2294" s="14"/>
      <c r="D2294" s="14"/>
      <c r="E2294" s="14"/>
      <c r="F2294" s="14"/>
      <c r="G2294" s="16"/>
    </row>
    <row r="2295" spans="2:7" x14ac:dyDescent="0.25">
      <c r="B2295" s="38"/>
      <c r="C2295" s="14"/>
      <c r="D2295" s="14"/>
      <c r="E2295" s="14"/>
      <c r="F2295" s="14"/>
      <c r="G2295" s="16"/>
    </row>
    <row r="2296" spans="2:7" x14ac:dyDescent="0.25">
      <c r="B2296" s="38"/>
      <c r="C2296" s="14"/>
      <c r="D2296" s="14"/>
      <c r="E2296" s="14"/>
      <c r="F2296" s="14"/>
      <c r="G2296" s="16"/>
    </row>
    <row r="2297" spans="2:7" x14ac:dyDescent="0.25">
      <c r="B2297" s="38"/>
      <c r="C2297" s="14"/>
      <c r="D2297" s="14"/>
      <c r="E2297" s="14"/>
      <c r="F2297" s="14"/>
      <c r="G2297" s="16"/>
    </row>
    <row r="2298" spans="2:7" x14ac:dyDescent="0.25">
      <c r="B2298" s="38"/>
      <c r="C2298" s="14"/>
      <c r="D2298" s="14"/>
      <c r="E2298" s="14"/>
      <c r="F2298" s="14"/>
      <c r="G2298" s="16"/>
    </row>
    <row r="2299" spans="2:7" x14ac:dyDescent="0.25">
      <c r="B2299" s="38"/>
      <c r="C2299" s="14"/>
      <c r="D2299" s="14"/>
      <c r="E2299" s="14"/>
      <c r="F2299" s="14"/>
      <c r="G2299" s="16"/>
    </row>
    <row r="2300" spans="2:7" x14ac:dyDescent="0.25">
      <c r="B2300" s="38"/>
      <c r="C2300" s="14"/>
      <c r="D2300" s="14"/>
      <c r="E2300" s="14"/>
      <c r="F2300" s="14"/>
      <c r="G2300" s="16"/>
    </row>
    <row r="2301" spans="2:7" x14ac:dyDescent="0.25">
      <c r="B2301" s="38"/>
      <c r="C2301" s="14"/>
      <c r="D2301" s="14"/>
      <c r="E2301" s="14"/>
      <c r="F2301" s="14"/>
      <c r="G2301" s="16"/>
    </row>
    <row r="2302" spans="2:7" x14ac:dyDescent="0.25">
      <c r="B2302" s="38"/>
      <c r="C2302" s="14"/>
      <c r="D2302" s="14"/>
      <c r="E2302" s="14"/>
      <c r="F2302" s="14"/>
      <c r="G2302" s="16"/>
    </row>
    <row r="2303" spans="2:7" x14ac:dyDescent="0.25">
      <c r="B2303" s="38"/>
      <c r="C2303" s="14"/>
      <c r="D2303" s="14"/>
      <c r="E2303" s="14"/>
      <c r="F2303" s="14"/>
      <c r="G2303" s="16"/>
    </row>
    <row r="2304" spans="2:7" x14ac:dyDescent="0.25">
      <c r="B2304" s="38"/>
      <c r="C2304" s="14"/>
      <c r="D2304" s="14"/>
      <c r="E2304" s="14"/>
      <c r="F2304" s="14"/>
      <c r="G2304" s="16"/>
    </row>
    <row r="2305" spans="2:7" x14ac:dyDescent="0.25">
      <c r="B2305" s="38"/>
      <c r="C2305" s="14"/>
      <c r="D2305" s="14"/>
      <c r="E2305" s="14"/>
      <c r="F2305" s="14"/>
      <c r="G2305" s="16"/>
    </row>
    <row r="2306" spans="2:7" x14ac:dyDescent="0.25">
      <c r="B2306" s="38"/>
      <c r="C2306" s="14"/>
      <c r="D2306" s="14"/>
      <c r="E2306" s="14"/>
      <c r="F2306" s="14"/>
      <c r="G2306" s="16"/>
    </row>
    <row r="2307" spans="2:7" x14ac:dyDescent="0.25">
      <c r="B2307" s="38"/>
      <c r="C2307" s="14"/>
      <c r="D2307" s="14"/>
      <c r="E2307" s="14"/>
      <c r="F2307" s="14"/>
      <c r="G2307" s="16"/>
    </row>
    <row r="2308" spans="2:7" x14ac:dyDescent="0.25">
      <c r="B2308" s="38"/>
      <c r="C2308" s="14"/>
      <c r="D2308" s="14"/>
      <c r="E2308" s="14"/>
      <c r="F2308" s="14"/>
      <c r="G2308" s="16"/>
    </row>
    <row r="2309" spans="2:7" x14ac:dyDescent="0.25">
      <c r="B2309" s="38"/>
      <c r="C2309" s="14"/>
      <c r="D2309" s="14"/>
      <c r="E2309" s="14"/>
      <c r="F2309" s="14"/>
      <c r="G2309" s="16"/>
    </row>
    <row r="2310" spans="2:7" x14ac:dyDescent="0.25">
      <c r="B2310" s="38"/>
      <c r="C2310" s="14"/>
      <c r="D2310" s="14"/>
      <c r="E2310" s="14"/>
      <c r="F2310" s="14"/>
      <c r="G2310" s="16"/>
    </row>
    <row r="2311" spans="2:7" x14ac:dyDescent="0.25">
      <c r="B2311" s="38"/>
      <c r="C2311" s="14"/>
      <c r="D2311" s="14"/>
      <c r="E2311" s="14"/>
      <c r="F2311" s="14"/>
      <c r="G2311" s="16"/>
    </row>
    <row r="2312" spans="2:7" x14ac:dyDescent="0.25">
      <c r="B2312" s="38"/>
      <c r="C2312" s="14"/>
      <c r="D2312" s="14"/>
      <c r="E2312" s="14"/>
      <c r="F2312" s="14"/>
      <c r="G2312" s="16"/>
    </row>
    <row r="2313" spans="2:7" x14ac:dyDescent="0.25">
      <c r="B2313" s="38"/>
      <c r="C2313" s="14"/>
      <c r="D2313" s="14"/>
      <c r="E2313" s="14"/>
      <c r="F2313" s="14"/>
      <c r="G2313" s="16"/>
    </row>
    <row r="2314" spans="2:7" x14ac:dyDescent="0.25">
      <c r="B2314" s="38"/>
      <c r="C2314" s="14"/>
      <c r="D2314" s="14"/>
      <c r="E2314" s="14"/>
      <c r="F2314" s="14"/>
      <c r="G2314" s="16"/>
    </row>
    <row r="2315" spans="2:7" x14ac:dyDescent="0.25">
      <c r="B2315" s="38"/>
      <c r="C2315" s="14"/>
      <c r="D2315" s="14"/>
      <c r="E2315" s="14"/>
      <c r="F2315" s="14"/>
      <c r="G2315" s="16"/>
    </row>
    <row r="2316" spans="2:7" x14ac:dyDescent="0.25">
      <c r="B2316" s="38"/>
      <c r="C2316" s="14"/>
      <c r="D2316" s="14"/>
      <c r="E2316" s="14"/>
      <c r="F2316" s="14"/>
      <c r="G2316" s="16"/>
    </row>
    <row r="2317" spans="2:7" x14ac:dyDescent="0.25">
      <c r="B2317" s="38"/>
      <c r="C2317" s="14"/>
      <c r="D2317" s="14"/>
      <c r="E2317" s="14"/>
      <c r="F2317" s="14"/>
      <c r="G2317" s="16"/>
    </row>
    <row r="2318" spans="2:7" x14ac:dyDescent="0.25">
      <c r="B2318" s="38"/>
      <c r="C2318" s="14"/>
      <c r="D2318" s="14"/>
      <c r="E2318" s="14"/>
      <c r="F2318" s="14"/>
      <c r="G2318" s="16"/>
    </row>
    <row r="2319" spans="2:7" x14ac:dyDescent="0.25">
      <c r="B2319" s="38"/>
      <c r="C2319" s="14"/>
      <c r="D2319" s="14"/>
      <c r="E2319" s="14"/>
      <c r="F2319" s="14"/>
      <c r="G2319" s="16"/>
    </row>
    <row r="2320" spans="2:7" x14ac:dyDescent="0.25">
      <c r="B2320" s="38"/>
      <c r="C2320" s="14"/>
      <c r="D2320" s="14"/>
      <c r="E2320" s="14"/>
      <c r="F2320" s="14"/>
      <c r="G2320" s="16"/>
    </row>
    <row r="2321" spans="2:7" x14ac:dyDescent="0.25">
      <c r="B2321" s="38"/>
      <c r="C2321" s="14"/>
      <c r="D2321" s="14"/>
      <c r="E2321" s="14"/>
      <c r="F2321" s="14"/>
      <c r="G2321" s="16"/>
    </row>
    <row r="2322" spans="2:7" x14ac:dyDescent="0.25">
      <c r="B2322" s="38"/>
      <c r="C2322" s="14"/>
      <c r="D2322" s="14"/>
      <c r="E2322" s="14"/>
      <c r="F2322" s="14"/>
      <c r="G2322" s="16"/>
    </row>
    <row r="2323" spans="2:7" x14ac:dyDescent="0.25">
      <c r="B2323" s="38"/>
      <c r="C2323" s="14"/>
      <c r="D2323" s="14"/>
      <c r="E2323" s="14"/>
      <c r="F2323" s="14"/>
      <c r="G2323" s="16"/>
    </row>
    <row r="2324" spans="2:7" x14ac:dyDescent="0.25">
      <c r="B2324" s="38"/>
      <c r="C2324" s="14"/>
      <c r="D2324" s="14"/>
      <c r="E2324" s="14"/>
      <c r="F2324" s="14"/>
      <c r="G2324" s="16"/>
    </row>
    <row r="2325" spans="2:7" x14ac:dyDescent="0.25">
      <c r="B2325" s="38"/>
      <c r="C2325" s="14"/>
      <c r="D2325" s="14"/>
      <c r="E2325" s="14"/>
      <c r="F2325" s="14"/>
      <c r="G2325" s="16"/>
    </row>
    <row r="2326" spans="2:7" x14ac:dyDescent="0.25">
      <c r="B2326" s="38"/>
      <c r="C2326" s="14"/>
      <c r="D2326" s="14"/>
      <c r="E2326" s="14"/>
      <c r="F2326" s="14"/>
      <c r="G2326" s="16"/>
    </row>
    <row r="2327" spans="2:7" x14ac:dyDescent="0.25">
      <c r="B2327" s="38"/>
      <c r="C2327" s="14"/>
      <c r="D2327" s="14"/>
      <c r="E2327" s="14"/>
      <c r="F2327" s="14"/>
      <c r="G2327" s="16"/>
    </row>
    <row r="2328" spans="2:7" x14ac:dyDescent="0.25">
      <c r="B2328" s="38"/>
      <c r="C2328" s="14"/>
      <c r="D2328" s="14"/>
      <c r="E2328" s="14"/>
      <c r="F2328" s="14"/>
      <c r="G2328" s="16"/>
    </row>
    <row r="2329" spans="2:7" x14ac:dyDescent="0.25">
      <c r="B2329" s="38"/>
      <c r="C2329" s="14"/>
      <c r="D2329" s="14"/>
      <c r="E2329" s="14"/>
      <c r="F2329" s="14"/>
      <c r="G2329" s="16"/>
    </row>
    <row r="2330" spans="2:7" x14ac:dyDescent="0.25">
      <c r="B2330" s="38"/>
      <c r="C2330" s="14"/>
      <c r="D2330" s="14"/>
      <c r="E2330" s="14"/>
      <c r="F2330" s="14"/>
      <c r="G2330" s="16"/>
    </row>
    <row r="2331" spans="2:7" x14ac:dyDescent="0.25">
      <c r="B2331" s="38"/>
      <c r="C2331" s="14"/>
      <c r="D2331" s="14"/>
      <c r="E2331" s="14"/>
      <c r="F2331" s="14"/>
      <c r="G2331" s="16"/>
    </row>
    <row r="2332" spans="2:7" x14ac:dyDescent="0.25">
      <c r="B2332" s="38"/>
      <c r="C2332" s="14"/>
      <c r="D2332" s="14"/>
      <c r="E2332" s="14"/>
      <c r="F2332" s="14"/>
      <c r="G2332" s="16"/>
    </row>
    <row r="2333" spans="2:7" x14ac:dyDescent="0.25">
      <c r="B2333" s="38"/>
      <c r="C2333" s="14"/>
      <c r="D2333" s="14"/>
      <c r="E2333" s="14"/>
      <c r="F2333" s="14"/>
      <c r="G2333" s="16"/>
    </row>
    <row r="2334" spans="2:7" x14ac:dyDescent="0.25">
      <c r="B2334" s="38"/>
      <c r="C2334" s="14"/>
      <c r="D2334" s="14"/>
      <c r="E2334" s="14"/>
      <c r="F2334" s="14"/>
      <c r="G2334" s="16"/>
    </row>
    <row r="2335" spans="2:7" x14ac:dyDescent="0.25">
      <c r="B2335" s="38"/>
      <c r="C2335" s="14"/>
      <c r="D2335" s="14"/>
      <c r="E2335" s="14"/>
      <c r="F2335" s="14"/>
      <c r="G2335" s="16"/>
    </row>
    <row r="2336" spans="2:7" x14ac:dyDescent="0.25">
      <c r="B2336" s="38"/>
      <c r="C2336" s="14"/>
      <c r="D2336" s="14"/>
      <c r="E2336" s="14"/>
      <c r="F2336" s="14"/>
      <c r="G2336" s="16"/>
    </row>
    <row r="2337" spans="2:7" x14ac:dyDescent="0.25">
      <c r="B2337" s="38"/>
      <c r="C2337" s="14"/>
      <c r="D2337" s="14"/>
      <c r="E2337" s="14"/>
      <c r="F2337" s="14"/>
      <c r="G2337" s="16"/>
    </row>
    <row r="2338" spans="2:7" x14ac:dyDescent="0.25">
      <c r="B2338" s="38"/>
      <c r="C2338" s="14"/>
      <c r="D2338" s="14"/>
      <c r="E2338" s="14"/>
      <c r="F2338" s="14"/>
      <c r="G2338" s="16"/>
    </row>
    <row r="2339" spans="2:7" x14ac:dyDescent="0.25">
      <c r="B2339" s="38"/>
      <c r="C2339" s="14"/>
      <c r="D2339" s="14"/>
      <c r="E2339" s="14"/>
      <c r="F2339" s="14"/>
      <c r="G2339" s="16"/>
    </row>
    <row r="2340" spans="2:7" x14ac:dyDescent="0.25">
      <c r="B2340" s="38"/>
      <c r="C2340" s="14"/>
      <c r="D2340" s="14"/>
      <c r="E2340" s="14"/>
      <c r="F2340" s="14"/>
      <c r="G2340" s="16"/>
    </row>
    <row r="2341" spans="2:7" x14ac:dyDescent="0.25">
      <c r="B2341" s="38"/>
      <c r="C2341" s="14"/>
      <c r="D2341" s="14"/>
      <c r="E2341" s="14"/>
      <c r="F2341" s="14"/>
      <c r="G2341" s="16"/>
    </row>
    <row r="2342" spans="2:7" x14ac:dyDescent="0.25">
      <c r="B2342" s="38"/>
      <c r="C2342" s="14"/>
      <c r="D2342" s="14"/>
      <c r="E2342" s="14"/>
      <c r="F2342" s="14"/>
      <c r="G2342" s="16"/>
    </row>
    <row r="2343" spans="2:7" x14ac:dyDescent="0.25">
      <c r="B2343" s="38"/>
      <c r="C2343" s="14"/>
      <c r="D2343" s="14"/>
      <c r="E2343" s="14"/>
      <c r="F2343" s="14"/>
      <c r="G2343" s="16"/>
    </row>
    <row r="2344" spans="2:7" x14ac:dyDescent="0.25">
      <c r="B2344" s="38"/>
      <c r="C2344" s="14"/>
      <c r="D2344" s="14"/>
      <c r="E2344" s="14"/>
      <c r="F2344" s="14"/>
      <c r="G2344" s="16"/>
    </row>
    <row r="2345" spans="2:7" x14ac:dyDescent="0.25">
      <c r="B2345" s="38"/>
      <c r="C2345" s="14"/>
      <c r="D2345" s="14"/>
      <c r="E2345" s="14"/>
      <c r="F2345" s="14"/>
      <c r="G2345" s="16"/>
    </row>
    <row r="2346" spans="2:7" x14ac:dyDescent="0.25">
      <c r="B2346" s="38"/>
      <c r="C2346" s="14"/>
      <c r="D2346" s="14"/>
      <c r="E2346" s="14"/>
      <c r="F2346" s="14"/>
      <c r="G2346" s="16"/>
    </row>
    <row r="2347" spans="2:7" x14ac:dyDescent="0.25">
      <c r="B2347" s="38"/>
      <c r="C2347" s="14"/>
      <c r="D2347" s="14"/>
      <c r="E2347" s="14"/>
      <c r="F2347" s="14"/>
      <c r="G2347" s="16"/>
    </row>
    <row r="2348" spans="2:7" x14ac:dyDescent="0.25">
      <c r="B2348" s="38"/>
      <c r="C2348" s="14"/>
      <c r="D2348" s="14"/>
      <c r="E2348" s="14"/>
      <c r="F2348" s="14"/>
      <c r="G2348" s="16"/>
    </row>
    <row r="2349" spans="2:7" x14ac:dyDescent="0.25">
      <c r="B2349" s="38"/>
      <c r="C2349" s="14"/>
      <c r="D2349" s="14"/>
      <c r="E2349" s="14"/>
      <c r="F2349" s="14"/>
      <c r="G2349" s="16"/>
    </row>
    <row r="2350" spans="2:7" x14ac:dyDescent="0.25">
      <c r="B2350" s="38"/>
      <c r="C2350" s="14"/>
      <c r="D2350" s="14"/>
      <c r="E2350" s="14"/>
      <c r="F2350" s="14"/>
      <c r="G2350" s="16"/>
    </row>
    <row r="2351" spans="2:7" x14ac:dyDescent="0.25">
      <c r="B2351" s="38"/>
      <c r="C2351" s="14"/>
      <c r="D2351" s="14"/>
      <c r="E2351" s="14"/>
      <c r="F2351" s="14"/>
      <c r="G2351" s="16"/>
    </row>
    <row r="2352" spans="2:7" x14ac:dyDescent="0.25">
      <c r="B2352" s="38"/>
      <c r="C2352" s="14"/>
      <c r="D2352" s="14"/>
      <c r="E2352" s="14"/>
      <c r="F2352" s="14"/>
      <c r="G2352" s="16"/>
    </row>
    <row r="2353" spans="2:7" x14ac:dyDescent="0.25">
      <c r="B2353" s="38"/>
      <c r="C2353" s="14"/>
      <c r="D2353" s="14"/>
      <c r="E2353" s="14"/>
      <c r="F2353" s="14"/>
      <c r="G2353" s="16"/>
    </row>
    <row r="2354" spans="2:7" x14ac:dyDescent="0.25">
      <c r="B2354" s="38"/>
      <c r="C2354" s="14"/>
      <c r="D2354" s="14"/>
      <c r="E2354" s="14"/>
      <c r="F2354" s="14"/>
      <c r="G2354" s="16"/>
    </row>
    <row r="2355" spans="2:7" x14ac:dyDescent="0.25">
      <c r="B2355" s="38"/>
      <c r="C2355" s="14"/>
      <c r="D2355" s="14"/>
      <c r="E2355" s="14"/>
      <c r="F2355" s="14"/>
      <c r="G2355" s="16"/>
    </row>
    <row r="2356" spans="2:7" x14ac:dyDescent="0.25">
      <c r="B2356" s="38"/>
      <c r="C2356" s="14"/>
      <c r="D2356" s="14"/>
      <c r="E2356" s="14"/>
      <c r="F2356" s="14"/>
      <c r="G2356" s="16"/>
    </row>
    <row r="2357" spans="2:7" x14ac:dyDescent="0.25">
      <c r="B2357" s="38"/>
      <c r="C2357" s="14"/>
      <c r="D2357" s="14"/>
      <c r="E2357" s="14"/>
      <c r="F2357" s="14"/>
      <c r="G2357" s="16"/>
    </row>
    <row r="2358" spans="2:7" x14ac:dyDescent="0.25">
      <c r="B2358" s="38"/>
      <c r="C2358" s="14"/>
      <c r="D2358" s="14"/>
      <c r="E2358" s="14"/>
      <c r="F2358" s="14"/>
      <c r="G2358" s="16"/>
    </row>
    <row r="2359" spans="2:7" x14ac:dyDescent="0.25">
      <c r="B2359" s="38"/>
      <c r="C2359" s="14"/>
      <c r="D2359" s="14"/>
      <c r="E2359" s="14"/>
      <c r="F2359" s="14"/>
      <c r="G2359" s="16"/>
    </row>
    <row r="2360" spans="2:7" x14ac:dyDescent="0.25">
      <c r="B2360" s="38"/>
      <c r="C2360" s="14"/>
      <c r="D2360" s="14"/>
      <c r="E2360" s="14"/>
      <c r="F2360" s="14"/>
      <c r="G2360" s="16"/>
    </row>
    <row r="2361" spans="2:7" x14ac:dyDescent="0.25">
      <c r="B2361" s="38"/>
      <c r="C2361" s="14"/>
      <c r="D2361" s="14"/>
      <c r="E2361" s="14"/>
      <c r="F2361" s="14"/>
      <c r="G2361" s="16"/>
    </row>
    <row r="2362" spans="2:7" x14ac:dyDescent="0.25">
      <c r="B2362" s="38"/>
      <c r="C2362" s="14"/>
      <c r="D2362" s="14"/>
      <c r="E2362" s="14"/>
      <c r="F2362" s="14"/>
      <c r="G2362" s="16"/>
    </row>
    <row r="2363" spans="2:7" x14ac:dyDescent="0.25">
      <c r="B2363" s="38"/>
      <c r="C2363" s="14"/>
      <c r="D2363" s="14"/>
      <c r="E2363" s="14"/>
      <c r="F2363" s="14"/>
      <c r="G2363" s="16"/>
    </row>
    <row r="2364" spans="2:7" x14ac:dyDescent="0.25">
      <c r="B2364" s="38"/>
      <c r="C2364" s="14"/>
      <c r="D2364" s="14"/>
      <c r="E2364" s="14"/>
      <c r="F2364" s="14"/>
      <c r="G2364" s="16"/>
    </row>
    <row r="2365" spans="2:7" x14ac:dyDescent="0.25">
      <c r="B2365" s="38"/>
      <c r="C2365" s="14"/>
      <c r="D2365" s="14"/>
      <c r="E2365" s="14"/>
      <c r="F2365" s="14"/>
      <c r="G2365" s="16"/>
    </row>
    <row r="2366" spans="2:7" x14ac:dyDescent="0.25">
      <c r="B2366" s="38"/>
      <c r="C2366" s="14"/>
      <c r="D2366" s="14"/>
      <c r="E2366" s="14"/>
      <c r="F2366" s="14"/>
      <c r="G2366" s="16"/>
    </row>
    <row r="2367" spans="2:7" x14ac:dyDescent="0.25">
      <c r="B2367" s="38"/>
      <c r="C2367" s="14"/>
      <c r="D2367" s="14"/>
      <c r="E2367" s="14"/>
      <c r="F2367" s="14"/>
      <c r="G2367" s="16"/>
    </row>
    <row r="2368" spans="2:7" x14ac:dyDescent="0.25">
      <c r="B2368" s="38"/>
      <c r="C2368" s="14"/>
      <c r="D2368" s="14"/>
      <c r="E2368" s="14"/>
      <c r="F2368" s="14"/>
      <c r="G2368" s="16"/>
    </row>
    <row r="2369" spans="2:7" x14ac:dyDescent="0.25">
      <c r="B2369" s="38"/>
      <c r="C2369" s="14"/>
      <c r="D2369" s="14"/>
      <c r="E2369" s="14"/>
      <c r="F2369" s="14"/>
      <c r="G2369" s="16"/>
    </row>
    <row r="2370" spans="2:7" x14ac:dyDescent="0.25">
      <c r="B2370" s="38"/>
      <c r="C2370" s="14"/>
      <c r="D2370" s="14"/>
      <c r="E2370" s="14"/>
      <c r="F2370" s="14"/>
      <c r="G2370" s="16"/>
    </row>
    <row r="2371" spans="2:7" x14ac:dyDescent="0.25">
      <c r="B2371" s="38"/>
      <c r="C2371" s="14"/>
      <c r="D2371" s="14"/>
      <c r="E2371" s="14"/>
      <c r="F2371" s="14"/>
      <c r="G2371" s="16"/>
    </row>
    <row r="2372" spans="2:7" x14ac:dyDescent="0.25">
      <c r="B2372" s="38"/>
      <c r="C2372" s="14"/>
      <c r="D2372" s="14"/>
      <c r="E2372" s="14"/>
      <c r="F2372" s="14"/>
      <c r="G2372" s="16"/>
    </row>
    <row r="2373" spans="2:7" x14ac:dyDescent="0.25">
      <c r="B2373" s="38"/>
      <c r="C2373" s="14"/>
      <c r="D2373" s="14"/>
      <c r="E2373" s="14"/>
      <c r="F2373" s="14"/>
      <c r="G2373" s="16"/>
    </row>
    <row r="2374" spans="2:7" x14ac:dyDescent="0.25">
      <c r="B2374" s="38"/>
      <c r="C2374" s="14"/>
      <c r="D2374" s="14"/>
      <c r="E2374" s="14"/>
      <c r="F2374" s="14"/>
      <c r="G2374" s="16"/>
    </row>
    <row r="2375" spans="2:7" x14ac:dyDescent="0.25">
      <c r="B2375" s="38"/>
      <c r="C2375" s="14"/>
      <c r="D2375" s="14"/>
      <c r="E2375" s="14"/>
      <c r="F2375" s="14"/>
      <c r="G2375" s="16"/>
    </row>
    <row r="2376" spans="2:7" x14ac:dyDescent="0.25">
      <c r="B2376" s="38"/>
      <c r="C2376" s="14"/>
      <c r="D2376" s="14"/>
      <c r="E2376" s="14"/>
      <c r="F2376" s="14"/>
      <c r="G2376" s="16"/>
    </row>
    <row r="2377" spans="2:7" x14ac:dyDescent="0.25">
      <c r="B2377" s="38"/>
      <c r="C2377" s="14"/>
      <c r="D2377" s="14"/>
      <c r="E2377" s="14"/>
      <c r="F2377" s="14"/>
      <c r="G2377" s="16"/>
    </row>
    <row r="2378" spans="2:7" x14ac:dyDescent="0.25">
      <c r="B2378" s="38"/>
      <c r="C2378" s="14"/>
      <c r="D2378" s="14"/>
      <c r="E2378" s="14"/>
      <c r="F2378" s="14"/>
      <c r="G2378" s="16"/>
    </row>
    <row r="2379" spans="2:7" x14ac:dyDescent="0.25">
      <c r="B2379" s="38"/>
      <c r="C2379" s="14"/>
      <c r="D2379" s="14"/>
      <c r="E2379" s="14"/>
      <c r="F2379" s="14"/>
      <c r="G2379" s="16"/>
    </row>
    <row r="2380" spans="2:7" x14ac:dyDescent="0.25">
      <c r="B2380" s="38"/>
      <c r="C2380" s="14"/>
      <c r="D2380" s="14"/>
      <c r="E2380" s="14"/>
      <c r="F2380" s="14"/>
      <c r="G2380" s="16"/>
    </row>
    <row r="2381" spans="2:7" x14ac:dyDescent="0.25">
      <c r="B2381" s="38"/>
      <c r="C2381" s="14"/>
      <c r="D2381" s="14"/>
      <c r="E2381" s="14"/>
      <c r="F2381" s="14"/>
      <c r="G2381" s="16"/>
    </row>
    <row r="2382" spans="2:7" x14ac:dyDescent="0.25">
      <c r="B2382" s="38"/>
      <c r="C2382" s="14"/>
      <c r="D2382" s="14"/>
      <c r="E2382" s="14"/>
      <c r="F2382" s="14"/>
      <c r="G2382" s="16"/>
    </row>
    <row r="2383" spans="2:7" x14ac:dyDescent="0.25">
      <c r="B2383" s="38"/>
      <c r="C2383" s="14"/>
      <c r="D2383" s="14"/>
      <c r="E2383" s="14"/>
      <c r="F2383" s="14"/>
      <c r="G2383" s="16"/>
    </row>
    <row r="2384" spans="2:7" x14ac:dyDescent="0.25">
      <c r="B2384" s="38"/>
      <c r="C2384" s="14"/>
      <c r="D2384" s="14"/>
      <c r="E2384" s="14"/>
      <c r="F2384" s="14"/>
      <c r="G2384" s="16"/>
    </row>
    <row r="2385" spans="2:7" x14ac:dyDescent="0.25">
      <c r="B2385" s="38"/>
      <c r="C2385" s="14"/>
      <c r="D2385" s="14"/>
      <c r="E2385" s="14"/>
      <c r="F2385" s="14"/>
      <c r="G2385" s="16"/>
    </row>
    <row r="2386" spans="2:7" x14ac:dyDescent="0.25">
      <c r="B2386" s="38"/>
      <c r="C2386" s="14"/>
      <c r="D2386" s="14"/>
      <c r="E2386" s="14"/>
      <c r="F2386" s="14"/>
      <c r="G2386" s="16"/>
    </row>
    <row r="2387" spans="2:7" x14ac:dyDescent="0.25">
      <c r="B2387" s="38"/>
      <c r="C2387" s="14"/>
      <c r="D2387" s="14"/>
      <c r="E2387" s="14"/>
      <c r="F2387" s="14"/>
      <c r="G2387" s="16"/>
    </row>
    <row r="2388" spans="2:7" x14ac:dyDescent="0.25">
      <c r="B2388" s="38"/>
      <c r="C2388" s="14"/>
      <c r="D2388" s="14"/>
      <c r="E2388" s="14"/>
      <c r="F2388" s="14"/>
      <c r="G2388" s="16"/>
    </row>
    <row r="2389" spans="2:7" x14ac:dyDescent="0.25">
      <c r="B2389" s="38"/>
      <c r="C2389" s="14"/>
      <c r="D2389" s="14"/>
      <c r="E2389" s="14"/>
      <c r="F2389" s="14"/>
      <c r="G2389" s="16"/>
    </row>
    <row r="2390" spans="2:7" x14ac:dyDescent="0.25">
      <c r="B2390" s="38"/>
      <c r="C2390" s="14"/>
      <c r="D2390" s="14"/>
      <c r="E2390" s="14"/>
      <c r="F2390" s="14"/>
      <c r="G2390" s="16"/>
    </row>
    <row r="2391" spans="2:7" x14ac:dyDescent="0.25">
      <c r="B2391" s="38"/>
      <c r="C2391" s="14"/>
      <c r="D2391" s="14"/>
      <c r="E2391" s="14"/>
      <c r="F2391" s="14"/>
      <c r="G2391" s="16"/>
    </row>
    <row r="2392" spans="2:7" x14ac:dyDescent="0.25">
      <c r="B2392" s="38"/>
      <c r="C2392" s="14"/>
      <c r="D2392" s="14"/>
      <c r="E2392" s="14"/>
      <c r="F2392" s="14"/>
      <c r="G2392" s="16"/>
    </row>
    <row r="2393" spans="2:7" x14ac:dyDescent="0.25">
      <c r="B2393" s="38"/>
      <c r="C2393" s="14"/>
      <c r="D2393" s="14"/>
      <c r="E2393" s="14"/>
      <c r="F2393" s="14"/>
      <c r="G2393" s="16"/>
    </row>
    <row r="2394" spans="2:7" x14ac:dyDescent="0.25">
      <c r="B2394" s="38"/>
      <c r="C2394" s="14"/>
      <c r="D2394" s="14"/>
      <c r="E2394" s="14"/>
      <c r="F2394" s="14"/>
      <c r="G2394" s="16"/>
    </row>
    <row r="2395" spans="2:7" x14ac:dyDescent="0.25">
      <c r="B2395" s="38"/>
      <c r="C2395" s="14"/>
      <c r="D2395" s="14"/>
      <c r="E2395" s="14"/>
      <c r="F2395" s="14"/>
      <c r="G2395" s="16"/>
    </row>
    <row r="2396" spans="2:7" x14ac:dyDescent="0.25">
      <c r="B2396" s="38"/>
      <c r="C2396" s="14"/>
      <c r="D2396" s="14"/>
      <c r="E2396" s="14"/>
      <c r="F2396" s="14"/>
      <c r="G2396" s="16"/>
    </row>
    <row r="2397" spans="2:7" x14ac:dyDescent="0.25">
      <c r="B2397" s="38"/>
      <c r="C2397" s="14"/>
      <c r="D2397" s="14"/>
      <c r="E2397" s="14"/>
      <c r="F2397" s="14"/>
      <c r="G2397" s="16"/>
    </row>
    <row r="2398" spans="2:7" x14ac:dyDescent="0.25">
      <c r="B2398" s="38"/>
      <c r="C2398" s="14"/>
      <c r="D2398" s="14"/>
      <c r="E2398" s="14"/>
      <c r="F2398" s="14"/>
      <c r="G2398" s="16"/>
    </row>
    <row r="2399" spans="2:7" x14ac:dyDescent="0.25">
      <c r="B2399" s="38"/>
      <c r="C2399" s="14"/>
      <c r="D2399" s="14"/>
      <c r="E2399" s="14"/>
      <c r="F2399" s="14"/>
      <c r="G2399" s="16"/>
    </row>
    <row r="2400" spans="2:7" x14ac:dyDescent="0.25">
      <c r="B2400" s="38"/>
      <c r="C2400" s="14"/>
      <c r="D2400" s="14"/>
      <c r="E2400" s="14"/>
      <c r="F2400" s="14"/>
      <c r="G2400" s="16"/>
    </row>
    <row r="2401" spans="2:7" x14ac:dyDescent="0.25">
      <c r="B2401" s="38"/>
      <c r="C2401" s="14"/>
      <c r="D2401" s="14"/>
      <c r="E2401" s="14"/>
      <c r="F2401" s="14"/>
      <c r="G2401" s="16"/>
    </row>
    <row r="2402" spans="2:7" x14ac:dyDescent="0.25">
      <c r="B2402" s="38"/>
      <c r="C2402" s="14"/>
      <c r="D2402" s="14"/>
      <c r="E2402" s="14"/>
      <c r="F2402" s="14"/>
      <c r="G2402" s="16"/>
    </row>
    <row r="2403" spans="2:7" x14ac:dyDescent="0.25">
      <c r="B2403" s="38"/>
      <c r="C2403" s="14"/>
      <c r="D2403" s="14"/>
      <c r="E2403" s="14"/>
      <c r="F2403" s="14"/>
      <c r="G2403" s="16"/>
    </row>
    <row r="2404" spans="2:7" x14ac:dyDescent="0.25">
      <c r="B2404" s="38"/>
      <c r="C2404" s="14"/>
      <c r="D2404" s="14"/>
      <c r="E2404" s="14"/>
      <c r="F2404" s="14"/>
      <c r="G2404" s="16"/>
    </row>
    <row r="2405" spans="2:7" x14ac:dyDescent="0.25">
      <c r="B2405" s="38"/>
      <c r="C2405" s="14"/>
      <c r="D2405" s="14"/>
      <c r="E2405" s="14"/>
      <c r="F2405" s="14"/>
      <c r="G2405" s="16"/>
    </row>
    <row r="2406" spans="2:7" x14ac:dyDescent="0.25">
      <c r="B2406" s="38"/>
      <c r="C2406" s="14"/>
      <c r="D2406" s="14"/>
      <c r="E2406" s="14"/>
      <c r="F2406" s="14"/>
      <c r="G2406" s="16"/>
    </row>
    <row r="2407" spans="2:7" x14ac:dyDescent="0.25">
      <c r="B2407" s="38"/>
      <c r="C2407" s="14"/>
      <c r="D2407" s="14"/>
      <c r="E2407" s="14"/>
      <c r="F2407" s="14"/>
      <c r="G2407" s="16"/>
    </row>
    <row r="2408" spans="2:7" x14ac:dyDescent="0.25">
      <c r="B2408" s="38"/>
      <c r="C2408" s="14"/>
      <c r="D2408" s="14"/>
      <c r="E2408" s="14"/>
      <c r="F2408" s="14"/>
      <c r="G2408" s="16"/>
    </row>
    <row r="2409" spans="2:7" x14ac:dyDescent="0.25">
      <c r="B2409" s="38"/>
      <c r="C2409" s="14"/>
      <c r="D2409" s="14"/>
      <c r="E2409" s="14"/>
      <c r="F2409" s="14"/>
      <c r="G2409" s="16"/>
    </row>
    <row r="2410" spans="2:7" x14ac:dyDescent="0.25">
      <c r="B2410" s="38"/>
      <c r="C2410" s="14"/>
      <c r="D2410" s="14"/>
      <c r="E2410" s="14"/>
      <c r="F2410" s="14"/>
      <c r="G2410" s="16"/>
    </row>
    <row r="2411" spans="2:7" x14ac:dyDescent="0.25">
      <c r="B2411" s="38"/>
      <c r="C2411" s="14"/>
      <c r="D2411" s="14"/>
      <c r="E2411" s="14"/>
      <c r="F2411" s="14"/>
      <c r="G2411" s="16"/>
    </row>
    <row r="2412" spans="2:7" x14ac:dyDescent="0.25">
      <c r="B2412" s="38"/>
      <c r="C2412" s="14"/>
      <c r="D2412" s="14"/>
      <c r="E2412" s="14"/>
      <c r="F2412" s="14"/>
      <c r="G2412" s="16"/>
    </row>
    <row r="2413" spans="2:7" x14ac:dyDescent="0.25">
      <c r="B2413" s="38"/>
      <c r="C2413" s="14"/>
      <c r="D2413" s="14"/>
      <c r="E2413" s="14"/>
      <c r="F2413" s="14"/>
      <c r="G2413" s="16"/>
    </row>
    <row r="2414" spans="2:7" x14ac:dyDescent="0.25">
      <c r="B2414" s="38"/>
      <c r="C2414" s="14"/>
      <c r="D2414" s="14"/>
      <c r="E2414" s="14"/>
      <c r="F2414" s="14"/>
      <c r="G2414" s="16"/>
    </row>
    <row r="2415" spans="2:7" x14ac:dyDescent="0.25">
      <c r="B2415" s="38"/>
      <c r="C2415" s="14"/>
      <c r="D2415" s="14"/>
      <c r="E2415" s="14"/>
      <c r="F2415" s="14"/>
      <c r="G2415" s="16"/>
    </row>
    <row r="2416" spans="2:7" x14ac:dyDescent="0.25">
      <c r="B2416" s="38"/>
      <c r="C2416" s="14"/>
      <c r="D2416" s="14"/>
      <c r="E2416" s="14"/>
      <c r="F2416" s="14"/>
      <c r="G2416" s="16"/>
    </row>
    <row r="2417" spans="2:7" x14ac:dyDescent="0.25">
      <c r="B2417" s="38"/>
      <c r="C2417" s="14"/>
      <c r="D2417" s="14"/>
      <c r="E2417" s="14"/>
      <c r="F2417" s="14"/>
      <c r="G2417" s="16"/>
    </row>
    <row r="2418" spans="2:7" x14ac:dyDescent="0.25">
      <c r="B2418" s="38"/>
      <c r="C2418" s="14"/>
      <c r="D2418" s="14"/>
      <c r="E2418" s="14"/>
      <c r="F2418" s="14"/>
      <c r="G2418" s="16"/>
    </row>
    <row r="2419" spans="2:7" x14ac:dyDescent="0.25">
      <c r="B2419" s="38"/>
      <c r="C2419" s="14"/>
      <c r="D2419" s="14"/>
      <c r="E2419" s="14"/>
      <c r="F2419" s="14"/>
      <c r="G2419" s="16"/>
    </row>
    <row r="2420" spans="2:7" x14ac:dyDescent="0.25">
      <c r="B2420" s="38"/>
      <c r="C2420" s="14"/>
      <c r="D2420" s="14"/>
      <c r="E2420" s="14"/>
      <c r="F2420" s="14"/>
      <c r="G2420" s="16"/>
    </row>
    <row r="2421" spans="2:7" x14ac:dyDescent="0.25">
      <c r="B2421" s="38"/>
      <c r="C2421" s="14"/>
      <c r="D2421" s="14"/>
      <c r="E2421" s="14"/>
      <c r="F2421" s="14"/>
      <c r="G2421" s="16"/>
    </row>
    <row r="2422" spans="2:7" x14ac:dyDescent="0.25">
      <c r="B2422" s="38"/>
      <c r="C2422" s="14"/>
      <c r="D2422" s="14"/>
      <c r="E2422" s="14"/>
      <c r="F2422" s="14"/>
      <c r="G2422" s="16"/>
    </row>
    <row r="2423" spans="2:7" x14ac:dyDescent="0.25">
      <c r="B2423" s="38"/>
      <c r="C2423" s="14"/>
      <c r="D2423" s="14"/>
      <c r="E2423" s="14"/>
      <c r="F2423" s="14"/>
      <c r="G2423" s="16"/>
    </row>
    <row r="2424" spans="2:7" x14ac:dyDescent="0.25">
      <c r="B2424" s="38"/>
      <c r="C2424" s="14"/>
      <c r="D2424" s="14"/>
      <c r="E2424" s="14"/>
      <c r="F2424" s="14"/>
      <c r="G2424" s="16"/>
    </row>
    <row r="2425" spans="2:7" x14ac:dyDescent="0.25">
      <c r="B2425" s="38"/>
      <c r="C2425" s="14"/>
      <c r="D2425" s="14"/>
      <c r="E2425" s="14"/>
      <c r="F2425" s="14"/>
      <c r="G2425" s="16"/>
    </row>
    <row r="2426" spans="2:7" x14ac:dyDescent="0.25">
      <c r="B2426" s="38"/>
      <c r="C2426" s="14"/>
      <c r="D2426" s="14"/>
      <c r="E2426" s="14"/>
      <c r="F2426" s="14"/>
      <c r="G2426" s="16"/>
    </row>
    <row r="2427" spans="2:7" x14ac:dyDescent="0.25">
      <c r="B2427" s="38"/>
      <c r="C2427" s="14"/>
      <c r="D2427" s="14"/>
      <c r="E2427" s="14"/>
      <c r="F2427" s="14"/>
      <c r="G2427" s="16"/>
    </row>
    <row r="2428" spans="2:7" x14ac:dyDescent="0.25">
      <c r="B2428" s="38"/>
      <c r="C2428" s="14"/>
      <c r="D2428" s="14"/>
      <c r="E2428" s="14"/>
      <c r="F2428" s="14"/>
      <c r="G2428" s="16"/>
    </row>
    <row r="2429" spans="2:7" x14ac:dyDescent="0.25">
      <c r="B2429" s="38"/>
      <c r="C2429" s="14"/>
      <c r="D2429" s="14"/>
      <c r="E2429" s="14"/>
      <c r="F2429" s="14"/>
      <c r="G2429" s="16"/>
    </row>
    <row r="2430" spans="2:7" x14ac:dyDescent="0.25">
      <c r="B2430" s="38"/>
      <c r="C2430" s="14"/>
      <c r="D2430" s="14"/>
      <c r="E2430" s="14"/>
      <c r="F2430" s="14"/>
      <c r="G2430" s="16"/>
    </row>
    <row r="2431" spans="2:7" x14ac:dyDescent="0.25">
      <c r="B2431" s="38"/>
      <c r="C2431" s="14"/>
      <c r="D2431" s="14"/>
      <c r="E2431" s="14"/>
      <c r="F2431" s="14"/>
      <c r="G2431" s="16"/>
    </row>
    <row r="2432" spans="2:7" x14ac:dyDescent="0.25">
      <c r="B2432" s="38"/>
      <c r="C2432" s="14"/>
      <c r="D2432" s="14"/>
      <c r="E2432" s="14"/>
      <c r="F2432" s="14"/>
      <c r="G2432" s="16"/>
    </row>
    <row r="2433" spans="2:7" x14ac:dyDescent="0.25">
      <c r="B2433" s="38"/>
      <c r="C2433" s="14"/>
      <c r="D2433" s="14"/>
      <c r="E2433" s="14"/>
      <c r="F2433" s="14"/>
      <c r="G2433" s="16"/>
    </row>
    <row r="2434" spans="2:7" x14ac:dyDescent="0.25">
      <c r="B2434" s="38"/>
      <c r="C2434" s="14"/>
      <c r="D2434" s="14"/>
      <c r="E2434" s="14"/>
      <c r="F2434" s="14"/>
      <c r="G2434" s="16"/>
    </row>
    <row r="2435" spans="2:7" x14ac:dyDescent="0.25">
      <c r="B2435" s="38"/>
      <c r="C2435" s="14"/>
      <c r="D2435" s="14"/>
      <c r="E2435" s="14"/>
      <c r="F2435" s="14"/>
      <c r="G2435" s="16"/>
    </row>
    <row r="2436" spans="2:7" x14ac:dyDescent="0.25">
      <c r="B2436" s="38"/>
      <c r="C2436" s="14"/>
      <c r="D2436" s="14"/>
      <c r="E2436" s="14"/>
      <c r="F2436" s="14"/>
      <c r="G2436" s="16"/>
    </row>
    <row r="2437" spans="2:7" x14ac:dyDescent="0.25">
      <c r="B2437" s="38"/>
      <c r="C2437" s="14"/>
      <c r="D2437" s="14"/>
      <c r="E2437" s="14"/>
      <c r="F2437" s="14"/>
      <c r="G2437" s="16"/>
    </row>
    <row r="2438" spans="2:7" x14ac:dyDescent="0.25">
      <c r="B2438" s="38"/>
      <c r="C2438" s="14"/>
      <c r="D2438" s="14"/>
      <c r="E2438" s="14"/>
      <c r="F2438" s="14"/>
      <c r="G2438" s="16"/>
    </row>
    <row r="2439" spans="2:7" x14ac:dyDescent="0.25">
      <c r="B2439" s="38"/>
      <c r="C2439" s="14"/>
      <c r="D2439" s="14"/>
      <c r="E2439" s="14"/>
      <c r="F2439" s="14"/>
      <c r="G2439" s="16"/>
    </row>
    <row r="2440" spans="2:7" x14ac:dyDescent="0.25">
      <c r="B2440" s="38"/>
      <c r="C2440" s="14"/>
      <c r="D2440" s="14"/>
      <c r="E2440" s="14"/>
      <c r="F2440" s="14"/>
      <c r="G2440" s="16"/>
    </row>
    <row r="2441" spans="2:7" x14ac:dyDescent="0.25">
      <c r="B2441" s="38"/>
      <c r="C2441" s="14"/>
      <c r="D2441" s="14"/>
      <c r="E2441" s="14"/>
      <c r="F2441" s="14"/>
      <c r="G2441" s="16"/>
    </row>
    <row r="2442" spans="2:7" x14ac:dyDescent="0.25">
      <c r="B2442" s="38"/>
      <c r="C2442" s="14"/>
      <c r="D2442" s="14"/>
      <c r="E2442" s="14"/>
      <c r="F2442" s="14"/>
      <c r="G2442" s="16"/>
    </row>
    <row r="2443" spans="2:7" x14ac:dyDescent="0.25">
      <c r="B2443" s="38"/>
      <c r="C2443" s="14"/>
      <c r="D2443" s="14"/>
      <c r="E2443" s="14"/>
      <c r="F2443" s="14"/>
      <c r="G2443" s="16"/>
    </row>
    <row r="2444" spans="2:7" x14ac:dyDescent="0.25">
      <c r="B2444" s="38"/>
      <c r="C2444" s="14"/>
      <c r="D2444" s="14"/>
      <c r="E2444" s="14"/>
      <c r="F2444" s="14"/>
      <c r="G2444" s="16"/>
    </row>
    <row r="2445" spans="2:7" x14ac:dyDescent="0.25">
      <c r="B2445" s="38"/>
      <c r="C2445" s="14"/>
      <c r="D2445" s="14"/>
      <c r="E2445" s="14"/>
      <c r="F2445" s="14"/>
      <c r="G2445" s="16"/>
    </row>
    <row r="2446" spans="2:7" x14ac:dyDescent="0.25">
      <c r="B2446" s="38"/>
      <c r="C2446" s="14"/>
      <c r="D2446" s="14"/>
      <c r="E2446" s="14"/>
      <c r="F2446" s="14"/>
      <c r="G2446" s="16"/>
    </row>
    <row r="2447" spans="2:7" x14ac:dyDescent="0.25">
      <c r="B2447" s="38"/>
      <c r="C2447" s="14"/>
      <c r="D2447" s="14"/>
      <c r="E2447" s="14"/>
      <c r="F2447" s="14"/>
      <c r="G2447" s="16"/>
    </row>
    <row r="2448" spans="2:7" x14ac:dyDescent="0.25">
      <c r="B2448" s="38"/>
      <c r="C2448" s="14"/>
      <c r="D2448" s="14"/>
      <c r="E2448" s="14"/>
      <c r="F2448" s="14"/>
      <c r="G2448" s="16"/>
    </row>
    <row r="2449" spans="2:7" x14ac:dyDescent="0.25">
      <c r="B2449" s="38"/>
      <c r="C2449" s="14"/>
      <c r="D2449" s="14"/>
      <c r="E2449" s="14"/>
      <c r="F2449" s="14"/>
      <c r="G2449" s="16"/>
    </row>
    <row r="2450" spans="2:7" x14ac:dyDescent="0.25">
      <c r="B2450" s="38"/>
      <c r="C2450" s="14"/>
      <c r="D2450" s="14"/>
      <c r="E2450" s="14"/>
      <c r="F2450" s="14"/>
      <c r="G2450" s="16"/>
    </row>
    <row r="2451" spans="2:7" x14ac:dyDescent="0.25">
      <c r="B2451" s="38"/>
      <c r="C2451" s="14"/>
      <c r="D2451" s="14"/>
      <c r="E2451" s="14"/>
      <c r="F2451" s="14"/>
      <c r="G2451" s="16"/>
    </row>
    <row r="2452" spans="2:7" x14ac:dyDescent="0.25">
      <c r="B2452" s="38"/>
      <c r="C2452" s="14"/>
      <c r="D2452" s="14"/>
      <c r="E2452" s="14"/>
      <c r="F2452" s="14"/>
      <c r="G2452" s="16"/>
    </row>
    <row r="2453" spans="2:7" x14ac:dyDescent="0.25">
      <c r="B2453" s="38"/>
      <c r="C2453" s="14"/>
      <c r="D2453" s="14"/>
      <c r="E2453" s="14"/>
      <c r="F2453" s="14"/>
      <c r="G2453" s="16"/>
    </row>
    <row r="2454" spans="2:7" x14ac:dyDescent="0.25">
      <c r="B2454" s="38"/>
      <c r="C2454" s="14"/>
      <c r="D2454" s="14"/>
      <c r="E2454" s="14"/>
      <c r="F2454" s="14"/>
      <c r="G2454" s="16"/>
    </row>
    <row r="2455" spans="2:7" x14ac:dyDescent="0.25">
      <c r="B2455" s="38"/>
      <c r="C2455" s="14"/>
      <c r="D2455" s="14"/>
      <c r="E2455" s="14"/>
      <c r="F2455" s="14"/>
      <c r="G2455" s="16"/>
    </row>
    <row r="2456" spans="2:7" x14ac:dyDescent="0.25">
      <c r="B2456" s="38"/>
      <c r="C2456" s="14"/>
      <c r="D2456" s="14"/>
      <c r="E2456" s="14"/>
      <c r="F2456" s="14"/>
      <c r="G2456" s="16"/>
    </row>
    <row r="2457" spans="2:7" x14ac:dyDescent="0.25">
      <c r="B2457" s="38"/>
      <c r="C2457" s="14"/>
      <c r="D2457" s="14"/>
      <c r="E2457" s="14"/>
      <c r="F2457" s="14"/>
      <c r="G2457" s="16"/>
    </row>
    <row r="2458" spans="2:7" x14ac:dyDescent="0.25">
      <c r="B2458" s="38"/>
      <c r="C2458" s="14"/>
      <c r="D2458" s="14"/>
      <c r="E2458" s="14"/>
      <c r="F2458" s="14"/>
      <c r="G2458" s="16"/>
    </row>
    <row r="2459" spans="2:7" x14ac:dyDescent="0.25">
      <c r="B2459" s="38"/>
      <c r="C2459" s="14"/>
      <c r="D2459" s="14"/>
      <c r="E2459" s="14"/>
      <c r="F2459" s="14"/>
      <c r="G2459" s="16"/>
    </row>
    <row r="2460" spans="2:7" x14ac:dyDescent="0.25">
      <c r="B2460" s="38"/>
      <c r="C2460" s="14"/>
      <c r="D2460" s="14"/>
      <c r="E2460" s="14"/>
      <c r="F2460" s="14"/>
      <c r="G2460" s="16"/>
    </row>
    <row r="2461" spans="2:7" x14ac:dyDescent="0.25">
      <c r="B2461" s="38"/>
      <c r="C2461" s="14"/>
      <c r="D2461" s="14"/>
      <c r="E2461" s="14"/>
      <c r="F2461" s="14"/>
      <c r="G2461" s="16"/>
    </row>
    <row r="2462" spans="2:7" x14ac:dyDescent="0.25">
      <c r="B2462" s="38"/>
      <c r="C2462" s="14"/>
      <c r="D2462" s="14"/>
      <c r="E2462" s="14"/>
      <c r="F2462" s="14"/>
      <c r="G2462" s="16"/>
    </row>
    <row r="2463" spans="2:7" x14ac:dyDescent="0.25">
      <c r="B2463" s="38"/>
      <c r="C2463" s="14"/>
      <c r="D2463" s="14"/>
      <c r="E2463" s="14"/>
      <c r="F2463" s="14"/>
      <c r="G2463" s="16"/>
    </row>
    <row r="2464" spans="2:7" x14ac:dyDescent="0.25">
      <c r="B2464" s="38"/>
      <c r="C2464" s="14"/>
      <c r="D2464" s="14"/>
      <c r="E2464" s="14"/>
      <c r="F2464" s="14"/>
      <c r="G2464" s="16"/>
    </row>
    <row r="2465" spans="2:7" x14ac:dyDescent="0.25">
      <c r="B2465" s="38"/>
      <c r="C2465" s="14"/>
      <c r="D2465" s="14"/>
      <c r="E2465" s="14"/>
      <c r="F2465" s="14"/>
      <c r="G2465" s="16"/>
    </row>
    <row r="2466" spans="2:7" x14ac:dyDescent="0.25">
      <c r="B2466" s="38"/>
      <c r="C2466" s="14"/>
      <c r="D2466" s="14"/>
      <c r="E2466" s="14"/>
      <c r="F2466" s="14"/>
      <c r="G2466" s="16"/>
    </row>
    <row r="2467" spans="2:7" x14ac:dyDescent="0.25">
      <c r="B2467" s="38"/>
      <c r="C2467" s="14"/>
      <c r="D2467" s="14"/>
      <c r="E2467" s="14"/>
      <c r="F2467" s="14"/>
      <c r="G2467" s="16"/>
    </row>
    <row r="2468" spans="2:7" x14ac:dyDescent="0.25">
      <c r="B2468" s="38"/>
      <c r="C2468" s="14"/>
      <c r="D2468" s="14"/>
      <c r="E2468" s="14"/>
      <c r="F2468" s="14"/>
      <c r="G2468" s="16"/>
    </row>
    <row r="2469" spans="2:7" x14ac:dyDescent="0.25">
      <c r="B2469" s="38"/>
      <c r="C2469" s="14"/>
      <c r="D2469" s="14"/>
      <c r="E2469" s="14"/>
      <c r="F2469" s="14"/>
      <c r="G2469" s="16"/>
    </row>
    <row r="2470" spans="2:7" x14ac:dyDescent="0.25">
      <c r="B2470" s="38"/>
      <c r="C2470" s="14"/>
      <c r="D2470" s="14"/>
      <c r="E2470" s="14"/>
      <c r="F2470" s="14"/>
      <c r="G2470" s="16"/>
    </row>
    <row r="2471" spans="2:7" x14ac:dyDescent="0.25">
      <c r="B2471" s="38"/>
      <c r="C2471" s="14"/>
      <c r="D2471" s="14"/>
      <c r="E2471" s="14"/>
      <c r="F2471" s="14"/>
      <c r="G2471" s="16"/>
    </row>
    <row r="2472" spans="2:7" x14ac:dyDescent="0.25">
      <c r="B2472" s="38"/>
      <c r="C2472" s="14"/>
      <c r="D2472" s="14"/>
      <c r="E2472" s="14"/>
      <c r="F2472" s="14"/>
      <c r="G2472" s="16"/>
    </row>
    <row r="2473" spans="2:7" x14ac:dyDescent="0.25">
      <c r="B2473" s="38"/>
      <c r="C2473" s="14"/>
      <c r="D2473" s="14"/>
      <c r="E2473" s="14"/>
      <c r="F2473" s="14"/>
      <c r="G2473" s="16"/>
    </row>
    <row r="2474" spans="2:7" x14ac:dyDescent="0.25">
      <c r="B2474" s="38"/>
      <c r="C2474" s="14"/>
      <c r="D2474" s="14"/>
      <c r="E2474" s="14"/>
      <c r="F2474" s="14"/>
      <c r="G2474" s="16"/>
    </row>
    <row r="2475" spans="2:7" x14ac:dyDescent="0.25">
      <c r="B2475" s="38"/>
      <c r="C2475" s="14"/>
      <c r="D2475" s="14"/>
      <c r="E2475" s="14"/>
      <c r="F2475" s="14"/>
      <c r="G2475" s="16"/>
    </row>
    <row r="2476" spans="2:7" x14ac:dyDescent="0.25">
      <c r="B2476" s="38"/>
      <c r="C2476" s="14"/>
      <c r="D2476" s="14"/>
      <c r="E2476" s="14"/>
      <c r="F2476" s="14"/>
      <c r="G2476" s="16"/>
    </row>
    <row r="2477" spans="2:7" x14ac:dyDescent="0.25">
      <c r="B2477" s="38"/>
      <c r="C2477" s="14"/>
      <c r="D2477" s="14"/>
      <c r="E2477" s="14"/>
      <c r="F2477" s="14"/>
      <c r="G2477" s="16"/>
    </row>
    <row r="2478" spans="2:7" x14ac:dyDescent="0.25">
      <c r="B2478" s="38"/>
      <c r="C2478" s="14"/>
      <c r="D2478" s="14"/>
      <c r="E2478" s="14"/>
      <c r="F2478" s="14"/>
      <c r="G2478" s="16"/>
    </row>
    <row r="2479" spans="2:7" x14ac:dyDescent="0.25">
      <c r="B2479" s="38"/>
      <c r="C2479" s="14"/>
      <c r="D2479" s="14"/>
      <c r="E2479" s="14"/>
      <c r="F2479" s="14"/>
      <c r="G2479" s="16"/>
    </row>
    <row r="2480" spans="2:7" x14ac:dyDescent="0.25">
      <c r="B2480" s="38"/>
      <c r="C2480" s="14"/>
      <c r="D2480" s="14"/>
      <c r="E2480" s="14"/>
      <c r="F2480" s="14"/>
      <c r="G2480" s="16"/>
    </row>
    <row r="2481" spans="2:7" x14ac:dyDescent="0.25">
      <c r="B2481" s="38"/>
      <c r="C2481" s="14"/>
      <c r="D2481" s="14"/>
      <c r="E2481" s="14"/>
      <c r="F2481" s="14"/>
      <c r="G2481" s="16"/>
    </row>
    <row r="2482" spans="2:7" x14ac:dyDescent="0.25">
      <c r="B2482" s="38"/>
      <c r="C2482" s="14"/>
      <c r="D2482" s="14"/>
      <c r="E2482" s="14"/>
      <c r="F2482" s="14"/>
      <c r="G2482" s="16"/>
    </row>
    <row r="2483" spans="2:7" x14ac:dyDescent="0.25">
      <c r="B2483" s="38"/>
      <c r="C2483" s="14"/>
      <c r="D2483" s="14"/>
      <c r="E2483" s="14"/>
      <c r="F2483" s="14"/>
      <c r="G2483" s="16"/>
    </row>
    <row r="2484" spans="2:7" x14ac:dyDescent="0.25">
      <c r="B2484" s="38"/>
      <c r="C2484" s="14"/>
      <c r="D2484" s="14"/>
      <c r="E2484" s="14"/>
      <c r="F2484" s="14"/>
      <c r="G2484" s="16"/>
    </row>
    <row r="2485" spans="2:7" x14ac:dyDescent="0.25">
      <c r="B2485" s="38"/>
      <c r="C2485" s="14"/>
      <c r="D2485" s="14"/>
      <c r="E2485" s="14"/>
      <c r="F2485" s="14"/>
      <c r="G2485" s="16"/>
    </row>
    <row r="2486" spans="2:7" x14ac:dyDescent="0.25">
      <c r="B2486" s="38"/>
      <c r="C2486" s="14"/>
      <c r="D2486" s="14"/>
      <c r="E2486" s="14"/>
      <c r="F2486" s="14"/>
      <c r="G2486" s="16"/>
    </row>
    <row r="2487" spans="2:7" x14ac:dyDescent="0.25">
      <c r="B2487" s="38"/>
      <c r="C2487" s="14"/>
      <c r="D2487" s="14"/>
      <c r="E2487" s="14"/>
      <c r="F2487" s="14"/>
      <c r="G2487" s="16"/>
    </row>
    <row r="2488" spans="2:7" x14ac:dyDescent="0.25">
      <c r="B2488" s="38"/>
      <c r="C2488" s="14"/>
      <c r="D2488" s="14"/>
      <c r="E2488" s="14"/>
      <c r="F2488" s="14"/>
      <c r="G2488" s="16"/>
    </row>
    <row r="2489" spans="2:7" x14ac:dyDescent="0.25">
      <c r="B2489" s="38"/>
      <c r="C2489" s="14"/>
      <c r="D2489" s="14"/>
      <c r="E2489" s="14"/>
      <c r="F2489" s="14"/>
      <c r="G2489" s="16"/>
    </row>
    <row r="2490" spans="2:7" x14ac:dyDescent="0.25">
      <c r="B2490" s="38"/>
      <c r="C2490" s="14"/>
      <c r="D2490" s="14"/>
      <c r="E2490" s="14"/>
      <c r="F2490" s="14"/>
      <c r="G2490" s="16"/>
    </row>
    <row r="2491" spans="2:7" x14ac:dyDescent="0.25">
      <c r="B2491" s="38"/>
      <c r="C2491" s="14"/>
      <c r="D2491" s="14"/>
      <c r="E2491" s="14"/>
      <c r="F2491" s="14"/>
      <c r="G2491" s="16"/>
    </row>
    <row r="2492" spans="2:7" x14ac:dyDescent="0.25">
      <c r="B2492" s="38"/>
      <c r="C2492" s="14"/>
      <c r="D2492" s="14"/>
      <c r="E2492" s="14"/>
      <c r="F2492" s="14"/>
      <c r="G2492" s="16"/>
    </row>
    <row r="2493" spans="2:7" x14ac:dyDescent="0.25">
      <c r="B2493" s="38"/>
      <c r="C2493" s="14"/>
      <c r="D2493" s="14"/>
      <c r="E2493" s="14"/>
      <c r="F2493" s="14"/>
      <c r="G2493" s="16"/>
    </row>
    <row r="2494" spans="2:7" x14ac:dyDescent="0.25">
      <c r="B2494" s="38"/>
      <c r="C2494" s="14"/>
      <c r="D2494" s="14"/>
      <c r="E2494" s="14"/>
      <c r="F2494" s="14"/>
      <c r="G2494" s="16"/>
    </row>
    <row r="2495" spans="2:7" x14ac:dyDescent="0.25">
      <c r="B2495" s="38"/>
      <c r="C2495" s="14"/>
      <c r="D2495" s="14"/>
      <c r="E2495" s="14"/>
      <c r="F2495" s="14"/>
      <c r="G2495" s="16"/>
    </row>
    <row r="2496" spans="2:7" x14ac:dyDescent="0.25">
      <c r="B2496" s="38"/>
      <c r="C2496" s="14"/>
      <c r="D2496" s="14"/>
      <c r="E2496" s="14"/>
      <c r="F2496" s="14"/>
      <c r="G2496" s="16"/>
    </row>
    <row r="2497" spans="2:7" x14ac:dyDescent="0.25">
      <c r="B2497" s="38"/>
      <c r="C2497" s="14"/>
      <c r="D2497" s="14"/>
      <c r="E2497" s="14"/>
      <c r="F2497" s="14"/>
      <c r="G2497" s="16"/>
    </row>
    <row r="2498" spans="2:7" x14ac:dyDescent="0.25">
      <c r="B2498" s="38"/>
      <c r="C2498" s="14"/>
      <c r="D2498" s="14"/>
      <c r="E2498" s="14"/>
      <c r="F2498" s="14"/>
      <c r="G2498" s="16"/>
    </row>
    <row r="2499" spans="2:7" x14ac:dyDescent="0.25">
      <c r="B2499" s="38"/>
      <c r="C2499" s="14"/>
      <c r="D2499" s="14"/>
      <c r="E2499" s="14"/>
      <c r="F2499" s="14"/>
      <c r="G2499" s="16"/>
    </row>
    <row r="2500" spans="2:7" x14ac:dyDescent="0.25">
      <c r="B2500" s="38"/>
      <c r="C2500" s="14"/>
      <c r="D2500" s="14"/>
      <c r="E2500" s="14"/>
      <c r="F2500" s="14"/>
      <c r="G2500" s="16"/>
    </row>
    <row r="2501" spans="2:7" x14ac:dyDescent="0.25">
      <c r="B2501" s="38"/>
      <c r="C2501" s="14"/>
      <c r="D2501" s="14"/>
      <c r="E2501" s="14"/>
      <c r="F2501" s="14"/>
      <c r="G2501" s="16"/>
    </row>
    <row r="2502" spans="2:7" x14ac:dyDescent="0.25">
      <c r="B2502" s="38"/>
      <c r="C2502" s="14"/>
      <c r="D2502" s="14"/>
      <c r="E2502" s="14"/>
      <c r="F2502" s="14"/>
      <c r="G2502" s="16"/>
    </row>
    <row r="2503" spans="2:7" x14ac:dyDescent="0.25">
      <c r="B2503" s="38"/>
      <c r="C2503" s="14"/>
      <c r="D2503" s="14"/>
      <c r="E2503" s="14"/>
      <c r="F2503" s="14"/>
      <c r="G2503" s="16"/>
    </row>
    <row r="2504" spans="2:7" x14ac:dyDescent="0.25">
      <c r="B2504" s="38"/>
      <c r="C2504" s="14"/>
      <c r="D2504" s="14"/>
      <c r="E2504" s="14"/>
      <c r="F2504" s="14"/>
      <c r="G2504" s="16"/>
    </row>
    <row r="2505" spans="2:7" x14ac:dyDescent="0.25">
      <c r="B2505" s="38"/>
      <c r="C2505" s="14"/>
      <c r="D2505" s="14"/>
      <c r="E2505" s="14"/>
      <c r="F2505" s="14"/>
      <c r="G2505" s="16"/>
    </row>
    <row r="2506" spans="2:7" x14ac:dyDescent="0.25">
      <c r="B2506" s="38"/>
      <c r="C2506" s="14"/>
      <c r="D2506" s="14"/>
      <c r="E2506" s="14"/>
      <c r="F2506" s="14"/>
      <c r="G2506" s="16"/>
    </row>
    <row r="2507" spans="2:7" x14ac:dyDescent="0.25">
      <c r="B2507" s="38"/>
      <c r="C2507" s="14"/>
      <c r="D2507" s="14"/>
      <c r="E2507" s="14"/>
      <c r="F2507" s="14"/>
      <c r="G2507" s="16"/>
    </row>
    <row r="2508" spans="2:7" x14ac:dyDescent="0.25">
      <c r="B2508" s="38"/>
      <c r="C2508" s="14"/>
      <c r="D2508" s="14"/>
      <c r="E2508" s="14"/>
      <c r="F2508" s="14"/>
      <c r="G2508" s="16"/>
    </row>
    <row r="2509" spans="2:7" x14ac:dyDescent="0.25">
      <c r="B2509" s="38"/>
      <c r="C2509" s="14"/>
      <c r="D2509" s="14"/>
      <c r="E2509" s="14"/>
      <c r="F2509" s="14"/>
      <c r="G2509" s="16"/>
    </row>
    <row r="2510" spans="2:7" x14ac:dyDescent="0.25">
      <c r="B2510" s="38"/>
      <c r="C2510" s="14"/>
      <c r="D2510" s="14"/>
      <c r="E2510" s="14"/>
      <c r="F2510" s="14"/>
      <c r="G2510" s="16"/>
    </row>
    <row r="2511" spans="2:7" x14ac:dyDescent="0.25">
      <c r="B2511" s="38"/>
      <c r="C2511" s="14"/>
      <c r="D2511" s="14"/>
      <c r="E2511" s="14"/>
      <c r="F2511" s="14"/>
      <c r="G2511" s="16"/>
    </row>
    <row r="2512" spans="2:7" x14ac:dyDescent="0.25">
      <c r="B2512" s="38"/>
      <c r="C2512" s="14"/>
      <c r="D2512" s="14"/>
      <c r="E2512" s="14"/>
      <c r="F2512" s="14"/>
      <c r="G2512" s="16"/>
    </row>
    <row r="2513" spans="2:7" x14ac:dyDescent="0.25">
      <c r="B2513" s="38"/>
      <c r="C2513" s="14"/>
      <c r="D2513" s="14"/>
      <c r="E2513" s="14"/>
      <c r="F2513" s="14"/>
      <c r="G2513" s="16"/>
    </row>
    <row r="2514" spans="2:7" x14ac:dyDescent="0.25">
      <c r="B2514" s="38"/>
      <c r="C2514" s="14"/>
      <c r="D2514" s="14"/>
      <c r="E2514" s="14"/>
      <c r="F2514" s="14"/>
      <c r="G2514" s="16"/>
    </row>
    <row r="2515" spans="2:7" x14ac:dyDescent="0.25">
      <c r="B2515" s="38"/>
      <c r="C2515" s="14"/>
      <c r="D2515" s="14"/>
      <c r="E2515" s="14"/>
      <c r="F2515" s="14"/>
      <c r="G2515" s="16"/>
    </row>
    <row r="2516" spans="2:7" x14ac:dyDescent="0.25">
      <c r="B2516" s="38"/>
      <c r="C2516" s="14"/>
      <c r="D2516" s="14"/>
      <c r="E2516" s="14"/>
      <c r="F2516" s="14"/>
      <c r="G2516" s="16"/>
    </row>
    <row r="2517" spans="2:7" x14ac:dyDescent="0.25">
      <c r="B2517" s="38"/>
      <c r="C2517" s="14"/>
      <c r="D2517" s="14"/>
      <c r="E2517" s="14"/>
      <c r="F2517" s="14"/>
      <c r="G2517" s="16"/>
    </row>
    <row r="2518" spans="2:7" x14ac:dyDescent="0.25">
      <c r="B2518" s="38"/>
      <c r="C2518" s="14"/>
      <c r="D2518" s="14"/>
      <c r="E2518" s="14"/>
      <c r="F2518" s="14"/>
      <c r="G2518" s="16"/>
    </row>
    <row r="2519" spans="2:7" x14ac:dyDescent="0.25">
      <c r="B2519" s="38"/>
      <c r="C2519" s="14"/>
      <c r="D2519" s="14"/>
      <c r="E2519" s="14"/>
      <c r="F2519" s="14"/>
      <c r="G2519" s="16"/>
    </row>
    <row r="2520" spans="2:7" x14ac:dyDescent="0.25">
      <c r="B2520" s="38"/>
      <c r="C2520" s="14"/>
      <c r="D2520" s="14"/>
      <c r="E2520" s="14"/>
      <c r="F2520" s="14"/>
      <c r="G2520" s="16"/>
    </row>
    <row r="2521" spans="2:7" x14ac:dyDescent="0.25">
      <c r="B2521" s="38"/>
      <c r="C2521" s="14"/>
      <c r="D2521" s="14"/>
      <c r="E2521" s="14"/>
      <c r="F2521" s="14"/>
      <c r="G2521" s="16"/>
    </row>
    <row r="2522" spans="2:7" x14ac:dyDescent="0.25">
      <c r="B2522" s="38"/>
      <c r="C2522" s="14"/>
      <c r="D2522" s="14"/>
      <c r="E2522" s="14"/>
      <c r="F2522" s="14"/>
      <c r="G2522" s="16"/>
    </row>
    <row r="2523" spans="2:7" x14ac:dyDescent="0.25">
      <c r="B2523" s="38"/>
      <c r="C2523" s="14"/>
      <c r="D2523" s="14"/>
      <c r="E2523" s="14"/>
      <c r="F2523" s="14"/>
      <c r="G2523" s="16"/>
    </row>
    <row r="2524" spans="2:7" x14ac:dyDescent="0.25">
      <c r="B2524" s="38"/>
      <c r="C2524" s="14"/>
      <c r="D2524" s="14"/>
      <c r="E2524" s="14"/>
      <c r="F2524" s="14"/>
      <c r="G2524" s="16"/>
    </row>
    <row r="2525" spans="2:7" x14ac:dyDescent="0.25">
      <c r="B2525" s="38"/>
      <c r="C2525" s="14"/>
      <c r="D2525" s="14"/>
      <c r="E2525" s="14"/>
      <c r="F2525" s="14"/>
      <c r="G2525" s="16"/>
    </row>
    <row r="2526" spans="2:7" x14ac:dyDescent="0.25">
      <c r="B2526" s="38"/>
      <c r="C2526" s="14"/>
      <c r="D2526" s="14"/>
      <c r="E2526" s="14"/>
      <c r="F2526" s="14"/>
      <c r="G2526" s="16"/>
    </row>
    <row r="2527" spans="2:7" x14ac:dyDescent="0.25">
      <c r="B2527" s="38"/>
      <c r="C2527" s="14"/>
      <c r="D2527" s="14"/>
      <c r="E2527" s="14"/>
      <c r="F2527" s="14"/>
      <c r="G2527" s="16"/>
    </row>
    <row r="2528" spans="2:7" x14ac:dyDescent="0.25">
      <c r="B2528" s="38"/>
      <c r="C2528" s="14"/>
      <c r="D2528" s="14"/>
      <c r="E2528" s="14"/>
      <c r="F2528" s="14"/>
      <c r="G2528" s="16"/>
    </row>
    <row r="2529" spans="2:7" x14ac:dyDescent="0.25">
      <c r="B2529" s="38"/>
      <c r="C2529" s="14"/>
      <c r="D2529" s="14"/>
      <c r="E2529" s="14"/>
      <c r="F2529" s="14"/>
      <c r="G2529" s="16"/>
    </row>
    <row r="2530" spans="2:7" x14ac:dyDescent="0.25">
      <c r="B2530" s="38"/>
      <c r="C2530" s="14"/>
      <c r="D2530" s="14"/>
      <c r="E2530" s="14"/>
      <c r="F2530" s="14"/>
      <c r="G2530" s="16"/>
    </row>
    <row r="2531" spans="2:7" x14ac:dyDescent="0.25">
      <c r="B2531" s="38"/>
      <c r="C2531" s="14"/>
      <c r="D2531" s="14"/>
      <c r="E2531" s="14"/>
      <c r="F2531" s="14"/>
      <c r="G2531" s="16"/>
    </row>
    <row r="2532" spans="2:7" x14ac:dyDescent="0.25">
      <c r="B2532" s="38"/>
      <c r="C2532" s="14"/>
      <c r="D2532" s="14"/>
      <c r="E2532" s="14"/>
      <c r="F2532" s="14"/>
      <c r="G2532" s="16"/>
    </row>
    <row r="2533" spans="2:7" x14ac:dyDescent="0.25">
      <c r="B2533" s="38"/>
      <c r="C2533" s="14"/>
      <c r="D2533" s="14"/>
      <c r="E2533" s="14"/>
      <c r="F2533" s="14"/>
      <c r="G2533" s="16"/>
    </row>
    <row r="2534" spans="2:7" x14ac:dyDescent="0.25">
      <c r="B2534" s="38"/>
      <c r="C2534" s="14"/>
      <c r="D2534" s="14"/>
      <c r="E2534" s="14"/>
      <c r="F2534" s="14"/>
      <c r="G2534" s="16"/>
    </row>
    <row r="2535" spans="2:7" x14ac:dyDescent="0.25">
      <c r="B2535" s="38"/>
      <c r="C2535" s="14"/>
      <c r="D2535" s="14"/>
      <c r="E2535" s="14"/>
      <c r="F2535" s="14"/>
      <c r="G2535" s="16"/>
    </row>
    <row r="2536" spans="2:7" x14ac:dyDescent="0.25">
      <c r="B2536" s="38"/>
      <c r="C2536" s="14"/>
      <c r="D2536" s="14"/>
      <c r="E2536" s="14"/>
      <c r="F2536" s="14"/>
      <c r="G2536" s="16"/>
    </row>
    <row r="2537" spans="2:7" x14ac:dyDescent="0.25">
      <c r="B2537" s="38"/>
      <c r="C2537" s="14"/>
      <c r="D2537" s="14"/>
      <c r="E2537" s="14"/>
      <c r="F2537" s="14"/>
      <c r="G2537" s="16"/>
    </row>
    <row r="2538" spans="2:7" x14ac:dyDescent="0.25">
      <c r="B2538" s="38"/>
      <c r="C2538" s="14"/>
      <c r="D2538" s="14"/>
      <c r="E2538" s="14"/>
      <c r="F2538" s="14"/>
      <c r="G2538" s="16"/>
    </row>
    <row r="2539" spans="2:7" x14ac:dyDescent="0.25">
      <c r="B2539" s="38"/>
      <c r="C2539" s="14"/>
      <c r="D2539" s="14"/>
      <c r="E2539" s="14"/>
      <c r="F2539" s="14"/>
      <c r="G2539" s="16"/>
    </row>
    <row r="2540" spans="2:7" x14ac:dyDescent="0.25">
      <c r="B2540" s="38"/>
      <c r="C2540" s="14"/>
      <c r="D2540" s="14"/>
      <c r="E2540" s="14"/>
      <c r="F2540" s="14"/>
      <c r="G2540" s="16"/>
    </row>
    <row r="2541" spans="2:7" x14ac:dyDescent="0.25">
      <c r="B2541" s="38"/>
      <c r="C2541" s="14"/>
      <c r="D2541" s="14"/>
      <c r="E2541" s="14"/>
      <c r="F2541" s="14"/>
      <c r="G2541" s="16"/>
    </row>
    <row r="2542" spans="2:7" x14ac:dyDescent="0.25">
      <c r="B2542" s="38"/>
      <c r="C2542" s="14"/>
      <c r="D2542" s="14"/>
      <c r="E2542" s="14"/>
      <c r="F2542" s="14"/>
      <c r="G2542" s="16"/>
    </row>
    <row r="2543" spans="2:7" x14ac:dyDescent="0.25">
      <c r="B2543" s="38"/>
      <c r="C2543" s="14"/>
      <c r="D2543" s="14"/>
      <c r="E2543" s="14"/>
      <c r="F2543" s="14"/>
      <c r="G2543" s="16"/>
    </row>
    <row r="2544" spans="2:7" x14ac:dyDescent="0.25">
      <c r="B2544" s="38"/>
      <c r="C2544" s="14"/>
      <c r="D2544" s="14"/>
      <c r="E2544" s="14"/>
      <c r="F2544" s="14"/>
      <c r="G2544" s="16"/>
    </row>
    <row r="2545" spans="2:7" x14ac:dyDescent="0.25">
      <c r="B2545" s="38"/>
      <c r="C2545" s="14"/>
      <c r="D2545" s="14"/>
      <c r="E2545" s="14"/>
      <c r="F2545" s="14"/>
      <c r="G2545" s="16"/>
    </row>
    <row r="2546" spans="2:7" x14ac:dyDescent="0.25">
      <c r="B2546" s="38"/>
      <c r="C2546" s="14"/>
      <c r="D2546" s="14"/>
      <c r="E2546" s="14"/>
      <c r="F2546" s="14"/>
      <c r="G2546" s="16"/>
    </row>
    <row r="2547" spans="2:7" x14ac:dyDescent="0.25">
      <c r="B2547" s="38"/>
      <c r="C2547" s="14"/>
      <c r="D2547" s="14"/>
      <c r="E2547" s="14"/>
      <c r="F2547" s="14"/>
      <c r="G2547" s="16"/>
    </row>
    <row r="2548" spans="2:7" x14ac:dyDescent="0.25">
      <c r="B2548" s="38"/>
      <c r="C2548" s="14"/>
      <c r="D2548" s="14"/>
      <c r="E2548" s="14"/>
      <c r="F2548" s="14"/>
      <c r="G2548" s="16"/>
    </row>
    <row r="2549" spans="2:7" x14ac:dyDescent="0.25">
      <c r="B2549" s="38"/>
      <c r="C2549" s="14"/>
      <c r="D2549" s="14"/>
      <c r="E2549" s="14"/>
      <c r="F2549" s="14"/>
      <c r="G2549" s="16"/>
    </row>
    <row r="2550" spans="2:7" x14ac:dyDescent="0.25">
      <c r="B2550" s="38"/>
      <c r="C2550" s="14"/>
      <c r="D2550" s="14"/>
      <c r="E2550" s="14"/>
      <c r="F2550" s="14"/>
      <c r="G2550" s="16"/>
    </row>
    <row r="2551" spans="2:7" x14ac:dyDescent="0.25">
      <c r="B2551" s="38"/>
      <c r="C2551" s="14"/>
      <c r="D2551" s="14"/>
      <c r="E2551" s="14"/>
      <c r="F2551" s="14"/>
      <c r="G2551" s="16"/>
    </row>
    <row r="2552" spans="2:7" x14ac:dyDescent="0.25">
      <c r="B2552" s="38"/>
      <c r="C2552" s="14"/>
      <c r="D2552" s="14"/>
      <c r="E2552" s="14"/>
      <c r="F2552" s="14"/>
      <c r="G2552" s="16"/>
    </row>
    <row r="2553" spans="2:7" x14ac:dyDescent="0.25">
      <c r="B2553" s="38"/>
      <c r="C2553" s="14"/>
      <c r="D2553" s="14"/>
      <c r="E2553" s="14"/>
      <c r="F2553" s="14"/>
      <c r="G2553" s="16"/>
    </row>
    <row r="2554" spans="2:7" x14ac:dyDescent="0.25">
      <c r="B2554" s="38"/>
      <c r="C2554" s="14"/>
      <c r="D2554" s="14"/>
      <c r="E2554" s="14"/>
      <c r="F2554" s="14"/>
      <c r="G2554" s="16"/>
    </row>
    <row r="2555" spans="2:7" x14ac:dyDescent="0.25">
      <c r="B2555" s="38"/>
      <c r="C2555" s="14"/>
      <c r="D2555" s="14"/>
      <c r="E2555" s="14"/>
      <c r="F2555" s="14"/>
      <c r="G2555" s="16"/>
    </row>
    <row r="2556" spans="2:7" x14ac:dyDescent="0.25">
      <c r="B2556" s="38"/>
      <c r="C2556" s="14"/>
      <c r="D2556" s="14"/>
      <c r="E2556" s="14"/>
      <c r="F2556" s="14"/>
      <c r="G2556" s="16"/>
    </row>
    <row r="2557" spans="2:7" x14ac:dyDescent="0.25">
      <c r="B2557" s="38"/>
      <c r="C2557" s="14"/>
      <c r="D2557" s="14"/>
      <c r="E2557" s="14"/>
      <c r="F2557" s="14"/>
      <c r="G2557" s="16"/>
    </row>
    <row r="2558" spans="2:7" x14ac:dyDescent="0.25">
      <c r="B2558" s="38"/>
      <c r="C2558" s="14"/>
      <c r="D2558" s="14"/>
      <c r="E2558" s="14"/>
      <c r="F2558" s="14"/>
      <c r="G2558" s="16"/>
    </row>
    <row r="2559" spans="2:7" x14ac:dyDescent="0.25">
      <c r="B2559" s="38"/>
      <c r="C2559" s="14"/>
      <c r="D2559" s="14"/>
      <c r="E2559" s="14"/>
      <c r="F2559" s="14"/>
      <c r="G2559" s="16"/>
    </row>
    <row r="2560" spans="2:7" x14ac:dyDescent="0.25">
      <c r="B2560" s="38"/>
      <c r="C2560" s="14"/>
      <c r="D2560" s="14"/>
      <c r="E2560" s="14"/>
      <c r="F2560" s="14"/>
      <c r="G2560" s="16"/>
    </row>
    <row r="2561" spans="2:7" x14ac:dyDescent="0.25">
      <c r="B2561" s="38"/>
      <c r="C2561" s="14"/>
      <c r="D2561" s="14"/>
      <c r="E2561" s="14"/>
      <c r="F2561" s="14"/>
      <c r="G2561" s="16"/>
    </row>
    <row r="2562" spans="2:7" x14ac:dyDescent="0.25">
      <c r="B2562" s="38"/>
      <c r="C2562" s="14"/>
      <c r="D2562" s="14"/>
      <c r="E2562" s="14"/>
      <c r="F2562" s="14"/>
      <c r="G2562" s="16"/>
    </row>
    <row r="2563" spans="2:7" x14ac:dyDescent="0.25">
      <c r="B2563" s="38"/>
      <c r="C2563" s="14"/>
      <c r="D2563" s="14"/>
      <c r="E2563" s="14"/>
      <c r="F2563" s="14"/>
      <c r="G2563" s="16"/>
    </row>
    <row r="2564" spans="2:7" x14ac:dyDescent="0.25">
      <c r="B2564" s="38"/>
      <c r="C2564" s="14"/>
      <c r="D2564" s="14"/>
      <c r="E2564" s="14"/>
      <c r="F2564" s="14"/>
      <c r="G2564" s="16"/>
    </row>
    <row r="2565" spans="2:7" x14ac:dyDescent="0.25">
      <c r="B2565" s="38"/>
      <c r="C2565" s="14"/>
      <c r="D2565" s="14"/>
      <c r="E2565" s="14"/>
      <c r="F2565" s="14"/>
      <c r="G2565" s="16"/>
    </row>
    <row r="2566" spans="2:7" x14ac:dyDescent="0.25">
      <c r="B2566" s="38"/>
      <c r="C2566" s="14"/>
      <c r="D2566" s="14"/>
      <c r="E2566" s="14"/>
      <c r="F2566" s="14"/>
      <c r="G2566" s="16"/>
    </row>
    <row r="2567" spans="2:7" x14ac:dyDescent="0.25">
      <c r="B2567" s="38"/>
      <c r="C2567" s="14"/>
      <c r="D2567" s="14"/>
      <c r="E2567" s="14"/>
      <c r="F2567" s="14"/>
      <c r="G2567" s="16"/>
    </row>
    <row r="2568" spans="2:7" x14ac:dyDescent="0.25">
      <c r="B2568" s="38"/>
      <c r="C2568" s="14"/>
      <c r="D2568" s="14"/>
      <c r="E2568" s="14"/>
      <c r="F2568" s="14"/>
      <c r="G2568" s="16"/>
    </row>
    <row r="2569" spans="2:7" x14ac:dyDescent="0.25">
      <c r="B2569" s="38"/>
      <c r="C2569" s="14"/>
      <c r="D2569" s="14"/>
      <c r="E2569" s="14"/>
      <c r="F2569" s="14"/>
      <c r="G2569" s="16"/>
    </row>
    <row r="2570" spans="2:7" x14ac:dyDescent="0.25">
      <c r="B2570" s="38"/>
      <c r="C2570" s="14"/>
      <c r="D2570" s="14"/>
      <c r="E2570" s="14"/>
      <c r="F2570" s="14"/>
      <c r="G2570" s="16"/>
    </row>
    <row r="2571" spans="2:7" x14ac:dyDescent="0.25">
      <c r="B2571" s="38"/>
      <c r="C2571" s="14"/>
      <c r="D2571" s="14"/>
      <c r="E2571" s="14"/>
      <c r="F2571" s="14"/>
      <c r="G2571" s="16"/>
    </row>
    <row r="2572" spans="2:7" x14ac:dyDescent="0.25">
      <c r="B2572" s="38"/>
      <c r="C2572" s="14"/>
      <c r="D2572" s="14"/>
      <c r="E2572" s="14"/>
      <c r="F2572" s="14"/>
      <c r="G2572" s="16"/>
    </row>
    <row r="2573" spans="2:7" x14ac:dyDescent="0.25">
      <c r="B2573" s="38"/>
      <c r="C2573" s="14"/>
      <c r="D2573" s="14"/>
      <c r="E2573" s="14"/>
      <c r="F2573" s="14"/>
      <c r="G2573" s="16"/>
    </row>
    <row r="2574" spans="2:7" x14ac:dyDescent="0.25">
      <c r="B2574" s="38"/>
      <c r="C2574" s="14"/>
      <c r="D2574" s="14"/>
      <c r="E2574" s="14"/>
      <c r="F2574" s="14"/>
      <c r="G2574" s="16"/>
    </row>
    <row r="2575" spans="2:7" x14ac:dyDescent="0.25">
      <c r="B2575" s="38"/>
      <c r="C2575" s="14"/>
      <c r="D2575" s="14"/>
      <c r="E2575" s="14"/>
      <c r="F2575" s="14"/>
      <c r="G2575" s="16"/>
    </row>
    <row r="2576" spans="2:7" x14ac:dyDescent="0.25">
      <c r="B2576" s="38"/>
      <c r="C2576" s="14"/>
      <c r="D2576" s="14"/>
      <c r="E2576" s="14"/>
      <c r="F2576" s="14"/>
      <c r="G2576" s="16"/>
    </row>
    <row r="2577" spans="2:7" x14ac:dyDescent="0.25">
      <c r="B2577" s="38"/>
      <c r="C2577" s="14"/>
      <c r="D2577" s="14"/>
      <c r="E2577" s="14"/>
      <c r="F2577" s="14"/>
      <c r="G2577" s="16"/>
    </row>
    <row r="2578" spans="2:7" x14ac:dyDescent="0.25">
      <c r="B2578" s="38"/>
      <c r="C2578" s="14"/>
      <c r="D2578" s="14"/>
      <c r="E2578" s="14"/>
      <c r="F2578" s="14"/>
      <c r="G2578" s="16"/>
    </row>
    <row r="2579" spans="2:7" x14ac:dyDescent="0.25">
      <c r="B2579" s="38"/>
      <c r="C2579" s="14"/>
      <c r="D2579" s="14"/>
      <c r="E2579" s="14"/>
      <c r="F2579" s="14"/>
      <c r="G2579" s="16"/>
    </row>
    <row r="2580" spans="2:7" x14ac:dyDescent="0.25">
      <c r="B2580" s="38"/>
      <c r="C2580" s="14"/>
      <c r="D2580" s="14"/>
      <c r="E2580" s="14"/>
      <c r="F2580" s="14"/>
      <c r="G2580" s="16"/>
    </row>
    <row r="2581" spans="2:7" x14ac:dyDescent="0.25">
      <c r="B2581" s="38"/>
      <c r="C2581" s="14"/>
      <c r="D2581" s="14"/>
      <c r="E2581" s="14"/>
      <c r="F2581" s="14"/>
      <c r="G2581" s="16"/>
    </row>
    <row r="2582" spans="2:7" x14ac:dyDescent="0.25">
      <c r="B2582" s="38"/>
      <c r="C2582" s="14"/>
      <c r="D2582" s="14"/>
      <c r="E2582" s="14"/>
      <c r="F2582" s="14"/>
      <c r="G2582" s="16"/>
    </row>
    <row r="2583" spans="2:7" x14ac:dyDescent="0.25">
      <c r="B2583" s="38"/>
      <c r="C2583" s="14"/>
      <c r="D2583" s="14"/>
      <c r="E2583" s="14"/>
      <c r="F2583" s="14"/>
      <c r="G2583" s="16"/>
    </row>
    <row r="2584" spans="2:7" x14ac:dyDescent="0.25">
      <c r="B2584" s="38"/>
      <c r="C2584" s="14"/>
      <c r="D2584" s="14"/>
      <c r="E2584" s="14"/>
      <c r="F2584" s="14"/>
      <c r="G2584" s="16"/>
    </row>
    <row r="2585" spans="2:7" x14ac:dyDescent="0.25">
      <c r="B2585" s="38"/>
      <c r="C2585" s="14"/>
      <c r="D2585" s="14"/>
      <c r="E2585" s="14"/>
      <c r="F2585" s="14"/>
      <c r="G2585" s="16"/>
    </row>
    <row r="2586" spans="2:7" x14ac:dyDescent="0.25">
      <c r="B2586" s="38"/>
      <c r="C2586" s="14"/>
      <c r="D2586" s="14"/>
      <c r="E2586" s="14"/>
      <c r="F2586" s="14"/>
      <c r="G2586" s="16"/>
    </row>
    <row r="2587" spans="2:7" x14ac:dyDescent="0.25">
      <c r="B2587" s="38"/>
      <c r="C2587" s="14"/>
      <c r="D2587" s="14"/>
      <c r="E2587" s="14"/>
      <c r="F2587" s="14"/>
      <c r="G2587" s="16"/>
    </row>
    <row r="2588" spans="2:7" x14ac:dyDescent="0.25">
      <c r="B2588" s="38"/>
      <c r="C2588" s="14"/>
      <c r="D2588" s="14"/>
      <c r="E2588" s="14"/>
      <c r="F2588" s="14"/>
      <c r="G2588" s="16"/>
    </row>
    <row r="2589" spans="2:7" x14ac:dyDescent="0.25">
      <c r="B2589" s="38"/>
      <c r="C2589" s="14"/>
      <c r="D2589" s="14"/>
      <c r="E2589" s="14"/>
      <c r="F2589" s="14"/>
      <c r="G2589" s="16"/>
    </row>
    <row r="2590" spans="2:7" x14ac:dyDescent="0.25">
      <c r="B2590" s="38"/>
      <c r="C2590" s="14"/>
      <c r="D2590" s="14"/>
      <c r="E2590" s="14"/>
      <c r="F2590" s="14"/>
      <c r="G2590" s="16"/>
    </row>
    <row r="2591" spans="2:7" x14ac:dyDescent="0.25">
      <c r="B2591" s="38"/>
      <c r="C2591" s="14"/>
      <c r="D2591" s="14"/>
      <c r="E2591" s="14"/>
      <c r="F2591" s="14"/>
      <c r="G2591" s="16"/>
    </row>
    <row r="2592" spans="2:7" x14ac:dyDescent="0.25">
      <c r="B2592" s="38"/>
      <c r="C2592" s="14"/>
      <c r="D2592" s="14"/>
      <c r="E2592" s="14"/>
      <c r="F2592" s="14"/>
      <c r="G2592" s="16"/>
    </row>
    <row r="2593" spans="2:7" x14ac:dyDescent="0.25">
      <c r="B2593" s="38"/>
      <c r="C2593" s="14"/>
      <c r="D2593" s="14"/>
      <c r="E2593" s="14"/>
      <c r="F2593" s="14"/>
      <c r="G2593" s="16"/>
    </row>
    <row r="2594" spans="2:7" x14ac:dyDescent="0.25">
      <c r="B2594" s="38"/>
      <c r="C2594" s="14"/>
      <c r="D2594" s="14"/>
      <c r="E2594" s="14"/>
      <c r="F2594" s="14"/>
      <c r="G2594" s="16"/>
    </row>
    <row r="2595" spans="2:7" x14ac:dyDescent="0.25">
      <c r="B2595" s="38"/>
      <c r="C2595" s="14"/>
      <c r="D2595" s="14"/>
      <c r="E2595" s="14"/>
      <c r="F2595" s="14"/>
      <c r="G2595" s="16"/>
    </row>
    <row r="2596" spans="2:7" x14ac:dyDescent="0.25">
      <c r="B2596" s="38"/>
      <c r="C2596" s="14"/>
      <c r="D2596" s="14"/>
      <c r="E2596" s="14"/>
      <c r="F2596" s="14"/>
      <c r="G2596" s="16"/>
    </row>
    <row r="2597" spans="2:7" x14ac:dyDescent="0.25">
      <c r="B2597" s="38"/>
      <c r="C2597" s="14"/>
      <c r="D2597" s="14"/>
      <c r="E2597" s="14"/>
      <c r="F2597" s="14"/>
      <c r="G2597" s="16"/>
    </row>
    <row r="2598" spans="2:7" x14ac:dyDescent="0.25">
      <c r="B2598" s="38"/>
      <c r="C2598" s="14"/>
      <c r="D2598" s="14"/>
      <c r="E2598" s="14"/>
      <c r="F2598" s="14"/>
      <c r="G2598" s="16"/>
    </row>
    <row r="2599" spans="2:7" x14ac:dyDescent="0.25">
      <c r="B2599" s="38"/>
      <c r="C2599" s="14"/>
      <c r="D2599" s="14"/>
      <c r="E2599" s="14"/>
      <c r="F2599" s="14"/>
      <c r="G2599" s="16"/>
    </row>
    <row r="2600" spans="2:7" x14ac:dyDescent="0.25">
      <c r="B2600" s="38"/>
      <c r="C2600" s="14"/>
      <c r="D2600" s="14"/>
      <c r="E2600" s="14"/>
      <c r="F2600" s="14"/>
      <c r="G2600" s="16"/>
    </row>
    <row r="2601" spans="2:7" x14ac:dyDescent="0.25">
      <c r="B2601" s="38"/>
      <c r="C2601" s="14"/>
      <c r="D2601" s="14"/>
      <c r="E2601" s="14"/>
      <c r="F2601" s="14"/>
      <c r="G2601" s="16"/>
    </row>
    <row r="2602" spans="2:7" x14ac:dyDescent="0.25">
      <c r="B2602" s="38"/>
      <c r="C2602" s="14"/>
      <c r="D2602" s="14"/>
      <c r="E2602" s="14"/>
      <c r="F2602" s="14"/>
      <c r="G2602" s="16"/>
    </row>
    <row r="2603" spans="2:7" x14ac:dyDescent="0.25">
      <c r="B2603" s="38"/>
      <c r="C2603" s="14"/>
      <c r="D2603" s="14"/>
      <c r="E2603" s="14"/>
      <c r="F2603" s="14"/>
      <c r="G2603" s="16"/>
    </row>
    <row r="2604" spans="2:7" x14ac:dyDescent="0.25">
      <c r="B2604" s="38"/>
      <c r="C2604" s="14"/>
      <c r="D2604" s="14"/>
      <c r="E2604" s="14"/>
      <c r="F2604" s="14"/>
      <c r="G2604" s="16"/>
    </row>
    <row r="2605" spans="2:7" x14ac:dyDescent="0.25">
      <c r="B2605" s="38"/>
      <c r="C2605" s="14"/>
      <c r="D2605" s="14"/>
      <c r="E2605" s="14"/>
      <c r="F2605" s="14"/>
      <c r="G2605" s="16"/>
    </row>
    <row r="2606" spans="2:7" x14ac:dyDescent="0.25">
      <c r="B2606" s="38"/>
      <c r="C2606" s="14"/>
      <c r="D2606" s="14"/>
      <c r="E2606" s="14"/>
      <c r="F2606" s="14"/>
      <c r="G2606" s="16"/>
    </row>
    <row r="2607" spans="2:7" x14ac:dyDescent="0.25">
      <c r="B2607" s="38"/>
      <c r="C2607" s="14"/>
      <c r="D2607" s="14"/>
      <c r="E2607" s="14"/>
      <c r="F2607" s="14"/>
      <c r="G2607" s="16"/>
    </row>
    <row r="2608" spans="2:7" x14ac:dyDescent="0.25">
      <c r="B2608" s="38"/>
      <c r="C2608" s="14"/>
      <c r="D2608" s="14"/>
      <c r="E2608" s="14"/>
      <c r="F2608" s="14"/>
      <c r="G2608" s="16"/>
    </row>
    <row r="2609" spans="2:7" x14ac:dyDescent="0.25">
      <c r="B2609" s="38"/>
      <c r="C2609" s="14"/>
      <c r="D2609" s="14"/>
      <c r="E2609" s="14"/>
      <c r="F2609" s="14"/>
      <c r="G2609" s="16"/>
    </row>
    <row r="2610" spans="2:7" x14ac:dyDescent="0.25">
      <c r="B2610" s="38"/>
      <c r="C2610" s="14"/>
      <c r="D2610" s="14"/>
      <c r="E2610" s="14"/>
      <c r="F2610" s="14"/>
      <c r="G2610" s="16"/>
    </row>
    <row r="2611" spans="2:7" x14ac:dyDescent="0.25">
      <c r="B2611" s="38"/>
      <c r="C2611" s="14"/>
      <c r="D2611" s="14"/>
      <c r="E2611" s="14"/>
      <c r="F2611" s="14"/>
      <c r="G2611" s="16"/>
    </row>
    <row r="2612" spans="2:7" x14ac:dyDescent="0.25">
      <c r="B2612" s="38"/>
      <c r="C2612" s="14"/>
      <c r="D2612" s="14"/>
      <c r="E2612" s="14"/>
      <c r="F2612" s="14"/>
      <c r="G2612" s="16"/>
    </row>
    <row r="2613" spans="2:7" x14ac:dyDescent="0.25">
      <c r="B2613" s="38"/>
      <c r="C2613" s="14"/>
      <c r="D2613" s="14"/>
      <c r="E2613" s="14"/>
      <c r="F2613" s="14"/>
      <c r="G2613" s="16"/>
    </row>
    <row r="2614" spans="2:7" x14ac:dyDescent="0.25">
      <c r="B2614" s="38"/>
      <c r="C2614" s="14"/>
      <c r="D2614" s="14"/>
      <c r="E2614" s="14"/>
      <c r="F2614" s="14"/>
      <c r="G2614" s="16"/>
    </row>
    <row r="2615" spans="2:7" x14ac:dyDescent="0.25">
      <c r="B2615" s="38"/>
      <c r="C2615" s="14"/>
      <c r="D2615" s="14"/>
      <c r="E2615" s="14"/>
      <c r="F2615" s="14"/>
      <c r="G2615" s="16"/>
    </row>
    <row r="2616" spans="2:7" x14ac:dyDescent="0.25">
      <c r="B2616" s="38"/>
      <c r="C2616" s="14"/>
      <c r="D2616" s="14"/>
      <c r="E2616" s="14"/>
      <c r="F2616" s="14"/>
      <c r="G2616" s="16"/>
    </row>
    <row r="2617" spans="2:7" x14ac:dyDescent="0.25">
      <c r="B2617" s="38"/>
      <c r="C2617" s="14"/>
      <c r="D2617" s="14"/>
      <c r="E2617" s="14"/>
      <c r="F2617" s="14"/>
      <c r="G2617" s="16"/>
    </row>
    <row r="2618" spans="2:7" x14ac:dyDescent="0.25">
      <c r="B2618" s="38"/>
      <c r="C2618" s="14"/>
      <c r="D2618" s="14"/>
      <c r="E2618" s="14"/>
      <c r="F2618" s="14"/>
      <c r="G2618" s="16"/>
    </row>
    <row r="2619" spans="2:7" x14ac:dyDescent="0.25">
      <c r="B2619" s="38"/>
      <c r="C2619" s="14"/>
      <c r="D2619" s="14"/>
      <c r="E2619" s="14"/>
      <c r="F2619" s="14"/>
      <c r="G2619" s="16"/>
    </row>
    <row r="2620" spans="2:7" x14ac:dyDescent="0.25">
      <c r="B2620" s="38"/>
      <c r="C2620" s="14"/>
      <c r="D2620" s="14"/>
      <c r="E2620" s="14"/>
      <c r="F2620" s="14"/>
      <c r="G2620" s="16"/>
    </row>
    <row r="2621" spans="2:7" x14ac:dyDescent="0.25">
      <c r="B2621" s="38"/>
      <c r="C2621" s="14"/>
      <c r="D2621" s="14"/>
      <c r="E2621" s="14"/>
      <c r="F2621" s="14"/>
      <c r="G2621" s="16"/>
    </row>
    <row r="2622" spans="2:7" x14ac:dyDescent="0.25">
      <c r="B2622" s="38"/>
      <c r="C2622" s="14"/>
      <c r="D2622" s="14"/>
      <c r="E2622" s="14"/>
      <c r="F2622" s="14"/>
      <c r="G2622" s="16"/>
    </row>
    <row r="2623" spans="2:7" x14ac:dyDescent="0.25">
      <c r="B2623" s="38"/>
      <c r="C2623" s="14"/>
      <c r="D2623" s="14"/>
      <c r="E2623" s="14"/>
      <c r="F2623" s="14"/>
      <c r="G2623" s="16"/>
    </row>
    <row r="2624" spans="2:7" x14ac:dyDescent="0.25">
      <c r="B2624" s="38"/>
      <c r="C2624" s="14"/>
      <c r="D2624" s="14"/>
      <c r="E2624" s="14"/>
      <c r="F2624" s="14"/>
      <c r="G2624" s="16"/>
    </row>
    <row r="2625" spans="2:7" x14ac:dyDescent="0.25">
      <c r="B2625" s="38"/>
      <c r="C2625" s="14"/>
      <c r="D2625" s="14"/>
      <c r="E2625" s="14"/>
      <c r="F2625" s="14"/>
      <c r="G2625" s="16"/>
    </row>
    <row r="2626" spans="2:7" x14ac:dyDescent="0.25">
      <c r="B2626" s="38"/>
      <c r="C2626" s="14"/>
      <c r="D2626" s="14"/>
      <c r="E2626" s="14"/>
      <c r="F2626" s="14"/>
      <c r="G2626" s="16"/>
    </row>
    <row r="2627" spans="2:7" x14ac:dyDescent="0.25">
      <c r="B2627" s="38"/>
      <c r="C2627" s="14"/>
      <c r="D2627" s="14"/>
      <c r="E2627" s="14"/>
      <c r="F2627" s="14"/>
      <c r="G2627" s="16"/>
    </row>
    <row r="2628" spans="2:7" x14ac:dyDescent="0.25">
      <c r="B2628" s="38"/>
      <c r="C2628" s="14"/>
      <c r="D2628" s="14"/>
      <c r="E2628" s="14"/>
      <c r="F2628" s="14"/>
      <c r="G2628" s="16"/>
    </row>
    <row r="2629" spans="2:7" x14ac:dyDescent="0.25">
      <c r="B2629" s="38"/>
      <c r="C2629" s="14"/>
      <c r="D2629" s="14"/>
      <c r="E2629" s="14"/>
      <c r="F2629" s="14"/>
      <c r="G2629" s="16"/>
    </row>
    <row r="2630" spans="2:7" x14ac:dyDescent="0.25">
      <c r="B2630" s="38"/>
      <c r="C2630" s="14"/>
      <c r="D2630" s="14"/>
      <c r="E2630" s="14"/>
      <c r="F2630" s="14"/>
      <c r="G2630" s="16"/>
    </row>
    <row r="2631" spans="2:7" x14ac:dyDescent="0.25">
      <c r="B2631" s="38"/>
      <c r="C2631" s="14"/>
      <c r="D2631" s="14"/>
      <c r="E2631" s="14"/>
      <c r="F2631" s="14"/>
      <c r="G2631" s="16"/>
    </row>
    <row r="2632" spans="2:7" x14ac:dyDescent="0.25">
      <c r="B2632" s="38"/>
      <c r="C2632" s="14"/>
      <c r="D2632" s="14"/>
      <c r="E2632" s="14"/>
      <c r="F2632" s="14"/>
      <c r="G2632" s="16"/>
    </row>
    <row r="2633" spans="2:7" x14ac:dyDescent="0.25">
      <c r="B2633" s="38"/>
      <c r="C2633" s="14"/>
      <c r="D2633" s="14"/>
      <c r="E2633" s="14"/>
      <c r="F2633" s="14"/>
      <c r="G2633" s="16"/>
    </row>
    <row r="2634" spans="2:7" x14ac:dyDescent="0.25">
      <c r="B2634" s="38"/>
      <c r="C2634" s="14"/>
      <c r="D2634" s="14"/>
      <c r="E2634" s="14"/>
      <c r="F2634" s="14"/>
      <c r="G2634" s="16"/>
    </row>
    <row r="2635" spans="2:7" x14ac:dyDescent="0.25">
      <c r="B2635" s="38"/>
      <c r="C2635" s="14"/>
      <c r="D2635" s="14"/>
      <c r="E2635" s="14"/>
      <c r="F2635" s="14"/>
      <c r="G2635" s="16"/>
    </row>
    <row r="2636" spans="2:7" x14ac:dyDescent="0.25">
      <c r="B2636" s="38"/>
      <c r="C2636" s="14"/>
      <c r="D2636" s="14"/>
      <c r="E2636" s="14"/>
      <c r="F2636" s="14"/>
      <c r="G2636" s="16"/>
    </row>
    <row r="2637" spans="2:7" x14ac:dyDescent="0.25">
      <c r="B2637" s="38"/>
      <c r="C2637" s="14"/>
      <c r="D2637" s="14"/>
      <c r="E2637" s="14"/>
      <c r="F2637" s="14"/>
      <c r="G2637" s="16"/>
    </row>
    <row r="2638" spans="2:7" x14ac:dyDescent="0.25">
      <c r="B2638" s="38"/>
      <c r="C2638" s="14"/>
      <c r="D2638" s="14"/>
      <c r="E2638" s="14"/>
      <c r="F2638" s="14"/>
      <c r="G2638" s="16"/>
    </row>
    <row r="2639" spans="2:7" x14ac:dyDescent="0.25">
      <c r="B2639" s="38"/>
      <c r="C2639" s="14"/>
      <c r="D2639" s="14"/>
      <c r="E2639" s="14"/>
      <c r="F2639" s="14"/>
      <c r="G2639" s="16"/>
    </row>
    <row r="2640" spans="2:7" x14ac:dyDescent="0.25">
      <c r="B2640" s="38"/>
      <c r="C2640" s="14"/>
      <c r="D2640" s="14"/>
      <c r="E2640" s="14"/>
      <c r="F2640" s="14"/>
      <c r="G2640" s="16"/>
    </row>
    <row r="2641" spans="2:7" x14ac:dyDescent="0.25">
      <c r="B2641" s="38"/>
      <c r="C2641" s="14"/>
      <c r="D2641" s="14"/>
      <c r="E2641" s="14"/>
      <c r="F2641" s="14"/>
      <c r="G2641" s="16"/>
    </row>
    <row r="2642" spans="2:7" x14ac:dyDescent="0.25">
      <c r="B2642" s="38"/>
      <c r="C2642" s="14"/>
      <c r="D2642" s="14"/>
      <c r="E2642" s="14"/>
      <c r="F2642" s="14"/>
      <c r="G2642" s="16"/>
    </row>
    <row r="2643" spans="2:7" x14ac:dyDescent="0.25">
      <c r="B2643" s="38"/>
      <c r="C2643" s="14"/>
      <c r="D2643" s="14"/>
      <c r="E2643" s="14"/>
      <c r="F2643" s="14"/>
      <c r="G2643" s="16"/>
    </row>
    <row r="2644" spans="2:7" x14ac:dyDescent="0.25">
      <c r="B2644" s="38"/>
      <c r="C2644" s="14"/>
      <c r="D2644" s="14"/>
      <c r="E2644" s="14"/>
      <c r="F2644" s="14"/>
      <c r="G2644" s="16"/>
    </row>
    <row r="2645" spans="2:7" x14ac:dyDescent="0.25">
      <c r="B2645" s="38"/>
      <c r="C2645" s="14"/>
      <c r="D2645" s="14"/>
      <c r="E2645" s="14"/>
      <c r="F2645" s="14"/>
      <c r="G2645" s="16"/>
    </row>
    <row r="2646" spans="2:7" x14ac:dyDescent="0.25">
      <c r="B2646" s="38"/>
      <c r="C2646" s="14"/>
      <c r="D2646" s="14"/>
      <c r="E2646" s="14"/>
      <c r="F2646" s="14"/>
      <c r="G2646" s="16"/>
    </row>
    <row r="2647" spans="2:7" x14ac:dyDescent="0.25">
      <c r="B2647" s="38"/>
      <c r="C2647" s="14"/>
      <c r="D2647" s="14"/>
      <c r="E2647" s="14"/>
      <c r="F2647" s="14"/>
      <c r="G2647" s="16"/>
    </row>
    <row r="2648" spans="2:7" x14ac:dyDescent="0.25">
      <c r="B2648" s="38"/>
      <c r="C2648" s="14"/>
      <c r="D2648" s="14"/>
      <c r="E2648" s="14"/>
      <c r="F2648" s="14"/>
      <c r="G2648" s="16"/>
    </row>
    <row r="2649" spans="2:7" x14ac:dyDescent="0.25">
      <c r="B2649" s="38"/>
      <c r="C2649" s="14"/>
      <c r="D2649" s="14"/>
      <c r="E2649" s="14"/>
      <c r="F2649" s="14"/>
      <c r="G2649" s="16"/>
    </row>
    <row r="2650" spans="2:7" x14ac:dyDescent="0.25">
      <c r="B2650" s="38"/>
      <c r="C2650" s="14"/>
      <c r="D2650" s="14"/>
      <c r="E2650" s="14"/>
      <c r="F2650" s="14"/>
      <c r="G2650" s="16"/>
    </row>
    <row r="2651" spans="2:7" x14ac:dyDescent="0.25">
      <c r="B2651" s="38"/>
      <c r="C2651" s="14"/>
      <c r="D2651" s="14"/>
      <c r="E2651" s="14"/>
      <c r="F2651" s="14"/>
      <c r="G2651" s="16"/>
    </row>
    <row r="2652" spans="2:7" x14ac:dyDescent="0.25">
      <c r="B2652" s="38"/>
      <c r="C2652" s="14"/>
      <c r="D2652" s="14"/>
      <c r="E2652" s="14"/>
      <c r="F2652" s="14"/>
      <c r="G2652" s="16"/>
    </row>
    <row r="2653" spans="2:7" x14ac:dyDescent="0.25">
      <c r="B2653" s="38"/>
      <c r="C2653" s="14"/>
      <c r="D2653" s="14"/>
      <c r="E2653" s="14"/>
      <c r="F2653" s="14"/>
      <c r="G2653" s="16"/>
    </row>
    <row r="2654" spans="2:7" x14ac:dyDescent="0.25">
      <c r="B2654" s="38"/>
      <c r="C2654" s="14"/>
      <c r="D2654" s="14"/>
      <c r="E2654" s="14"/>
      <c r="F2654" s="14"/>
      <c r="G2654" s="16"/>
    </row>
    <row r="2655" spans="2:7" x14ac:dyDescent="0.25">
      <c r="B2655" s="38"/>
      <c r="C2655" s="14"/>
      <c r="D2655" s="14"/>
      <c r="E2655" s="14"/>
      <c r="F2655" s="14"/>
      <c r="G2655" s="16"/>
    </row>
    <row r="2656" spans="2:7" x14ac:dyDescent="0.25">
      <c r="B2656" s="38"/>
      <c r="C2656" s="14"/>
      <c r="D2656" s="14"/>
      <c r="E2656" s="14"/>
      <c r="F2656" s="14"/>
      <c r="G2656" s="16"/>
    </row>
    <row r="2657" spans="2:7" x14ac:dyDescent="0.25">
      <c r="B2657" s="38"/>
      <c r="C2657" s="14"/>
      <c r="D2657" s="14"/>
      <c r="E2657" s="14"/>
      <c r="F2657" s="14"/>
      <c r="G2657" s="16"/>
    </row>
    <row r="2658" spans="2:7" x14ac:dyDescent="0.25">
      <c r="B2658" s="38"/>
      <c r="C2658" s="14"/>
      <c r="D2658" s="14"/>
      <c r="E2658" s="14"/>
      <c r="F2658" s="14"/>
      <c r="G2658" s="16"/>
    </row>
    <row r="2659" spans="2:7" x14ac:dyDescent="0.25">
      <c r="B2659" s="38"/>
      <c r="C2659" s="14"/>
      <c r="D2659" s="14"/>
      <c r="E2659" s="14"/>
      <c r="F2659" s="14"/>
      <c r="G2659" s="16"/>
    </row>
    <row r="2660" spans="2:7" x14ac:dyDescent="0.25">
      <c r="B2660" s="38"/>
      <c r="C2660" s="14"/>
      <c r="D2660" s="14"/>
      <c r="E2660" s="14"/>
      <c r="F2660" s="14"/>
      <c r="G2660" s="16"/>
    </row>
    <row r="2661" spans="2:7" x14ac:dyDescent="0.25">
      <c r="B2661" s="38"/>
      <c r="C2661" s="14"/>
      <c r="D2661" s="14"/>
      <c r="E2661" s="14"/>
      <c r="F2661" s="14"/>
      <c r="G2661" s="16"/>
    </row>
    <row r="2662" spans="2:7" x14ac:dyDescent="0.25">
      <c r="B2662" s="38"/>
      <c r="C2662" s="14"/>
      <c r="D2662" s="14"/>
      <c r="E2662" s="14"/>
      <c r="F2662" s="14"/>
      <c r="G2662" s="16"/>
    </row>
    <row r="2663" spans="2:7" x14ac:dyDescent="0.25">
      <c r="B2663" s="38"/>
      <c r="C2663" s="14"/>
      <c r="D2663" s="14"/>
      <c r="E2663" s="14"/>
      <c r="F2663" s="14"/>
      <c r="G2663" s="16"/>
    </row>
    <row r="2664" spans="2:7" x14ac:dyDescent="0.25">
      <c r="B2664" s="38"/>
      <c r="C2664" s="14"/>
      <c r="D2664" s="14"/>
      <c r="E2664" s="14"/>
      <c r="F2664" s="14"/>
      <c r="G2664" s="16"/>
    </row>
    <row r="2665" spans="2:7" x14ac:dyDescent="0.25">
      <c r="B2665" s="38"/>
      <c r="C2665" s="14"/>
      <c r="D2665" s="14"/>
      <c r="E2665" s="14"/>
      <c r="F2665" s="14"/>
      <c r="G2665" s="16"/>
    </row>
    <row r="2666" spans="2:7" x14ac:dyDescent="0.25">
      <c r="B2666" s="38"/>
      <c r="C2666" s="14"/>
      <c r="D2666" s="14"/>
      <c r="E2666" s="14"/>
      <c r="F2666" s="14"/>
      <c r="G2666" s="16"/>
    </row>
    <row r="2667" spans="2:7" x14ac:dyDescent="0.25">
      <c r="B2667" s="38"/>
      <c r="C2667" s="14"/>
      <c r="D2667" s="14"/>
      <c r="E2667" s="14"/>
      <c r="F2667" s="14"/>
      <c r="G2667" s="16"/>
    </row>
    <row r="2668" spans="2:7" x14ac:dyDescent="0.25">
      <c r="B2668" s="38"/>
      <c r="C2668" s="14"/>
      <c r="D2668" s="14"/>
      <c r="E2668" s="14"/>
      <c r="F2668" s="14"/>
      <c r="G2668" s="16"/>
    </row>
    <row r="2669" spans="2:7" x14ac:dyDescent="0.25">
      <c r="B2669" s="38"/>
      <c r="C2669" s="14"/>
      <c r="D2669" s="14"/>
      <c r="E2669" s="14"/>
      <c r="F2669" s="14"/>
      <c r="G2669" s="16"/>
    </row>
    <row r="2670" spans="2:7" x14ac:dyDescent="0.25">
      <c r="B2670" s="38"/>
      <c r="C2670" s="14"/>
      <c r="D2670" s="14"/>
      <c r="E2670" s="14"/>
      <c r="F2670" s="14"/>
      <c r="G2670" s="16"/>
    </row>
    <row r="2671" spans="2:7" x14ac:dyDescent="0.25">
      <c r="B2671" s="38"/>
      <c r="C2671" s="14"/>
      <c r="D2671" s="14"/>
      <c r="E2671" s="14"/>
      <c r="F2671" s="14"/>
      <c r="G2671" s="16"/>
    </row>
    <row r="2672" spans="2:7" x14ac:dyDescent="0.25">
      <c r="B2672" s="38"/>
      <c r="C2672" s="14"/>
      <c r="D2672" s="14"/>
      <c r="E2672" s="14"/>
      <c r="F2672" s="14"/>
      <c r="G2672" s="16"/>
    </row>
    <row r="2673" spans="2:7" x14ac:dyDescent="0.25">
      <c r="B2673" s="38"/>
      <c r="C2673" s="14"/>
      <c r="D2673" s="14"/>
      <c r="E2673" s="14"/>
      <c r="F2673" s="14"/>
      <c r="G2673" s="16"/>
    </row>
    <row r="2674" spans="2:7" x14ac:dyDescent="0.25">
      <c r="B2674" s="38"/>
      <c r="C2674" s="14"/>
      <c r="D2674" s="14"/>
      <c r="E2674" s="14"/>
      <c r="F2674" s="14"/>
      <c r="G2674" s="16"/>
    </row>
    <row r="2675" spans="2:7" x14ac:dyDescent="0.25">
      <c r="B2675" s="38"/>
      <c r="C2675" s="14"/>
      <c r="D2675" s="14"/>
      <c r="E2675" s="14"/>
      <c r="F2675" s="14"/>
      <c r="G2675" s="16"/>
    </row>
    <row r="2676" spans="2:7" x14ac:dyDescent="0.25">
      <c r="B2676" s="38"/>
      <c r="C2676" s="14"/>
      <c r="D2676" s="14"/>
      <c r="E2676" s="14"/>
      <c r="F2676" s="14"/>
      <c r="G2676" s="16"/>
    </row>
    <row r="2677" spans="2:7" x14ac:dyDescent="0.25">
      <c r="B2677" s="38"/>
      <c r="C2677" s="14"/>
      <c r="D2677" s="14"/>
      <c r="E2677" s="14"/>
      <c r="F2677" s="14"/>
      <c r="G2677" s="16"/>
    </row>
    <row r="2678" spans="2:7" x14ac:dyDescent="0.25">
      <c r="B2678" s="38"/>
      <c r="C2678" s="14"/>
      <c r="D2678" s="14"/>
      <c r="E2678" s="14"/>
      <c r="F2678" s="14"/>
      <c r="G2678" s="16"/>
    </row>
    <row r="2679" spans="2:7" x14ac:dyDescent="0.25">
      <c r="B2679" s="38"/>
      <c r="C2679" s="14"/>
      <c r="D2679" s="14"/>
      <c r="E2679" s="14"/>
      <c r="F2679" s="14"/>
      <c r="G2679" s="16"/>
    </row>
    <row r="2680" spans="2:7" x14ac:dyDescent="0.25">
      <c r="B2680" s="38"/>
      <c r="C2680" s="14"/>
      <c r="D2680" s="14"/>
      <c r="E2680" s="14"/>
      <c r="F2680" s="14"/>
      <c r="G2680" s="16"/>
    </row>
    <row r="2681" spans="2:7" x14ac:dyDescent="0.25">
      <c r="B2681" s="38"/>
      <c r="C2681" s="14"/>
      <c r="D2681" s="14"/>
      <c r="E2681" s="14"/>
      <c r="F2681" s="14"/>
      <c r="G2681" s="16"/>
    </row>
    <row r="2682" spans="2:7" x14ac:dyDescent="0.25">
      <c r="B2682" s="38"/>
      <c r="C2682" s="14"/>
      <c r="D2682" s="14"/>
      <c r="E2682" s="14"/>
      <c r="F2682" s="14"/>
      <c r="G2682" s="16"/>
    </row>
    <row r="2683" spans="2:7" x14ac:dyDescent="0.25">
      <c r="B2683" s="38"/>
      <c r="C2683" s="14"/>
      <c r="D2683" s="14"/>
      <c r="E2683" s="14"/>
      <c r="F2683" s="14"/>
      <c r="G2683" s="16"/>
    </row>
    <row r="2684" spans="2:7" x14ac:dyDescent="0.25">
      <c r="B2684" s="38"/>
      <c r="C2684" s="14"/>
      <c r="D2684" s="14"/>
      <c r="E2684" s="14"/>
      <c r="F2684" s="14"/>
      <c r="G2684" s="16"/>
    </row>
    <row r="2685" spans="2:7" x14ac:dyDescent="0.25">
      <c r="B2685" s="38"/>
      <c r="C2685" s="14"/>
      <c r="D2685" s="14"/>
      <c r="E2685" s="14"/>
      <c r="F2685" s="14"/>
      <c r="G2685" s="16"/>
    </row>
    <row r="2686" spans="2:7" x14ac:dyDescent="0.25">
      <c r="B2686" s="38"/>
      <c r="C2686" s="14"/>
      <c r="D2686" s="14"/>
      <c r="E2686" s="14"/>
      <c r="F2686" s="14"/>
      <c r="G2686" s="16"/>
    </row>
    <row r="2687" spans="2:7" x14ac:dyDescent="0.25">
      <c r="B2687" s="38"/>
      <c r="C2687" s="14"/>
      <c r="D2687" s="14"/>
      <c r="E2687" s="14"/>
      <c r="F2687" s="14"/>
      <c r="G2687" s="16"/>
    </row>
    <row r="2688" spans="2:7" x14ac:dyDescent="0.25">
      <c r="B2688" s="38"/>
      <c r="C2688" s="14"/>
      <c r="D2688" s="14"/>
      <c r="E2688" s="14"/>
      <c r="F2688" s="14"/>
      <c r="G2688" s="16"/>
    </row>
    <row r="2689" spans="2:7" x14ac:dyDescent="0.25">
      <c r="B2689" s="38"/>
      <c r="C2689" s="14"/>
      <c r="D2689" s="14"/>
      <c r="E2689" s="14"/>
      <c r="F2689" s="14"/>
      <c r="G2689" s="16"/>
    </row>
    <row r="2690" spans="2:7" x14ac:dyDescent="0.25">
      <c r="B2690" s="38"/>
      <c r="C2690" s="14"/>
      <c r="D2690" s="14"/>
      <c r="E2690" s="14"/>
      <c r="F2690" s="14"/>
      <c r="G2690" s="16"/>
    </row>
    <row r="2691" spans="2:7" x14ac:dyDescent="0.25">
      <c r="B2691" s="38"/>
      <c r="C2691" s="14"/>
      <c r="D2691" s="14"/>
      <c r="E2691" s="14"/>
      <c r="F2691" s="14"/>
      <c r="G2691" s="16"/>
    </row>
    <row r="2692" spans="2:7" x14ac:dyDescent="0.25">
      <c r="B2692" s="38"/>
      <c r="C2692" s="14"/>
      <c r="D2692" s="14"/>
      <c r="E2692" s="14"/>
      <c r="F2692" s="14"/>
      <c r="G2692" s="16"/>
    </row>
    <row r="2693" spans="2:7" x14ac:dyDescent="0.25">
      <c r="B2693" s="38"/>
      <c r="C2693" s="14"/>
      <c r="D2693" s="14"/>
      <c r="E2693" s="14"/>
      <c r="F2693" s="14"/>
      <c r="G2693" s="16"/>
    </row>
    <row r="2694" spans="2:7" x14ac:dyDescent="0.25">
      <c r="B2694" s="38"/>
      <c r="C2694" s="14"/>
      <c r="D2694" s="14"/>
      <c r="E2694" s="14"/>
      <c r="F2694" s="14"/>
      <c r="G2694" s="16"/>
    </row>
    <row r="2695" spans="2:7" x14ac:dyDescent="0.25">
      <c r="B2695" s="38"/>
      <c r="C2695" s="14"/>
      <c r="D2695" s="14"/>
      <c r="E2695" s="14"/>
      <c r="F2695" s="14"/>
      <c r="G2695" s="16"/>
    </row>
    <row r="2696" spans="2:7" x14ac:dyDescent="0.25">
      <c r="B2696" s="38"/>
      <c r="C2696" s="14"/>
      <c r="D2696" s="14"/>
      <c r="E2696" s="14"/>
      <c r="F2696" s="14"/>
      <c r="G2696" s="16"/>
    </row>
    <row r="2697" spans="2:7" x14ac:dyDescent="0.25">
      <c r="B2697" s="38"/>
      <c r="C2697" s="14"/>
      <c r="D2697" s="14"/>
      <c r="E2697" s="14"/>
      <c r="F2697" s="14"/>
      <c r="G2697" s="16"/>
    </row>
    <row r="2698" spans="2:7" x14ac:dyDescent="0.25">
      <c r="B2698" s="38"/>
      <c r="C2698" s="14"/>
      <c r="D2698" s="14"/>
      <c r="E2698" s="14"/>
      <c r="F2698" s="14"/>
      <c r="G2698" s="16"/>
    </row>
    <row r="2699" spans="2:7" x14ac:dyDescent="0.25">
      <c r="B2699" s="38"/>
      <c r="C2699" s="14"/>
      <c r="D2699" s="14"/>
      <c r="E2699" s="14"/>
      <c r="F2699" s="14"/>
      <c r="G2699" s="16"/>
    </row>
    <row r="2700" spans="2:7" x14ac:dyDescent="0.25">
      <c r="B2700" s="38"/>
      <c r="C2700" s="14"/>
      <c r="D2700" s="14"/>
      <c r="E2700" s="14"/>
      <c r="F2700" s="14"/>
      <c r="G2700" s="16"/>
    </row>
    <row r="2701" spans="2:7" x14ac:dyDescent="0.25">
      <c r="B2701" s="38"/>
      <c r="C2701" s="14"/>
      <c r="D2701" s="14"/>
      <c r="E2701" s="14"/>
      <c r="F2701" s="14"/>
      <c r="G2701" s="16"/>
    </row>
    <row r="2702" spans="2:7" x14ac:dyDescent="0.25">
      <c r="B2702" s="38"/>
      <c r="C2702" s="14"/>
      <c r="D2702" s="14"/>
      <c r="E2702" s="14"/>
      <c r="F2702" s="14"/>
      <c r="G2702" s="16"/>
    </row>
    <row r="2703" spans="2:7" x14ac:dyDescent="0.25">
      <c r="B2703" s="38"/>
      <c r="C2703" s="14"/>
      <c r="D2703" s="14"/>
      <c r="E2703" s="14"/>
      <c r="F2703" s="14"/>
      <c r="G2703" s="16"/>
    </row>
    <row r="2704" spans="2:7" x14ac:dyDescent="0.25">
      <c r="B2704" s="38"/>
      <c r="C2704" s="14"/>
      <c r="D2704" s="14"/>
      <c r="E2704" s="14"/>
      <c r="F2704" s="14"/>
      <c r="G2704" s="16"/>
    </row>
    <row r="2705" spans="2:7" x14ac:dyDescent="0.25">
      <c r="B2705" s="38"/>
      <c r="C2705" s="14"/>
      <c r="D2705" s="14"/>
      <c r="E2705" s="14"/>
      <c r="F2705" s="14"/>
      <c r="G2705" s="16"/>
    </row>
    <row r="2706" spans="2:7" x14ac:dyDescent="0.25">
      <c r="B2706" s="38"/>
      <c r="C2706" s="14"/>
      <c r="D2706" s="14"/>
      <c r="E2706" s="14"/>
      <c r="F2706" s="14"/>
      <c r="G2706" s="16"/>
    </row>
    <row r="2707" spans="2:7" x14ac:dyDescent="0.25">
      <c r="B2707" s="38"/>
      <c r="C2707" s="14"/>
      <c r="D2707" s="14"/>
      <c r="E2707" s="14"/>
      <c r="F2707" s="14"/>
      <c r="G2707" s="16"/>
    </row>
    <row r="2708" spans="2:7" x14ac:dyDescent="0.25">
      <c r="B2708" s="38"/>
      <c r="C2708" s="14"/>
      <c r="D2708" s="14"/>
      <c r="E2708" s="14"/>
      <c r="F2708" s="14"/>
      <c r="G2708" s="16"/>
    </row>
    <row r="2709" spans="2:7" x14ac:dyDescent="0.25">
      <c r="B2709" s="38"/>
      <c r="C2709" s="14"/>
      <c r="D2709" s="14"/>
      <c r="E2709" s="14"/>
      <c r="F2709" s="14"/>
      <c r="G2709" s="16"/>
    </row>
    <row r="2710" spans="2:7" x14ac:dyDescent="0.25">
      <c r="B2710" s="38"/>
      <c r="C2710" s="14"/>
      <c r="D2710" s="14"/>
      <c r="E2710" s="14"/>
      <c r="F2710" s="14"/>
      <c r="G2710" s="16"/>
    </row>
    <row r="2711" spans="2:7" x14ac:dyDescent="0.25">
      <c r="B2711" s="38"/>
      <c r="C2711" s="14"/>
      <c r="D2711" s="14"/>
      <c r="E2711" s="14"/>
      <c r="F2711" s="14"/>
      <c r="G2711" s="16"/>
    </row>
    <row r="2712" spans="2:7" x14ac:dyDescent="0.25">
      <c r="B2712" s="38"/>
      <c r="C2712" s="14"/>
      <c r="D2712" s="14"/>
      <c r="E2712" s="14"/>
      <c r="F2712" s="14"/>
      <c r="G2712" s="16"/>
    </row>
    <row r="2713" spans="2:7" x14ac:dyDescent="0.25">
      <c r="B2713" s="38"/>
      <c r="C2713" s="14"/>
      <c r="D2713" s="14"/>
      <c r="E2713" s="14"/>
      <c r="F2713" s="14"/>
      <c r="G2713" s="16"/>
    </row>
    <row r="2714" spans="2:7" x14ac:dyDescent="0.25">
      <c r="B2714" s="38"/>
      <c r="C2714" s="14"/>
      <c r="D2714" s="14"/>
      <c r="E2714" s="14"/>
      <c r="F2714" s="14"/>
      <c r="G2714" s="16"/>
    </row>
    <row r="2715" spans="2:7" x14ac:dyDescent="0.25">
      <c r="B2715" s="38"/>
      <c r="C2715" s="14"/>
      <c r="D2715" s="14"/>
      <c r="E2715" s="14"/>
      <c r="F2715" s="14"/>
      <c r="G2715" s="16"/>
    </row>
    <row r="2716" spans="2:7" x14ac:dyDescent="0.25">
      <c r="B2716" s="38"/>
      <c r="C2716" s="14"/>
      <c r="D2716" s="14"/>
      <c r="E2716" s="14"/>
      <c r="F2716" s="14"/>
      <c r="G2716" s="16"/>
    </row>
    <row r="2717" spans="2:7" x14ac:dyDescent="0.25">
      <c r="B2717" s="38"/>
      <c r="C2717" s="14"/>
      <c r="D2717" s="14"/>
      <c r="E2717" s="14"/>
      <c r="F2717" s="14"/>
      <c r="G2717" s="16"/>
    </row>
    <row r="2718" spans="2:7" x14ac:dyDescent="0.25">
      <c r="B2718" s="38"/>
      <c r="C2718" s="14"/>
      <c r="D2718" s="14"/>
      <c r="E2718" s="14"/>
      <c r="F2718" s="14"/>
      <c r="G2718" s="16"/>
    </row>
    <row r="2719" spans="2:7" x14ac:dyDescent="0.25">
      <c r="B2719" s="38"/>
      <c r="C2719" s="14"/>
      <c r="D2719" s="14"/>
      <c r="E2719" s="14"/>
      <c r="F2719" s="14"/>
      <c r="G2719" s="16"/>
    </row>
    <row r="2720" spans="2:7" x14ac:dyDescent="0.25">
      <c r="B2720" s="38"/>
      <c r="C2720" s="14"/>
      <c r="D2720" s="14"/>
      <c r="E2720" s="14"/>
      <c r="F2720" s="14"/>
      <c r="G2720" s="16"/>
    </row>
    <row r="2721" spans="2:7" x14ac:dyDescent="0.25">
      <c r="B2721" s="38"/>
      <c r="C2721" s="14"/>
      <c r="D2721" s="14"/>
      <c r="E2721" s="14"/>
      <c r="F2721" s="14"/>
      <c r="G2721" s="16"/>
    </row>
    <row r="2722" spans="2:7" x14ac:dyDescent="0.25">
      <c r="B2722" s="38"/>
      <c r="C2722" s="14"/>
      <c r="D2722" s="14"/>
      <c r="E2722" s="14"/>
      <c r="F2722" s="14"/>
      <c r="G2722" s="16"/>
    </row>
    <row r="2723" spans="2:7" x14ac:dyDescent="0.25">
      <c r="B2723" s="38"/>
      <c r="C2723" s="14"/>
      <c r="D2723" s="14"/>
      <c r="E2723" s="14"/>
      <c r="F2723" s="14"/>
      <c r="G2723" s="16"/>
    </row>
    <row r="2724" spans="2:7" x14ac:dyDescent="0.25">
      <c r="B2724" s="38"/>
      <c r="C2724" s="14"/>
      <c r="D2724" s="14"/>
      <c r="E2724" s="14"/>
      <c r="F2724" s="14"/>
      <c r="G2724" s="16"/>
    </row>
    <row r="2725" spans="2:7" x14ac:dyDescent="0.25">
      <c r="B2725" s="38"/>
      <c r="C2725" s="14"/>
      <c r="D2725" s="14"/>
      <c r="E2725" s="14"/>
      <c r="F2725" s="14"/>
      <c r="G2725" s="16"/>
    </row>
    <row r="2726" spans="2:7" x14ac:dyDescent="0.25">
      <c r="B2726" s="38"/>
      <c r="C2726" s="14"/>
      <c r="D2726" s="14"/>
      <c r="E2726" s="14"/>
      <c r="F2726" s="14"/>
      <c r="G2726" s="16"/>
    </row>
    <row r="2727" spans="2:7" x14ac:dyDescent="0.25">
      <c r="B2727" s="38"/>
      <c r="C2727" s="14"/>
      <c r="D2727" s="14"/>
      <c r="E2727" s="14"/>
      <c r="F2727" s="14"/>
      <c r="G2727" s="16"/>
    </row>
    <row r="2728" spans="2:7" x14ac:dyDescent="0.25">
      <c r="B2728" s="38"/>
      <c r="C2728" s="14"/>
      <c r="D2728" s="14"/>
      <c r="E2728" s="14"/>
      <c r="F2728" s="14"/>
      <c r="G2728" s="16"/>
    </row>
    <row r="2729" spans="2:7" x14ac:dyDescent="0.25">
      <c r="B2729" s="38"/>
      <c r="C2729" s="14"/>
      <c r="D2729" s="14"/>
      <c r="E2729" s="14"/>
      <c r="F2729" s="14"/>
      <c r="G2729" s="16"/>
    </row>
    <row r="2730" spans="2:7" x14ac:dyDescent="0.25">
      <c r="B2730" s="38"/>
      <c r="C2730" s="14"/>
      <c r="D2730" s="14"/>
      <c r="E2730" s="14"/>
      <c r="F2730" s="14"/>
      <c r="G2730" s="16"/>
    </row>
    <row r="2731" spans="2:7" x14ac:dyDescent="0.25">
      <c r="B2731" s="38"/>
      <c r="C2731" s="14"/>
      <c r="D2731" s="14"/>
      <c r="E2731" s="14"/>
      <c r="F2731" s="14"/>
      <c r="G2731" s="16"/>
    </row>
    <row r="2732" spans="2:7" x14ac:dyDescent="0.25">
      <c r="B2732" s="38"/>
      <c r="C2732" s="14"/>
      <c r="D2732" s="14"/>
      <c r="E2732" s="14"/>
      <c r="F2732" s="14"/>
      <c r="G2732" s="16"/>
    </row>
    <row r="2733" spans="2:7" x14ac:dyDescent="0.25">
      <c r="B2733" s="38"/>
      <c r="C2733" s="14"/>
      <c r="D2733" s="14"/>
      <c r="E2733" s="14"/>
      <c r="F2733" s="14"/>
      <c r="G2733" s="16"/>
    </row>
    <row r="2734" spans="2:7" x14ac:dyDescent="0.25">
      <c r="B2734" s="38"/>
      <c r="C2734" s="14"/>
      <c r="D2734" s="14"/>
      <c r="E2734" s="14"/>
      <c r="F2734" s="14"/>
      <c r="G2734" s="16"/>
    </row>
    <row r="2735" spans="2:7" x14ac:dyDescent="0.25">
      <c r="B2735" s="38"/>
      <c r="C2735" s="14"/>
      <c r="D2735" s="14"/>
      <c r="E2735" s="14"/>
      <c r="F2735" s="14"/>
      <c r="G2735" s="16"/>
    </row>
    <row r="2736" spans="2:7" x14ac:dyDescent="0.25">
      <c r="B2736" s="38"/>
      <c r="C2736" s="14"/>
      <c r="D2736" s="14"/>
      <c r="E2736" s="14"/>
      <c r="F2736" s="14"/>
      <c r="G2736" s="16"/>
    </row>
    <row r="2737" spans="2:7" x14ac:dyDescent="0.25">
      <c r="B2737" s="38"/>
      <c r="C2737" s="14"/>
      <c r="D2737" s="14"/>
      <c r="E2737" s="14"/>
      <c r="F2737" s="14"/>
      <c r="G2737" s="16"/>
    </row>
    <row r="2738" spans="2:7" x14ac:dyDescent="0.25">
      <c r="B2738" s="38"/>
      <c r="C2738" s="14"/>
      <c r="D2738" s="14"/>
      <c r="E2738" s="14"/>
      <c r="F2738" s="14"/>
      <c r="G2738" s="16"/>
    </row>
    <row r="2739" spans="2:7" x14ac:dyDescent="0.25">
      <c r="B2739" s="38"/>
      <c r="C2739" s="14"/>
      <c r="D2739" s="14"/>
      <c r="E2739" s="14"/>
      <c r="F2739" s="14"/>
      <c r="G2739" s="16"/>
    </row>
    <row r="2740" spans="2:7" x14ac:dyDescent="0.25">
      <c r="B2740" s="38"/>
      <c r="C2740" s="14"/>
      <c r="D2740" s="14"/>
      <c r="E2740" s="14"/>
      <c r="F2740" s="14"/>
      <c r="G2740" s="16"/>
    </row>
    <row r="2741" spans="2:7" x14ac:dyDescent="0.25">
      <c r="B2741" s="38"/>
      <c r="C2741" s="14"/>
      <c r="D2741" s="14"/>
      <c r="E2741" s="14"/>
      <c r="F2741" s="14"/>
      <c r="G2741" s="16"/>
    </row>
    <row r="2742" spans="2:7" x14ac:dyDescent="0.25">
      <c r="B2742" s="38"/>
      <c r="C2742" s="14"/>
      <c r="D2742" s="14"/>
      <c r="E2742" s="14"/>
      <c r="F2742" s="14"/>
      <c r="G2742" s="16"/>
    </row>
    <row r="2743" spans="2:7" x14ac:dyDescent="0.25">
      <c r="B2743" s="38"/>
      <c r="C2743" s="14"/>
      <c r="D2743" s="14"/>
      <c r="E2743" s="14"/>
      <c r="F2743" s="14"/>
      <c r="G2743" s="16"/>
    </row>
    <row r="2744" spans="2:7" x14ac:dyDescent="0.25">
      <c r="B2744" s="38"/>
      <c r="C2744" s="14"/>
      <c r="D2744" s="14"/>
      <c r="E2744" s="14"/>
      <c r="F2744" s="14"/>
      <c r="G2744" s="16"/>
    </row>
    <row r="2745" spans="2:7" x14ac:dyDescent="0.25">
      <c r="B2745" s="38"/>
      <c r="C2745" s="14"/>
      <c r="D2745" s="14"/>
      <c r="E2745" s="14"/>
      <c r="F2745" s="14"/>
      <c r="G2745" s="16"/>
    </row>
    <row r="2746" spans="2:7" x14ac:dyDescent="0.25">
      <c r="B2746" s="38"/>
      <c r="C2746" s="14"/>
      <c r="D2746" s="14"/>
      <c r="E2746" s="14"/>
      <c r="F2746" s="14"/>
      <c r="G2746" s="16"/>
    </row>
    <row r="2747" spans="2:7" x14ac:dyDescent="0.25">
      <c r="B2747" s="38"/>
      <c r="C2747" s="14"/>
      <c r="D2747" s="14"/>
      <c r="E2747" s="14"/>
      <c r="F2747" s="14"/>
      <c r="G2747" s="16"/>
    </row>
    <row r="2748" spans="2:7" x14ac:dyDescent="0.25">
      <c r="B2748" s="38"/>
      <c r="C2748" s="14"/>
      <c r="D2748" s="14"/>
      <c r="E2748" s="14"/>
      <c r="F2748" s="14"/>
      <c r="G2748" s="16"/>
    </row>
    <row r="2749" spans="2:7" x14ac:dyDescent="0.25">
      <c r="B2749" s="38"/>
      <c r="C2749" s="14"/>
      <c r="D2749" s="14"/>
      <c r="E2749" s="14"/>
      <c r="F2749" s="14"/>
      <c r="G2749" s="16"/>
    </row>
    <row r="2750" spans="2:7" x14ac:dyDescent="0.25">
      <c r="B2750" s="38"/>
      <c r="C2750" s="14"/>
      <c r="D2750" s="14"/>
      <c r="E2750" s="14"/>
      <c r="F2750" s="14"/>
      <c r="G2750" s="16"/>
    </row>
    <row r="2751" spans="2:7" x14ac:dyDescent="0.25">
      <c r="B2751" s="38"/>
      <c r="C2751" s="14"/>
      <c r="D2751" s="14"/>
      <c r="E2751" s="14"/>
      <c r="F2751" s="14"/>
      <c r="G2751" s="16"/>
    </row>
    <row r="2752" spans="2:7" x14ac:dyDescent="0.25">
      <c r="B2752" s="38"/>
      <c r="C2752" s="14"/>
      <c r="D2752" s="14"/>
      <c r="E2752" s="14"/>
      <c r="F2752" s="14"/>
      <c r="G2752" s="16"/>
    </row>
    <row r="2753" spans="2:7" x14ac:dyDescent="0.25">
      <c r="B2753" s="38"/>
      <c r="C2753" s="14"/>
      <c r="D2753" s="14"/>
      <c r="E2753" s="14"/>
      <c r="F2753" s="14"/>
      <c r="G2753" s="16"/>
    </row>
    <row r="2754" spans="2:7" x14ac:dyDescent="0.25">
      <c r="B2754" s="38"/>
      <c r="C2754" s="14"/>
      <c r="D2754" s="14"/>
      <c r="E2754" s="14"/>
      <c r="F2754" s="14"/>
      <c r="G2754" s="16"/>
    </row>
    <row r="2755" spans="2:7" x14ac:dyDescent="0.25">
      <c r="B2755" s="38"/>
      <c r="C2755" s="14"/>
      <c r="D2755" s="14"/>
      <c r="E2755" s="14"/>
      <c r="F2755" s="14"/>
      <c r="G2755" s="16"/>
    </row>
    <row r="2756" spans="2:7" x14ac:dyDescent="0.25">
      <c r="B2756" s="38"/>
      <c r="C2756" s="14"/>
      <c r="D2756" s="14"/>
      <c r="E2756" s="14"/>
      <c r="F2756" s="14"/>
      <c r="G2756" s="16"/>
    </row>
    <row r="2757" spans="2:7" x14ac:dyDescent="0.25">
      <c r="B2757" s="38"/>
      <c r="C2757" s="14"/>
      <c r="D2757" s="14"/>
      <c r="E2757" s="14"/>
      <c r="F2757" s="14"/>
      <c r="G2757" s="16"/>
    </row>
    <row r="2758" spans="2:7" x14ac:dyDescent="0.25">
      <c r="B2758" s="38"/>
      <c r="C2758" s="14"/>
      <c r="D2758" s="14"/>
      <c r="E2758" s="14"/>
      <c r="F2758" s="14"/>
      <c r="G2758" s="16"/>
    </row>
    <row r="2759" spans="2:7" x14ac:dyDescent="0.25">
      <c r="B2759" s="38"/>
      <c r="C2759" s="14"/>
      <c r="D2759" s="14"/>
      <c r="E2759" s="14"/>
      <c r="F2759" s="14"/>
      <c r="G2759" s="16"/>
    </row>
    <row r="2760" spans="2:7" x14ac:dyDescent="0.25">
      <c r="B2760" s="38"/>
      <c r="C2760" s="14"/>
      <c r="D2760" s="14"/>
      <c r="E2760" s="14"/>
      <c r="F2760" s="14"/>
      <c r="G2760" s="16"/>
    </row>
    <row r="2761" spans="2:7" x14ac:dyDescent="0.25">
      <c r="B2761" s="38"/>
      <c r="C2761" s="14"/>
      <c r="D2761" s="14"/>
      <c r="E2761" s="14"/>
      <c r="F2761" s="14"/>
      <c r="G2761" s="16"/>
    </row>
    <row r="2762" spans="2:7" x14ac:dyDescent="0.25">
      <c r="B2762" s="38"/>
      <c r="C2762" s="14"/>
      <c r="D2762" s="14"/>
      <c r="E2762" s="14"/>
      <c r="F2762" s="14"/>
      <c r="G2762" s="16"/>
    </row>
    <row r="2763" spans="2:7" x14ac:dyDescent="0.25">
      <c r="B2763" s="38"/>
      <c r="C2763" s="14"/>
      <c r="D2763" s="14"/>
      <c r="E2763" s="14"/>
      <c r="F2763" s="14"/>
      <c r="G2763" s="16"/>
    </row>
    <row r="2764" spans="2:7" x14ac:dyDescent="0.25">
      <c r="B2764" s="38"/>
      <c r="C2764" s="14"/>
      <c r="D2764" s="14"/>
      <c r="E2764" s="14"/>
      <c r="F2764" s="14"/>
      <c r="G2764" s="16"/>
    </row>
    <row r="2765" spans="2:7" x14ac:dyDescent="0.25">
      <c r="B2765" s="38"/>
      <c r="C2765" s="14"/>
      <c r="D2765" s="14"/>
      <c r="E2765" s="14"/>
      <c r="F2765" s="14"/>
      <c r="G2765" s="16"/>
    </row>
    <row r="2766" spans="2:7" x14ac:dyDescent="0.25">
      <c r="B2766" s="38"/>
      <c r="C2766" s="14"/>
      <c r="D2766" s="14"/>
      <c r="E2766" s="14"/>
      <c r="F2766" s="14"/>
      <c r="G2766" s="16"/>
    </row>
    <row r="2767" spans="2:7" x14ac:dyDescent="0.25">
      <c r="B2767" s="38"/>
      <c r="C2767" s="14"/>
      <c r="D2767" s="14"/>
      <c r="E2767" s="14"/>
      <c r="F2767" s="14"/>
      <c r="G2767" s="16"/>
    </row>
    <row r="2768" spans="2:7" x14ac:dyDescent="0.25">
      <c r="B2768" s="38"/>
      <c r="C2768" s="14"/>
      <c r="D2768" s="14"/>
      <c r="E2768" s="14"/>
      <c r="F2768" s="14"/>
      <c r="G2768" s="16"/>
    </row>
    <row r="2769" spans="2:7" x14ac:dyDescent="0.25">
      <c r="B2769" s="38"/>
      <c r="C2769" s="14"/>
      <c r="D2769" s="14"/>
      <c r="E2769" s="14"/>
      <c r="F2769" s="14"/>
      <c r="G2769" s="16"/>
    </row>
    <row r="2770" spans="2:7" x14ac:dyDescent="0.25">
      <c r="B2770" s="38"/>
      <c r="C2770" s="14"/>
      <c r="D2770" s="14"/>
      <c r="E2770" s="14"/>
      <c r="F2770" s="14"/>
      <c r="G2770" s="16"/>
    </row>
    <row r="2771" spans="2:7" x14ac:dyDescent="0.25">
      <c r="B2771" s="38"/>
      <c r="C2771" s="14"/>
      <c r="D2771" s="14"/>
      <c r="E2771" s="14"/>
      <c r="F2771" s="14"/>
      <c r="G2771" s="16"/>
    </row>
    <row r="2772" spans="2:7" x14ac:dyDescent="0.25">
      <c r="B2772" s="38"/>
      <c r="C2772" s="14"/>
      <c r="D2772" s="14"/>
      <c r="E2772" s="14"/>
      <c r="F2772" s="14"/>
      <c r="G2772" s="16"/>
    </row>
    <row r="2773" spans="2:7" x14ac:dyDescent="0.25">
      <c r="B2773" s="38"/>
      <c r="C2773" s="14"/>
      <c r="D2773" s="14"/>
      <c r="E2773" s="14"/>
      <c r="F2773" s="14"/>
      <c r="G2773" s="16"/>
    </row>
    <row r="2774" spans="2:7" x14ac:dyDescent="0.25">
      <c r="B2774" s="38"/>
      <c r="C2774" s="14"/>
      <c r="D2774" s="14"/>
      <c r="E2774" s="14"/>
      <c r="F2774" s="14"/>
      <c r="G2774" s="16"/>
    </row>
    <row r="2775" spans="2:7" x14ac:dyDescent="0.25">
      <c r="B2775" s="38"/>
      <c r="C2775" s="14"/>
      <c r="D2775" s="14"/>
      <c r="E2775" s="14"/>
      <c r="F2775" s="14"/>
      <c r="G2775" s="16"/>
    </row>
    <row r="2776" spans="2:7" x14ac:dyDescent="0.25">
      <c r="B2776" s="38"/>
      <c r="C2776" s="14"/>
      <c r="D2776" s="14"/>
      <c r="E2776" s="14"/>
      <c r="F2776" s="14"/>
      <c r="G2776" s="16"/>
    </row>
    <row r="2777" spans="2:7" x14ac:dyDescent="0.25">
      <c r="B2777" s="38"/>
      <c r="C2777" s="14"/>
      <c r="D2777" s="14"/>
      <c r="E2777" s="14"/>
      <c r="F2777" s="14"/>
      <c r="G2777" s="16"/>
    </row>
    <row r="2778" spans="2:7" x14ac:dyDescent="0.25">
      <c r="B2778" s="38"/>
      <c r="C2778" s="14"/>
      <c r="D2778" s="14"/>
      <c r="E2778" s="14"/>
      <c r="F2778" s="14"/>
      <c r="G2778" s="16"/>
    </row>
    <row r="2779" spans="2:7" x14ac:dyDescent="0.25">
      <c r="B2779" s="38"/>
      <c r="C2779" s="14"/>
      <c r="D2779" s="14"/>
      <c r="E2779" s="14"/>
      <c r="F2779" s="14"/>
      <c r="G2779" s="16"/>
    </row>
    <row r="2780" spans="2:7" x14ac:dyDescent="0.25">
      <c r="B2780" s="38"/>
      <c r="C2780" s="14"/>
      <c r="D2780" s="14"/>
      <c r="E2780" s="14"/>
      <c r="F2780" s="14"/>
      <c r="G2780" s="16"/>
    </row>
    <row r="2781" spans="2:7" x14ac:dyDescent="0.25">
      <c r="B2781" s="38"/>
      <c r="C2781" s="14"/>
      <c r="D2781" s="14"/>
      <c r="E2781" s="14"/>
      <c r="F2781" s="14"/>
      <c r="G2781" s="16"/>
    </row>
    <row r="2782" spans="2:7" x14ac:dyDescent="0.25">
      <c r="B2782" s="38"/>
      <c r="C2782" s="14"/>
      <c r="D2782" s="14"/>
      <c r="E2782" s="14"/>
      <c r="F2782" s="14"/>
      <c r="G2782" s="16"/>
    </row>
    <row r="2783" spans="2:7" x14ac:dyDescent="0.25">
      <c r="B2783" s="38"/>
      <c r="C2783" s="14"/>
      <c r="D2783" s="14"/>
      <c r="E2783" s="14"/>
      <c r="F2783" s="14"/>
      <c r="G2783" s="16"/>
    </row>
    <row r="2784" spans="2:7" x14ac:dyDescent="0.25">
      <c r="B2784" s="38"/>
      <c r="C2784" s="14"/>
      <c r="D2784" s="14"/>
      <c r="E2784" s="14"/>
      <c r="F2784" s="14"/>
      <c r="G2784" s="16"/>
    </row>
    <row r="2785" spans="2:7" x14ac:dyDescent="0.25">
      <c r="B2785" s="38"/>
      <c r="C2785" s="14"/>
      <c r="D2785" s="14"/>
      <c r="E2785" s="14"/>
      <c r="F2785" s="14"/>
      <c r="G2785" s="16"/>
    </row>
    <row r="2786" spans="2:7" x14ac:dyDescent="0.25">
      <c r="B2786" s="38"/>
      <c r="C2786" s="14"/>
      <c r="D2786" s="14"/>
      <c r="E2786" s="14"/>
      <c r="F2786" s="14"/>
      <c r="G2786" s="16"/>
    </row>
    <row r="2787" spans="2:7" x14ac:dyDescent="0.25">
      <c r="B2787" s="38"/>
      <c r="C2787" s="14"/>
      <c r="D2787" s="14"/>
      <c r="E2787" s="14"/>
      <c r="F2787" s="14"/>
      <c r="G2787" s="16"/>
    </row>
    <row r="2788" spans="2:7" x14ac:dyDescent="0.25">
      <c r="B2788" s="38"/>
      <c r="C2788" s="14"/>
      <c r="D2788" s="14"/>
      <c r="E2788" s="14"/>
      <c r="F2788" s="14"/>
      <c r="G2788" s="16"/>
    </row>
    <row r="2789" spans="2:7" x14ac:dyDescent="0.25">
      <c r="B2789" s="38"/>
      <c r="C2789" s="14"/>
      <c r="D2789" s="14"/>
      <c r="E2789" s="14"/>
      <c r="F2789" s="14"/>
      <c r="G2789" s="16"/>
    </row>
    <row r="2790" spans="2:7" x14ac:dyDescent="0.25">
      <c r="B2790" s="38"/>
      <c r="C2790" s="14"/>
      <c r="D2790" s="14"/>
      <c r="E2790" s="14"/>
      <c r="F2790" s="14"/>
      <c r="G2790" s="16"/>
    </row>
    <row r="2791" spans="2:7" x14ac:dyDescent="0.25">
      <c r="B2791" s="38"/>
      <c r="C2791" s="14"/>
      <c r="D2791" s="14"/>
      <c r="E2791" s="14"/>
      <c r="F2791" s="14"/>
      <c r="G2791" s="16"/>
    </row>
    <row r="2792" spans="2:7" x14ac:dyDescent="0.25">
      <c r="B2792" s="38"/>
      <c r="C2792" s="14"/>
      <c r="D2792" s="14"/>
      <c r="E2792" s="14"/>
      <c r="F2792" s="14"/>
      <c r="G2792" s="16"/>
    </row>
    <row r="2793" spans="2:7" x14ac:dyDescent="0.25">
      <c r="B2793" s="38"/>
      <c r="C2793" s="14"/>
      <c r="D2793" s="14"/>
      <c r="E2793" s="14"/>
      <c r="F2793" s="14"/>
      <c r="G2793" s="16"/>
    </row>
    <row r="2794" spans="2:7" x14ac:dyDescent="0.25">
      <c r="B2794" s="38"/>
      <c r="C2794" s="14"/>
      <c r="D2794" s="14"/>
      <c r="E2794" s="14"/>
      <c r="F2794" s="14"/>
      <c r="G2794" s="16"/>
    </row>
    <row r="2795" spans="2:7" x14ac:dyDescent="0.25">
      <c r="B2795" s="38"/>
      <c r="C2795" s="14"/>
      <c r="D2795" s="14"/>
      <c r="E2795" s="14"/>
      <c r="F2795" s="14"/>
      <c r="G2795" s="16"/>
    </row>
    <row r="2796" spans="2:7" x14ac:dyDescent="0.25">
      <c r="B2796" s="38"/>
      <c r="C2796" s="14"/>
      <c r="D2796" s="14"/>
      <c r="E2796" s="14"/>
      <c r="F2796" s="14"/>
      <c r="G2796" s="16"/>
    </row>
    <row r="2797" spans="2:7" x14ac:dyDescent="0.25">
      <c r="B2797" s="38"/>
      <c r="C2797" s="14"/>
      <c r="D2797" s="14"/>
      <c r="E2797" s="14"/>
      <c r="F2797" s="14"/>
      <c r="G2797" s="16"/>
    </row>
    <row r="2798" spans="2:7" x14ac:dyDescent="0.25">
      <c r="B2798" s="38"/>
      <c r="C2798" s="14"/>
      <c r="D2798" s="14"/>
      <c r="E2798" s="14"/>
      <c r="F2798" s="14"/>
      <c r="G2798" s="16"/>
    </row>
    <row r="2799" spans="2:7" x14ac:dyDescent="0.25">
      <c r="B2799" s="38"/>
      <c r="C2799" s="14"/>
      <c r="D2799" s="14"/>
      <c r="E2799" s="14"/>
      <c r="F2799" s="14"/>
      <c r="G2799" s="16"/>
    </row>
    <row r="2800" spans="2:7" x14ac:dyDescent="0.25">
      <c r="B2800" s="38"/>
      <c r="C2800" s="14"/>
      <c r="D2800" s="14"/>
      <c r="E2800" s="14"/>
      <c r="F2800" s="14"/>
      <c r="G2800" s="16"/>
    </row>
    <row r="2801" spans="2:7" x14ac:dyDescent="0.25">
      <c r="B2801" s="38"/>
      <c r="C2801" s="14"/>
      <c r="D2801" s="14"/>
      <c r="E2801" s="14"/>
      <c r="F2801" s="14"/>
      <c r="G2801" s="16"/>
    </row>
    <row r="2802" spans="2:7" x14ac:dyDescent="0.25">
      <c r="B2802" s="38"/>
      <c r="C2802" s="14"/>
      <c r="D2802" s="14"/>
      <c r="E2802" s="14"/>
      <c r="F2802" s="14"/>
      <c r="G2802" s="16"/>
    </row>
    <row r="2803" spans="2:7" x14ac:dyDescent="0.25">
      <c r="B2803" s="38"/>
      <c r="C2803" s="14"/>
      <c r="D2803" s="14"/>
      <c r="E2803" s="14"/>
      <c r="F2803" s="14"/>
      <c r="G2803" s="16"/>
    </row>
    <row r="2804" spans="2:7" x14ac:dyDescent="0.25">
      <c r="B2804" s="38"/>
      <c r="C2804" s="14"/>
      <c r="D2804" s="14"/>
      <c r="E2804" s="14"/>
      <c r="F2804" s="14"/>
      <c r="G2804" s="16"/>
    </row>
    <row r="2805" spans="2:7" x14ac:dyDescent="0.25">
      <c r="B2805" s="38"/>
      <c r="C2805" s="14"/>
      <c r="D2805" s="14"/>
      <c r="E2805" s="14"/>
      <c r="F2805" s="14"/>
      <c r="G2805" s="16"/>
    </row>
    <row r="2806" spans="2:7" x14ac:dyDescent="0.25">
      <c r="B2806" s="38"/>
      <c r="C2806" s="14"/>
      <c r="D2806" s="14"/>
      <c r="E2806" s="14"/>
      <c r="F2806" s="14"/>
      <c r="G2806" s="16"/>
    </row>
    <row r="2807" spans="2:7" x14ac:dyDescent="0.25">
      <c r="B2807" s="38"/>
      <c r="C2807" s="14"/>
      <c r="D2807" s="14"/>
      <c r="E2807" s="14"/>
      <c r="F2807" s="14"/>
      <c r="G2807" s="16"/>
    </row>
    <row r="2808" spans="2:7" x14ac:dyDescent="0.25">
      <c r="B2808" s="38"/>
      <c r="C2808" s="14"/>
      <c r="D2808" s="14"/>
      <c r="E2808" s="14"/>
      <c r="F2808" s="14"/>
      <c r="G2808" s="16"/>
    </row>
    <row r="2809" spans="2:7" x14ac:dyDescent="0.25">
      <c r="B2809" s="38"/>
      <c r="C2809" s="14"/>
      <c r="D2809" s="14"/>
      <c r="E2809" s="14"/>
      <c r="F2809" s="14"/>
      <c r="G2809" s="16"/>
    </row>
    <row r="2810" spans="2:7" x14ac:dyDescent="0.25">
      <c r="B2810" s="38"/>
      <c r="C2810" s="14"/>
      <c r="D2810" s="14"/>
      <c r="E2810" s="14"/>
      <c r="F2810" s="14"/>
      <c r="G2810" s="16"/>
    </row>
    <row r="2811" spans="2:7" x14ac:dyDescent="0.25">
      <c r="B2811" s="38"/>
      <c r="C2811" s="14"/>
      <c r="D2811" s="14"/>
      <c r="E2811" s="14"/>
      <c r="F2811" s="14"/>
      <c r="G2811" s="16"/>
    </row>
    <row r="2812" spans="2:7" x14ac:dyDescent="0.25">
      <c r="B2812" s="38"/>
      <c r="C2812" s="14"/>
      <c r="D2812" s="14"/>
      <c r="E2812" s="14"/>
      <c r="F2812" s="14"/>
      <c r="G2812" s="16"/>
    </row>
    <row r="2813" spans="2:7" x14ac:dyDescent="0.25">
      <c r="B2813" s="38"/>
      <c r="C2813" s="14"/>
      <c r="D2813" s="14"/>
      <c r="E2813" s="14"/>
      <c r="F2813" s="14"/>
      <c r="G2813" s="16"/>
    </row>
    <row r="2814" spans="2:7" x14ac:dyDescent="0.25">
      <c r="B2814" s="38"/>
      <c r="C2814" s="14"/>
      <c r="D2814" s="14"/>
      <c r="E2814" s="14"/>
      <c r="F2814" s="14"/>
      <c r="G2814" s="16"/>
    </row>
    <row r="2815" spans="2:7" x14ac:dyDescent="0.25">
      <c r="B2815" s="38"/>
      <c r="C2815" s="14"/>
      <c r="D2815" s="14"/>
      <c r="E2815" s="14"/>
      <c r="F2815" s="14"/>
      <c r="G2815" s="16"/>
    </row>
    <row r="2816" spans="2:7" x14ac:dyDescent="0.25">
      <c r="B2816" s="38"/>
      <c r="C2816" s="14"/>
      <c r="D2816" s="14"/>
      <c r="E2816" s="14"/>
      <c r="F2816" s="14"/>
      <c r="G2816" s="16"/>
    </row>
    <row r="2817" spans="2:7" x14ac:dyDescent="0.25">
      <c r="B2817" s="38"/>
      <c r="C2817" s="14"/>
      <c r="D2817" s="14"/>
      <c r="E2817" s="14"/>
      <c r="F2817" s="14"/>
      <c r="G2817" s="16"/>
    </row>
    <row r="2818" spans="2:7" x14ac:dyDescent="0.25">
      <c r="B2818" s="38"/>
      <c r="C2818" s="14"/>
      <c r="D2818" s="14"/>
      <c r="E2818" s="14"/>
      <c r="F2818" s="14"/>
      <c r="G2818" s="16"/>
    </row>
    <row r="2819" spans="2:7" x14ac:dyDescent="0.25">
      <c r="B2819" s="38"/>
      <c r="C2819" s="14"/>
      <c r="D2819" s="14"/>
      <c r="E2819" s="14"/>
      <c r="F2819" s="14"/>
      <c r="G2819" s="16"/>
    </row>
    <row r="2820" spans="2:7" x14ac:dyDescent="0.25">
      <c r="B2820" s="38"/>
      <c r="C2820" s="14"/>
      <c r="D2820" s="14"/>
      <c r="E2820" s="14"/>
      <c r="F2820" s="14"/>
      <c r="G2820" s="16"/>
    </row>
    <row r="2821" spans="2:7" x14ac:dyDescent="0.25">
      <c r="B2821" s="38"/>
      <c r="C2821" s="14"/>
      <c r="D2821" s="14"/>
      <c r="E2821" s="14"/>
      <c r="F2821" s="14"/>
      <c r="G2821" s="16"/>
    </row>
    <row r="2822" spans="2:7" x14ac:dyDescent="0.25">
      <c r="B2822" s="38"/>
      <c r="C2822" s="14"/>
      <c r="D2822" s="14"/>
      <c r="E2822" s="14"/>
      <c r="F2822" s="14"/>
      <c r="G2822" s="16"/>
    </row>
    <row r="2823" spans="2:7" x14ac:dyDescent="0.25">
      <c r="B2823" s="38"/>
      <c r="C2823" s="14"/>
      <c r="D2823" s="14"/>
      <c r="E2823" s="14"/>
      <c r="F2823" s="14"/>
      <c r="G2823" s="16"/>
    </row>
    <row r="2824" spans="2:7" x14ac:dyDescent="0.25">
      <c r="B2824" s="38"/>
      <c r="C2824" s="14"/>
      <c r="D2824" s="14"/>
      <c r="E2824" s="14"/>
      <c r="F2824" s="14"/>
      <c r="G2824" s="16"/>
    </row>
    <row r="2825" spans="2:7" x14ac:dyDescent="0.25">
      <c r="B2825" s="38"/>
      <c r="C2825" s="14"/>
      <c r="D2825" s="14"/>
      <c r="E2825" s="14"/>
      <c r="F2825" s="14"/>
      <c r="G2825" s="16"/>
    </row>
    <row r="2826" spans="2:7" x14ac:dyDescent="0.25">
      <c r="B2826" s="38"/>
      <c r="C2826" s="14"/>
      <c r="D2826" s="14"/>
      <c r="E2826" s="14"/>
      <c r="F2826" s="14"/>
      <c r="G2826" s="16"/>
    </row>
    <row r="2827" spans="2:7" x14ac:dyDescent="0.25">
      <c r="B2827" s="38"/>
      <c r="C2827" s="14"/>
      <c r="D2827" s="14"/>
      <c r="E2827" s="14"/>
      <c r="F2827" s="14"/>
      <c r="G2827" s="16"/>
    </row>
    <row r="2828" spans="2:7" x14ac:dyDescent="0.25">
      <c r="B2828" s="38"/>
      <c r="C2828" s="14"/>
      <c r="D2828" s="14"/>
      <c r="E2828" s="14"/>
      <c r="F2828" s="14"/>
      <c r="G2828" s="16"/>
    </row>
    <row r="2829" spans="2:7" x14ac:dyDescent="0.25">
      <c r="B2829" s="38"/>
      <c r="C2829" s="14"/>
      <c r="D2829" s="14"/>
      <c r="E2829" s="14"/>
      <c r="F2829" s="14"/>
      <c r="G2829" s="16"/>
    </row>
    <row r="2830" spans="2:7" x14ac:dyDescent="0.25">
      <c r="B2830" s="38"/>
      <c r="C2830" s="14"/>
      <c r="D2830" s="14"/>
      <c r="E2830" s="14"/>
      <c r="F2830" s="14"/>
      <c r="G2830" s="16"/>
    </row>
    <row r="2831" spans="2:7" x14ac:dyDescent="0.25">
      <c r="B2831" s="38"/>
      <c r="C2831" s="14"/>
      <c r="D2831" s="14"/>
      <c r="E2831" s="14"/>
      <c r="F2831" s="14"/>
      <c r="G2831" s="16"/>
    </row>
    <row r="2832" spans="2:7" x14ac:dyDescent="0.25">
      <c r="B2832" s="38"/>
      <c r="C2832" s="14"/>
      <c r="D2832" s="14"/>
      <c r="E2832" s="14"/>
      <c r="F2832" s="14"/>
      <c r="G2832" s="16"/>
    </row>
    <row r="2833" spans="2:7" x14ac:dyDescent="0.25">
      <c r="B2833" s="38"/>
      <c r="C2833" s="14"/>
      <c r="D2833" s="14"/>
      <c r="E2833" s="14"/>
      <c r="F2833" s="14"/>
      <c r="G2833" s="16"/>
    </row>
    <row r="2834" spans="2:7" x14ac:dyDescent="0.25">
      <c r="B2834" s="38"/>
      <c r="C2834" s="14"/>
      <c r="D2834" s="14"/>
      <c r="E2834" s="14"/>
      <c r="F2834" s="14"/>
      <c r="G2834" s="16"/>
    </row>
    <row r="2835" spans="2:7" x14ac:dyDescent="0.25">
      <c r="B2835" s="38"/>
      <c r="C2835" s="14"/>
      <c r="D2835" s="14"/>
      <c r="E2835" s="14"/>
      <c r="F2835" s="14"/>
      <c r="G2835" s="16"/>
    </row>
    <row r="2836" spans="2:7" x14ac:dyDescent="0.25">
      <c r="B2836" s="38"/>
      <c r="C2836" s="14"/>
      <c r="D2836" s="14"/>
      <c r="E2836" s="14"/>
      <c r="F2836" s="14"/>
      <c r="G2836" s="16"/>
    </row>
    <row r="2837" spans="2:7" x14ac:dyDescent="0.25">
      <c r="B2837" s="38"/>
      <c r="C2837" s="14"/>
      <c r="D2837" s="14"/>
      <c r="E2837" s="14"/>
      <c r="F2837" s="14"/>
      <c r="G2837" s="16"/>
    </row>
    <row r="2838" spans="2:7" x14ac:dyDescent="0.25">
      <c r="B2838" s="38"/>
      <c r="C2838" s="14"/>
      <c r="D2838" s="14"/>
      <c r="E2838" s="14"/>
      <c r="F2838" s="14"/>
      <c r="G2838" s="16"/>
    </row>
    <row r="2839" spans="2:7" x14ac:dyDescent="0.25">
      <c r="B2839" s="38"/>
      <c r="C2839" s="14"/>
      <c r="D2839" s="14"/>
      <c r="E2839" s="14"/>
      <c r="F2839" s="14"/>
      <c r="G2839" s="16"/>
    </row>
    <row r="2840" spans="2:7" x14ac:dyDescent="0.25">
      <c r="B2840" s="38"/>
      <c r="C2840" s="14"/>
      <c r="D2840" s="14"/>
      <c r="E2840" s="14"/>
      <c r="F2840" s="14"/>
      <c r="G2840" s="16"/>
    </row>
    <row r="2841" spans="2:7" x14ac:dyDescent="0.25">
      <c r="B2841" s="38"/>
      <c r="C2841" s="14"/>
      <c r="D2841" s="14"/>
      <c r="E2841" s="14"/>
      <c r="F2841" s="14"/>
      <c r="G2841" s="16"/>
    </row>
    <row r="2842" spans="2:7" x14ac:dyDescent="0.25">
      <c r="B2842" s="38"/>
      <c r="C2842" s="14"/>
      <c r="D2842" s="14"/>
      <c r="E2842" s="14"/>
      <c r="F2842" s="14"/>
      <c r="G2842" s="16"/>
    </row>
    <row r="2843" spans="2:7" x14ac:dyDescent="0.25">
      <c r="B2843" s="38"/>
      <c r="C2843" s="14"/>
      <c r="D2843" s="14"/>
      <c r="E2843" s="14"/>
      <c r="F2843" s="14"/>
      <c r="G2843" s="16"/>
    </row>
    <row r="2844" spans="2:7" x14ac:dyDescent="0.25">
      <c r="B2844" s="38"/>
      <c r="C2844" s="14"/>
      <c r="D2844" s="14"/>
      <c r="E2844" s="14"/>
      <c r="F2844" s="14"/>
      <c r="G2844" s="16"/>
    </row>
    <row r="2845" spans="2:7" x14ac:dyDescent="0.25">
      <c r="B2845" s="38"/>
      <c r="C2845" s="14"/>
      <c r="D2845" s="14"/>
      <c r="E2845" s="14"/>
      <c r="F2845" s="14"/>
      <c r="G2845" s="16"/>
    </row>
    <row r="2846" spans="2:7" x14ac:dyDescent="0.25">
      <c r="B2846" s="38"/>
      <c r="C2846" s="14"/>
      <c r="D2846" s="14"/>
      <c r="E2846" s="14"/>
      <c r="F2846" s="14"/>
      <c r="G2846" s="16"/>
    </row>
    <row r="2847" spans="2:7" x14ac:dyDescent="0.25">
      <c r="B2847" s="38"/>
      <c r="C2847" s="14"/>
      <c r="D2847" s="14"/>
      <c r="E2847" s="14"/>
      <c r="F2847" s="14"/>
      <c r="G2847" s="16"/>
    </row>
    <row r="2848" spans="2:7" x14ac:dyDescent="0.25">
      <c r="B2848" s="38"/>
      <c r="C2848" s="14"/>
      <c r="D2848" s="14"/>
      <c r="E2848" s="14"/>
      <c r="F2848" s="14"/>
      <c r="G2848" s="16"/>
    </row>
    <row r="2849" spans="2:7" x14ac:dyDescent="0.25">
      <c r="B2849" s="38"/>
      <c r="C2849" s="14"/>
      <c r="D2849" s="14"/>
      <c r="E2849" s="14"/>
      <c r="F2849" s="14"/>
      <c r="G2849" s="16"/>
    </row>
    <row r="2850" spans="2:7" x14ac:dyDescent="0.25">
      <c r="B2850" s="38"/>
      <c r="C2850" s="14"/>
      <c r="D2850" s="14"/>
      <c r="E2850" s="14"/>
      <c r="F2850" s="14"/>
      <c r="G2850" s="16"/>
    </row>
    <row r="2851" spans="2:7" x14ac:dyDescent="0.25">
      <c r="B2851" s="38"/>
      <c r="C2851" s="14"/>
      <c r="D2851" s="14"/>
      <c r="E2851" s="14"/>
      <c r="F2851" s="14"/>
      <c r="G2851" s="16"/>
    </row>
    <row r="2852" spans="2:7" x14ac:dyDescent="0.25">
      <c r="B2852" s="38"/>
      <c r="C2852" s="14"/>
      <c r="D2852" s="14"/>
      <c r="E2852" s="14"/>
      <c r="F2852" s="14"/>
      <c r="G2852" s="16"/>
    </row>
    <row r="2853" spans="2:7" x14ac:dyDescent="0.25">
      <c r="B2853" s="38"/>
      <c r="C2853" s="14"/>
      <c r="D2853" s="14"/>
      <c r="E2853" s="14"/>
      <c r="F2853" s="14"/>
      <c r="G2853" s="16"/>
    </row>
    <row r="2854" spans="2:7" x14ac:dyDescent="0.25">
      <c r="B2854" s="38"/>
      <c r="C2854" s="14"/>
      <c r="D2854" s="14"/>
      <c r="E2854" s="14"/>
      <c r="F2854" s="14"/>
      <c r="G2854" s="16"/>
    </row>
    <row r="2855" spans="2:7" x14ac:dyDescent="0.25">
      <c r="B2855" s="38"/>
      <c r="C2855" s="14"/>
      <c r="D2855" s="14"/>
      <c r="E2855" s="14"/>
      <c r="F2855" s="14"/>
      <c r="G2855" s="16"/>
    </row>
    <row r="2856" spans="2:7" x14ac:dyDescent="0.25">
      <c r="B2856" s="38"/>
      <c r="C2856" s="14"/>
      <c r="D2856" s="14"/>
      <c r="E2856" s="14"/>
      <c r="F2856" s="14"/>
      <c r="G2856" s="16"/>
    </row>
    <row r="2857" spans="2:7" x14ac:dyDescent="0.25">
      <c r="B2857" s="38"/>
      <c r="C2857" s="14"/>
      <c r="D2857" s="14"/>
      <c r="E2857" s="14"/>
      <c r="F2857" s="14"/>
      <c r="G2857" s="16"/>
    </row>
    <row r="2858" spans="2:7" x14ac:dyDescent="0.25">
      <c r="B2858" s="38"/>
      <c r="C2858" s="14"/>
      <c r="D2858" s="14"/>
      <c r="E2858" s="14"/>
      <c r="F2858" s="14"/>
      <c r="G2858" s="16"/>
    </row>
    <row r="2859" spans="2:7" x14ac:dyDescent="0.25">
      <c r="B2859" s="38"/>
      <c r="C2859" s="14"/>
      <c r="D2859" s="14"/>
      <c r="E2859" s="14"/>
      <c r="F2859" s="14"/>
      <c r="G2859" s="16"/>
    </row>
    <row r="2860" spans="2:7" x14ac:dyDescent="0.25">
      <c r="B2860" s="38"/>
      <c r="C2860" s="14"/>
      <c r="D2860" s="14"/>
      <c r="E2860" s="14"/>
      <c r="F2860" s="14"/>
      <c r="G2860" s="16"/>
    </row>
    <row r="2861" spans="2:7" x14ac:dyDescent="0.25">
      <c r="B2861" s="38"/>
      <c r="C2861" s="14"/>
      <c r="D2861" s="14"/>
      <c r="E2861" s="14"/>
      <c r="F2861" s="14"/>
      <c r="G2861" s="16"/>
    </row>
    <row r="2862" spans="2:7" x14ac:dyDescent="0.25">
      <c r="B2862" s="38"/>
      <c r="C2862" s="14"/>
      <c r="D2862" s="14"/>
      <c r="E2862" s="14"/>
      <c r="F2862" s="14"/>
      <c r="G2862" s="16"/>
    </row>
    <row r="2863" spans="2:7" x14ac:dyDescent="0.25">
      <c r="B2863" s="38"/>
      <c r="C2863" s="14"/>
      <c r="D2863" s="14"/>
      <c r="E2863" s="14"/>
      <c r="F2863" s="14"/>
      <c r="G2863" s="16"/>
    </row>
    <row r="2864" spans="2:7" x14ac:dyDescent="0.25">
      <c r="B2864" s="38"/>
      <c r="C2864" s="14"/>
      <c r="D2864" s="14"/>
      <c r="E2864" s="14"/>
      <c r="F2864" s="14"/>
      <c r="G2864" s="16"/>
    </row>
    <row r="2865" spans="2:7" x14ac:dyDescent="0.25">
      <c r="B2865" s="38"/>
      <c r="C2865" s="14"/>
      <c r="D2865" s="14"/>
      <c r="E2865" s="14"/>
      <c r="F2865" s="14"/>
      <c r="G2865" s="16"/>
    </row>
    <row r="2866" spans="2:7" x14ac:dyDescent="0.25">
      <c r="B2866" s="38"/>
      <c r="C2866" s="14"/>
      <c r="D2866" s="14"/>
      <c r="E2866" s="14"/>
      <c r="F2866" s="14"/>
      <c r="G2866" s="16"/>
    </row>
    <row r="2867" spans="2:7" x14ac:dyDescent="0.25">
      <c r="B2867" s="38"/>
      <c r="C2867" s="14"/>
      <c r="D2867" s="14"/>
      <c r="E2867" s="14"/>
      <c r="F2867" s="14"/>
      <c r="G2867" s="16"/>
    </row>
    <row r="2868" spans="2:7" x14ac:dyDescent="0.25">
      <c r="B2868" s="38"/>
      <c r="C2868" s="14"/>
      <c r="D2868" s="14"/>
      <c r="E2868" s="14"/>
      <c r="F2868" s="14"/>
      <c r="G2868" s="16"/>
    </row>
    <row r="2869" spans="2:7" x14ac:dyDescent="0.25">
      <c r="B2869" s="38"/>
      <c r="C2869" s="14"/>
      <c r="D2869" s="14"/>
      <c r="E2869" s="14"/>
      <c r="F2869" s="14"/>
      <c r="G2869" s="16"/>
    </row>
    <row r="2870" spans="2:7" x14ac:dyDescent="0.25">
      <c r="B2870" s="38"/>
      <c r="C2870" s="14"/>
      <c r="D2870" s="14"/>
      <c r="E2870" s="14"/>
      <c r="F2870" s="14"/>
      <c r="G2870" s="16"/>
    </row>
    <row r="2871" spans="2:7" x14ac:dyDescent="0.25">
      <c r="B2871" s="38"/>
      <c r="C2871" s="14"/>
      <c r="D2871" s="14"/>
      <c r="E2871" s="14"/>
      <c r="F2871" s="14"/>
      <c r="G2871" s="16"/>
    </row>
    <row r="2872" spans="2:7" x14ac:dyDescent="0.25">
      <c r="B2872" s="38"/>
      <c r="C2872" s="14"/>
      <c r="D2872" s="14"/>
      <c r="E2872" s="14"/>
      <c r="F2872" s="14"/>
      <c r="G2872" s="16"/>
    </row>
    <row r="2873" spans="2:7" x14ac:dyDescent="0.25">
      <c r="B2873" s="38"/>
      <c r="C2873" s="14"/>
      <c r="D2873" s="14"/>
      <c r="E2873" s="14"/>
      <c r="F2873" s="14"/>
      <c r="G2873" s="16"/>
    </row>
    <row r="2874" spans="2:7" x14ac:dyDescent="0.25">
      <c r="B2874" s="38"/>
      <c r="C2874" s="14"/>
      <c r="D2874" s="14"/>
      <c r="E2874" s="14"/>
      <c r="F2874" s="14"/>
      <c r="G2874" s="16"/>
    </row>
    <row r="2875" spans="2:7" x14ac:dyDescent="0.25">
      <c r="B2875" s="38"/>
      <c r="C2875" s="14"/>
      <c r="D2875" s="14"/>
      <c r="E2875" s="14"/>
      <c r="F2875" s="14"/>
      <c r="G2875" s="16"/>
    </row>
    <row r="2876" spans="2:7" x14ac:dyDescent="0.25">
      <c r="B2876" s="38"/>
      <c r="C2876" s="14"/>
      <c r="D2876" s="14"/>
      <c r="E2876" s="14"/>
      <c r="F2876" s="14"/>
      <c r="G2876" s="16"/>
    </row>
    <row r="2877" spans="2:7" x14ac:dyDescent="0.25">
      <c r="B2877" s="38"/>
      <c r="C2877" s="14"/>
      <c r="D2877" s="14"/>
      <c r="E2877" s="14"/>
      <c r="F2877" s="14"/>
      <c r="G2877" s="16"/>
    </row>
    <row r="2878" spans="2:7" x14ac:dyDescent="0.25">
      <c r="B2878" s="38"/>
      <c r="C2878" s="14"/>
      <c r="D2878" s="14"/>
      <c r="E2878" s="14"/>
      <c r="F2878" s="14"/>
      <c r="G2878" s="16"/>
    </row>
    <row r="2879" spans="2:7" x14ac:dyDescent="0.25">
      <c r="B2879" s="38"/>
      <c r="C2879" s="14"/>
      <c r="D2879" s="14"/>
      <c r="E2879" s="14"/>
      <c r="F2879" s="14"/>
      <c r="G2879" s="16"/>
    </row>
    <row r="2880" spans="2:7" x14ac:dyDescent="0.25">
      <c r="B2880" s="38"/>
      <c r="C2880" s="14"/>
      <c r="D2880" s="14"/>
      <c r="E2880" s="14"/>
      <c r="F2880" s="14"/>
      <c r="G2880" s="16"/>
    </row>
    <row r="2881" spans="2:7" x14ac:dyDescent="0.25">
      <c r="B2881" s="38"/>
      <c r="C2881" s="14"/>
      <c r="D2881" s="14"/>
      <c r="E2881" s="14"/>
      <c r="F2881" s="14"/>
      <c r="G2881" s="16"/>
    </row>
    <row r="2882" spans="2:7" x14ac:dyDescent="0.25">
      <c r="B2882" s="38"/>
      <c r="C2882" s="14"/>
      <c r="D2882" s="14"/>
      <c r="E2882" s="14"/>
      <c r="F2882" s="14"/>
      <c r="G2882" s="16"/>
    </row>
    <row r="2883" spans="2:7" x14ac:dyDescent="0.25">
      <c r="B2883" s="38"/>
      <c r="C2883" s="14"/>
      <c r="D2883" s="14"/>
      <c r="E2883" s="14"/>
      <c r="F2883" s="14"/>
      <c r="G2883" s="16"/>
    </row>
    <row r="2884" spans="2:7" x14ac:dyDescent="0.25">
      <c r="B2884" s="38"/>
      <c r="C2884" s="14"/>
      <c r="D2884" s="14"/>
      <c r="E2884" s="14"/>
      <c r="F2884" s="14"/>
      <c r="G2884" s="16"/>
    </row>
    <row r="2885" spans="2:7" x14ac:dyDescent="0.25">
      <c r="B2885" s="38"/>
      <c r="C2885" s="14"/>
      <c r="D2885" s="14"/>
      <c r="E2885" s="14"/>
      <c r="F2885" s="14"/>
      <c r="G2885" s="16"/>
    </row>
    <row r="2886" spans="2:7" x14ac:dyDescent="0.25">
      <c r="B2886" s="38"/>
      <c r="C2886" s="14"/>
      <c r="D2886" s="14"/>
      <c r="E2886" s="14"/>
      <c r="F2886" s="14"/>
      <c r="G2886" s="16"/>
    </row>
    <row r="2887" spans="2:7" x14ac:dyDescent="0.25">
      <c r="B2887" s="38"/>
      <c r="C2887" s="14"/>
      <c r="D2887" s="14"/>
      <c r="E2887" s="14"/>
      <c r="F2887" s="14"/>
      <c r="G2887" s="16"/>
    </row>
    <row r="2888" spans="2:7" x14ac:dyDescent="0.25">
      <c r="B2888" s="38"/>
      <c r="C2888" s="14"/>
      <c r="D2888" s="14"/>
      <c r="E2888" s="14"/>
      <c r="F2888" s="14"/>
      <c r="G2888" s="16"/>
    </row>
    <row r="2889" spans="2:7" x14ac:dyDescent="0.25">
      <c r="B2889" s="38"/>
      <c r="C2889" s="14"/>
      <c r="D2889" s="14"/>
      <c r="E2889" s="14"/>
      <c r="F2889" s="14"/>
      <c r="G2889" s="16"/>
    </row>
    <row r="2890" spans="2:7" x14ac:dyDescent="0.25">
      <c r="B2890" s="38"/>
      <c r="C2890" s="14"/>
      <c r="D2890" s="14"/>
      <c r="E2890" s="14"/>
      <c r="F2890" s="14"/>
      <c r="G2890" s="16"/>
    </row>
    <row r="2891" spans="2:7" x14ac:dyDescent="0.25">
      <c r="B2891" s="38"/>
      <c r="C2891" s="14"/>
      <c r="D2891" s="14"/>
      <c r="E2891" s="14"/>
      <c r="F2891" s="14"/>
      <c r="G2891" s="16"/>
    </row>
    <row r="2892" spans="2:7" x14ac:dyDescent="0.25">
      <c r="B2892" s="38"/>
      <c r="C2892" s="14"/>
      <c r="D2892" s="14"/>
      <c r="E2892" s="14"/>
      <c r="F2892" s="14"/>
      <c r="G2892" s="16"/>
    </row>
    <row r="2893" spans="2:7" x14ac:dyDescent="0.25">
      <c r="B2893" s="38"/>
      <c r="C2893" s="14"/>
      <c r="D2893" s="14"/>
      <c r="E2893" s="14"/>
      <c r="F2893" s="14"/>
      <c r="G2893" s="16"/>
    </row>
    <row r="2894" spans="2:7" x14ac:dyDescent="0.25">
      <c r="B2894" s="38"/>
      <c r="C2894" s="14"/>
      <c r="D2894" s="14"/>
      <c r="E2894" s="14"/>
      <c r="F2894" s="14"/>
      <c r="G2894" s="16"/>
    </row>
    <row r="2895" spans="2:7" x14ac:dyDescent="0.25">
      <c r="B2895" s="38"/>
      <c r="C2895" s="14"/>
      <c r="D2895" s="14"/>
      <c r="E2895" s="14"/>
      <c r="F2895" s="14"/>
      <c r="G2895" s="16"/>
    </row>
    <row r="2896" spans="2:7" x14ac:dyDescent="0.25">
      <c r="B2896" s="38"/>
      <c r="C2896" s="14"/>
      <c r="D2896" s="14"/>
      <c r="E2896" s="14"/>
      <c r="F2896" s="14"/>
      <c r="G2896" s="16"/>
    </row>
    <row r="2897" spans="2:7" x14ac:dyDescent="0.25">
      <c r="B2897" s="38"/>
      <c r="C2897" s="14"/>
      <c r="D2897" s="14"/>
      <c r="E2897" s="14"/>
      <c r="F2897" s="14"/>
      <c r="G2897" s="16"/>
    </row>
    <row r="2898" spans="2:7" x14ac:dyDescent="0.25">
      <c r="B2898" s="38"/>
      <c r="C2898" s="14"/>
      <c r="D2898" s="14"/>
      <c r="E2898" s="14"/>
      <c r="F2898" s="14"/>
      <c r="G2898" s="16"/>
    </row>
    <row r="2899" spans="2:7" x14ac:dyDescent="0.25">
      <c r="B2899" s="38"/>
      <c r="C2899" s="14"/>
      <c r="D2899" s="14"/>
      <c r="E2899" s="14"/>
      <c r="F2899" s="14"/>
      <c r="G2899" s="16"/>
    </row>
    <row r="2900" spans="2:7" x14ac:dyDescent="0.25">
      <c r="B2900" s="38"/>
      <c r="C2900" s="14"/>
      <c r="D2900" s="14"/>
      <c r="E2900" s="14"/>
      <c r="F2900" s="14"/>
      <c r="G2900" s="16"/>
    </row>
    <row r="2901" spans="2:7" x14ac:dyDescent="0.25">
      <c r="B2901" s="38"/>
      <c r="C2901" s="14"/>
      <c r="D2901" s="14"/>
      <c r="E2901" s="14"/>
      <c r="F2901" s="14"/>
      <c r="G2901" s="16"/>
    </row>
    <row r="2902" spans="2:7" x14ac:dyDescent="0.25">
      <c r="B2902" s="38"/>
      <c r="C2902" s="14"/>
      <c r="D2902" s="14"/>
      <c r="E2902" s="14"/>
      <c r="F2902" s="14"/>
      <c r="G2902" s="16"/>
    </row>
    <row r="2903" spans="2:7" x14ac:dyDescent="0.25">
      <c r="B2903" s="38"/>
      <c r="C2903" s="14"/>
      <c r="D2903" s="14"/>
      <c r="E2903" s="14"/>
      <c r="F2903" s="14"/>
      <c r="G2903" s="16"/>
    </row>
    <row r="2904" spans="2:7" x14ac:dyDescent="0.25">
      <c r="B2904" s="38"/>
      <c r="C2904" s="14"/>
      <c r="D2904" s="14"/>
      <c r="E2904" s="14"/>
      <c r="F2904" s="14"/>
      <c r="G2904" s="16"/>
    </row>
    <row r="2905" spans="2:7" x14ac:dyDescent="0.25">
      <c r="B2905" s="38"/>
      <c r="C2905" s="14"/>
      <c r="D2905" s="14"/>
      <c r="E2905" s="14"/>
      <c r="F2905" s="14"/>
      <c r="G2905" s="16"/>
    </row>
    <row r="2906" spans="2:7" x14ac:dyDescent="0.25">
      <c r="B2906" s="38"/>
      <c r="C2906" s="14"/>
      <c r="D2906" s="14"/>
      <c r="E2906" s="14"/>
      <c r="F2906" s="14"/>
      <c r="G2906" s="16"/>
    </row>
    <row r="2907" spans="2:7" x14ac:dyDescent="0.25">
      <c r="B2907" s="38"/>
      <c r="C2907" s="14"/>
      <c r="D2907" s="14"/>
      <c r="E2907" s="14"/>
      <c r="F2907" s="14"/>
      <c r="G2907" s="16"/>
    </row>
    <row r="2908" spans="2:7" x14ac:dyDescent="0.25">
      <c r="B2908" s="38"/>
      <c r="C2908" s="14"/>
      <c r="D2908" s="14"/>
      <c r="E2908" s="14"/>
      <c r="F2908" s="14"/>
      <c r="G2908" s="16"/>
    </row>
    <row r="2909" spans="2:7" x14ac:dyDescent="0.25">
      <c r="B2909" s="38"/>
      <c r="C2909" s="14"/>
      <c r="D2909" s="14"/>
      <c r="E2909" s="14"/>
      <c r="F2909" s="14"/>
      <c r="G2909" s="16"/>
    </row>
    <row r="2910" spans="2:7" x14ac:dyDescent="0.25">
      <c r="B2910" s="38"/>
      <c r="C2910" s="14"/>
      <c r="D2910" s="14"/>
      <c r="E2910" s="14"/>
      <c r="F2910" s="14"/>
      <c r="G2910" s="16"/>
    </row>
    <row r="2911" spans="2:7" x14ac:dyDescent="0.25">
      <c r="B2911" s="38"/>
      <c r="C2911" s="14"/>
      <c r="D2911" s="14"/>
      <c r="E2911" s="14"/>
      <c r="F2911" s="14"/>
      <c r="G2911" s="16"/>
    </row>
    <row r="2912" spans="2:7" x14ac:dyDescent="0.25">
      <c r="B2912" s="38"/>
      <c r="C2912" s="14"/>
      <c r="D2912" s="14"/>
      <c r="E2912" s="14"/>
      <c r="F2912" s="14"/>
      <c r="G2912" s="16"/>
    </row>
    <row r="2913" spans="2:7" x14ac:dyDescent="0.25">
      <c r="B2913" s="38"/>
      <c r="C2913" s="14"/>
      <c r="D2913" s="14"/>
      <c r="E2913" s="14"/>
      <c r="F2913" s="14"/>
      <c r="G2913" s="16"/>
    </row>
    <row r="2914" spans="2:7" x14ac:dyDescent="0.25">
      <c r="B2914" s="38"/>
      <c r="C2914" s="14"/>
      <c r="D2914" s="14"/>
      <c r="E2914" s="14"/>
      <c r="F2914" s="14"/>
      <c r="G2914" s="16"/>
    </row>
    <row r="2915" spans="2:7" x14ac:dyDescent="0.25">
      <c r="B2915" s="38"/>
      <c r="C2915" s="14"/>
      <c r="D2915" s="14"/>
      <c r="E2915" s="14"/>
      <c r="F2915" s="14"/>
      <c r="G2915" s="16"/>
    </row>
    <row r="2916" spans="2:7" x14ac:dyDescent="0.25">
      <c r="B2916" s="38"/>
      <c r="C2916" s="14"/>
      <c r="D2916" s="14"/>
      <c r="E2916" s="14"/>
      <c r="F2916" s="14"/>
      <c r="G2916" s="16"/>
    </row>
    <row r="2917" spans="2:7" x14ac:dyDescent="0.25">
      <c r="B2917" s="38"/>
      <c r="C2917" s="14"/>
      <c r="D2917" s="14"/>
      <c r="E2917" s="14"/>
      <c r="F2917" s="14"/>
      <c r="G2917" s="16"/>
    </row>
    <row r="2918" spans="2:7" x14ac:dyDescent="0.25">
      <c r="B2918" s="38"/>
      <c r="C2918" s="14"/>
      <c r="D2918" s="14"/>
      <c r="E2918" s="14"/>
      <c r="F2918" s="14"/>
      <c r="G2918" s="16"/>
    </row>
    <row r="2919" spans="2:7" x14ac:dyDescent="0.25">
      <c r="B2919" s="38"/>
      <c r="C2919" s="14"/>
      <c r="D2919" s="14"/>
      <c r="E2919" s="14"/>
      <c r="F2919" s="14"/>
      <c r="G2919" s="16"/>
    </row>
    <row r="2920" spans="2:7" x14ac:dyDescent="0.25">
      <c r="B2920" s="38"/>
      <c r="C2920" s="14"/>
      <c r="D2920" s="14"/>
      <c r="E2920" s="14"/>
      <c r="F2920" s="14"/>
      <c r="G2920" s="16"/>
    </row>
    <row r="2921" spans="2:7" x14ac:dyDescent="0.25">
      <c r="B2921" s="38"/>
      <c r="C2921" s="14"/>
      <c r="D2921" s="14"/>
      <c r="E2921" s="14"/>
      <c r="F2921" s="14"/>
      <c r="G2921" s="16"/>
    </row>
    <row r="2922" spans="2:7" x14ac:dyDescent="0.25">
      <c r="B2922" s="38"/>
      <c r="C2922" s="14"/>
      <c r="D2922" s="14"/>
      <c r="E2922" s="14"/>
      <c r="F2922" s="14"/>
      <c r="G2922" s="16"/>
    </row>
    <row r="2923" spans="2:7" x14ac:dyDescent="0.25">
      <c r="B2923" s="38"/>
      <c r="C2923" s="14"/>
      <c r="D2923" s="14"/>
      <c r="E2923" s="14"/>
      <c r="F2923" s="14"/>
      <c r="G2923" s="16"/>
    </row>
    <row r="2924" spans="2:7" x14ac:dyDescent="0.25">
      <c r="B2924" s="38"/>
      <c r="C2924" s="14"/>
      <c r="D2924" s="14"/>
      <c r="E2924" s="14"/>
      <c r="F2924" s="14"/>
      <c r="G2924" s="16"/>
    </row>
    <row r="2925" spans="2:7" x14ac:dyDescent="0.25">
      <c r="B2925" s="38"/>
      <c r="C2925" s="14"/>
      <c r="D2925" s="14"/>
      <c r="E2925" s="14"/>
      <c r="F2925" s="14"/>
      <c r="G2925" s="16"/>
    </row>
    <row r="2926" spans="2:7" x14ac:dyDescent="0.25">
      <c r="B2926" s="38"/>
      <c r="C2926" s="14"/>
      <c r="D2926" s="14"/>
      <c r="E2926" s="14"/>
      <c r="F2926" s="14"/>
      <c r="G2926" s="16"/>
    </row>
    <row r="2927" spans="2:7" x14ac:dyDescent="0.25">
      <c r="B2927" s="38"/>
      <c r="C2927" s="14"/>
      <c r="D2927" s="14"/>
      <c r="E2927" s="14"/>
      <c r="F2927" s="14"/>
      <c r="G2927" s="16"/>
    </row>
    <row r="2928" spans="2:7" x14ac:dyDescent="0.25">
      <c r="B2928" s="38"/>
      <c r="C2928" s="14"/>
      <c r="D2928" s="14"/>
      <c r="E2928" s="14"/>
      <c r="F2928" s="14"/>
      <c r="G2928" s="16"/>
    </row>
    <row r="2929" spans="2:7" x14ac:dyDescent="0.25">
      <c r="B2929" s="38"/>
      <c r="C2929" s="14"/>
      <c r="D2929" s="14"/>
      <c r="E2929" s="14"/>
      <c r="F2929" s="14"/>
      <c r="G2929" s="16"/>
    </row>
    <row r="2930" spans="2:7" x14ac:dyDescent="0.25">
      <c r="B2930" s="38"/>
      <c r="C2930" s="14"/>
      <c r="D2930" s="14"/>
      <c r="E2930" s="14"/>
      <c r="F2930" s="14"/>
      <c r="G2930" s="16"/>
    </row>
    <row r="2931" spans="2:7" x14ac:dyDescent="0.25">
      <c r="B2931" s="38"/>
      <c r="C2931" s="14"/>
      <c r="D2931" s="14"/>
      <c r="E2931" s="14"/>
      <c r="F2931" s="14"/>
      <c r="G2931" s="16"/>
    </row>
    <row r="2932" spans="2:7" x14ac:dyDescent="0.25">
      <c r="B2932" s="38"/>
      <c r="C2932" s="14"/>
      <c r="D2932" s="14"/>
      <c r="E2932" s="14"/>
      <c r="F2932" s="14"/>
      <c r="G2932" s="16"/>
    </row>
    <row r="2933" spans="2:7" x14ac:dyDescent="0.25">
      <c r="B2933" s="38"/>
      <c r="C2933" s="14"/>
      <c r="D2933" s="14"/>
      <c r="E2933" s="14"/>
      <c r="F2933" s="14"/>
      <c r="G2933" s="16"/>
    </row>
    <row r="2934" spans="2:7" x14ac:dyDescent="0.25">
      <c r="B2934" s="38"/>
      <c r="C2934" s="14"/>
      <c r="D2934" s="14"/>
      <c r="E2934" s="14"/>
      <c r="F2934" s="14"/>
      <c r="G2934" s="16"/>
    </row>
    <row r="2935" spans="2:7" x14ac:dyDescent="0.25">
      <c r="B2935" s="38"/>
      <c r="C2935" s="14"/>
      <c r="D2935" s="14"/>
      <c r="E2935" s="14"/>
      <c r="F2935" s="14"/>
      <c r="G2935" s="16"/>
    </row>
    <row r="2936" spans="2:7" x14ac:dyDescent="0.25">
      <c r="B2936" s="38"/>
      <c r="C2936" s="14"/>
      <c r="D2936" s="14"/>
      <c r="E2936" s="14"/>
      <c r="F2936" s="14"/>
      <c r="G2936" s="16"/>
    </row>
    <row r="2937" spans="2:7" x14ac:dyDescent="0.25">
      <c r="B2937" s="38"/>
      <c r="C2937" s="14"/>
      <c r="D2937" s="14"/>
      <c r="E2937" s="14"/>
      <c r="F2937" s="14"/>
      <c r="G2937" s="16"/>
    </row>
    <row r="2938" spans="2:7" x14ac:dyDescent="0.25">
      <c r="B2938" s="38"/>
      <c r="C2938" s="14"/>
      <c r="D2938" s="14"/>
      <c r="E2938" s="14"/>
      <c r="F2938" s="14"/>
      <c r="G2938" s="16"/>
    </row>
    <row r="2939" spans="2:7" x14ac:dyDescent="0.25">
      <c r="B2939" s="38"/>
      <c r="C2939" s="14"/>
      <c r="D2939" s="14"/>
      <c r="E2939" s="14"/>
      <c r="F2939" s="14"/>
      <c r="G2939" s="16"/>
    </row>
    <row r="2940" spans="2:7" x14ac:dyDescent="0.25">
      <c r="B2940" s="38"/>
      <c r="C2940" s="14"/>
      <c r="D2940" s="14"/>
      <c r="E2940" s="14"/>
      <c r="F2940" s="14"/>
      <c r="G2940" s="16"/>
    </row>
    <row r="2941" spans="2:7" x14ac:dyDescent="0.25">
      <c r="B2941" s="38"/>
      <c r="C2941" s="14"/>
      <c r="D2941" s="14"/>
      <c r="E2941" s="14"/>
      <c r="F2941" s="14"/>
      <c r="G2941" s="16"/>
    </row>
    <row r="2942" spans="2:7" x14ac:dyDescent="0.25">
      <c r="B2942" s="38"/>
      <c r="C2942" s="14"/>
      <c r="D2942" s="14"/>
      <c r="E2942" s="14"/>
      <c r="F2942" s="14"/>
      <c r="G2942" s="16"/>
    </row>
    <row r="2943" spans="2:7" x14ac:dyDescent="0.25">
      <c r="B2943" s="38"/>
      <c r="C2943" s="14"/>
      <c r="D2943" s="14"/>
      <c r="E2943" s="14"/>
      <c r="F2943" s="14"/>
      <c r="G2943" s="16"/>
    </row>
    <row r="2944" spans="2:7" x14ac:dyDescent="0.25">
      <c r="B2944" s="38"/>
      <c r="C2944" s="14"/>
      <c r="D2944" s="14"/>
      <c r="E2944" s="14"/>
      <c r="F2944" s="14"/>
      <c r="G2944" s="16"/>
    </row>
    <row r="2945" spans="2:7" x14ac:dyDescent="0.25">
      <c r="B2945" s="38"/>
      <c r="C2945" s="14"/>
      <c r="D2945" s="14"/>
      <c r="E2945" s="14"/>
      <c r="F2945" s="14"/>
      <c r="G2945" s="16"/>
    </row>
    <row r="2946" spans="2:7" x14ac:dyDescent="0.25">
      <c r="B2946" s="38"/>
      <c r="C2946" s="14"/>
      <c r="D2946" s="14"/>
      <c r="E2946" s="14"/>
      <c r="F2946" s="14"/>
      <c r="G2946" s="16"/>
    </row>
    <row r="2947" spans="2:7" x14ac:dyDescent="0.25">
      <c r="B2947" s="38"/>
      <c r="C2947" s="14"/>
      <c r="D2947" s="14"/>
      <c r="E2947" s="14"/>
      <c r="F2947" s="14"/>
      <c r="G2947" s="16"/>
    </row>
    <row r="2948" spans="2:7" x14ac:dyDescent="0.25">
      <c r="B2948" s="38"/>
      <c r="C2948" s="14"/>
      <c r="D2948" s="14"/>
      <c r="E2948" s="14"/>
      <c r="F2948" s="14"/>
      <c r="G2948" s="16"/>
    </row>
    <row r="2949" spans="2:7" x14ac:dyDescent="0.25">
      <c r="B2949" s="38"/>
      <c r="C2949" s="14"/>
      <c r="D2949" s="14"/>
      <c r="E2949" s="14"/>
      <c r="F2949" s="14"/>
      <c r="G2949" s="16"/>
    </row>
    <row r="2950" spans="2:7" x14ac:dyDescent="0.25">
      <c r="B2950" s="38"/>
      <c r="C2950" s="14"/>
      <c r="D2950" s="14"/>
      <c r="E2950" s="14"/>
      <c r="F2950" s="14"/>
      <c r="G2950" s="16"/>
    </row>
    <row r="2951" spans="2:7" x14ac:dyDescent="0.25">
      <c r="B2951" s="38"/>
      <c r="C2951" s="14"/>
      <c r="D2951" s="14"/>
      <c r="E2951" s="14"/>
      <c r="F2951" s="14"/>
      <c r="G2951" s="16"/>
    </row>
    <row r="2952" spans="2:7" x14ac:dyDescent="0.25">
      <c r="B2952" s="38"/>
      <c r="C2952" s="14"/>
      <c r="D2952" s="14"/>
      <c r="E2952" s="14"/>
      <c r="F2952" s="14"/>
      <c r="G2952" s="16"/>
    </row>
    <row r="2953" spans="2:7" x14ac:dyDescent="0.25">
      <c r="B2953" s="38"/>
      <c r="C2953" s="14"/>
      <c r="D2953" s="14"/>
      <c r="E2953" s="14"/>
      <c r="F2953" s="14"/>
      <c r="G2953" s="16"/>
    </row>
    <row r="2954" spans="2:7" x14ac:dyDescent="0.25">
      <c r="B2954" s="38"/>
      <c r="C2954" s="14"/>
      <c r="D2954" s="14"/>
      <c r="E2954" s="14"/>
      <c r="F2954" s="14"/>
      <c r="G2954" s="16"/>
    </row>
    <row r="2955" spans="2:7" x14ac:dyDescent="0.25">
      <c r="B2955" s="38"/>
      <c r="C2955" s="14"/>
      <c r="D2955" s="14"/>
      <c r="E2955" s="14"/>
      <c r="F2955" s="14"/>
      <c r="G2955" s="16"/>
    </row>
    <row r="2956" spans="2:7" x14ac:dyDescent="0.25">
      <c r="B2956" s="38"/>
      <c r="C2956" s="14"/>
      <c r="D2956" s="14"/>
      <c r="E2956" s="14"/>
      <c r="F2956" s="14"/>
      <c r="G2956" s="16"/>
    </row>
    <row r="2957" spans="2:7" x14ac:dyDescent="0.25">
      <c r="B2957" s="38"/>
      <c r="C2957" s="14"/>
      <c r="D2957" s="14"/>
      <c r="E2957" s="14"/>
      <c r="F2957" s="14"/>
      <c r="G2957" s="16"/>
    </row>
    <row r="2958" spans="2:7" x14ac:dyDescent="0.25">
      <c r="B2958" s="38"/>
      <c r="C2958" s="14"/>
      <c r="D2958" s="14"/>
      <c r="E2958" s="14"/>
      <c r="F2958" s="14"/>
      <c r="G2958" s="16"/>
    </row>
    <row r="2959" spans="2:7" x14ac:dyDescent="0.25">
      <c r="B2959" s="38"/>
      <c r="C2959" s="14"/>
      <c r="D2959" s="14"/>
      <c r="E2959" s="14"/>
      <c r="F2959" s="14"/>
      <c r="G2959" s="16"/>
    </row>
    <row r="2960" spans="2:7" x14ac:dyDescent="0.25">
      <c r="B2960" s="38"/>
      <c r="C2960" s="14"/>
      <c r="D2960" s="14"/>
      <c r="E2960" s="14"/>
      <c r="F2960" s="14"/>
      <c r="G2960" s="16"/>
    </row>
    <row r="2961" spans="2:7" x14ac:dyDescent="0.25">
      <c r="B2961" s="38"/>
      <c r="C2961" s="14"/>
      <c r="D2961" s="14"/>
      <c r="E2961" s="14"/>
      <c r="F2961" s="14"/>
      <c r="G2961" s="16"/>
    </row>
    <row r="2962" spans="2:7" x14ac:dyDescent="0.25">
      <c r="B2962" s="38"/>
      <c r="C2962" s="14"/>
      <c r="D2962" s="14"/>
      <c r="E2962" s="14"/>
      <c r="F2962" s="14"/>
      <c r="G2962" s="16"/>
    </row>
    <row r="2963" spans="2:7" x14ac:dyDescent="0.25">
      <c r="B2963" s="38"/>
      <c r="C2963" s="14"/>
      <c r="D2963" s="14"/>
      <c r="E2963" s="14"/>
      <c r="F2963" s="14"/>
      <c r="G2963" s="16"/>
    </row>
    <row r="2964" spans="2:7" x14ac:dyDescent="0.25">
      <c r="B2964" s="38"/>
      <c r="C2964" s="14"/>
      <c r="D2964" s="14"/>
      <c r="E2964" s="14"/>
      <c r="F2964" s="14"/>
      <c r="G2964" s="16"/>
    </row>
    <row r="2965" spans="2:7" x14ac:dyDescent="0.25">
      <c r="B2965" s="38"/>
      <c r="C2965" s="14"/>
      <c r="D2965" s="14"/>
      <c r="E2965" s="14"/>
      <c r="F2965" s="14"/>
      <c r="G2965" s="16"/>
    </row>
    <row r="2966" spans="2:7" x14ac:dyDescent="0.25">
      <c r="B2966" s="38"/>
      <c r="C2966" s="14"/>
      <c r="D2966" s="14"/>
      <c r="E2966" s="14"/>
      <c r="F2966" s="14"/>
      <c r="G2966" s="16"/>
    </row>
    <row r="2967" spans="2:7" x14ac:dyDescent="0.25">
      <c r="B2967" s="38"/>
      <c r="C2967" s="14"/>
      <c r="D2967" s="14"/>
      <c r="E2967" s="14"/>
      <c r="F2967" s="14"/>
      <c r="G2967" s="16"/>
    </row>
    <row r="2968" spans="2:7" x14ac:dyDescent="0.25">
      <c r="B2968" s="38"/>
      <c r="C2968" s="14"/>
      <c r="D2968" s="14"/>
      <c r="E2968" s="14"/>
      <c r="F2968" s="14"/>
      <c r="G2968" s="16"/>
    </row>
    <row r="2969" spans="2:7" x14ac:dyDescent="0.25">
      <c r="B2969" s="38"/>
      <c r="C2969" s="14"/>
      <c r="D2969" s="14"/>
      <c r="E2969" s="14"/>
      <c r="F2969" s="14"/>
      <c r="G2969" s="16"/>
    </row>
    <row r="2970" spans="2:7" x14ac:dyDescent="0.25">
      <c r="B2970" s="38"/>
      <c r="C2970" s="14"/>
      <c r="D2970" s="14"/>
      <c r="E2970" s="14"/>
      <c r="F2970" s="14"/>
      <c r="G2970" s="16"/>
    </row>
    <row r="2971" spans="2:7" x14ac:dyDescent="0.25">
      <c r="B2971" s="38"/>
      <c r="C2971" s="14"/>
      <c r="D2971" s="14"/>
      <c r="E2971" s="14"/>
      <c r="F2971" s="14"/>
      <c r="G2971" s="16"/>
    </row>
    <row r="2972" spans="2:7" x14ac:dyDescent="0.25">
      <c r="B2972" s="38"/>
      <c r="C2972" s="14"/>
      <c r="D2972" s="14"/>
      <c r="E2972" s="14"/>
      <c r="F2972" s="14"/>
      <c r="G2972" s="16"/>
    </row>
    <row r="2973" spans="2:7" x14ac:dyDescent="0.25">
      <c r="B2973" s="38"/>
      <c r="C2973" s="14"/>
      <c r="D2973" s="14"/>
      <c r="E2973" s="14"/>
      <c r="F2973" s="14"/>
      <c r="G2973" s="16"/>
    </row>
    <row r="2974" spans="2:7" x14ac:dyDescent="0.25">
      <c r="B2974" s="38"/>
      <c r="C2974" s="14"/>
      <c r="D2974" s="14"/>
      <c r="E2974" s="14"/>
      <c r="F2974" s="14"/>
      <c r="G2974" s="16"/>
    </row>
    <row r="2975" spans="2:7" x14ac:dyDescent="0.25">
      <c r="B2975" s="38"/>
      <c r="C2975" s="14"/>
      <c r="D2975" s="14"/>
      <c r="E2975" s="14"/>
      <c r="F2975" s="14"/>
      <c r="G2975" s="16"/>
    </row>
    <row r="2976" spans="2:7" x14ac:dyDescent="0.25">
      <c r="B2976" s="38"/>
      <c r="C2976" s="14"/>
      <c r="D2976" s="14"/>
      <c r="E2976" s="14"/>
      <c r="F2976" s="14"/>
      <c r="G2976" s="16"/>
    </row>
    <row r="2977" spans="2:7" x14ac:dyDescent="0.25">
      <c r="B2977" s="38"/>
      <c r="C2977" s="14"/>
      <c r="D2977" s="14"/>
      <c r="E2977" s="14"/>
      <c r="F2977" s="14"/>
      <c r="G2977" s="16"/>
    </row>
    <row r="2978" spans="2:7" x14ac:dyDescent="0.25">
      <c r="B2978" s="38"/>
      <c r="C2978" s="14"/>
      <c r="D2978" s="14"/>
      <c r="E2978" s="14"/>
      <c r="F2978" s="14"/>
      <c r="G2978" s="16"/>
    </row>
    <row r="2979" spans="2:7" x14ac:dyDescent="0.25">
      <c r="B2979" s="38"/>
      <c r="C2979" s="14"/>
      <c r="D2979" s="14"/>
      <c r="E2979" s="14"/>
      <c r="F2979" s="14"/>
      <c r="G2979" s="16"/>
    </row>
    <row r="2980" spans="2:7" x14ac:dyDescent="0.25">
      <c r="B2980" s="38"/>
      <c r="C2980" s="14"/>
      <c r="D2980" s="14"/>
      <c r="E2980" s="14"/>
      <c r="F2980" s="14"/>
      <c r="G2980" s="16"/>
    </row>
    <row r="2981" spans="2:7" x14ac:dyDescent="0.25">
      <c r="B2981" s="38"/>
      <c r="C2981" s="14"/>
      <c r="D2981" s="14"/>
      <c r="E2981" s="14"/>
      <c r="F2981" s="14"/>
      <c r="G2981" s="16"/>
    </row>
    <row r="2982" spans="2:7" x14ac:dyDescent="0.25">
      <c r="B2982" s="38"/>
      <c r="C2982" s="14"/>
      <c r="D2982" s="14"/>
      <c r="E2982" s="14"/>
      <c r="F2982" s="14"/>
      <c r="G2982" s="16"/>
    </row>
    <row r="2983" spans="2:7" x14ac:dyDescent="0.25">
      <c r="B2983" s="38"/>
      <c r="C2983" s="14"/>
      <c r="D2983" s="14"/>
      <c r="E2983" s="14"/>
      <c r="F2983" s="14"/>
      <c r="G2983" s="16"/>
    </row>
    <row r="2984" spans="2:7" x14ac:dyDescent="0.25">
      <c r="B2984" s="38"/>
      <c r="C2984" s="14"/>
      <c r="D2984" s="14"/>
      <c r="E2984" s="14"/>
      <c r="F2984" s="14"/>
      <c r="G2984" s="16"/>
    </row>
    <row r="2985" spans="2:7" x14ac:dyDescent="0.25">
      <c r="B2985" s="38"/>
      <c r="C2985" s="14"/>
      <c r="D2985" s="14"/>
      <c r="E2985" s="14"/>
      <c r="F2985" s="14"/>
      <c r="G2985" s="16"/>
    </row>
    <row r="2986" spans="2:7" x14ac:dyDescent="0.25">
      <c r="B2986" s="38"/>
      <c r="C2986" s="14"/>
      <c r="D2986" s="14"/>
      <c r="E2986" s="14"/>
      <c r="F2986" s="14"/>
      <c r="G2986" s="16"/>
    </row>
    <row r="2987" spans="2:7" x14ac:dyDescent="0.25">
      <c r="B2987" s="38"/>
      <c r="C2987" s="14"/>
      <c r="D2987" s="14"/>
      <c r="E2987" s="14"/>
      <c r="F2987" s="14"/>
      <c r="G2987" s="16"/>
    </row>
    <row r="2988" spans="2:7" x14ac:dyDescent="0.25">
      <c r="B2988" s="38"/>
      <c r="C2988" s="14"/>
      <c r="D2988" s="14"/>
      <c r="E2988" s="14"/>
      <c r="F2988" s="14"/>
      <c r="G2988" s="16"/>
    </row>
    <row r="2989" spans="2:7" x14ac:dyDescent="0.25">
      <c r="B2989" s="38"/>
      <c r="C2989" s="14"/>
      <c r="D2989" s="14"/>
      <c r="E2989" s="14"/>
      <c r="F2989" s="14"/>
      <c r="G2989" s="16"/>
    </row>
    <row r="2990" spans="2:7" x14ac:dyDescent="0.25">
      <c r="B2990" s="38"/>
      <c r="C2990" s="14"/>
      <c r="D2990" s="14"/>
      <c r="E2990" s="14"/>
      <c r="F2990" s="14"/>
      <c r="G2990" s="16"/>
    </row>
    <row r="2991" spans="2:7" x14ac:dyDescent="0.25">
      <c r="B2991" s="38"/>
      <c r="C2991" s="14"/>
      <c r="D2991" s="14"/>
      <c r="E2991" s="14"/>
      <c r="F2991" s="14"/>
      <c r="G2991" s="16"/>
    </row>
    <row r="2992" spans="2:7" x14ac:dyDescent="0.25">
      <c r="B2992" s="38"/>
      <c r="C2992" s="14"/>
      <c r="D2992" s="14"/>
      <c r="E2992" s="14"/>
      <c r="F2992" s="14"/>
      <c r="G2992" s="16"/>
    </row>
    <row r="2993" spans="2:7" x14ac:dyDescent="0.25">
      <c r="B2993" s="38"/>
      <c r="C2993" s="14"/>
      <c r="D2993" s="14"/>
      <c r="E2993" s="14"/>
      <c r="F2993" s="14"/>
      <c r="G2993" s="16"/>
    </row>
    <row r="2994" spans="2:7" x14ac:dyDescent="0.25">
      <c r="B2994" s="38"/>
      <c r="C2994" s="14"/>
      <c r="D2994" s="14"/>
      <c r="E2994" s="14"/>
      <c r="F2994" s="14"/>
      <c r="G2994" s="16"/>
    </row>
    <row r="2995" spans="2:7" x14ac:dyDescent="0.25">
      <c r="B2995" s="38"/>
      <c r="C2995" s="14"/>
      <c r="D2995" s="14"/>
      <c r="E2995" s="14"/>
      <c r="F2995" s="14"/>
      <c r="G2995" s="16"/>
    </row>
    <row r="2996" spans="2:7" x14ac:dyDescent="0.25">
      <c r="B2996" s="38"/>
      <c r="C2996" s="14"/>
      <c r="D2996" s="14"/>
      <c r="E2996" s="14"/>
      <c r="F2996" s="14"/>
      <c r="G2996" s="16"/>
    </row>
    <row r="2997" spans="2:7" x14ac:dyDescent="0.25">
      <c r="B2997" s="38"/>
      <c r="C2997" s="14"/>
      <c r="D2997" s="14"/>
      <c r="E2997" s="14"/>
      <c r="F2997" s="14"/>
      <c r="G2997" s="16"/>
    </row>
    <row r="2998" spans="2:7" x14ac:dyDescent="0.25">
      <c r="B2998" s="38"/>
      <c r="C2998" s="14"/>
      <c r="D2998" s="14"/>
      <c r="E2998" s="14"/>
      <c r="F2998" s="14"/>
      <c r="G2998" s="16"/>
    </row>
    <row r="2999" spans="2:7" x14ac:dyDescent="0.25">
      <c r="B2999" s="38"/>
      <c r="C2999" s="14"/>
      <c r="D2999" s="14"/>
      <c r="E2999" s="14"/>
      <c r="F2999" s="14"/>
      <c r="G2999" s="16"/>
    </row>
    <row r="3000" spans="2:7" x14ac:dyDescent="0.25">
      <c r="B3000" s="38"/>
      <c r="C3000" s="14"/>
      <c r="D3000" s="14"/>
      <c r="E3000" s="14"/>
      <c r="F3000" s="14"/>
      <c r="G3000" s="16"/>
    </row>
    <row r="3001" spans="2:7" x14ac:dyDescent="0.25">
      <c r="B3001" s="38"/>
      <c r="C3001" s="14"/>
      <c r="D3001" s="14"/>
      <c r="E3001" s="14"/>
      <c r="F3001" s="14"/>
      <c r="G3001" s="16"/>
    </row>
    <row r="3002" spans="2:7" x14ac:dyDescent="0.25">
      <c r="B3002" s="38"/>
      <c r="C3002" s="14"/>
      <c r="D3002" s="14"/>
      <c r="E3002" s="14"/>
      <c r="F3002" s="14"/>
      <c r="G3002" s="16"/>
    </row>
    <row r="3003" spans="2:7" x14ac:dyDescent="0.25">
      <c r="B3003" s="38"/>
      <c r="C3003" s="14"/>
      <c r="D3003" s="14"/>
      <c r="E3003" s="14"/>
      <c r="F3003" s="14"/>
      <c r="G3003" s="16"/>
    </row>
    <row r="3004" spans="2:7" x14ac:dyDescent="0.25">
      <c r="B3004" s="38"/>
      <c r="C3004" s="14"/>
      <c r="D3004" s="14"/>
      <c r="E3004" s="14"/>
      <c r="F3004" s="14"/>
      <c r="G3004" s="16"/>
    </row>
    <row r="3005" spans="2:7" x14ac:dyDescent="0.25">
      <c r="B3005" s="38"/>
      <c r="C3005" s="14"/>
      <c r="D3005" s="14"/>
      <c r="E3005" s="14"/>
      <c r="F3005" s="14"/>
      <c r="G3005" s="16"/>
    </row>
    <row r="3006" spans="2:7" x14ac:dyDescent="0.25">
      <c r="B3006" s="38"/>
      <c r="C3006" s="14"/>
      <c r="D3006" s="14"/>
      <c r="E3006" s="14"/>
      <c r="F3006" s="14"/>
      <c r="G3006" s="16"/>
    </row>
    <row r="3007" spans="2:7" x14ac:dyDescent="0.25">
      <c r="B3007" s="38"/>
      <c r="C3007" s="14"/>
      <c r="D3007" s="14"/>
      <c r="E3007" s="14"/>
      <c r="F3007" s="14"/>
      <c r="G3007" s="16"/>
    </row>
    <row r="3008" spans="2:7" x14ac:dyDescent="0.25">
      <c r="B3008" s="38"/>
      <c r="C3008" s="14"/>
      <c r="D3008" s="14"/>
      <c r="E3008" s="14"/>
      <c r="F3008" s="14"/>
      <c r="G3008" s="16"/>
    </row>
    <row r="3009" spans="2:7" x14ac:dyDescent="0.25">
      <c r="B3009" s="38"/>
      <c r="C3009" s="14"/>
      <c r="D3009" s="14"/>
      <c r="E3009" s="14"/>
      <c r="F3009" s="14"/>
      <c r="G3009" s="16"/>
    </row>
    <row r="3010" spans="2:7" x14ac:dyDescent="0.25">
      <c r="B3010" s="38"/>
      <c r="C3010" s="14"/>
      <c r="D3010" s="14"/>
      <c r="E3010" s="14"/>
      <c r="F3010" s="14"/>
      <c r="G3010" s="16"/>
    </row>
    <row r="3011" spans="2:7" x14ac:dyDescent="0.25">
      <c r="B3011" s="38"/>
      <c r="C3011" s="14"/>
      <c r="D3011" s="14"/>
      <c r="E3011" s="14"/>
      <c r="F3011" s="14"/>
      <c r="G3011" s="16"/>
    </row>
    <row r="3012" spans="2:7" x14ac:dyDescent="0.25">
      <c r="B3012" s="38"/>
      <c r="C3012" s="14"/>
      <c r="D3012" s="14"/>
      <c r="E3012" s="14"/>
      <c r="F3012" s="14"/>
      <c r="G3012" s="16"/>
    </row>
    <row r="3013" spans="2:7" x14ac:dyDescent="0.25">
      <c r="B3013" s="38"/>
      <c r="C3013" s="14"/>
      <c r="D3013" s="14"/>
      <c r="E3013" s="14"/>
      <c r="F3013" s="14"/>
      <c r="G3013" s="16"/>
    </row>
    <row r="3014" spans="2:7" x14ac:dyDescent="0.25">
      <c r="B3014" s="38"/>
      <c r="C3014" s="14"/>
      <c r="D3014" s="14"/>
      <c r="E3014" s="14"/>
      <c r="F3014" s="14"/>
      <c r="G3014" s="16"/>
    </row>
    <row r="3015" spans="2:7" x14ac:dyDescent="0.25">
      <c r="B3015" s="38"/>
      <c r="C3015" s="14"/>
      <c r="D3015" s="14"/>
      <c r="E3015" s="14"/>
      <c r="F3015" s="14"/>
      <c r="G3015" s="16"/>
    </row>
    <row r="3016" spans="2:7" x14ac:dyDescent="0.25">
      <c r="B3016" s="38"/>
      <c r="C3016" s="14"/>
      <c r="D3016" s="14"/>
      <c r="E3016" s="14"/>
      <c r="F3016" s="14"/>
      <c r="G3016" s="16"/>
    </row>
    <row r="3017" spans="2:7" x14ac:dyDescent="0.25">
      <c r="B3017" s="38"/>
      <c r="C3017" s="14"/>
      <c r="D3017" s="14"/>
      <c r="E3017" s="14"/>
      <c r="F3017" s="14"/>
      <c r="G3017" s="16"/>
    </row>
    <row r="3018" spans="2:7" x14ac:dyDescent="0.25">
      <c r="B3018" s="38"/>
      <c r="C3018" s="14"/>
      <c r="D3018" s="14"/>
      <c r="E3018" s="14"/>
      <c r="F3018" s="14"/>
      <c r="G3018" s="16"/>
    </row>
    <row r="3019" spans="2:7" x14ac:dyDescent="0.25">
      <c r="B3019" s="38"/>
      <c r="C3019" s="14"/>
      <c r="D3019" s="14"/>
      <c r="E3019" s="14"/>
      <c r="F3019" s="14"/>
      <c r="G3019" s="16"/>
    </row>
    <row r="3020" spans="2:7" x14ac:dyDescent="0.25">
      <c r="B3020" s="38"/>
      <c r="C3020" s="14"/>
      <c r="D3020" s="14"/>
      <c r="E3020" s="14"/>
      <c r="F3020" s="14"/>
      <c r="G3020" s="16"/>
    </row>
    <row r="3021" spans="2:7" x14ac:dyDescent="0.25">
      <c r="B3021" s="38"/>
      <c r="C3021" s="14"/>
      <c r="D3021" s="14"/>
      <c r="E3021" s="14"/>
      <c r="F3021" s="14"/>
      <c r="G3021" s="16"/>
    </row>
    <row r="3022" spans="2:7" x14ac:dyDescent="0.25">
      <c r="B3022" s="38"/>
      <c r="C3022" s="14"/>
      <c r="D3022" s="14"/>
      <c r="E3022" s="14"/>
      <c r="F3022" s="14"/>
      <c r="G3022" s="16"/>
    </row>
    <row r="3023" spans="2:7" x14ac:dyDescent="0.25">
      <c r="B3023" s="38"/>
      <c r="C3023" s="14"/>
      <c r="D3023" s="14"/>
      <c r="E3023" s="14"/>
      <c r="F3023" s="14"/>
      <c r="G3023" s="16"/>
    </row>
    <row r="3024" spans="2:7" x14ac:dyDescent="0.25">
      <c r="B3024" s="38"/>
      <c r="C3024" s="14"/>
      <c r="D3024" s="14"/>
      <c r="E3024" s="14"/>
      <c r="F3024" s="14"/>
      <c r="G3024" s="16"/>
    </row>
    <row r="3025" spans="2:7" x14ac:dyDescent="0.25">
      <c r="B3025" s="38"/>
      <c r="C3025" s="14"/>
      <c r="D3025" s="14"/>
      <c r="E3025" s="14"/>
      <c r="F3025" s="14"/>
      <c r="G3025" s="16"/>
    </row>
    <row r="3026" spans="2:7" x14ac:dyDescent="0.25">
      <c r="B3026" s="38"/>
      <c r="C3026" s="14"/>
      <c r="D3026" s="14"/>
      <c r="E3026" s="14"/>
      <c r="F3026" s="14"/>
      <c r="G3026" s="16"/>
    </row>
    <row r="3027" spans="2:7" x14ac:dyDescent="0.25">
      <c r="B3027" s="38"/>
      <c r="C3027" s="14"/>
      <c r="D3027" s="14"/>
      <c r="E3027" s="14"/>
      <c r="F3027" s="14"/>
      <c r="G3027" s="16"/>
    </row>
    <row r="3028" spans="2:7" x14ac:dyDescent="0.25">
      <c r="B3028" s="38"/>
      <c r="C3028" s="14"/>
      <c r="D3028" s="14"/>
      <c r="E3028" s="14"/>
      <c r="F3028" s="14"/>
      <c r="G3028" s="16"/>
    </row>
    <row r="3029" spans="2:7" x14ac:dyDescent="0.25">
      <c r="B3029" s="38"/>
      <c r="C3029" s="14"/>
      <c r="D3029" s="14"/>
      <c r="E3029" s="14"/>
      <c r="F3029" s="14"/>
      <c r="G3029" s="16"/>
    </row>
    <row r="3030" spans="2:7" x14ac:dyDescent="0.25">
      <c r="B3030" s="38"/>
      <c r="C3030" s="14"/>
      <c r="D3030" s="14"/>
      <c r="E3030" s="14"/>
      <c r="F3030" s="14"/>
      <c r="G3030" s="16"/>
    </row>
    <row r="3031" spans="2:7" x14ac:dyDescent="0.25">
      <c r="B3031" s="38"/>
      <c r="C3031" s="14"/>
      <c r="D3031" s="14"/>
      <c r="E3031" s="14"/>
      <c r="F3031" s="14"/>
      <c r="G3031" s="16"/>
    </row>
    <row r="3032" spans="2:7" x14ac:dyDescent="0.25">
      <c r="B3032" s="38"/>
      <c r="C3032" s="14"/>
      <c r="D3032" s="14"/>
      <c r="E3032" s="14"/>
      <c r="F3032" s="14"/>
      <c r="G3032" s="16"/>
    </row>
    <row r="3033" spans="2:7" x14ac:dyDescent="0.25">
      <c r="B3033" s="38"/>
      <c r="C3033" s="14"/>
      <c r="D3033" s="14"/>
      <c r="E3033" s="14"/>
      <c r="F3033" s="14"/>
      <c r="G3033" s="16"/>
    </row>
    <row r="3034" spans="2:7" x14ac:dyDescent="0.25">
      <c r="B3034" s="38"/>
      <c r="C3034" s="14"/>
      <c r="D3034" s="14"/>
      <c r="E3034" s="14"/>
      <c r="F3034" s="14"/>
      <c r="G3034" s="16"/>
    </row>
    <row r="3035" spans="2:7" x14ac:dyDescent="0.25">
      <c r="B3035" s="38"/>
      <c r="C3035" s="14"/>
      <c r="D3035" s="14"/>
      <c r="E3035" s="14"/>
      <c r="F3035" s="14"/>
      <c r="G3035" s="16"/>
    </row>
    <row r="3036" spans="2:7" x14ac:dyDescent="0.25">
      <c r="B3036" s="38"/>
      <c r="C3036" s="14"/>
      <c r="D3036" s="14"/>
      <c r="E3036" s="14"/>
      <c r="F3036" s="14"/>
      <c r="G3036" s="16"/>
    </row>
    <row r="3037" spans="2:7" x14ac:dyDescent="0.25">
      <c r="B3037" s="38"/>
      <c r="C3037" s="14"/>
      <c r="D3037" s="14"/>
      <c r="E3037" s="14"/>
      <c r="F3037" s="14"/>
      <c r="G3037" s="16"/>
    </row>
    <row r="3038" spans="2:7" x14ac:dyDescent="0.25">
      <c r="B3038" s="38"/>
      <c r="C3038" s="14"/>
      <c r="D3038" s="14"/>
      <c r="E3038" s="14"/>
      <c r="F3038" s="14"/>
      <c r="G3038" s="16"/>
    </row>
    <row r="3039" spans="2:7" x14ac:dyDescent="0.25">
      <c r="B3039" s="38"/>
      <c r="C3039" s="14"/>
      <c r="D3039" s="14"/>
      <c r="E3039" s="14"/>
      <c r="F3039" s="14"/>
      <c r="G3039" s="16"/>
    </row>
    <row r="3040" spans="2:7" x14ac:dyDescent="0.25">
      <c r="B3040" s="38"/>
      <c r="C3040" s="14"/>
      <c r="D3040" s="14"/>
      <c r="E3040" s="14"/>
      <c r="F3040" s="14"/>
      <c r="G3040" s="16"/>
    </row>
    <row r="3041" spans="2:7" x14ac:dyDescent="0.25">
      <c r="B3041" s="38"/>
      <c r="C3041" s="14"/>
      <c r="D3041" s="14"/>
      <c r="E3041" s="14"/>
      <c r="F3041" s="14"/>
      <c r="G3041" s="16"/>
    </row>
    <row r="3042" spans="2:7" x14ac:dyDescent="0.25">
      <c r="B3042" s="38"/>
      <c r="C3042" s="14"/>
      <c r="D3042" s="14"/>
      <c r="E3042" s="14"/>
      <c r="F3042" s="14"/>
      <c r="G3042" s="16"/>
    </row>
    <row r="3043" spans="2:7" x14ac:dyDescent="0.25">
      <c r="B3043" s="38"/>
      <c r="C3043" s="14"/>
      <c r="D3043" s="14"/>
      <c r="E3043" s="14"/>
      <c r="F3043" s="14"/>
      <c r="G3043" s="16"/>
    </row>
    <row r="3044" spans="2:7" x14ac:dyDescent="0.25">
      <c r="B3044" s="38"/>
      <c r="C3044" s="14"/>
      <c r="D3044" s="14"/>
      <c r="E3044" s="14"/>
      <c r="F3044" s="14"/>
      <c r="G3044" s="16"/>
    </row>
    <row r="3045" spans="2:7" x14ac:dyDescent="0.25">
      <c r="B3045" s="38"/>
      <c r="C3045" s="14"/>
      <c r="D3045" s="14"/>
      <c r="E3045" s="14"/>
      <c r="F3045" s="14"/>
      <c r="G3045" s="16"/>
    </row>
    <row r="3046" spans="2:7" x14ac:dyDescent="0.25">
      <c r="B3046" s="38"/>
      <c r="C3046" s="14"/>
      <c r="D3046" s="14"/>
      <c r="E3046" s="14"/>
      <c r="F3046" s="14"/>
      <c r="G3046" s="16"/>
    </row>
    <row r="3047" spans="2:7" x14ac:dyDescent="0.25">
      <c r="B3047" s="38"/>
      <c r="C3047" s="14"/>
      <c r="D3047" s="14"/>
      <c r="E3047" s="14"/>
      <c r="F3047" s="14"/>
      <c r="G3047" s="16"/>
    </row>
    <row r="3048" spans="2:7" x14ac:dyDescent="0.25">
      <c r="B3048" s="38"/>
      <c r="C3048" s="14"/>
      <c r="D3048" s="14"/>
      <c r="E3048" s="14"/>
      <c r="F3048" s="14"/>
      <c r="G3048" s="16"/>
    </row>
    <row r="3049" spans="2:7" x14ac:dyDescent="0.25">
      <c r="B3049" s="38"/>
      <c r="C3049" s="14"/>
      <c r="D3049" s="14"/>
      <c r="E3049" s="14"/>
      <c r="F3049" s="14"/>
      <c r="G3049" s="16"/>
    </row>
    <row r="3050" spans="2:7" x14ac:dyDescent="0.25">
      <c r="B3050" s="38"/>
      <c r="C3050" s="14"/>
      <c r="D3050" s="14"/>
      <c r="E3050" s="14"/>
      <c r="F3050" s="14"/>
      <c r="G3050" s="16"/>
    </row>
    <row r="3051" spans="2:7" x14ac:dyDescent="0.25">
      <c r="B3051" s="38"/>
      <c r="C3051" s="14"/>
      <c r="D3051" s="14"/>
      <c r="E3051" s="14"/>
      <c r="F3051" s="14"/>
      <c r="G3051" s="16"/>
    </row>
    <row r="3052" spans="2:7" x14ac:dyDescent="0.25">
      <c r="B3052" s="38"/>
      <c r="C3052" s="14"/>
      <c r="D3052" s="14"/>
      <c r="E3052" s="14"/>
      <c r="F3052" s="14"/>
      <c r="G3052" s="16"/>
    </row>
    <row r="3053" spans="2:7" x14ac:dyDescent="0.25">
      <c r="B3053" s="38"/>
      <c r="C3053" s="14"/>
      <c r="D3053" s="14"/>
      <c r="E3053" s="14"/>
      <c r="F3053" s="14"/>
      <c r="G3053" s="16"/>
    </row>
    <row r="3054" spans="2:7" x14ac:dyDescent="0.25">
      <c r="B3054" s="38"/>
      <c r="C3054" s="14"/>
      <c r="D3054" s="14"/>
      <c r="E3054" s="14"/>
      <c r="F3054" s="14"/>
      <c r="G3054" s="16"/>
    </row>
    <row r="3055" spans="2:7" x14ac:dyDescent="0.25">
      <c r="B3055" s="38"/>
      <c r="C3055" s="14"/>
      <c r="D3055" s="14"/>
      <c r="E3055" s="14"/>
      <c r="F3055" s="14"/>
      <c r="G3055" s="16"/>
    </row>
    <row r="3056" spans="2:7" x14ac:dyDescent="0.25">
      <c r="B3056" s="38"/>
      <c r="C3056" s="14"/>
      <c r="D3056" s="14"/>
      <c r="E3056" s="14"/>
      <c r="F3056" s="14"/>
      <c r="G3056" s="16"/>
    </row>
    <row r="3057" spans="2:7" x14ac:dyDescent="0.25">
      <c r="B3057" s="38"/>
      <c r="C3057" s="14"/>
      <c r="D3057" s="14"/>
      <c r="E3057" s="14"/>
      <c r="F3057" s="14"/>
      <c r="G3057" s="16"/>
    </row>
    <row r="3058" spans="2:7" x14ac:dyDescent="0.25">
      <c r="B3058" s="38"/>
      <c r="C3058" s="14"/>
      <c r="D3058" s="14"/>
      <c r="E3058" s="14"/>
      <c r="F3058" s="14"/>
      <c r="G3058" s="16"/>
    </row>
    <row r="3059" spans="2:7" x14ac:dyDescent="0.25">
      <c r="B3059" s="38"/>
      <c r="C3059" s="14"/>
      <c r="D3059" s="14"/>
      <c r="E3059" s="14"/>
      <c r="F3059" s="14"/>
      <c r="G3059" s="16"/>
    </row>
    <row r="3060" spans="2:7" x14ac:dyDescent="0.25">
      <c r="B3060" s="38"/>
      <c r="C3060" s="14"/>
      <c r="D3060" s="14"/>
      <c r="E3060" s="14"/>
      <c r="F3060" s="14"/>
      <c r="G3060" s="16"/>
    </row>
    <row r="3061" spans="2:7" x14ac:dyDescent="0.25">
      <c r="B3061" s="38"/>
      <c r="C3061" s="14"/>
      <c r="D3061" s="14"/>
      <c r="E3061" s="14"/>
      <c r="F3061" s="14"/>
      <c r="G3061" s="16"/>
    </row>
    <row r="3062" spans="2:7" x14ac:dyDescent="0.25">
      <c r="B3062" s="38"/>
      <c r="C3062" s="14"/>
      <c r="D3062" s="14"/>
      <c r="E3062" s="14"/>
      <c r="F3062" s="14"/>
      <c r="G3062" s="16"/>
    </row>
    <row r="3063" spans="2:7" x14ac:dyDescent="0.25">
      <c r="B3063" s="38"/>
      <c r="C3063" s="14"/>
      <c r="D3063" s="14"/>
      <c r="E3063" s="14"/>
      <c r="F3063" s="14"/>
      <c r="G3063" s="16"/>
    </row>
    <row r="3064" spans="2:7" x14ac:dyDescent="0.25">
      <c r="B3064" s="38"/>
      <c r="C3064" s="14"/>
      <c r="D3064" s="14"/>
      <c r="E3064" s="14"/>
      <c r="F3064" s="14"/>
      <c r="G3064" s="16"/>
    </row>
    <row r="3065" spans="2:7" x14ac:dyDescent="0.25">
      <c r="B3065" s="38"/>
      <c r="C3065" s="14"/>
      <c r="D3065" s="14"/>
      <c r="E3065" s="14"/>
      <c r="F3065" s="14"/>
      <c r="G3065" s="16"/>
    </row>
    <row r="3066" spans="2:7" x14ac:dyDescent="0.25">
      <c r="B3066" s="38"/>
      <c r="C3066" s="14"/>
      <c r="D3066" s="14"/>
      <c r="E3066" s="14"/>
      <c r="F3066" s="14"/>
      <c r="G3066" s="16"/>
    </row>
    <row r="3067" spans="2:7" x14ac:dyDescent="0.25">
      <c r="B3067" s="38"/>
      <c r="C3067" s="14"/>
      <c r="D3067" s="14"/>
      <c r="E3067" s="14"/>
      <c r="F3067" s="14"/>
      <c r="G3067" s="16"/>
    </row>
    <row r="3068" spans="2:7" x14ac:dyDescent="0.25">
      <c r="B3068" s="38"/>
      <c r="C3068" s="14"/>
      <c r="D3068" s="14"/>
      <c r="E3068" s="14"/>
      <c r="F3068" s="14"/>
      <c r="G3068" s="16"/>
    </row>
    <row r="3069" spans="2:7" x14ac:dyDescent="0.25">
      <c r="B3069" s="38"/>
      <c r="C3069" s="14"/>
      <c r="D3069" s="14"/>
      <c r="E3069" s="14"/>
      <c r="F3069" s="14"/>
      <c r="G3069" s="16"/>
    </row>
    <row r="3070" spans="2:7" x14ac:dyDescent="0.25">
      <c r="B3070" s="38"/>
      <c r="C3070" s="14"/>
      <c r="D3070" s="14"/>
      <c r="E3070" s="14"/>
      <c r="F3070" s="14"/>
      <c r="G3070" s="16"/>
    </row>
    <row r="3071" spans="2:7" x14ac:dyDescent="0.25">
      <c r="B3071" s="38"/>
      <c r="C3071" s="14"/>
      <c r="D3071" s="14"/>
      <c r="E3071" s="14"/>
      <c r="F3071" s="14"/>
      <c r="G3071" s="16"/>
    </row>
    <row r="3072" spans="2:7" x14ac:dyDescent="0.25">
      <c r="B3072" s="38"/>
      <c r="C3072" s="14"/>
      <c r="D3072" s="14"/>
      <c r="E3072" s="14"/>
      <c r="F3072" s="14"/>
      <c r="G3072" s="16"/>
    </row>
    <row r="3073" spans="2:7" x14ac:dyDescent="0.25">
      <c r="B3073" s="38"/>
      <c r="C3073" s="14"/>
      <c r="D3073" s="14"/>
      <c r="E3073" s="14"/>
      <c r="F3073" s="14"/>
      <c r="G3073" s="16"/>
    </row>
    <row r="3074" spans="2:7" x14ac:dyDescent="0.25">
      <c r="B3074" s="38"/>
      <c r="C3074" s="14"/>
      <c r="D3074" s="14"/>
      <c r="E3074" s="14"/>
      <c r="F3074" s="14"/>
      <c r="G3074" s="16"/>
    </row>
    <row r="3075" spans="2:7" x14ac:dyDescent="0.25">
      <c r="B3075" s="38"/>
      <c r="C3075" s="14"/>
      <c r="D3075" s="14"/>
      <c r="E3075" s="14"/>
      <c r="F3075" s="14"/>
      <c r="G3075" s="16"/>
    </row>
    <row r="3076" spans="2:7" x14ac:dyDescent="0.25">
      <c r="B3076" s="38"/>
      <c r="C3076" s="14"/>
      <c r="D3076" s="14"/>
      <c r="E3076" s="14"/>
      <c r="F3076" s="14"/>
      <c r="G3076" s="16"/>
    </row>
    <row r="3077" spans="2:7" x14ac:dyDescent="0.25">
      <c r="B3077" s="38"/>
      <c r="C3077" s="14"/>
      <c r="D3077" s="14"/>
      <c r="E3077" s="14"/>
      <c r="F3077" s="14"/>
      <c r="G3077" s="16"/>
    </row>
    <row r="3078" spans="2:7" x14ac:dyDescent="0.25">
      <c r="B3078" s="38"/>
      <c r="C3078" s="14"/>
      <c r="D3078" s="14"/>
      <c r="E3078" s="14"/>
      <c r="F3078" s="14"/>
      <c r="G3078" s="16"/>
    </row>
    <row r="3079" spans="2:7" x14ac:dyDescent="0.25">
      <c r="B3079" s="38"/>
      <c r="C3079" s="14"/>
      <c r="D3079" s="14"/>
      <c r="E3079" s="14"/>
      <c r="F3079" s="14"/>
      <c r="G3079" s="16"/>
    </row>
    <row r="3080" spans="2:7" x14ac:dyDescent="0.25">
      <c r="B3080" s="38"/>
      <c r="C3080" s="14"/>
      <c r="D3080" s="14"/>
      <c r="E3080" s="14"/>
      <c r="F3080" s="14"/>
      <c r="G3080" s="16"/>
    </row>
    <row r="3081" spans="2:7" x14ac:dyDescent="0.25">
      <c r="B3081" s="38"/>
      <c r="C3081" s="14"/>
      <c r="D3081" s="14"/>
      <c r="E3081" s="14"/>
      <c r="F3081" s="14"/>
      <c r="G3081" s="16"/>
    </row>
    <row r="3082" spans="2:7" x14ac:dyDescent="0.25">
      <c r="B3082" s="38"/>
      <c r="C3082" s="14"/>
      <c r="D3082" s="14"/>
      <c r="E3082" s="14"/>
      <c r="F3082" s="14"/>
      <c r="G3082" s="16"/>
    </row>
    <row r="3083" spans="2:7" x14ac:dyDescent="0.25">
      <c r="B3083" s="38"/>
      <c r="C3083" s="14"/>
      <c r="D3083" s="14"/>
      <c r="E3083" s="14"/>
      <c r="F3083" s="14"/>
      <c r="G3083" s="16"/>
    </row>
    <row r="3084" spans="2:7" x14ac:dyDescent="0.25">
      <c r="B3084" s="38"/>
      <c r="C3084" s="14"/>
      <c r="D3084" s="14"/>
      <c r="E3084" s="14"/>
      <c r="F3084" s="14"/>
      <c r="G3084" s="16"/>
    </row>
    <row r="3085" spans="2:7" x14ac:dyDescent="0.25">
      <c r="B3085" s="38"/>
      <c r="C3085" s="14"/>
      <c r="D3085" s="14"/>
      <c r="E3085" s="14"/>
      <c r="F3085" s="14"/>
      <c r="G3085" s="16"/>
    </row>
    <row r="3086" spans="2:7" x14ac:dyDescent="0.25">
      <c r="B3086" s="38"/>
      <c r="C3086" s="14"/>
      <c r="D3086" s="14"/>
      <c r="E3086" s="14"/>
      <c r="F3086" s="14"/>
      <c r="G3086" s="16"/>
    </row>
    <row r="3087" spans="2:7" x14ac:dyDescent="0.25">
      <c r="B3087" s="38"/>
      <c r="C3087" s="14"/>
      <c r="D3087" s="14"/>
      <c r="E3087" s="14"/>
      <c r="F3087" s="14"/>
      <c r="G3087" s="16"/>
    </row>
    <row r="3088" spans="2:7" x14ac:dyDescent="0.25">
      <c r="B3088" s="38"/>
      <c r="C3088" s="14"/>
      <c r="D3088" s="14"/>
      <c r="E3088" s="14"/>
      <c r="F3088" s="14"/>
      <c r="G3088" s="16"/>
    </row>
    <row r="3089" spans="2:7" x14ac:dyDescent="0.25">
      <c r="B3089" s="38"/>
      <c r="C3089" s="14"/>
      <c r="D3089" s="14"/>
      <c r="E3089" s="14"/>
      <c r="F3089" s="14"/>
      <c r="G3089" s="16"/>
    </row>
    <row r="3090" spans="2:7" x14ac:dyDescent="0.25">
      <c r="B3090" s="38"/>
      <c r="C3090" s="14"/>
      <c r="D3090" s="14"/>
      <c r="E3090" s="14"/>
      <c r="F3090" s="14"/>
      <c r="G3090" s="16"/>
    </row>
    <row r="3091" spans="2:7" x14ac:dyDescent="0.25">
      <c r="B3091" s="38"/>
      <c r="C3091" s="14"/>
      <c r="D3091" s="14"/>
      <c r="E3091" s="14"/>
      <c r="F3091" s="14"/>
      <c r="G3091" s="16"/>
    </row>
    <row r="3092" spans="2:7" x14ac:dyDescent="0.25">
      <c r="B3092" s="38"/>
      <c r="C3092" s="14"/>
      <c r="D3092" s="14"/>
      <c r="E3092" s="14"/>
      <c r="F3092" s="14"/>
      <c r="G3092" s="16"/>
    </row>
    <row r="3093" spans="2:7" x14ac:dyDescent="0.25">
      <c r="B3093" s="38"/>
      <c r="C3093" s="14"/>
      <c r="D3093" s="14"/>
      <c r="E3093" s="14"/>
      <c r="F3093" s="14"/>
      <c r="G3093" s="16"/>
    </row>
    <row r="3094" spans="2:7" x14ac:dyDescent="0.25">
      <c r="B3094" s="38"/>
      <c r="C3094" s="14"/>
      <c r="D3094" s="14"/>
      <c r="E3094" s="14"/>
      <c r="F3094" s="14"/>
      <c r="G3094" s="16"/>
    </row>
    <row r="3095" spans="2:7" x14ac:dyDescent="0.25">
      <c r="B3095" s="38"/>
      <c r="C3095" s="14"/>
      <c r="D3095" s="14"/>
      <c r="E3095" s="14"/>
      <c r="F3095" s="14"/>
      <c r="G3095" s="16"/>
    </row>
    <row r="3096" spans="2:7" x14ac:dyDescent="0.25">
      <c r="B3096" s="38"/>
      <c r="C3096" s="14"/>
      <c r="D3096" s="14"/>
      <c r="E3096" s="14"/>
      <c r="F3096" s="14"/>
      <c r="G3096" s="16"/>
    </row>
    <row r="3097" spans="2:7" x14ac:dyDescent="0.25">
      <c r="B3097" s="38"/>
      <c r="C3097" s="14"/>
      <c r="D3097" s="14"/>
      <c r="E3097" s="14"/>
      <c r="F3097" s="14"/>
      <c r="G3097" s="16"/>
    </row>
    <row r="3098" spans="2:7" x14ac:dyDescent="0.25">
      <c r="B3098" s="38"/>
      <c r="C3098" s="14"/>
      <c r="D3098" s="14"/>
      <c r="E3098" s="14"/>
      <c r="F3098" s="14"/>
      <c r="G3098" s="16"/>
    </row>
    <row r="3099" spans="2:7" x14ac:dyDescent="0.25">
      <c r="B3099" s="38"/>
      <c r="C3099" s="14"/>
      <c r="D3099" s="14"/>
      <c r="E3099" s="14"/>
      <c r="F3099" s="14"/>
      <c r="G3099" s="16"/>
    </row>
    <row r="3100" spans="2:7" x14ac:dyDescent="0.25">
      <c r="B3100" s="38"/>
      <c r="C3100" s="14"/>
      <c r="D3100" s="14"/>
      <c r="E3100" s="14"/>
      <c r="F3100" s="14"/>
      <c r="G3100" s="16"/>
    </row>
    <row r="3101" spans="2:7" x14ac:dyDescent="0.25">
      <c r="B3101" s="38"/>
      <c r="C3101" s="14"/>
      <c r="D3101" s="14"/>
      <c r="E3101" s="14"/>
      <c r="F3101" s="14"/>
      <c r="G3101" s="16"/>
    </row>
    <row r="3102" spans="2:7" x14ac:dyDescent="0.25">
      <c r="B3102" s="38"/>
      <c r="C3102" s="14"/>
      <c r="D3102" s="14"/>
      <c r="E3102" s="14"/>
      <c r="F3102" s="14"/>
      <c r="G3102" s="16"/>
    </row>
    <row r="3103" spans="2:7" x14ac:dyDescent="0.25">
      <c r="B3103" s="38"/>
      <c r="C3103" s="14"/>
      <c r="D3103" s="14"/>
      <c r="E3103" s="14"/>
      <c r="F3103" s="14"/>
      <c r="G3103" s="16"/>
    </row>
    <row r="3104" spans="2:7" x14ac:dyDescent="0.25">
      <c r="B3104" s="38"/>
      <c r="C3104" s="14"/>
      <c r="D3104" s="14"/>
      <c r="E3104" s="14"/>
      <c r="F3104" s="14"/>
      <c r="G3104" s="16"/>
    </row>
    <row r="3105" spans="2:7" x14ac:dyDescent="0.25">
      <c r="B3105" s="38"/>
      <c r="C3105" s="14"/>
      <c r="D3105" s="14"/>
      <c r="E3105" s="14"/>
      <c r="F3105" s="14"/>
      <c r="G3105" s="16"/>
    </row>
    <row r="3106" spans="2:7" x14ac:dyDescent="0.25">
      <c r="B3106" s="38"/>
      <c r="C3106" s="14"/>
      <c r="D3106" s="14"/>
      <c r="E3106" s="14"/>
      <c r="F3106" s="14"/>
      <c r="G3106" s="16"/>
    </row>
    <row r="3107" spans="2:7" x14ac:dyDescent="0.25">
      <c r="B3107" s="38"/>
      <c r="C3107" s="14"/>
      <c r="D3107" s="14"/>
      <c r="E3107" s="14"/>
      <c r="F3107" s="14"/>
      <c r="G3107" s="16"/>
    </row>
    <row r="3108" spans="2:7" x14ac:dyDescent="0.25">
      <c r="B3108" s="38"/>
      <c r="C3108" s="14"/>
      <c r="D3108" s="14"/>
      <c r="E3108" s="14"/>
      <c r="F3108" s="14"/>
      <c r="G3108" s="16"/>
    </row>
    <row r="3109" spans="2:7" x14ac:dyDescent="0.25">
      <c r="B3109" s="38"/>
      <c r="C3109" s="14"/>
      <c r="D3109" s="14"/>
      <c r="E3109" s="14"/>
      <c r="F3109" s="14"/>
      <c r="G3109" s="16"/>
    </row>
    <row r="3110" spans="2:7" x14ac:dyDescent="0.25">
      <c r="B3110" s="38"/>
      <c r="C3110" s="14"/>
      <c r="D3110" s="14"/>
      <c r="E3110" s="14"/>
      <c r="F3110" s="14"/>
      <c r="G3110" s="16"/>
    </row>
    <row r="3111" spans="2:7" x14ac:dyDescent="0.25">
      <c r="B3111" s="38"/>
      <c r="C3111" s="14"/>
      <c r="D3111" s="14"/>
      <c r="E3111" s="14"/>
      <c r="F3111" s="14"/>
      <c r="G3111" s="16"/>
    </row>
    <row r="3112" spans="2:7" x14ac:dyDescent="0.25">
      <c r="B3112" s="38"/>
      <c r="C3112" s="14"/>
      <c r="D3112" s="14"/>
      <c r="E3112" s="14"/>
      <c r="F3112" s="14"/>
      <c r="G3112" s="16"/>
    </row>
    <row r="3113" spans="2:7" x14ac:dyDescent="0.25">
      <c r="B3113" s="38"/>
      <c r="C3113" s="14"/>
      <c r="D3113" s="14"/>
      <c r="E3113" s="14"/>
      <c r="F3113" s="14"/>
      <c r="G3113" s="16"/>
    </row>
    <row r="3114" spans="2:7" x14ac:dyDescent="0.25">
      <c r="B3114" s="38"/>
      <c r="C3114" s="14"/>
      <c r="D3114" s="14"/>
      <c r="E3114" s="14"/>
      <c r="F3114" s="14"/>
      <c r="G3114" s="16"/>
    </row>
    <row r="3115" spans="2:7" x14ac:dyDescent="0.25">
      <c r="B3115" s="38"/>
      <c r="C3115" s="14"/>
      <c r="D3115" s="14"/>
      <c r="E3115" s="14"/>
      <c r="F3115" s="14"/>
      <c r="G3115" s="16"/>
    </row>
    <row r="3116" spans="2:7" x14ac:dyDescent="0.25">
      <c r="B3116" s="38"/>
      <c r="C3116" s="14"/>
      <c r="D3116" s="14"/>
      <c r="E3116" s="14"/>
      <c r="F3116" s="14"/>
      <c r="G3116" s="16"/>
    </row>
    <row r="3117" spans="2:7" x14ac:dyDescent="0.25">
      <c r="B3117" s="38"/>
      <c r="C3117" s="14"/>
      <c r="D3117" s="14"/>
      <c r="E3117" s="14"/>
      <c r="F3117" s="14"/>
      <c r="G3117" s="16"/>
    </row>
    <row r="3118" spans="2:7" x14ac:dyDescent="0.25">
      <c r="B3118" s="38"/>
      <c r="C3118" s="14"/>
      <c r="D3118" s="14"/>
      <c r="E3118" s="14"/>
      <c r="F3118" s="14"/>
      <c r="G3118" s="16"/>
    </row>
    <row r="3119" spans="2:7" x14ac:dyDescent="0.25">
      <c r="B3119" s="38"/>
      <c r="C3119" s="14"/>
      <c r="D3119" s="14"/>
      <c r="E3119" s="14"/>
      <c r="F3119" s="14"/>
      <c r="G3119" s="16"/>
    </row>
    <row r="3120" spans="2:7" x14ac:dyDescent="0.25">
      <c r="B3120" s="38"/>
      <c r="C3120" s="14"/>
      <c r="D3120" s="14"/>
      <c r="E3120" s="14"/>
      <c r="F3120" s="14"/>
      <c r="G3120" s="16"/>
    </row>
    <row r="3121" spans="2:7" x14ac:dyDescent="0.25">
      <c r="B3121" s="38"/>
      <c r="C3121" s="14"/>
      <c r="D3121" s="14"/>
      <c r="E3121" s="14"/>
      <c r="F3121" s="14"/>
      <c r="G3121" s="16"/>
    </row>
    <row r="3122" spans="2:7" x14ac:dyDescent="0.25">
      <c r="B3122" s="38"/>
      <c r="C3122" s="14"/>
      <c r="D3122" s="14"/>
      <c r="E3122" s="14"/>
      <c r="F3122" s="14"/>
      <c r="G3122" s="16"/>
    </row>
    <row r="3123" spans="2:7" x14ac:dyDescent="0.25">
      <c r="B3123" s="38"/>
      <c r="C3123" s="14"/>
      <c r="D3123" s="14"/>
      <c r="E3123" s="14"/>
      <c r="F3123" s="14"/>
      <c r="G3123" s="16"/>
    </row>
    <row r="3124" spans="2:7" x14ac:dyDescent="0.25">
      <c r="B3124" s="38"/>
      <c r="C3124" s="14"/>
      <c r="D3124" s="14"/>
      <c r="E3124" s="14"/>
      <c r="F3124" s="14"/>
      <c r="G3124" s="16"/>
    </row>
    <row r="3125" spans="2:7" x14ac:dyDescent="0.25">
      <c r="B3125" s="38"/>
      <c r="C3125" s="14"/>
      <c r="D3125" s="14"/>
      <c r="E3125" s="14"/>
      <c r="F3125" s="14"/>
      <c r="G3125" s="16"/>
    </row>
    <row r="3126" spans="2:7" x14ac:dyDescent="0.25">
      <c r="B3126" s="38"/>
      <c r="C3126" s="14"/>
      <c r="D3126" s="14"/>
      <c r="E3126" s="14"/>
      <c r="F3126" s="14"/>
      <c r="G3126" s="16"/>
    </row>
    <row r="3127" spans="2:7" x14ac:dyDescent="0.25">
      <c r="B3127" s="38"/>
      <c r="C3127" s="14"/>
      <c r="D3127" s="14"/>
      <c r="E3127" s="14"/>
      <c r="F3127" s="14"/>
      <c r="G3127" s="16"/>
    </row>
    <row r="3128" spans="2:7" x14ac:dyDescent="0.25">
      <c r="B3128" s="38"/>
      <c r="C3128" s="14"/>
      <c r="D3128" s="14"/>
      <c r="E3128" s="14"/>
      <c r="F3128" s="14"/>
      <c r="G3128" s="16"/>
    </row>
    <row r="3129" spans="2:7" x14ac:dyDescent="0.25">
      <c r="B3129" s="38"/>
      <c r="C3129" s="14"/>
      <c r="D3129" s="14"/>
      <c r="E3129" s="14"/>
      <c r="F3129" s="14"/>
      <c r="G3129" s="16"/>
    </row>
    <row r="3130" spans="2:7" x14ac:dyDescent="0.25">
      <c r="B3130" s="38"/>
      <c r="C3130" s="14"/>
      <c r="D3130" s="14"/>
      <c r="E3130" s="14"/>
      <c r="F3130" s="14"/>
      <c r="G3130" s="16"/>
    </row>
    <row r="3131" spans="2:7" x14ac:dyDescent="0.25">
      <c r="B3131" s="38"/>
      <c r="C3131" s="14"/>
      <c r="D3131" s="14"/>
      <c r="E3131" s="14"/>
      <c r="F3131" s="14"/>
      <c r="G3131" s="16"/>
    </row>
    <row r="3132" spans="2:7" x14ac:dyDescent="0.25">
      <c r="B3132" s="38"/>
      <c r="C3132" s="14"/>
      <c r="D3132" s="14"/>
      <c r="E3132" s="14"/>
      <c r="F3132" s="14"/>
      <c r="G3132" s="16"/>
    </row>
    <row r="3133" spans="2:7" x14ac:dyDescent="0.25">
      <c r="B3133" s="38"/>
      <c r="C3133" s="14"/>
      <c r="D3133" s="14"/>
      <c r="E3133" s="14"/>
      <c r="F3133" s="14"/>
      <c r="G3133" s="16"/>
    </row>
    <row r="3134" spans="2:7" x14ac:dyDescent="0.25">
      <c r="B3134" s="38"/>
      <c r="C3134" s="14"/>
      <c r="D3134" s="14"/>
      <c r="E3134" s="14"/>
      <c r="F3134" s="14"/>
      <c r="G3134" s="16"/>
    </row>
    <row r="3135" spans="2:7" x14ac:dyDescent="0.25">
      <c r="B3135" s="38"/>
      <c r="C3135" s="14"/>
      <c r="D3135" s="14"/>
      <c r="E3135" s="14"/>
      <c r="F3135" s="14"/>
      <c r="G3135" s="16"/>
    </row>
    <row r="3136" spans="2:7" x14ac:dyDescent="0.25">
      <c r="B3136" s="38"/>
      <c r="C3136" s="14"/>
      <c r="D3136" s="14"/>
      <c r="E3136" s="14"/>
      <c r="F3136" s="14"/>
      <c r="G3136" s="16"/>
    </row>
    <row r="3137" spans="2:7" x14ac:dyDescent="0.25">
      <c r="B3137" s="38"/>
      <c r="C3137" s="14"/>
      <c r="D3137" s="14"/>
      <c r="E3137" s="14"/>
      <c r="F3137" s="14"/>
      <c r="G3137" s="16"/>
    </row>
    <row r="3138" spans="2:7" x14ac:dyDescent="0.25">
      <c r="B3138" s="38"/>
      <c r="C3138" s="14"/>
      <c r="D3138" s="14"/>
      <c r="E3138" s="14"/>
      <c r="F3138" s="14"/>
      <c r="G3138" s="16"/>
    </row>
    <row r="3139" spans="2:7" x14ac:dyDescent="0.25">
      <c r="B3139" s="38"/>
      <c r="C3139" s="14"/>
      <c r="D3139" s="14"/>
      <c r="E3139" s="14"/>
      <c r="F3139" s="14"/>
      <c r="G3139" s="16"/>
    </row>
    <row r="3140" spans="2:7" x14ac:dyDescent="0.25">
      <c r="B3140" s="38"/>
      <c r="C3140" s="14"/>
      <c r="D3140" s="14"/>
      <c r="E3140" s="14"/>
      <c r="F3140" s="14"/>
      <c r="G3140" s="16"/>
    </row>
    <row r="3141" spans="2:7" x14ac:dyDescent="0.25">
      <c r="B3141" s="38"/>
      <c r="C3141" s="14"/>
      <c r="D3141" s="14"/>
      <c r="E3141" s="14"/>
      <c r="F3141" s="14"/>
      <c r="G3141" s="16"/>
    </row>
    <row r="3142" spans="2:7" x14ac:dyDescent="0.25">
      <c r="B3142" s="38"/>
      <c r="C3142" s="14"/>
      <c r="D3142" s="14"/>
      <c r="E3142" s="14"/>
      <c r="F3142" s="14"/>
      <c r="G3142" s="16"/>
    </row>
    <row r="3143" spans="2:7" x14ac:dyDescent="0.25">
      <c r="B3143" s="38"/>
      <c r="C3143" s="14"/>
      <c r="D3143" s="14"/>
      <c r="E3143" s="14"/>
      <c r="F3143" s="14"/>
      <c r="G3143" s="16"/>
    </row>
    <row r="3144" spans="2:7" x14ac:dyDescent="0.25">
      <c r="B3144" s="38"/>
      <c r="C3144" s="14"/>
      <c r="D3144" s="14"/>
      <c r="E3144" s="14"/>
      <c r="F3144" s="14"/>
      <c r="G3144" s="16"/>
    </row>
    <row r="3145" spans="2:7" x14ac:dyDescent="0.25">
      <c r="B3145" s="38"/>
      <c r="C3145" s="14"/>
      <c r="D3145" s="14"/>
      <c r="E3145" s="14"/>
      <c r="F3145" s="14"/>
      <c r="G3145" s="16"/>
    </row>
    <row r="3146" spans="2:7" x14ac:dyDescent="0.25">
      <c r="B3146" s="38"/>
      <c r="C3146" s="14"/>
      <c r="D3146" s="14"/>
      <c r="E3146" s="14"/>
      <c r="F3146" s="14"/>
      <c r="G3146" s="16"/>
    </row>
    <row r="3147" spans="2:7" x14ac:dyDescent="0.25">
      <c r="B3147" s="38"/>
      <c r="C3147" s="14"/>
      <c r="D3147" s="14"/>
      <c r="E3147" s="14"/>
      <c r="F3147" s="14"/>
      <c r="G3147" s="16"/>
    </row>
    <row r="3148" spans="2:7" x14ac:dyDescent="0.25">
      <c r="B3148" s="38"/>
      <c r="C3148" s="14"/>
      <c r="D3148" s="14"/>
      <c r="E3148" s="14"/>
      <c r="F3148" s="14"/>
      <c r="G3148" s="16"/>
    </row>
    <row r="3149" spans="2:7" x14ac:dyDescent="0.25">
      <c r="B3149" s="38"/>
      <c r="C3149" s="14"/>
      <c r="D3149" s="14"/>
      <c r="E3149" s="14"/>
      <c r="F3149" s="14"/>
      <c r="G3149" s="16"/>
    </row>
    <row r="3150" spans="2:7" x14ac:dyDescent="0.25">
      <c r="B3150" s="38"/>
      <c r="C3150" s="14"/>
      <c r="D3150" s="14"/>
      <c r="E3150" s="14"/>
      <c r="F3150" s="14"/>
      <c r="G3150" s="16"/>
    </row>
    <row r="3151" spans="2:7" x14ac:dyDescent="0.25">
      <c r="B3151" s="38"/>
      <c r="C3151" s="14"/>
      <c r="D3151" s="14"/>
      <c r="E3151" s="14"/>
      <c r="F3151" s="14"/>
      <c r="G3151" s="16"/>
    </row>
    <row r="3152" spans="2:7" x14ac:dyDescent="0.25">
      <c r="B3152" s="38"/>
      <c r="C3152" s="14"/>
      <c r="D3152" s="14"/>
      <c r="E3152" s="14"/>
      <c r="F3152" s="14"/>
      <c r="G3152" s="16"/>
    </row>
    <row r="3153" spans="2:7" x14ac:dyDescent="0.25">
      <c r="B3153" s="38"/>
      <c r="C3153" s="14"/>
      <c r="D3153" s="14"/>
      <c r="E3153" s="14"/>
      <c r="F3153" s="14"/>
      <c r="G3153" s="16"/>
    </row>
    <row r="3154" spans="2:7" x14ac:dyDescent="0.25">
      <c r="B3154" s="38"/>
      <c r="C3154" s="14"/>
      <c r="D3154" s="14"/>
      <c r="E3154" s="14"/>
      <c r="F3154" s="14"/>
      <c r="G3154" s="16"/>
    </row>
    <row r="3155" spans="2:7" x14ac:dyDescent="0.25">
      <c r="B3155" s="38"/>
      <c r="C3155" s="14"/>
      <c r="D3155" s="14"/>
      <c r="E3155" s="14"/>
      <c r="F3155" s="14"/>
      <c r="G3155" s="16"/>
    </row>
    <row r="3156" spans="2:7" x14ac:dyDescent="0.25">
      <c r="B3156" s="38"/>
      <c r="C3156" s="14"/>
      <c r="D3156" s="14"/>
      <c r="E3156" s="14"/>
      <c r="F3156" s="14"/>
      <c r="G3156" s="16"/>
    </row>
    <row r="3157" spans="2:7" x14ac:dyDescent="0.25">
      <c r="B3157" s="38"/>
      <c r="C3157" s="14"/>
      <c r="D3157" s="14"/>
      <c r="E3157" s="14"/>
      <c r="F3157" s="14"/>
      <c r="G3157" s="16"/>
    </row>
    <row r="3158" spans="2:7" x14ac:dyDescent="0.25">
      <c r="B3158" s="38"/>
      <c r="C3158" s="14"/>
      <c r="D3158" s="14"/>
      <c r="E3158" s="14"/>
      <c r="F3158" s="14"/>
      <c r="G3158" s="16"/>
    </row>
    <row r="3159" spans="2:7" x14ac:dyDescent="0.25">
      <c r="B3159" s="38"/>
      <c r="C3159" s="14"/>
      <c r="D3159" s="14"/>
      <c r="E3159" s="14"/>
      <c r="F3159" s="14"/>
      <c r="G3159" s="16"/>
    </row>
    <row r="3160" spans="2:7" x14ac:dyDescent="0.25">
      <c r="B3160" s="38"/>
      <c r="C3160" s="14"/>
      <c r="D3160" s="14"/>
      <c r="E3160" s="14"/>
      <c r="F3160" s="14"/>
      <c r="G3160" s="16"/>
    </row>
    <row r="3161" spans="2:7" x14ac:dyDescent="0.25">
      <c r="B3161" s="38"/>
      <c r="C3161" s="14"/>
      <c r="D3161" s="14"/>
      <c r="E3161" s="14"/>
      <c r="F3161" s="14"/>
      <c r="G3161" s="16"/>
    </row>
    <row r="3162" spans="2:7" x14ac:dyDescent="0.25">
      <c r="B3162" s="38"/>
      <c r="C3162" s="14"/>
      <c r="D3162" s="14"/>
      <c r="E3162" s="14"/>
      <c r="F3162" s="14"/>
      <c r="G3162" s="16"/>
    </row>
    <row r="3163" spans="2:7" x14ac:dyDescent="0.25">
      <c r="B3163" s="38"/>
      <c r="C3163" s="14"/>
      <c r="D3163" s="14"/>
      <c r="E3163" s="14"/>
      <c r="F3163" s="14"/>
      <c r="G3163" s="16"/>
    </row>
    <row r="3164" spans="2:7" x14ac:dyDescent="0.25">
      <c r="B3164" s="38"/>
      <c r="C3164" s="14"/>
      <c r="D3164" s="14"/>
      <c r="E3164" s="14"/>
      <c r="F3164" s="14"/>
      <c r="G3164" s="16"/>
    </row>
    <row r="3165" spans="2:7" x14ac:dyDescent="0.25">
      <c r="B3165" s="38"/>
      <c r="C3165" s="14"/>
      <c r="D3165" s="14"/>
      <c r="E3165" s="14"/>
      <c r="F3165" s="14"/>
      <c r="G3165" s="16"/>
    </row>
    <row r="3166" spans="2:7" x14ac:dyDescent="0.25">
      <c r="B3166" s="38"/>
      <c r="C3166" s="14"/>
      <c r="D3166" s="14"/>
      <c r="E3166" s="14"/>
      <c r="F3166" s="14"/>
      <c r="G3166" s="16"/>
    </row>
    <row r="3167" spans="2:7" x14ac:dyDescent="0.25">
      <c r="B3167" s="38"/>
      <c r="C3167" s="14"/>
      <c r="D3167" s="14"/>
      <c r="E3167" s="14"/>
      <c r="F3167" s="14"/>
      <c r="G3167" s="16"/>
    </row>
    <row r="3168" spans="2:7" x14ac:dyDescent="0.25">
      <c r="B3168" s="38"/>
      <c r="C3168" s="14"/>
      <c r="D3168" s="14"/>
      <c r="E3168" s="14"/>
      <c r="F3168" s="14"/>
      <c r="G3168" s="16"/>
    </row>
    <row r="3169" spans="2:7" x14ac:dyDescent="0.25">
      <c r="B3169" s="38"/>
      <c r="C3169" s="14"/>
      <c r="D3169" s="14"/>
      <c r="E3169" s="14"/>
      <c r="F3169" s="14"/>
      <c r="G3169" s="16"/>
    </row>
    <row r="3170" spans="2:7" x14ac:dyDescent="0.25">
      <c r="B3170" s="38"/>
      <c r="C3170" s="14"/>
      <c r="D3170" s="14"/>
      <c r="E3170" s="14"/>
      <c r="F3170" s="14"/>
      <c r="G3170" s="16"/>
    </row>
    <row r="3171" spans="2:7" x14ac:dyDescent="0.25">
      <c r="B3171" s="38"/>
      <c r="C3171" s="14"/>
      <c r="D3171" s="14"/>
      <c r="E3171" s="14"/>
      <c r="F3171" s="14"/>
      <c r="G3171" s="16"/>
    </row>
    <row r="3172" spans="2:7" x14ac:dyDescent="0.25">
      <c r="B3172" s="38"/>
      <c r="C3172" s="14"/>
      <c r="D3172" s="14"/>
      <c r="E3172" s="14"/>
      <c r="F3172" s="14"/>
      <c r="G3172" s="16"/>
    </row>
    <row r="3173" spans="2:7" x14ac:dyDescent="0.25">
      <c r="B3173" s="38"/>
      <c r="C3173" s="14"/>
      <c r="D3173" s="14"/>
      <c r="E3173" s="14"/>
      <c r="F3173" s="14"/>
      <c r="G3173" s="16"/>
    </row>
    <row r="3174" spans="2:7" x14ac:dyDescent="0.25">
      <c r="B3174" s="38"/>
      <c r="C3174" s="14"/>
      <c r="D3174" s="14"/>
      <c r="E3174" s="14"/>
      <c r="F3174" s="14"/>
      <c r="G3174" s="16"/>
    </row>
    <row r="3175" spans="2:7" x14ac:dyDescent="0.25">
      <c r="B3175" s="38"/>
      <c r="C3175" s="14"/>
      <c r="D3175" s="14"/>
      <c r="E3175" s="14"/>
      <c r="F3175" s="14"/>
      <c r="G3175" s="16"/>
    </row>
    <row r="3176" spans="2:7" x14ac:dyDescent="0.25">
      <c r="B3176" s="38"/>
      <c r="C3176" s="14"/>
      <c r="D3176" s="14"/>
      <c r="E3176" s="14"/>
      <c r="F3176" s="14"/>
      <c r="G3176" s="16"/>
    </row>
    <row r="3177" spans="2:7" x14ac:dyDescent="0.25">
      <c r="B3177" s="38"/>
      <c r="C3177" s="14"/>
      <c r="D3177" s="14"/>
      <c r="E3177" s="14"/>
      <c r="F3177" s="14"/>
      <c r="G3177" s="16"/>
    </row>
    <row r="3178" spans="2:7" x14ac:dyDescent="0.25">
      <c r="B3178" s="38"/>
      <c r="C3178" s="14"/>
      <c r="D3178" s="14"/>
      <c r="E3178" s="14"/>
      <c r="F3178" s="14"/>
      <c r="G3178" s="16"/>
    </row>
    <row r="3179" spans="2:7" x14ac:dyDescent="0.25">
      <c r="B3179" s="38"/>
      <c r="C3179" s="14"/>
      <c r="D3179" s="14"/>
      <c r="E3179" s="14"/>
      <c r="F3179" s="14"/>
      <c r="G3179" s="16"/>
    </row>
    <row r="3180" spans="2:7" x14ac:dyDescent="0.25">
      <c r="B3180" s="38"/>
      <c r="C3180" s="14"/>
      <c r="D3180" s="14"/>
      <c r="E3180" s="14"/>
      <c r="F3180" s="14"/>
      <c r="G3180" s="16"/>
    </row>
    <row r="3181" spans="2:7" x14ac:dyDescent="0.25">
      <c r="B3181" s="38"/>
      <c r="C3181" s="14"/>
      <c r="D3181" s="14"/>
      <c r="E3181" s="14"/>
      <c r="F3181" s="14"/>
      <c r="G3181" s="16"/>
    </row>
    <row r="3182" spans="2:7" x14ac:dyDescent="0.25">
      <c r="B3182" s="38"/>
      <c r="C3182" s="14"/>
      <c r="D3182" s="14"/>
      <c r="E3182" s="14"/>
      <c r="F3182" s="14"/>
      <c r="G3182" s="16"/>
    </row>
    <row r="3183" spans="2:7" x14ac:dyDescent="0.25">
      <c r="B3183" s="38"/>
      <c r="C3183" s="14"/>
      <c r="D3183" s="14"/>
      <c r="E3183" s="14"/>
      <c r="F3183" s="14"/>
      <c r="G3183" s="16"/>
    </row>
    <row r="3184" spans="2:7" x14ac:dyDescent="0.25">
      <c r="B3184" s="38"/>
      <c r="C3184" s="14"/>
      <c r="D3184" s="14"/>
      <c r="E3184" s="14"/>
      <c r="F3184" s="14"/>
      <c r="G3184" s="16"/>
    </row>
    <row r="3185" spans="2:7" x14ac:dyDescent="0.25">
      <c r="B3185" s="38"/>
      <c r="C3185" s="14"/>
      <c r="D3185" s="14"/>
      <c r="E3185" s="14"/>
      <c r="F3185" s="14"/>
      <c r="G3185" s="16"/>
    </row>
    <row r="3186" spans="2:7" x14ac:dyDescent="0.25">
      <c r="B3186" s="38"/>
      <c r="C3186" s="14"/>
      <c r="D3186" s="14"/>
      <c r="E3186" s="14"/>
      <c r="F3186" s="14"/>
      <c r="G3186" s="16"/>
    </row>
    <row r="3187" spans="2:7" x14ac:dyDescent="0.25">
      <c r="B3187" s="38"/>
      <c r="C3187" s="14"/>
      <c r="D3187" s="14"/>
      <c r="E3187" s="14"/>
      <c r="F3187" s="14"/>
      <c r="G3187" s="16"/>
    </row>
    <row r="3188" spans="2:7" x14ac:dyDescent="0.25">
      <c r="B3188" s="38"/>
      <c r="C3188" s="14"/>
      <c r="D3188" s="14"/>
      <c r="E3188" s="14"/>
      <c r="F3188" s="14"/>
      <c r="G3188" s="16"/>
    </row>
    <row r="3189" spans="2:7" x14ac:dyDescent="0.25">
      <c r="B3189" s="38"/>
      <c r="C3189" s="14"/>
      <c r="D3189" s="14"/>
      <c r="E3189" s="14"/>
      <c r="F3189" s="14"/>
      <c r="G3189" s="16"/>
    </row>
    <row r="3190" spans="2:7" x14ac:dyDescent="0.25">
      <c r="B3190" s="38"/>
      <c r="C3190" s="14"/>
      <c r="D3190" s="14"/>
      <c r="E3190" s="14"/>
      <c r="F3190" s="14"/>
      <c r="G3190" s="16"/>
    </row>
    <row r="3191" spans="2:7" x14ac:dyDescent="0.25">
      <c r="B3191" s="38"/>
      <c r="C3191" s="14"/>
      <c r="D3191" s="14"/>
      <c r="E3191" s="14"/>
      <c r="F3191" s="14"/>
      <c r="G3191" s="16"/>
    </row>
    <row r="3192" spans="2:7" x14ac:dyDescent="0.25">
      <c r="B3192" s="38"/>
      <c r="C3192" s="14"/>
      <c r="D3192" s="14"/>
      <c r="E3192" s="14"/>
      <c r="F3192" s="14"/>
      <c r="G3192" s="16"/>
    </row>
    <row r="3193" spans="2:7" x14ac:dyDescent="0.25">
      <c r="B3193" s="38"/>
      <c r="C3193" s="14"/>
      <c r="D3193" s="14"/>
      <c r="E3193" s="14"/>
      <c r="F3193" s="14"/>
      <c r="G3193" s="16"/>
    </row>
    <row r="3194" spans="2:7" x14ac:dyDescent="0.25">
      <c r="B3194" s="38"/>
      <c r="C3194" s="14"/>
      <c r="D3194" s="14"/>
      <c r="E3194" s="14"/>
      <c r="F3194" s="14"/>
      <c r="G3194" s="16"/>
    </row>
    <row r="3195" spans="2:7" x14ac:dyDescent="0.25">
      <c r="B3195" s="38"/>
      <c r="C3195" s="14"/>
      <c r="D3195" s="14"/>
      <c r="E3195" s="14"/>
      <c r="F3195" s="14"/>
      <c r="G3195" s="16"/>
    </row>
    <row r="3196" spans="2:7" x14ac:dyDescent="0.25">
      <c r="B3196" s="38"/>
      <c r="C3196" s="14"/>
      <c r="D3196" s="14"/>
      <c r="E3196" s="14"/>
      <c r="F3196" s="14"/>
      <c r="G3196" s="16"/>
    </row>
    <row r="3197" spans="2:7" x14ac:dyDescent="0.25">
      <c r="B3197" s="38"/>
      <c r="C3197" s="14"/>
      <c r="D3197" s="14"/>
      <c r="E3197" s="14"/>
      <c r="F3197" s="14"/>
      <c r="G3197" s="16"/>
    </row>
    <row r="3198" spans="2:7" x14ac:dyDescent="0.25">
      <c r="B3198" s="38"/>
      <c r="C3198" s="14"/>
      <c r="D3198" s="14"/>
      <c r="E3198" s="14"/>
      <c r="F3198" s="14"/>
      <c r="G3198" s="16"/>
    </row>
    <row r="3199" spans="2:7" x14ac:dyDescent="0.25">
      <c r="B3199" s="38"/>
      <c r="C3199" s="14"/>
      <c r="D3199" s="14"/>
      <c r="E3199" s="14"/>
      <c r="F3199" s="14"/>
      <c r="G3199" s="16"/>
    </row>
    <row r="3200" spans="2:7" x14ac:dyDescent="0.25">
      <c r="B3200" s="38"/>
      <c r="C3200" s="14"/>
      <c r="D3200" s="14"/>
      <c r="E3200" s="14"/>
      <c r="F3200" s="14"/>
      <c r="G3200" s="16"/>
    </row>
    <row r="3201" spans="2:7" x14ac:dyDescent="0.25">
      <c r="B3201" s="38"/>
      <c r="C3201" s="14"/>
      <c r="D3201" s="14"/>
      <c r="E3201" s="14"/>
      <c r="F3201" s="14"/>
      <c r="G3201" s="16"/>
    </row>
    <row r="3202" spans="2:7" x14ac:dyDescent="0.25">
      <c r="B3202" s="38"/>
      <c r="C3202" s="14"/>
      <c r="D3202" s="14"/>
      <c r="E3202" s="14"/>
      <c r="F3202" s="14"/>
      <c r="G3202" s="16"/>
    </row>
    <row r="3203" spans="2:7" x14ac:dyDescent="0.25">
      <c r="B3203" s="38"/>
      <c r="C3203" s="14"/>
      <c r="D3203" s="14"/>
      <c r="E3203" s="14"/>
      <c r="F3203" s="14"/>
      <c r="G3203" s="16"/>
    </row>
    <row r="3204" spans="2:7" x14ac:dyDescent="0.25">
      <c r="B3204" s="38"/>
      <c r="C3204" s="14"/>
      <c r="D3204" s="14"/>
      <c r="E3204" s="14"/>
      <c r="F3204" s="14"/>
      <c r="G3204" s="16"/>
    </row>
    <row r="3205" spans="2:7" x14ac:dyDescent="0.25">
      <c r="B3205" s="38"/>
      <c r="C3205" s="14"/>
      <c r="D3205" s="14"/>
      <c r="E3205" s="14"/>
      <c r="F3205" s="14"/>
      <c r="G3205" s="16"/>
    </row>
    <row r="3206" spans="2:7" x14ac:dyDescent="0.25">
      <c r="B3206" s="38"/>
      <c r="C3206" s="14"/>
      <c r="D3206" s="14"/>
      <c r="E3206" s="14"/>
      <c r="F3206" s="14"/>
      <c r="G3206" s="16"/>
    </row>
    <row r="3207" spans="2:7" x14ac:dyDescent="0.25">
      <c r="B3207" s="38"/>
      <c r="C3207" s="14"/>
      <c r="D3207" s="14"/>
      <c r="E3207" s="14"/>
      <c r="F3207" s="14"/>
      <c r="G3207" s="16"/>
    </row>
    <row r="3208" spans="2:7" x14ac:dyDescent="0.25">
      <c r="B3208" s="38"/>
      <c r="C3208" s="14"/>
      <c r="D3208" s="14"/>
      <c r="E3208" s="14"/>
      <c r="F3208" s="14"/>
      <c r="G3208" s="16"/>
    </row>
    <row r="3209" spans="2:7" x14ac:dyDescent="0.25">
      <c r="B3209" s="38"/>
      <c r="C3209" s="14"/>
      <c r="D3209" s="14"/>
      <c r="E3209" s="14"/>
      <c r="F3209" s="14"/>
      <c r="G3209" s="16"/>
    </row>
    <row r="3210" spans="2:7" x14ac:dyDescent="0.25">
      <c r="B3210" s="38"/>
      <c r="C3210" s="14"/>
      <c r="D3210" s="14"/>
      <c r="E3210" s="14"/>
      <c r="F3210" s="14"/>
      <c r="G3210" s="16"/>
    </row>
    <row r="3211" spans="2:7" x14ac:dyDescent="0.25">
      <c r="B3211" s="38"/>
      <c r="C3211" s="14"/>
      <c r="D3211" s="14"/>
      <c r="E3211" s="14"/>
      <c r="F3211" s="14"/>
      <c r="G3211" s="16"/>
    </row>
    <row r="3212" spans="2:7" x14ac:dyDescent="0.25">
      <c r="B3212" s="38"/>
      <c r="C3212" s="14"/>
      <c r="D3212" s="14"/>
      <c r="E3212" s="14"/>
      <c r="F3212" s="14"/>
      <c r="G3212" s="16"/>
    </row>
    <row r="3213" spans="2:7" x14ac:dyDescent="0.25">
      <c r="B3213" s="38"/>
      <c r="C3213" s="14"/>
      <c r="D3213" s="14"/>
      <c r="E3213" s="14"/>
      <c r="F3213" s="14"/>
      <c r="G3213" s="16"/>
    </row>
    <row r="3214" spans="2:7" x14ac:dyDescent="0.25">
      <c r="B3214" s="38"/>
      <c r="C3214" s="14"/>
      <c r="D3214" s="14"/>
      <c r="E3214" s="14"/>
      <c r="F3214" s="14"/>
      <c r="G3214" s="16"/>
    </row>
    <row r="3215" spans="2:7" x14ac:dyDescent="0.25">
      <c r="B3215" s="38"/>
      <c r="C3215" s="14"/>
      <c r="D3215" s="14"/>
      <c r="E3215" s="14"/>
      <c r="F3215" s="14"/>
      <c r="G3215" s="16"/>
    </row>
    <row r="3216" spans="2:7" x14ac:dyDescent="0.25">
      <c r="B3216" s="38"/>
      <c r="C3216" s="14"/>
      <c r="D3216" s="14"/>
      <c r="E3216" s="14"/>
      <c r="F3216" s="14"/>
      <c r="G3216" s="16"/>
    </row>
    <row r="3217" spans="2:7" x14ac:dyDescent="0.25">
      <c r="B3217" s="38"/>
      <c r="C3217" s="14"/>
      <c r="D3217" s="14"/>
      <c r="E3217" s="14"/>
      <c r="F3217" s="14"/>
      <c r="G3217" s="16"/>
    </row>
    <row r="3218" spans="2:7" x14ac:dyDescent="0.25">
      <c r="B3218" s="38"/>
      <c r="C3218" s="14"/>
      <c r="D3218" s="14"/>
      <c r="E3218" s="14"/>
      <c r="F3218" s="14"/>
      <c r="G3218" s="16"/>
    </row>
    <row r="3219" spans="2:7" x14ac:dyDescent="0.25">
      <c r="B3219" s="38"/>
      <c r="C3219" s="14"/>
      <c r="D3219" s="14"/>
      <c r="E3219" s="14"/>
      <c r="F3219" s="14"/>
      <c r="G3219" s="16"/>
    </row>
    <row r="3220" spans="2:7" x14ac:dyDescent="0.25">
      <c r="B3220" s="38"/>
      <c r="C3220" s="14"/>
      <c r="D3220" s="14"/>
      <c r="E3220" s="14"/>
      <c r="F3220" s="14"/>
      <c r="G3220" s="16"/>
    </row>
    <row r="3221" spans="2:7" x14ac:dyDescent="0.25">
      <c r="B3221" s="38"/>
      <c r="C3221" s="14"/>
      <c r="D3221" s="14"/>
      <c r="E3221" s="14"/>
      <c r="F3221" s="14"/>
      <c r="G3221" s="16"/>
    </row>
    <row r="3222" spans="2:7" x14ac:dyDescent="0.25">
      <c r="B3222" s="38"/>
      <c r="C3222" s="14"/>
      <c r="D3222" s="14"/>
      <c r="E3222" s="14"/>
      <c r="F3222" s="14"/>
      <c r="G3222" s="16"/>
    </row>
    <row r="3223" spans="2:7" x14ac:dyDescent="0.25">
      <c r="B3223" s="38"/>
      <c r="C3223" s="14"/>
      <c r="D3223" s="14"/>
      <c r="E3223" s="14"/>
      <c r="F3223" s="14"/>
      <c r="G3223" s="16"/>
    </row>
    <row r="3224" spans="2:7" x14ac:dyDescent="0.25">
      <c r="B3224" s="38"/>
      <c r="C3224" s="14"/>
      <c r="D3224" s="14"/>
      <c r="E3224" s="14"/>
      <c r="F3224" s="14"/>
      <c r="G3224" s="16"/>
    </row>
    <row r="3225" spans="2:7" x14ac:dyDescent="0.25">
      <c r="B3225" s="38"/>
      <c r="C3225" s="14"/>
      <c r="D3225" s="14"/>
      <c r="E3225" s="14"/>
      <c r="F3225" s="14"/>
      <c r="G3225" s="16"/>
    </row>
    <row r="3226" spans="2:7" x14ac:dyDescent="0.25">
      <c r="B3226" s="38"/>
      <c r="C3226" s="14"/>
      <c r="D3226" s="14"/>
      <c r="E3226" s="14"/>
      <c r="F3226" s="14"/>
      <c r="G3226" s="16"/>
    </row>
    <row r="3227" spans="2:7" x14ac:dyDescent="0.25">
      <c r="B3227" s="38"/>
      <c r="C3227" s="14"/>
      <c r="D3227" s="14"/>
      <c r="E3227" s="14"/>
      <c r="F3227" s="14"/>
      <c r="G3227" s="16"/>
    </row>
    <row r="3228" spans="2:7" x14ac:dyDescent="0.25">
      <c r="B3228" s="38"/>
      <c r="C3228" s="14"/>
      <c r="D3228" s="14"/>
      <c r="E3228" s="14"/>
      <c r="F3228" s="14"/>
      <c r="G3228" s="16"/>
    </row>
    <row r="3229" spans="2:7" x14ac:dyDescent="0.25">
      <c r="B3229" s="38"/>
      <c r="C3229" s="14"/>
      <c r="D3229" s="14"/>
      <c r="E3229" s="14"/>
      <c r="F3229" s="14"/>
      <c r="G3229" s="16"/>
    </row>
    <row r="3230" spans="2:7" x14ac:dyDescent="0.25">
      <c r="B3230" s="38"/>
      <c r="C3230" s="14"/>
      <c r="D3230" s="14"/>
      <c r="E3230" s="14"/>
      <c r="F3230" s="14"/>
      <c r="G3230" s="16"/>
    </row>
    <row r="3231" spans="2:7" x14ac:dyDescent="0.25">
      <c r="B3231" s="38"/>
      <c r="C3231" s="14"/>
      <c r="D3231" s="14"/>
      <c r="E3231" s="14"/>
      <c r="F3231" s="14"/>
      <c r="G3231" s="16"/>
    </row>
    <row r="3232" spans="2:7" x14ac:dyDescent="0.25">
      <c r="B3232" s="38"/>
      <c r="C3232" s="14"/>
      <c r="D3232" s="14"/>
      <c r="E3232" s="14"/>
      <c r="F3232" s="14"/>
      <c r="G3232" s="16"/>
    </row>
    <row r="3233" spans="2:7" x14ac:dyDescent="0.25">
      <c r="B3233" s="38"/>
      <c r="C3233" s="14"/>
      <c r="D3233" s="14"/>
      <c r="E3233" s="14"/>
      <c r="F3233" s="14"/>
      <c r="G3233" s="16"/>
    </row>
    <row r="3234" spans="2:7" x14ac:dyDescent="0.25">
      <c r="B3234" s="38"/>
      <c r="C3234" s="14"/>
      <c r="D3234" s="14"/>
      <c r="E3234" s="14"/>
      <c r="F3234" s="14"/>
      <c r="G3234" s="16"/>
    </row>
    <row r="3235" spans="2:7" x14ac:dyDescent="0.25">
      <c r="B3235" s="38"/>
      <c r="C3235" s="14"/>
      <c r="D3235" s="14"/>
      <c r="E3235" s="14"/>
      <c r="F3235" s="14"/>
      <c r="G3235" s="16"/>
    </row>
    <row r="3236" spans="2:7" x14ac:dyDescent="0.25">
      <c r="B3236" s="38"/>
      <c r="C3236" s="14"/>
      <c r="D3236" s="14"/>
      <c r="E3236" s="14"/>
      <c r="F3236" s="14"/>
      <c r="G3236" s="16"/>
    </row>
    <row r="3237" spans="2:7" x14ac:dyDescent="0.25">
      <c r="B3237" s="38"/>
      <c r="C3237" s="14"/>
      <c r="D3237" s="14"/>
      <c r="E3237" s="14"/>
      <c r="F3237" s="14"/>
      <c r="G3237" s="16"/>
    </row>
    <row r="3238" spans="2:7" x14ac:dyDescent="0.25">
      <c r="B3238" s="38"/>
      <c r="C3238" s="14"/>
      <c r="D3238" s="14"/>
      <c r="E3238" s="14"/>
      <c r="F3238" s="14"/>
      <c r="G3238" s="16"/>
    </row>
    <row r="3239" spans="2:7" x14ac:dyDescent="0.25">
      <c r="B3239" s="38"/>
      <c r="C3239" s="14"/>
      <c r="D3239" s="14"/>
      <c r="E3239" s="14"/>
      <c r="F3239" s="14"/>
      <c r="G3239" s="16"/>
    </row>
    <row r="3240" spans="2:7" x14ac:dyDescent="0.25">
      <c r="B3240" s="38"/>
      <c r="C3240" s="14"/>
      <c r="D3240" s="14"/>
      <c r="E3240" s="14"/>
      <c r="F3240" s="14"/>
      <c r="G3240" s="16"/>
    </row>
    <row r="3241" spans="2:7" x14ac:dyDescent="0.25">
      <c r="B3241" s="38"/>
      <c r="C3241" s="14"/>
      <c r="D3241" s="14"/>
      <c r="E3241" s="14"/>
      <c r="F3241" s="14"/>
      <c r="G3241" s="16"/>
    </row>
    <row r="3242" spans="2:7" x14ac:dyDescent="0.25">
      <c r="B3242" s="38"/>
      <c r="C3242" s="14"/>
      <c r="D3242" s="14"/>
      <c r="E3242" s="14"/>
      <c r="F3242" s="14"/>
      <c r="G3242" s="16"/>
    </row>
    <row r="3243" spans="2:7" x14ac:dyDescent="0.25">
      <c r="B3243" s="38"/>
      <c r="C3243" s="14"/>
      <c r="D3243" s="14"/>
      <c r="E3243" s="14"/>
      <c r="F3243" s="14"/>
      <c r="G3243" s="16"/>
    </row>
    <row r="3244" spans="2:7" x14ac:dyDescent="0.25">
      <c r="B3244" s="38"/>
      <c r="C3244" s="14"/>
      <c r="D3244" s="14"/>
      <c r="E3244" s="14"/>
      <c r="F3244" s="14"/>
      <c r="G3244" s="16"/>
    </row>
    <row r="3245" spans="2:7" x14ac:dyDescent="0.25">
      <c r="B3245" s="38"/>
      <c r="C3245" s="14"/>
      <c r="D3245" s="14"/>
      <c r="E3245" s="14"/>
      <c r="F3245" s="14"/>
      <c r="G3245" s="16"/>
    </row>
    <row r="3246" spans="2:7" x14ac:dyDescent="0.25">
      <c r="B3246" s="38"/>
      <c r="C3246" s="14"/>
      <c r="D3246" s="14"/>
      <c r="E3246" s="14"/>
      <c r="F3246" s="14"/>
      <c r="G3246" s="16"/>
    </row>
    <row r="3247" spans="2:7" x14ac:dyDescent="0.25">
      <c r="B3247" s="38"/>
      <c r="C3247" s="14"/>
      <c r="D3247" s="14"/>
      <c r="E3247" s="14"/>
      <c r="F3247" s="14"/>
      <c r="G3247" s="16"/>
    </row>
    <row r="3248" spans="2:7" x14ac:dyDescent="0.25">
      <c r="B3248" s="38"/>
      <c r="C3248" s="14"/>
      <c r="D3248" s="14"/>
      <c r="E3248" s="14"/>
      <c r="F3248" s="14"/>
      <c r="G3248" s="16"/>
    </row>
    <row r="3249" spans="2:7" x14ac:dyDescent="0.25">
      <c r="B3249" s="38"/>
      <c r="C3249" s="14"/>
      <c r="D3249" s="14"/>
      <c r="E3249" s="14"/>
      <c r="F3249" s="14"/>
      <c r="G3249" s="16"/>
    </row>
    <row r="3250" spans="2:7" x14ac:dyDescent="0.25">
      <c r="B3250" s="38"/>
      <c r="C3250" s="14"/>
      <c r="D3250" s="14"/>
      <c r="E3250" s="14"/>
      <c r="F3250" s="14"/>
      <c r="G3250" s="16"/>
    </row>
    <row r="3251" spans="2:7" x14ac:dyDescent="0.25">
      <c r="B3251" s="38"/>
      <c r="C3251" s="14"/>
      <c r="D3251" s="14"/>
      <c r="E3251" s="14"/>
      <c r="F3251" s="14"/>
      <c r="G3251" s="16"/>
    </row>
    <row r="3252" spans="2:7" x14ac:dyDescent="0.25">
      <c r="B3252" s="38"/>
      <c r="C3252" s="14"/>
      <c r="D3252" s="14"/>
      <c r="E3252" s="14"/>
      <c r="F3252" s="14"/>
      <c r="G3252" s="16"/>
    </row>
    <row r="3253" spans="2:7" x14ac:dyDescent="0.25">
      <c r="B3253" s="38"/>
      <c r="C3253" s="14"/>
      <c r="D3253" s="14"/>
      <c r="E3253" s="14"/>
      <c r="F3253" s="14"/>
      <c r="G3253" s="16"/>
    </row>
    <row r="3254" spans="2:7" x14ac:dyDescent="0.25">
      <c r="B3254" s="38"/>
      <c r="C3254" s="14"/>
      <c r="D3254" s="14"/>
      <c r="E3254" s="14"/>
      <c r="F3254" s="14"/>
      <c r="G3254" s="16"/>
    </row>
    <row r="3255" spans="2:7" x14ac:dyDescent="0.25">
      <c r="B3255" s="38"/>
      <c r="C3255" s="14"/>
      <c r="D3255" s="14"/>
      <c r="E3255" s="14"/>
      <c r="F3255" s="14"/>
      <c r="G3255" s="16"/>
    </row>
    <row r="3256" spans="2:7" x14ac:dyDescent="0.25">
      <c r="B3256" s="38"/>
      <c r="C3256" s="14"/>
      <c r="D3256" s="14"/>
      <c r="E3256" s="14"/>
      <c r="F3256" s="14"/>
      <c r="G3256" s="16"/>
    </row>
    <row r="3257" spans="2:7" x14ac:dyDescent="0.25">
      <c r="B3257" s="38"/>
      <c r="C3257" s="14"/>
      <c r="D3257" s="14"/>
      <c r="E3257" s="14"/>
      <c r="F3257" s="14"/>
      <c r="G3257" s="16"/>
    </row>
    <row r="3258" spans="2:7" x14ac:dyDescent="0.25">
      <c r="B3258" s="38"/>
      <c r="C3258" s="14"/>
      <c r="D3258" s="14"/>
      <c r="E3258" s="14"/>
      <c r="F3258" s="14"/>
      <c r="G3258" s="16"/>
    </row>
    <row r="3259" spans="2:7" x14ac:dyDescent="0.25">
      <c r="B3259" s="38"/>
      <c r="C3259" s="14"/>
      <c r="D3259" s="14"/>
      <c r="E3259" s="14"/>
      <c r="F3259" s="14"/>
      <c r="G3259" s="16"/>
    </row>
    <row r="3260" spans="2:7" x14ac:dyDescent="0.25">
      <c r="B3260" s="38"/>
      <c r="C3260" s="14"/>
      <c r="D3260" s="14"/>
      <c r="E3260" s="14"/>
      <c r="F3260" s="14"/>
      <c r="G3260" s="16"/>
    </row>
    <row r="3261" spans="2:7" x14ac:dyDescent="0.25">
      <c r="B3261" s="38"/>
      <c r="C3261" s="14"/>
      <c r="D3261" s="14"/>
      <c r="E3261" s="14"/>
      <c r="F3261" s="14"/>
      <c r="G3261" s="16"/>
    </row>
    <row r="3262" spans="2:7" x14ac:dyDescent="0.25">
      <c r="B3262" s="38"/>
      <c r="C3262" s="14"/>
      <c r="D3262" s="14"/>
      <c r="E3262" s="14"/>
      <c r="F3262" s="14"/>
      <c r="G3262" s="16"/>
    </row>
    <row r="3263" spans="2:7" x14ac:dyDescent="0.25">
      <c r="B3263" s="38"/>
      <c r="C3263" s="14"/>
      <c r="D3263" s="14"/>
      <c r="E3263" s="14"/>
      <c r="F3263" s="14"/>
      <c r="G3263" s="16"/>
    </row>
    <row r="3264" spans="2:7" x14ac:dyDescent="0.25">
      <c r="B3264" s="38"/>
      <c r="C3264" s="14"/>
      <c r="D3264" s="14"/>
      <c r="E3264" s="14"/>
      <c r="F3264" s="14"/>
      <c r="G3264" s="16"/>
    </row>
    <row r="3265" spans="2:7" x14ac:dyDescent="0.25">
      <c r="B3265" s="38"/>
      <c r="C3265" s="14"/>
      <c r="D3265" s="14"/>
      <c r="E3265" s="14"/>
      <c r="F3265" s="14"/>
      <c r="G3265" s="16"/>
    </row>
    <row r="3266" spans="2:7" x14ac:dyDescent="0.25">
      <c r="B3266" s="38"/>
      <c r="C3266" s="14"/>
      <c r="D3266" s="14"/>
      <c r="E3266" s="14"/>
      <c r="F3266" s="14"/>
      <c r="G3266" s="16"/>
    </row>
    <row r="3267" spans="2:7" x14ac:dyDescent="0.25">
      <c r="B3267" s="38"/>
      <c r="C3267" s="14"/>
      <c r="D3267" s="14"/>
      <c r="E3267" s="14"/>
      <c r="F3267" s="14"/>
      <c r="G3267" s="16"/>
    </row>
    <row r="3268" spans="2:7" x14ac:dyDescent="0.25">
      <c r="B3268" s="38"/>
      <c r="C3268" s="14"/>
      <c r="D3268" s="14"/>
      <c r="E3268" s="14"/>
      <c r="F3268" s="14"/>
      <c r="G3268" s="16"/>
    </row>
    <row r="3269" spans="2:7" x14ac:dyDescent="0.25">
      <c r="B3269" s="38"/>
      <c r="C3269" s="14"/>
      <c r="D3269" s="14"/>
      <c r="E3269" s="14"/>
      <c r="F3269" s="14"/>
      <c r="G3269" s="16"/>
    </row>
    <row r="3270" spans="2:7" x14ac:dyDescent="0.25">
      <c r="B3270" s="38"/>
      <c r="C3270" s="14"/>
      <c r="D3270" s="14"/>
      <c r="E3270" s="14"/>
      <c r="F3270" s="14"/>
      <c r="G3270" s="16"/>
    </row>
    <row r="3271" spans="2:7" x14ac:dyDescent="0.25">
      <c r="B3271" s="38"/>
      <c r="C3271" s="14"/>
      <c r="D3271" s="14"/>
      <c r="E3271" s="14"/>
      <c r="F3271" s="14"/>
      <c r="G3271" s="16"/>
    </row>
    <row r="3272" spans="2:7" x14ac:dyDescent="0.25">
      <c r="B3272" s="38"/>
      <c r="C3272" s="14"/>
      <c r="D3272" s="14"/>
      <c r="E3272" s="14"/>
      <c r="F3272" s="14"/>
      <c r="G3272" s="16"/>
    </row>
    <row r="3273" spans="2:7" x14ac:dyDescent="0.25">
      <c r="B3273" s="38"/>
      <c r="C3273" s="14"/>
      <c r="D3273" s="14"/>
      <c r="E3273" s="14"/>
      <c r="F3273" s="14"/>
      <c r="G3273" s="16"/>
    </row>
    <row r="3274" spans="2:7" x14ac:dyDescent="0.25">
      <c r="B3274" s="38"/>
      <c r="C3274" s="14"/>
      <c r="D3274" s="14"/>
      <c r="E3274" s="14"/>
      <c r="F3274" s="14"/>
      <c r="G3274" s="16"/>
    </row>
    <row r="3275" spans="2:7" x14ac:dyDescent="0.25">
      <c r="B3275" s="38"/>
      <c r="C3275" s="14"/>
      <c r="D3275" s="14"/>
      <c r="E3275" s="14"/>
      <c r="F3275" s="14"/>
      <c r="G3275" s="16"/>
    </row>
    <row r="3276" spans="2:7" x14ac:dyDescent="0.25">
      <c r="B3276" s="38"/>
      <c r="C3276" s="14"/>
      <c r="D3276" s="14"/>
      <c r="E3276" s="14"/>
      <c r="F3276" s="14"/>
      <c r="G3276" s="16"/>
    </row>
    <row r="3277" spans="2:7" x14ac:dyDescent="0.25">
      <c r="B3277" s="38"/>
      <c r="C3277" s="14"/>
      <c r="D3277" s="14"/>
      <c r="E3277" s="14"/>
      <c r="F3277" s="14"/>
      <c r="G3277" s="16"/>
    </row>
    <row r="3278" spans="2:7" x14ac:dyDescent="0.25">
      <c r="B3278" s="38"/>
      <c r="C3278" s="14"/>
      <c r="D3278" s="14"/>
      <c r="E3278" s="14"/>
      <c r="F3278" s="14"/>
      <c r="G3278" s="16"/>
    </row>
    <row r="3279" spans="2:7" x14ac:dyDescent="0.25">
      <c r="B3279" s="38"/>
      <c r="C3279" s="14"/>
      <c r="D3279" s="14"/>
      <c r="E3279" s="14"/>
      <c r="F3279" s="14"/>
      <c r="G3279" s="16"/>
    </row>
    <row r="3280" spans="2:7" x14ac:dyDescent="0.25">
      <c r="B3280" s="38"/>
      <c r="C3280" s="14"/>
      <c r="D3280" s="14"/>
      <c r="E3280" s="14"/>
      <c r="F3280" s="14"/>
      <c r="G3280" s="16"/>
    </row>
    <row r="3281" spans="2:7" x14ac:dyDescent="0.25">
      <c r="B3281" s="38"/>
      <c r="C3281" s="14"/>
      <c r="D3281" s="14"/>
      <c r="E3281" s="14"/>
      <c r="F3281" s="14"/>
      <c r="G3281" s="16"/>
    </row>
    <row r="3282" spans="2:7" x14ac:dyDescent="0.25">
      <c r="B3282" s="38"/>
      <c r="C3282" s="14"/>
      <c r="D3282" s="14"/>
      <c r="E3282" s="14"/>
      <c r="F3282" s="14"/>
      <c r="G3282" s="16"/>
    </row>
    <row r="3283" spans="2:7" x14ac:dyDescent="0.25">
      <c r="B3283" s="38"/>
      <c r="C3283" s="14"/>
      <c r="D3283" s="14"/>
      <c r="E3283" s="14"/>
      <c r="F3283" s="14"/>
      <c r="G3283" s="16"/>
    </row>
    <row r="3284" spans="2:7" x14ac:dyDescent="0.25">
      <c r="B3284" s="38"/>
      <c r="C3284" s="14"/>
      <c r="D3284" s="14"/>
      <c r="E3284" s="14"/>
      <c r="F3284" s="14"/>
      <c r="G3284" s="16"/>
    </row>
    <row r="3285" spans="2:7" x14ac:dyDescent="0.25">
      <c r="B3285" s="38"/>
      <c r="C3285" s="14"/>
      <c r="D3285" s="14"/>
      <c r="E3285" s="14"/>
      <c r="F3285" s="14"/>
      <c r="G3285" s="16"/>
    </row>
    <row r="3286" spans="2:7" x14ac:dyDescent="0.25">
      <c r="B3286" s="38"/>
      <c r="C3286" s="14"/>
      <c r="D3286" s="14"/>
      <c r="E3286" s="14"/>
      <c r="F3286" s="14"/>
      <c r="G3286" s="16"/>
    </row>
    <row r="3287" spans="2:7" x14ac:dyDescent="0.25">
      <c r="B3287" s="38"/>
      <c r="C3287" s="14"/>
      <c r="D3287" s="14"/>
      <c r="E3287" s="14"/>
      <c r="F3287" s="14"/>
      <c r="G3287" s="16"/>
    </row>
    <row r="3288" spans="2:7" x14ac:dyDescent="0.25">
      <c r="B3288" s="38"/>
      <c r="C3288" s="14"/>
      <c r="D3288" s="14"/>
      <c r="E3288" s="14"/>
      <c r="F3288" s="14"/>
      <c r="G3288" s="16"/>
    </row>
    <row r="3289" spans="2:7" x14ac:dyDescent="0.25">
      <c r="B3289" s="38"/>
      <c r="C3289" s="14"/>
      <c r="D3289" s="14"/>
      <c r="E3289" s="14"/>
      <c r="F3289" s="14"/>
      <c r="G3289" s="16"/>
    </row>
    <row r="3290" spans="2:7" x14ac:dyDescent="0.25">
      <c r="B3290" s="38"/>
      <c r="C3290" s="14"/>
      <c r="D3290" s="14"/>
      <c r="E3290" s="14"/>
      <c r="F3290" s="14"/>
      <c r="G3290" s="16"/>
    </row>
    <row r="3291" spans="2:7" x14ac:dyDescent="0.25">
      <c r="B3291" s="38"/>
      <c r="C3291" s="14"/>
      <c r="D3291" s="14"/>
      <c r="E3291" s="14"/>
      <c r="F3291" s="14"/>
      <c r="G3291" s="16"/>
    </row>
    <row r="3292" spans="2:7" x14ac:dyDescent="0.25">
      <c r="B3292" s="38"/>
      <c r="C3292" s="14"/>
      <c r="D3292" s="14"/>
      <c r="E3292" s="14"/>
      <c r="F3292" s="14"/>
      <c r="G3292" s="16"/>
    </row>
    <row r="3293" spans="2:7" x14ac:dyDescent="0.25">
      <c r="B3293" s="38"/>
      <c r="C3293" s="14"/>
      <c r="D3293" s="14"/>
      <c r="E3293" s="14"/>
      <c r="F3293" s="14"/>
      <c r="G3293" s="16"/>
    </row>
    <row r="3294" spans="2:7" x14ac:dyDescent="0.25">
      <c r="B3294" s="38"/>
      <c r="C3294" s="14"/>
      <c r="D3294" s="14"/>
      <c r="E3294" s="14"/>
      <c r="F3294" s="14"/>
      <c r="G3294" s="16"/>
    </row>
    <row r="3295" spans="2:7" x14ac:dyDescent="0.25">
      <c r="B3295" s="38"/>
      <c r="C3295" s="14"/>
      <c r="D3295" s="14"/>
      <c r="E3295" s="14"/>
      <c r="F3295" s="14"/>
      <c r="G3295" s="16"/>
    </row>
    <row r="3296" spans="2:7" x14ac:dyDescent="0.25">
      <c r="B3296" s="38"/>
      <c r="C3296" s="14"/>
      <c r="D3296" s="14"/>
      <c r="E3296" s="14"/>
      <c r="F3296" s="14"/>
      <c r="G3296" s="16"/>
    </row>
    <row r="3297" spans="2:7" x14ac:dyDescent="0.25">
      <c r="B3297" s="38"/>
      <c r="C3297" s="14"/>
      <c r="D3297" s="14"/>
      <c r="E3297" s="14"/>
      <c r="F3297" s="14"/>
      <c r="G3297" s="16"/>
    </row>
    <row r="3298" spans="2:7" x14ac:dyDescent="0.25">
      <c r="B3298" s="38"/>
      <c r="C3298" s="14"/>
      <c r="D3298" s="14"/>
      <c r="E3298" s="14"/>
      <c r="F3298" s="14"/>
      <c r="G3298" s="16"/>
    </row>
    <row r="3299" spans="2:7" x14ac:dyDescent="0.25">
      <c r="B3299" s="38"/>
      <c r="C3299" s="14"/>
      <c r="D3299" s="14"/>
      <c r="E3299" s="14"/>
      <c r="F3299" s="14"/>
      <c r="G3299" s="16"/>
    </row>
    <row r="3300" spans="2:7" x14ac:dyDescent="0.25">
      <c r="B3300" s="38"/>
      <c r="C3300" s="14"/>
      <c r="D3300" s="14"/>
      <c r="E3300" s="14"/>
      <c r="F3300" s="14"/>
      <c r="G3300" s="16"/>
    </row>
    <row r="3301" spans="2:7" x14ac:dyDescent="0.25">
      <c r="B3301" s="38"/>
      <c r="C3301" s="14"/>
      <c r="D3301" s="14"/>
      <c r="E3301" s="14"/>
      <c r="F3301" s="14"/>
      <c r="G3301" s="16"/>
    </row>
    <row r="3302" spans="2:7" x14ac:dyDescent="0.25">
      <c r="B3302" s="38"/>
      <c r="C3302" s="14"/>
      <c r="D3302" s="14"/>
      <c r="E3302" s="14"/>
      <c r="F3302" s="14"/>
      <c r="G3302" s="16"/>
    </row>
    <row r="3303" spans="2:7" x14ac:dyDescent="0.25">
      <c r="B3303" s="38"/>
      <c r="C3303" s="14"/>
      <c r="D3303" s="14"/>
      <c r="E3303" s="14"/>
      <c r="F3303" s="14"/>
      <c r="G3303" s="16"/>
    </row>
    <row r="3304" spans="2:7" x14ac:dyDescent="0.25">
      <c r="B3304" s="38"/>
      <c r="C3304" s="14"/>
      <c r="D3304" s="14"/>
      <c r="E3304" s="14"/>
      <c r="F3304" s="14"/>
      <c r="G3304" s="16"/>
    </row>
    <row r="3305" spans="2:7" x14ac:dyDescent="0.25">
      <c r="B3305" s="38"/>
      <c r="C3305" s="14"/>
      <c r="D3305" s="14"/>
      <c r="E3305" s="14"/>
      <c r="F3305" s="14"/>
      <c r="G3305" s="16"/>
    </row>
    <row r="3306" spans="2:7" x14ac:dyDescent="0.25">
      <c r="B3306" s="38"/>
      <c r="C3306" s="14"/>
      <c r="D3306" s="14"/>
      <c r="E3306" s="14"/>
      <c r="F3306" s="14"/>
      <c r="G3306" s="16"/>
    </row>
    <row r="3307" spans="2:7" x14ac:dyDescent="0.25">
      <c r="B3307" s="38"/>
      <c r="C3307" s="14"/>
      <c r="D3307" s="14"/>
      <c r="E3307" s="14"/>
      <c r="F3307" s="14"/>
      <c r="G3307" s="16"/>
    </row>
    <row r="3308" spans="2:7" x14ac:dyDescent="0.25">
      <c r="B3308" s="38"/>
      <c r="C3308" s="14"/>
      <c r="D3308" s="14"/>
      <c r="E3308" s="14"/>
      <c r="F3308" s="14"/>
      <c r="G3308" s="16"/>
    </row>
    <row r="3309" spans="2:7" x14ac:dyDescent="0.25">
      <c r="B3309" s="38"/>
      <c r="C3309" s="14"/>
      <c r="D3309" s="14"/>
      <c r="E3309" s="14"/>
      <c r="F3309" s="14"/>
      <c r="G3309" s="16"/>
    </row>
    <row r="3310" spans="2:7" x14ac:dyDescent="0.25">
      <c r="B3310" s="38"/>
      <c r="C3310" s="14"/>
      <c r="D3310" s="14"/>
      <c r="E3310" s="14"/>
      <c r="F3310" s="14"/>
      <c r="G3310" s="16"/>
    </row>
    <row r="3311" spans="2:7" x14ac:dyDescent="0.25">
      <c r="B3311" s="38"/>
      <c r="C3311" s="14"/>
      <c r="D3311" s="14"/>
      <c r="E3311" s="14"/>
      <c r="F3311" s="14"/>
      <c r="G3311" s="16"/>
    </row>
    <row r="3312" spans="2:7" x14ac:dyDescent="0.25">
      <c r="B3312" s="38"/>
      <c r="C3312" s="14"/>
      <c r="D3312" s="14"/>
      <c r="E3312" s="14"/>
      <c r="F3312" s="14"/>
      <c r="G3312" s="16"/>
    </row>
    <row r="3313" spans="2:7" x14ac:dyDescent="0.25">
      <c r="B3313" s="38"/>
      <c r="C3313" s="14"/>
      <c r="D3313" s="14"/>
      <c r="E3313" s="14"/>
      <c r="F3313" s="14"/>
      <c r="G3313" s="16"/>
    </row>
    <row r="3314" spans="2:7" x14ac:dyDescent="0.25">
      <c r="B3314" s="38"/>
      <c r="C3314" s="14"/>
      <c r="D3314" s="14"/>
      <c r="E3314" s="14"/>
      <c r="F3314" s="14"/>
      <c r="G3314" s="16"/>
    </row>
    <row r="3315" spans="2:7" x14ac:dyDescent="0.25">
      <c r="B3315" s="38"/>
      <c r="C3315" s="14"/>
      <c r="D3315" s="14"/>
      <c r="E3315" s="14"/>
      <c r="F3315" s="14"/>
      <c r="G3315" s="16"/>
    </row>
    <row r="3316" spans="2:7" x14ac:dyDescent="0.25">
      <c r="B3316" s="38"/>
      <c r="C3316" s="14"/>
      <c r="D3316" s="14"/>
      <c r="E3316" s="14"/>
      <c r="F3316" s="14"/>
      <c r="G3316" s="16"/>
    </row>
    <row r="3317" spans="2:7" x14ac:dyDescent="0.25">
      <c r="B3317" s="38"/>
      <c r="C3317" s="14"/>
      <c r="D3317" s="14"/>
      <c r="E3317" s="14"/>
      <c r="F3317" s="14"/>
      <c r="G3317" s="16"/>
    </row>
    <row r="3318" spans="2:7" x14ac:dyDescent="0.25">
      <c r="B3318" s="38"/>
      <c r="C3318" s="14"/>
      <c r="D3318" s="14"/>
      <c r="E3318" s="14"/>
      <c r="F3318" s="14"/>
      <c r="G3318" s="16"/>
    </row>
    <row r="3319" spans="2:7" x14ac:dyDescent="0.25">
      <c r="B3319" s="38"/>
      <c r="C3319" s="14"/>
      <c r="D3319" s="14"/>
      <c r="E3319" s="14"/>
      <c r="F3319" s="14"/>
      <c r="G3319" s="16"/>
    </row>
    <row r="3320" spans="2:7" x14ac:dyDescent="0.25">
      <c r="B3320" s="38"/>
      <c r="C3320" s="14"/>
      <c r="D3320" s="14"/>
      <c r="E3320" s="14"/>
      <c r="F3320" s="14"/>
      <c r="G3320" s="16"/>
    </row>
    <row r="3321" spans="2:7" x14ac:dyDescent="0.25">
      <c r="B3321" s="38"/>
      <c r="C3321" s="14"/>
      <c r="D3321" s="14"/>
      <c r="E3321" s="14"/>
      <c r="F3321" s="14"/>
      <c r="G3321" s="16"/>
    </row>
    <row r="3322" spans="2:7" x14ac:dyDescent="0.25">
      <c r="B3322" s="38"/>
      <c r="C3322" s="14"/>
      <c r="D3322" s="14"/>
      <c r="E3322" s="14"/>
      <c r="F3322" s="14"/>
      <c r="G3322" s="16"/>
    </row>
    <row r="3323" spans="2:7" x14ac:dyDescent="0.25">
      <c r="B3323" s="38"/>
      <c r="C3323" s="14"/>
      <c r="D3323" s="14"/>
      <c r="E3323" s="14"/>
      <c r="F3323" s="14"/>
      <c r="G3323" s="16"/>
    </row>
    <row r="3324" spans="2:7" x14ac:dyDescent="0.25">
      <c r="B3324" s="38"/>
      <c r="C3324" s="14"/>
      <c r="D3324" s="14"/>
      <c r="E3324" s="14"/>
      <c r="F3324" s="14"/>
      <c r="G3324" s="16"/>
    </row>
    <row r="3325" spans="2:7" x14ac:dyDescent="0.25">
      <c r="B3325" s="38"/>
      <c r="C3325" s="14"/>
      <c r="D3325" s="14"/>
      <c r="E3325" s="14"/>
      <c r="F3325" s="14"/>
      <c r="G3325" s="16"/>
    </row>
    <row r="3326" spans="2:7" x14ac:dyDescent="0.25">
      <c r="B3326" s="38"/>
      <c r="C3326" s="14"/>
      <c r="D3326" s="14"/>
      <c r="E3326" s="14"/>
      <c r="F3326" s="14"/>
      <c r="G3326" s="16"/>
    </row>
    <row r="3327" spans="2:7" x14ac:dyDescent="0.25">
      <c r="B3327" s="38"/>
      <c r="C3327" s="14"/>
      <c r="D3327" s="14"/>
      <c r="E3327" s="14"/>
      <c r="F3327" s="14"/>
      <c r="G3327" s="16"/>
    </row>
    <row r="3328" spans="2:7" x14ac:dyDescent="0.25">
      <c r="B3328" s="38"/>
      <c r="C3328" s="14"/>
      <c r="D3328" s="14"/>
      <c r="E3328" s="14"/>
      <c r="F3328" s="14"/>
      <c r="G3328" s="16"/>
    </row>
    <row r="3329" spans="2:7" x14ac:dyDescent="0.25">
      <c r="B3329" s="38"/>
      <c r="C3329" s="14"/>
      <c r="D3329" s="14"/>
      <c r="E3329" s="14"/>
      <c r="F3329" s="14"/>
      <c r="G3329" s="16"/>
    </row>
    <row r="3330" spans="2:7" x14ac:dyDescent="0.25">
      <c r="B3330" s="38"/>
      <c r="C3330" s="14"/>
      <c r="D3330" s="14"/>
      <c r="E3330" s="14"/>
      <c r="F3330" s="14"/>
      <c r="G3330" s="16"/>
    </row>
    <row r="3331" spans="2:7" x14ac:dyDescent="0.25">
      <c r="B3331" s="38"/>
      <c r="C3331" s="14"/>
      <c r="D3331" s="14"/>
      <c r="E3331" s="14"/>
      <c r="F3331" s="14"/>
      <c r="G3331" s="16"/>
    </row>
    <row r="3332" spans="2:7" x14ac:dyDescent="0.25">
      <c r="B3332" s="38"/>
      <c r="C3332" s="14"/>
      <c r="D3332" s="14"/>
      <c r="E3332" s="14"/>
      <c r="F3332" s="14"/>
      <c r="G3332" s="16"/>
    </row>
    <row r="3333" spans="2:7" x14ac:dyDescent="0.25">
      <c r="B3333" s="38"/>
      <c r="C3333" s="14"/>
      <c r="D3333" s="14"/>
      <c r="E3333" s="14"/>
      <c r="F3333" s="14"/>
      <c r="G3333" s="16"/>
    </row>
    <row r="3334" spans="2:7" x14ac:dyDescent="0.25">
      <c r="B3334" s="38"/>
      <c r="C3334" s="14"/>
      <c r="D3334" s="14"/>
      <c r="E3334" s="14"/>
      <c r="F3334" s="14"/>
      <c r="G3334" s="16"/>
    </row>
    <row r="3335" spans="2:7" x14ac:dyDescent="0.25">
      <c r="B3335" s="38"/>
      <c r="C3335" s="14"/>
      <c r="D3335" s="14"/>
      <c r="E3335" s="14"/>
      <c r="F3335" s="14"/>
      <c r="G3335" s="16"/>
    </row>
    <row r="3336" spans="2:7" x14ac:dyDescent="0.25">
      <c r="B3336" s="38"/>
      <c r="C3336" s="14"/>
      <c r="D3336" s="14"/>
      <c r="E3336" s="14"/>
      <c r="F3336" s="14"/>
      <c r="G3336" s="16"/>
    </row>
    <row r="3337" spans="2:7" x14ac:dyDescent="0.25">
      <c r="B3337" s="38"/>
      <c r="C3337" s="14"/>
      <c r="D3337" s="14"/>
      <c r="E3337" s="14"/>
      <c r="F3337" s="14"/>
      <c r="G3337" s="16"/>
    </row>
    <row r="3338" spans="2:7" x14ac:dyDescent="0.25">
      <c r="B3338" s="38"/>
      <c r="C3338" s="14"/>
      <c r="D3338" s="14"/>
      <c r="E3338" s="14"/>
      <c r="F3338" s="14"/>
      <c r="G3338" s="16"/>
    </row>
    <row r="3339" spans="2:7" x14ac:dyDescent="0.25">
      <c r="B3339" s="38"/>
      <c r="C3339" s="14"/>
      <c r="D3339" s="14"/>
      <c r="E3339" s="14"/>
      <c r="F3339" s="14"/>
      <c r="G3339" s="16"/>
    </row>
    <row r="3340" spans="2:7" x14ac:dyDescent="0.25">
      <c r="B3340" s="38"/>
      <c r="C3340" s="14"/>
      <c r="D3340" s="14"/>
      <c r="E3340" s="14"/>
      <c r="F3340" s="14"/>
      <c r="G3340" s="16"/>
    </row>
    <row r="3341" spans="2:7" x14ac:dyDescent="0.25">
      <c r="B3341" s="38"/>
      <c r="C3341" s="14"/>
      <c r="D3341" s="14"/>
      <c r="E3341" s="14"/>
      <c r="F3341" s="14"/>
      <c r="G3341" s="16"/>
    </row>
    <row r="3342" spans="2:7" x14ac:dyDescent="0.25">
      <c r="B3342" s="38"/>
      <c r="C3342" s="14"/>
      <c r="D3342" s="14"/>
      <c r="E3342" s="14"/>
      <c r="F3342" s="14"/>
      <c r="G3342" s="16"/>
    </row>
    <row r="3343" spans="2:7" x14ac:dyDescent="0.25">
      <c r="B3343" s="38"/>
      <c r="C3343" s="14"/>
      <c r="D3343" s="14"/>
      <c r="E3343" s="14"/>
      <c r="F3343" s="14"/>
      <c r="G3343" s="16"/>
    </row>
    <row r="3344" spans="2:7" x14ac:dyDescent="0.25">
      <c r="B3344" s="38"/>
      <c r="C3344" s="14"/>
      <c r="D3344" s="14"/>
      <c r="E3344" s="14"/>
      <c r="F3344" s="14"/>
      <c r="G3344" s="16"/>
    </row>
    <row r="3345" spans="2:7" x14ac:dyDescent="0.25">
      <c r="B3345" s="38"/>
      <c r="C3345" s="14"/>
      <c r="D3345" s="14"/>
      <c r="E3345" s="14"/>
      <c r="F3345" s="14"/>
      <c r="G3345" s="16"/>
    </row>
    <row r="3346" spans="2:7" x14ac:dyDescent="0.25">
      <c r="B3346" s="38"/>
      <c r="C3346" s="14"/>
      <c r="D3346" s="14"/>
      <c r="E3346" s="14"/>
      <c r="F3346" s="14"/>
      <c r="G3346" s="16"/>
    </row>
    <row r="3347" spans="2:7" x14ac:dyDescent="0.25">
      <c r="B3347" s="38"/>
      <c r="C3347" s="14"/>
      <c r="D3347" s="14"/>
      <c r="E3347" s="14"/>
      <c r="F3347" s="14"/>
      <c r="G3347" s="16"/>
    </row>
    <row r="3348" spans="2:7" x14ac:dyDescent="0.25">
      <c r="B3348" s="38"/>
      <c r="C3348" s="14"/>
      <c r="D3348" s="14"/>
      <c r="E3348" s="14"/>
      <c r="F3348" s="14"/>
      <c r="G3348" s="16"/>
    </row>
    <row r="3349" spans="2:7" x14ac:dyDescent="0.25">
      <c r="B3349" s="38"/>
      <c r="C3349" s="14"/>
      <c r="D3349" s="14"/>
      <c r="E3349" s="14"/>
      <c r="F3349" s="14"/>
      <c r="G3349" s="16"/>
    </row>
    <row r="3350" spans="2:7" x14ac:dyDescent="0.25">
      <c r="B3350" s="38"/>
      <c r="C3350" s="14"/>
      <c r="D3350" s="14"/>
      <c r="E3350" s="14"/>
      <c r="F3350" s="14"/>
      <c r="G3350" s="16"/>
    </row>
    <row r="3351" spans="2:7" x14ac:dyDescent="0.25">
      <c r="B3351" s="38"/>
      <c r="C3351" s="14"/>
      <c r="D3351" s="14"/>
      <c r="E3351" s="14"/>
      <c r="F3351" s="14"/>
      <c r="G3351" s="16"/>
    </row>
    <row r="3352" spans="2:7" x14ac:dyDescent="0.25">
      <c r="B3352" s="38"/>
      <c r="C3352" s="14"/>
      <c r="D3352" s="14"/>
      <c r="E3352" s="14"/>
      <c r="F3352" s="14"/>
      <c r="G3352" s="16"/>
    </row>
    <row r="3353" spans="2:7" x14ac:dyDescent="0.25">
      <c r="B3353" s="38"/>
      <c r="C3353" s="14"/>
      <c r="D3353" s="14"/>
      <c r="E3353" s="14"/>
      <c r="F3353" s="14"/>
      <c r="G3353" s="16"/>
    </row>
    <row r="3354" spans="2:7" x14ac:dyDescent="0.25">
      <c r="B3354" s="38"/>
      <c r="C3354" s="14"/>
      <c r="D3354" s="14"/>
      <c r="E3354" s="14"/>
      <c r="F3354" s="14"/>
      <c r="G3354" s="16"/>
    </row>
    <row r="3355" spans="2:7" x14ac:dyDescent="0.25">
      <c r="B3355" s="38"/>
      <c r="C3355" s="14"/>
      <c r="D3355" s="14"/>
      <c r="E3355" s="14"/>
      <c r="F3355" s="14"/>
      <c r="G3355" s="16"/>
    </row>
    <row r="3356" spans="2:7" x14ac:dyDescent="0.25">
      <c r="B3356" s="38"/>
      <c r="C3356" s="14"/>
      <c r="D3356" s="14"/>
      <c r="E3356" s="14"/>
      <c r="F3356" s="14"/>
      <c r="G3356" s="16"/>
    </row>
    <row r="3357" spans="2:7" x14ac:dyDescent="0.25">
      <c r="B3357" s="38"/>
      <c r="C3357" s="14"/>
      <c r="D3357" s="14"/>
      <c r="E3357" s="14"/>
      <c r="F3357" s="14"/>
      <c r="G3357" s="16"/>
    </row>
    <row r="3358" spans="2:7" x14ac:dyDescent="0.25">
      <c r="B3358" s="38"/>
      <c r="C3358" s="14"/>
      <c r="D3358" s="14"/>
      <c r="E3358" s="14"/>
      <c r="F3358" s="14"/>
      <c r="G3358" s="16"/>
    </row>
    <row r="3359" spans="2:7" x14ac:dyDescent="0.25">
      <c r="B3359" s="38"/>
      <c r="C3359" s="14"/>
      <c r="D3359" s="14"/>
      <c r="E3359" s="14"/>
      <c r="F3359" s="14"/>
      <c r="G3359" s="16"/>
    </row>
    <row r="3360" spans="2:7" x14ac:dyDescent="0.25">
      <c r="B3360" s="38"/>
      <c r="C3360" s="14"/>
      <c r="D3360" s="14"/>
      <c r="E3360" s="14"/>
      <c r="F3360" s="14"/>
      <c r="G3360" s="16"/>
    </row>
    <row r="3361" spans="2:7" x14ac:dyDescent="0.25">
      <c r="B3361" s="38"/>
      <c r="C3361" s="14"/>
      <c r="D3361" s="14"/>
      <c r="E3361" s="14"/>
      <c r="F3361" s="14"/>
      <c r="G3361" s="16"/>
    </row>
    <row r="3362" spans="2:7" x14ac:dyDescent="0.25">
      <c r="B3362" s="38"/>
      <c r="C3362" s="14"/>
      <c r="D3362" s="14"/>
      <c r="E3362" s="14"/>
      <c r="F3362" s="14"/>
      <c r="G3362" s="16"/>
    </row>
    <row r="3363" spans="2:7" x14ac:dyDescent="0.25">
      <c r="B3363" s="38"/>
      <c r="C3363" s="14"/>
      <c r="D3363" s="14"/>
      <c r="E3363" s="14"/>
      <c r="F3363" s="14"/>
      <c r="G3363" s="16"/>
    </row>
    <row r="3364" spans="2:7" x14ac:dyDescent="0.25">
      <c r="B3364" s="38"/>
      <c r="C3364" s="14"/>
      <c r="D3364" s="14"/>
      <c r="E3364" s="14"/>
      <c r="F3364" s="14"/>
      <c r="G3364" s="16"/>
    </row>
    <row r="3365" spans="2:7" x14ac:dyDescent="0.25">
      <c r="B3365" s="38"/>
      <c r="C3365" s="14"/>
      <c r="D3365" s="14"/>
      <c r="E3365" s="14"/>
      <c r="F3365" s="14"/>
      <c r="G3365" s="16"/>
    </row>
    <row r="3366" spans="2:7" x14ac:dyDescent="0.25">
      <c r="B3366" s="38"/>
      <c r="C3366" s="14"/>
      <c r="D3366" s="14"/>
      <c r="E3366" s="14"/>
      <c r="F3366" s="14"/>
      <c r="G3366" s="16"/>
    </row>
    <row r="3367" spans="2:7" x14ac:dyDescent="0.25">
      <c r="B3367" s="38"/>
      <c r="C3367" s="14"/>
      <c r="D3367" s="14"/>
      <c r="E3367" s="14"/>
      <c r="F3367" s="14"/>
      <c r="G3367" s="16"/>
    </row>
    <row r="3368" spans="2:7" x14ac:dyDescent="0.25">
      <c r="B3368" s="38"/>
      <c r="C3368" s="14"/>
      <c r="D3368" s="14"/>
      <c r="E3368" s="14"/>
      <c r="F3368" s="14"/>
      <c r="G3368" s="16"/>
    </row>
    <row r="3369" spans="2:7" x14ac:dyDescent="0.25">
      <c r="B3369" s="38"/>
      <c r="C3369" s="14"/>
      <c r="D3369" s="14"/>
      <c r="E3369" s="14"/>
      <c r="F3369" s="14"/>
      <c r="G3369" s="16"/>
    </row>
    <row r="3370" spans="2:7" x14ac:dyDescent="0.25">
      <c r="B3370" s="38"/>
      <c r="C3370" s="14"/>
      <c r="D3370" s="14"/>
      <c r="E3370" s="14"/>
      <c r="F3370" s="14"/>
      <c r="G3370" s="16"/>
    </row>
    <row r="3371" spans="2:7" x14ac:dyDescent="0.25">
      <c r="B3371" s="38"/>
      <c r="C3371" s="14"/>
      <c r="D3371" s="14"/>
      <c r="E3371" s="14"/>
      <c r="F3371" s="14"/>
      <c r="G3371" s="16"/>
    </row>
    <row r="3372" spans="2:7" x14ac:dyDescent="0.25">
      <c r="B3372" s="38"/>
      <c r="C3372" s="14"/>
      <c r="D3372" s="14"/>
      <c r="E3372" s="14"/>
      <c r="F3372" s="14"/>
      <c r="G3372" s="16"/>
    </row>
    <row r="3373" spans="2:7" x14ac:dyDescent="0.25">
      <c r="B3373" s="38"/>
      <c r="C3373" s="14"/>
      <c r="D3373" s="14"/>
      <c r="E3373" s="14"/>
      <c r="F3373" s="14"/>
      <c r="G3373" s="16"/>
    </row>
    <row r="3374" spans="2:7" x14ac:dyDescent="0.25">
      <c r="B3374" s="38"/>
      <c r="C3374" s="14"/>
      <c r="D3374" s="14"/>
      <c r="E3374" s="14"/>
      <c r="F3374" s="14"/>
      <c r="G3374" s="16"/>
    </row>
    <row r="3375" spans="2:7" x14ac:dyDescent="0.25">
      <c r="B3375" s="38"/>
      <c r="C3375" s="14"/>
      <c r="D3375" s="14"/>
      <c r="E3375" s="14"/>
      <c r="F3375" s="14"/>
      <c r="G3375" s="16"/>
    </row>
    <row r="3376" spans="2:7" x14ac:dyDescent="0.25">
      <c r="B3376" s="38"/>
      <c r="C3376" s="14"/>
      <c r="D3376" s="14"/>
      <c r="E3376" s="14"/>
      <c r="F3376" s="14"/>
      <c r="G3376" s="16"/>
    </row>
    <row r="3377" spans="2:7" x14ac:dyDescent="0.25">
      <c r="B3377" s="38"/>
      <c r="C3377" s="14"/>
      <c r="D3377" s="14"/>
      <c r="E3377" s="14"/>
      <c r="F3377" s="14"/>
      <c r="G3377" s="16"/>
    </row>
    <row r="3378" spans="2:7" x14ac:dyDescent="0.25">
      <c r="B3378" s="38"/>
      <c r="C3378" s="14"/>
      <c r="D3378" s="14"/>
      <c r="E3378" s="14"/>
      <c r="F3378" s="14"/>
      <c r="G3378" s="16"/>
    </row>
    <row r="3379" spans="2:7" x14ac:dyDescent="0.25">
      <c r="B3379" s="38"/>
      <c r="C3379" s="14"/>
      <c r="D3379" s="14"/>
      <c r="E3379" s="14"/>
      <c r="F3379" s="14"/>
      <c r="G3379" s="16"/>
    </row>
    <row r="3380" spans="2:7" x14ac:dyDescent="0.25">
      <c r="B3380" s="38"/>
      <c r="C3380" s="14"/>
      <c r="D3380" s="14"/>
      <c r="E3380" s="14"/>
      <c r="F3380" s="14"/>
      <c r="G3380" s="16"/>
    </row>
    <row r="3381" spans="2:7" x14ac:dyDescent="0.25">
      <c r="B3381" s="38"/>
      <c r="C3381" s="14"/>
      <c r="D3381" s="14"/>
      <c r="E3381" s="14"/>
      <c r="F3381" s="14"/>
      <c r="G3381" s="16"/>
    </row>
    <row r="3382" spans="2:7" x14ac:dyDescent="0.25">
      <c r="B3382" s="38"/>
      <c r="C3382" s="14"/>
      <c r="D3382" s="14"/>
      <c r="E3382" s="14"/>
      <c r="F3382" s="14"/>
      <c r="G3382" s="16"/>
    </row>
    <row r="3383" spans="2:7" x14ac:dyDescent="0.25">
      <c r="B3383" s="38"/>
      <c r="C3383" s="14"/>
      <c r="D3383" s="14"/>
      <c r="E3383" s="14"/>
      <c r="F3383" s="14"/>
      <c r="G3383" s="16"/>
    </row>
    <row r="3384" spans="2:7" x14ac:dyDescent="0.25">
      <c r="B3384" s="38"/>
      <c r="C3384" s="14"/>
      <c r="D3384" s="14"/>
      <c r="E3384" s="14"/>
      <c r="F3384" s="14"/>
      <c r="G3384" s="16"/>
    </row>
    <row r="3385" spans="2:7" x14ac:dyDescent="0.25">
      <c r="B3385" s="38"/>
      <c r="C3385" s="14"/>
      <c r="D3385" s="14"/>
      <c r="E3385" s="14"/>
      <c r="F3385" s="14"/>
      <c r="G3385" s="16"/>
    </row>
    <row r="3386" spans="2:7" x14ac:dyDescent="0.25">
      <c r="B3386" s="38"/>
      <c r="C3386" s="14"/>
      <c r="D3386" s="14"/>
      <c r="E3386" s="14"/>
      <c r="F3386" s="14"/>
      <c r="G3386" s="16"/>
    </row>
    <row r="3387" spans="2:7" x14ac:dyDescent="0.25">
      <c r="B3387" s="38"/>
      <c r="C3387" s="14"/>
      <c r="D3387" s="14"/>
      <c r="E3387" s="14"/>
      <c r="F3387" s="14"/>
      <c r="G3387" s="16"/>
    </row>
    <row r="3388" spans="2:7" x14ac:dyDescent="0.25">
      <c r="B3388" s="38"/>
      <c r="C3388" s="14"/>
      <c r="D3388" s="14"/>
      <c r="E3388" s="14"/>
      <c r="F3388" s="14"/>
      <c r="G3388" s="16"/>
    </row>
    <row r="3389" spans="2:7" x14ac:dyDescent="0.25">
      <c r="B3389" s="38"/>
      <c r="C3389" s="14"/>
      <c r="D3389" s="14"/>
      <c r="E3389" s="14"/>
      <c r="F3389" s="14"/>
      <c r="G3389" s="16"/>
    </row>
    <row r="3390" spans="2:7" x14ac:dyDescent="0.25">
      <c r="B3390" s="38"/>
      <c r="C3390" s="14"/>
      <c r="D3390" s="14"/>
      <c r="E3390" s="14"/>
      <c r="F3390" s="14"/>
      <c r="G3390" s="16"/>
    </row>
    <row r="3391" spans="2:7" x14ac:dyDescent="0.25">
      <c r="B3391" s="38"/>
      <c r="C3391" s="14"/>
      <c r="D3391" s="14"/>
      <c r="E3391" s="14"/>
      <c r="F3391" s="14"/>
      <c r="G3391" s="16"/>
    </row>
    <row r="3392" spans="2:7" x14ac:dyDescent="0.25">
      <c r="B3392" s="38"/>
      <c r="C3392" s="14"/>
      <c r="D3392" s="14"/>
      <c r="E3392" s="14"/>
      <c r="F3392" s="14"/>
      <c r="G3392" s="16"/>
    </row>
    <row r="3393" spans="2:7" x14ac:dyDescent="0.25">
      <c r="B3393" s="38"/>
      <c r="C3393" s="14"/>
      <c r="D3393" s="14"/>
      <c r="E3393" s="14"/>
      <c r="F3393" s="14"/>
      <c r="G3393" s="16"/>
    </row>
    <row r="3394" spans="2:7" x14ac:dyDescent="0.25">
      <c r="B3394" s="38"/>
      <c r="C3394" s="14"/>
      <c r="D3394" s="14"/>
      <c r="E3394" s="14"/>
      <c r="F3394" s="14"/>
      <c r="G3394" s="16"/>
    </row>
    <row r="3395" spans="2:7" x14ac:dyDescent="0.25">
      <c r="B3395" s="38"/>
      <c r="C3395" s="14"/>
      <c r="D3395" s="14"/>
      <c r="E3395" s="14"/>
      <c r="F3395" s="14"/>
      <c r="G3395" s="16"/>
    </row>
    <row r="3396" spans="2:7" x14ac:dyDescent="0.25">
      <c r="B3396" s="38"/>
      <c r="C3396" s="14"/>
      <c r="D3396" s="14"/>
      <c r="E3396" s="14"/>
      <c r="F3396" s="14"/>
      <c r="G3396" s="16"/>
    </row>
    <row r="3397" spans="2:7" x14ac:dyDescent="0.25">
      <c r="B3397" s="38"/>
      <c r="C3397" s="14"/>
      <c r="D3397" s="14"/>
      <c r="E3397" s="14"/>
      <c r="F3397" s="14"/>
      <c r="G3397" s="16"/>
    </row>
    <row r="3398" spans="2:7" x14ac:dyDescent="0.25">
      <c r="B3398" s="38"/>
      <c r="C3398" s="14"/>
      <c r="D3398" s="14"/>
      <c r="E3398" s="14"/>
      <c r="F3398" s="14"/>
      <c r="G3398" s="16"/>
    </row>
    <row r="3399" spans="2:7" x14ac:dyDescent="0.25">
      <c r="B3399" s="38"/>
      <c r="C3399" s="14"/>
      <c r="D3399" s="14"/>
      <c r="E3399" s="14"/>
      <c r="F3399" s="14"/>
      <c r="G3399" s="16"/>
    </row>
    <row r="3400" spans="2:7" x14ac:dyDescent="0.25">
      <c r="B3400" s="38"/>
      <c r="C3400" s="14"/>
      <c r="D3400" s="14"/>
      <c r="E3400" s="14"/>
      <c r="F3400" s="14"/>
      <c r="G3400" s="16"/>
    </row>
    <row r="3401" spans="2:7" x14ac:dyDescent="0.25">
      <c r="B3401" s="38"/>
      <c r="C3401" s="14"/>
      <c r="D3401" s="14"/>
      <c r="E3401" s="14"/>
      <c r="F3401" s="14"/>
      <c r="G3401" s="16"/>
    </row>
    <row r="3402" spans="2:7" x14ac:dyDescent="0.25">
      <c r="B3402" s="38"/>
      <c r="C3402" s="14"/>
      <c r="D3402" s="14"/>
      <c r="E3402" s="14"/>
      <c r="F3402" s="14"/>
      <c r="G3402" s="16"/>
    </row>
    <row r="3403" spans="2:7" x14ac:dyDescent="0.25">
      <c r="B3403" s="38"/>
      <c r="C3403" s="14"/>
      <c r="D3403" s="14"/>
      <c r="E3403" s="14"/>
      <c r="F3403" s="14"/>
      <c r="G3403" s="16"/>
    </row>
    <row r="3404" spans="2:7" x14ac:dyDescent="0.25">
      <c r="B3404" s="38"/>
      <c r="C3404" s="14"/>
      <c r="D3404" s="14"/>
      <c r="E3404" s="14"/>
      <c r="F3404" s="14"/>
      <c r="G3404" s="16"/>
    </row>
    <row r="3405" spans="2:7" x14ac:dyDescent="0.25">
      <c r="B3405" s="38"/>
      <c r="C3405" s="14"/>
      <c r="D3405" s="14"/>
      <c r="E3405" s="14"/>
      <c r="F3405" s="14"/>
      <c r="G3405" s="16"/>
    </row>
    <row r="3406" spans="2:7" x14ac:dyDescent="0.25">
      <c r="B3406" s="38"/>
      <c r="C3406" s="14"/>
      <c r="D3406" s="14"/>
      <c r="E3406" s="14"/>
      <c r="F3406" s="14"/>
      <c r="G3406" s="16"/>
    </row>
    <row r="3407" spans="2:7" x14ac:dyDescent="0.25">
      <c r="B3407" s="38"/>
      <c r="C3407" s="14"/>
      <c r="D3407" s="14"/>
      <c r="E3407" s="14"/>
      <c r="F3407" s="14"/>
      <c r="G3407" s="16"/>
    </row>
    <row r="3408" spans="2:7" x14ac:dyDescent="0.25">
      <c r="B3408" s="38"/>
      <c r="C3408" s="14"/>
      <c r="D3408" s="14"/>
      <c r="E3408" s="14"/>
      <c r="F3408" s="14"/>
      <c r="G3408" s="16"/>
    </row>
    <row r="3409" spans="2:7" x14ac:dyDescent="0.25">
      <c r="B3409" s="38"/>
      <c r="C3409" s="14"/>
      <c r="D3409" s="14"/>
      <c r="E3409" s="14"/>
      <c r="F3409" s="14"/>
      <c r="G3409" s="16"/>
    </row>
    <row r="3410" spans="2:7" x14ac:dyDescent="0.25">
      <c r="B3410" s="38"/>
      <c r="C3410" s="14"/>
      <c r="D3410" s="14"/>
      <c r="E3410" s="14"/>
      <c r="F3410" s="14"/>
      <c r="G3410" s="16"/>
    </row>
    <row r="3411" spans="2:7" x14ac:dyDescent="0.25">
      <c r="B3411" s="38"/>
      <c r="C3411" s="14"/>
      <c r="D3411" s="14"/>
      <c r="E3411" s="14"/>
      <c r="F3411" s="14"/>
      <c r="G3411" s="16"/>
    </row>
    <row r="3412" spans="2:7" x14ac:dyDescent="0.25">
      <c r="B3412" s="38"/>
      <c r="C3412" s="14"/>
      <c r="D3412" s="14"/>
      <c r="E3412" s="14"/>
      <c r="F3412" s="14"/>
      <c r="G3412" s="16"/>
    </row>
    <row r="3413" spans="2:7" x14ac:dyDescent="0.25">
      <c r="B3413" s="38"/>
      <c r="C3413" s="14"/>
      <c r="D3413" s="14"/>
      <c r="E3413" s="14"/>
      <c r="F3413" s="14"/>
      <c r="G3413" s="16"/>
    </row>
    <row r="3414" spans="2:7" x14ac:dyDescent="0.25">
      <c r="B3414" s="38"/>
      <c r="C3414" s="14"/>
      <c r="D3414" s="14"/>
      <c r="E3414" s="14"/>
      <c r="F3414" s="14"/>
      <c r="G3414" s="16"/>
    </row>
    <row r="3415" spans="2:7" x14ac:dyDescent="0.25">
      <c r="B3415" s="38"/>
      <c r="C3415" s="14"/>
      <c r="D3415" s="14"/>
      <c r="E3415" s="14"/>
      <c r="F3415" s="14"/>
      <c r="G3415" s="16"/>
    </row>
    <row r="3416" spans="2:7" x14ac:dyDescent="0.25">
      <c r="B3416" s="38"/>
      <c r="C3416" s="14"/>
      <c r="D3416" s="14"/>
      <c r="E3416" s="14"/>
      <c r="F3416" s="14"/>
      <c r="G3416" s="16"/>
    </row>
    <row r="3417" spans="2:7" x14ac:dyDescent="0.25">
      <c r="B3417" s="38"/>
      <c r="C3417" s="14"/>
      <c r="D3417" s="14"/>
      <c r="E3417" s="14"/>
      <c r="F3417" s="14"/>
      <c r="G3417" s="16"/>
    </row>
    <row r="3418" spans="2:7" x14ac:dyDescent="0.25">
      <c r="B3418" s="38"/>
      <c r="C3418" s="14"/>
      <c r="D3418" s="14"/>
      <c r="E3418" s="14"/>
      <c r="F3418" s="14"/>
      <c r="G3418" s="16"/>
    </row>
    <row r="3419" spans="2:7" x14ac:dyDescent="0.25">
      <c r="B3419" s="38"/>
      <c r="C3419" s="14"/>
      <c r="D3419" s="14"/>
      <c r="E3419" s="14"/>
      <c r="F3419" s="14"/>
      <c r="G3419" s="16"/>
    </row>
    <row r="3420" spans="2:7" x14ac:dyDescent="0.25">
      <c r="B3420" s="38"/>
      <c r="C3420" s="14"/>
      <c r="D3420" s="14"/>
      <c r="E3420" s="14"/>
      <c r="F3420" s="14"/>
      <c r="G3420" s="16"/>
    </row>
    <row r="3421" spans="2:7" x14ac:dyDescent="0.25">
      <c r="B3421" s="38"/>
      <c r="C3421" s="14"/>
      <c r="D3421" s="14"/>
      <c r="E3421" s="14"/>
      <c r="F3421" s="14"/>
      <c r="G3421" s="16"/>
    </row>
    <row r="3422" spans="2:7" x14ac:dyDescent="0.25">
      <c r="B3422" s="38"/>
      <c r="C3422" s="14"/>
      <c r="D3422" s="14"/>
      <c r="E3422" s="14"/>
      <c r="F3422" s="14"/>
      <c r="G3422" s="16"/>
    </row>
    <row r="3423" spans="2:7" x14ac:dyDescent="0.25">
      <c r="B3423" s="38"/>
      <c r="C3423" s="14"/>
      <c r="D3423" s="14"/>
      <c r="E3423" s="14"/>
      <c r="F3423" s="14"/>
      <c r="G3423" s="16"/>
    </row>
    <row r="3424" spans="2:7" x14ac:dyDescent="0.25">
      <c r="B3424" s="38"/>
      <c r="C3424" s="14"/>
      <c r="D3424" s="14"/>
      <c r="E3424" s="14"/>
      <c r="F3424" s="14"/>
      <c r="G3424" s="16"/>
    </row>
    <row r="3425" spans="2:7" x14ac:dyDescent="0.25">
      <c r="B3425" s="38"/>
      <c r="C3425" s="14"/>
      <c r="D3425" s="14"/>
      <c r="E3425" s="14"/>
      <c r="F3425" s="14"/>
      <c r="G3425" s="16"/>
    </row>
    <row r="3426" spans="2:7" x14ac:dyDescent="0.25">
      <c r="B3426" s="38"/>
      <c r="C3426" s="14"/>
      <c r="D3426" s="14"/>
      <c r="E3426" s="14"/>
      <c r="F3426" s="14"/>
      <c r="G3426" s="16"/>
    </row>
    <row r="3427" spans="2:7" x14ac:dyDescent="0.25">
      <c r="B3427" s="38"/>
      <c r="C3427" s="14"/>
      <c r="D3427" s="14"/>
      <c r="E3427" s="14"/>
      <c r="F3427" s="14"/>
      <c r="G3427" s="16"/>
    </row>
    <row r="3428" spans="2:7" x14ac:dyDescent="0.25">
      <c r="B3428" s="38"/>
      <c r="C3428" s="14"/>
      <c r="D3428" s="14"/>
      <c r="E3428" s="14"/>
      <c r="F3428" s="14"/>
      <c r="G3428" s="16"/>
    </row>
    <row r="3429" spans="2:7" x14ac:dyDescent="0.25">
      <c r="B3429" s="38"/>
      <c r="C3429" s="14"/>
      <c r="D3429" s="14"/>
      <c r="E3429" s="14"/>
      <c r="F3429" s="14"/>
      <c r="G3429" s="16"/>
    </row>
    <row r="3430" spans="2:7" x14ac:dyDescent="0.25">
      <c r="B3430" s="38"/>
      <c r="C3430" s="14"/>
      <c r="D3430" s="14"/>
      <c r="E3430" s="14"/>
      <c r="F3430" s="14"/>
      <c r="G3430" s="16"/>
    </row>
    <row r="3431" spans="2:7" x14ac:dyDescent="0.25">
      <c r="B3431" s="38"/>
      <c r="C3431" s="14"/>
      <c r="D3431" s="14"/>
      <c r="E3431" s="14"/>
      <c r="F3431" s="14"/>
      <c r="G3431" s="16"/>
    </row>
    <row r="3432" spans="2:7" x14ac:dyDescent="0.25">
      <c r="B3432" s="38"/>
      <c r="C3432" s="14"/>
      <c r="D3432" s="14"/>
      <c r="E3432" s="14"/>
      <c r="F3432" s="14"/>
      <c r="G3432" s="16"/>
    </row>
    <row r="3433" spans="2:7" x14ac:dyDescent="0.25">
      <c r="B3433" s="38"/>
      <c r="C3433" s="14"/>
      <c r="D3433" s="14"/>
      <c r="E3433" s="14"/>
      <c r="F3433" s="14"/>
      <c r="G3433" s="16"/>
    </row>
    <row r="3434" spans="2:7" x14ac:dyDescent="0.25">
      <c r="B3434" s="38"/>
      <c r="C3434" s="14"/>
      <c r="D3434" s="14"/>
      <c r="E3434" s="14"/>
      <c r="F3434" s="14"/>
      <c r="G3434" s="16"/>
    </row>
    <row r="3435" spans="2:7" x14ac:dyDescent="0.25">
      <c r="B3435" s="38"/>
      <c r="C3435" s="14"/>
      <c r="D3435" s="14"/>
      <c r="E3435" s="14"/>
      <c r="F3435" s="14"/>
      <c r="G3435" s="16"/>
    </row>
    <row r="3436" spans="2:7" x14ac:dyDescent="0.25">
      <c r="B3436" s="38"/>
      <c r="C3436" s="14"/>
      <c r="D3436" s="14"/>
      <c r="E3436" s="14"/>
      <c r="F3436" s="14"/>
      <c r="G3436" s="16"/>
    </row>
    <row r="3437" spans="2:7" x14ac:dyDescent="0.25">
      <c r="B3437" s="38"/>
      <c r="C3437" s="14"/>
      <c r="D3437" s="14"/>
      <c r="E3437" s="14"/>
      <c r="F3437" s="14"/>
      <c r="G3437" s="16"/>
    </row>
    <row r="3438" spans="2:7" x14ac:dyDescent="0.25">
      <c r="B3438" s="38"/>
      <c r="C3438" s="14"/>
      <c r="D3438" s="14"/>
      <c r="E3438" s="14"/>
      <c r="F3438" s="14"/>
      <c r="G3438" s="16"/>
    </row>
    <row r="3439" spans="2:7" x14ac:dyDescent="0.25">
      <c r="B3439" s="38"/>
      <c r="C3439" s="14"/>
      <c r="D3439" s="14"/>
      <c r="E3439" s="14"/>
      <c r="F3439" s="14"/>
      <c r="G3439" s="16"/>
    </row>
    <row r="3440" spans="2:7" x14ac:dyDescent="0.25">
      <c r="B3440" s="38"/>
      <c r="C3440" s="14"/>
      <c r="D3440" s="14"/>
      <c r="E3440" s="14"/>
      <c r="F3440" s="14"/>
      <c r="G3440" s="16"/>
    </row>
    <row r="3441" spans="2:7" x14ac:dyDescent="0.25">
      <c r="B3441" s="38"/>
      <c r="C3441" s="14"/>
      <c r="D3441" s="14"/>
      <c r="E3441" s="14"/>
      <c r="F3441" s="14"/>
      <c r="G3441" s="16"/>
    </row>
    <row r="3442" spans="2:7" x14ac:dyDescent="0.25">
      <c r="B3442" s="38"/>
      <c r="C3442" s="14"/>
      <c r="D3442" s="14"/>
      <c r="E3442" s="14"/>
      <c r="F3442" s="14"/>
      <c r="G3442" s="16"/>
    </row>
    <row r="3443" spans="2:7" x14ac:dyDescent="0.25">
      <c r="B3443" s="38"/>
      <c r="C3443" s="14"/>
      <c r="D3443" s="14"/>
      <c r="E3443" s="14"/>
      <c r="F3443" s="14"/>
      <c r="G3443" s="16"/>
    </row>
    <row r="3444" spans="2:7" x14ac:dyDescent="0.25">
      <c r="B3444" s="38"/>
      <c r="C3444" s="14"/>
      <c r="D3444" s="14"/>
      <c r="E3444" s="14"/>
      <c r="F3444" s="14"/>
      <c r="G3444" s="16"/>
    </row>
    <row r="3445" spans="2:7" x14ac:dyDescent="0.25">
      <c r="B3445" s="38"/>
      <c r="C3445" s="14"/>
      <c r="D3445" s="14"/>
      <c r="E3445" s="14"/>
      <c r="F3445" s="14"/>
      <c r="G3445" s="16"/>
    </row>
    <row r="3446" spans="2:7" x14ac:dyDescent="0.25">
      <c r="B3446" s="38"/>
      <c r="C3446" s="14"/>
      <c r="D3446" s="14"/>
      <c r="E3446" s="14"/>
      <c r="F3446" s="14"/>
      <c r="G3446" s="16"/>
    </row>
    <row r="3447" spans="2:7" x14ac:dyDescent="0.25">
      <c r="B3447" s="38"/>
      <c r="C3447" s="14"/>
      <c r="D3447" s="14"/>
      <c r="E3447" s="14"/>
      <c r="F3447" s="14"/>
      <c r="G3447" s="16"/>
    </row>
    <row r="3448" spans="2:7" x14ac:dyDescent="0.25">
      <c r="B3448" s="38"/>
      <c r="C3448" s="14"/>
      <c r="D3448" s="14"/>
      <c r="E3448" s="14"/>
      <c r="F3448" s="14"/>
      <c r="G3448" s="16"/>
    </row>
    <row r="3449" spans="2:7" x14ac:dyDescent="0.25">
      <c r="B3449" s="38"/>
      <c r="C3449" s="14"/>
      <c r="D3449" s="14"/>
      <c r="E3449" s="14"/>
      <c r="F3449" s="14"/>
      <c r="G3449" s="16"/>
    </row>
    <row r="3450" spans="2:7" x14ac:dyDescent="0.25">
      <c r="B3450" s="38"/>
      <c r="C3450" s="14"/>
      <c r="D3450" s="14"/>
      <c r="E3450" s="14"/>
      <c r="F3450" s="14"/>
      <c r="G3450" s="16"/>
    </row>
    <row r="3451" spans="2:7" x14ac:dyDescent="0.25">
      <c r="B3451" s="38"/>
      <c r="C3451" s="14"/>
      <c r="D3451" s="14"/>
      <c r="E3451" s="14"/>
      <c r="F3451" s="14"/>
      <c r="G3451" s="16"/>
    </row>
    <row r="3452" spans="2:7" x14ac:dyDescent="0.25">
      <c r="B3452" s="38"/>
      <c r="C3452" s="14"/>
      <c r="D3452" s="14"/>
      <c r="E3452" s="14"/>
      <c r="F3452" s="14"/>
      <c r="G3452" s="16"/>
    </row>
    <row r="3453" spans="2:7" x14ac:dyDescent="0.25">
      <c r="B3453" s="38"/>
      <c r="C3453" s="14"/>
      <c r="D3453" s="14"/>
      <c r="E3453" s="14"/>
      <c r="F3453" s="14"/>
      <c r="G3453" s="16"/>
    </row>
    <row r="3454" spans="2:7" x14ac:dyDescent="0.25">
      <c r="B3454" s="38"/>
      <c r="C3454" s="14"/>
      <c r="D3454" s="14"/>
      <c r="E3454" s="14"/>
      <c r="F3454" s="14"/>
      <c r="G3454" s="16"/>
    </row>
    <row r="3455" spans="2:7" x14ac:dyDescent="0.25">
      <c r="B3455" s="38"/>
      <c r="C3455" s="14"/>
      <c r="D3455" s="14"/>
      <c r="E3455" s="14"/>
      <c r="F3455" s="14"/>
      <c r="G3455" s="16"/>
    </row>
    <row r="3456" spans="2:7" x14ac:dyDescent="0.25">
      <c r="B3456" s="38"/>
      <c r="C3456" s="14"/>
      <c r="D3456" s="14"/>
      <c r="E3456" s="14"/>
      <c r="F3456" s="14"/>
      <c r="G3456" s="16"/>
    </row>
    <row r="3457" spans="2:7" x14ac:dyDescent="0.25">
      <c r="B3457" s="38"/>
      <c r="C3457" s="14"/>
      <c r="D3457" s="14"/>
      <c r="E3457" s="14"/>
      <c r="F3457" s="14"/>
      <c r="G3457" s="16"/>
    </row>
    <row r="3458" spans="2:7" x14ac:dyDescent="0.25">
      <c r="B3458" s="38"/>
      <c r="C3458" s="14"/>
      <c r="D3458" s="14"/>
      <c r="E3458" s="14"/>
      <c r="F3458" s="14"/>
      <c r="G3458" s="16"/>
    </row>
    <row r="3459" spans="2:7" x14ac:dyDescent="0.25">
      <c r="B3459" s="38"/>
      <c r="C3459" s="14"/>
      <c r="D3459" s="14"/>
      <c r="E3459" s="14"/>
      <c r="F3459" s="14"/>
      <c r="G3459" s="16"/>
    </row>
    <row r="3460" spans="2:7" x14ac:dyDescent="0.25">
      <c r="B3460" s="38"/>
      <c r="C3460" s="14"/>
      <c r="D3460" s="14"/>
      <c r="E3460" s="14"/>
      <c r="F3460" s="14"/>
      <c r="G3460" s="16"/>
    </row>
    <row r="3461" spans="2:7" x14ac:dyDescent="0.25">
      <c r="B3461" s="38"/>
      <c r="C3461" s="14"/>
      <c r="D3461" s="14"/>
      <c r="E3461" s="14"/>
      <c r="F3461" s="14"/>
      <c r="G3461" s="16"/>
    </row>
    <row r="3462" spans="2:7" x14ac:dyDescent="0.25">
      <c r="B3462" s="38"/>
      <c r="C3462" s="14"/>
      <c r="D3462" s="14"/>
      <c r="E3462" s="14"/>
      <c r="F3462" s="14"/>
      <c r="G3462" s="16"/>
    </row>
    <row r="3463" spans="2:7" x14ac:dyDescent="0.25">
      <c r="B3463" s="38"/>
      <c r="C3463" s="14"/>
      <c r="D3463" s="14"/>
      <c r="E3463" s="14"/>
      <c r="F3463" s="14"/>
      <c r="G3463" s="16"/>
    </row>
    <row r="3464" spans="2:7" x14ac:dyDescent="0.25">
      <c r="B3464" s="38"/>
      <c r="C3464" s="14"/>
      <c r="D3464" s="14"/>
      <c r="E3464" s="14"/>
      <c r="F3464" s="14"/>
      <c r="G3464" s="16"/>
    </row>
    <row r="3465" spans="2:7" x14ac:dyDescent="0.25">
      <c r="B3465" s="38"/>
      <c r="C3465" s="14"/>
      <c r="D3465" s="14"/>
      <c r="E3465" s="14"/>
      <c r="F3465" s="14"/>
      <c r="G3465" s="16"/>
    </row>
    <row r="3466" spans="2:7" x14ac:dyDescent="0.25">
      <c r="B3466" s="38"/>
      <c r="C3466" s="14"/>
      <c r="D3466" s="14"/>
      <c r="E3466" s="14"/>
      <c r="F3466" s="14"/>
      <c r="G3466" s="16"/>
    </row>
    <row r="3467" spans="2:7" x14ac:dyDescent="0.25">
      <c r="B3467" s="38"/>
      <c r="C3467" s="14"/>
      <c r="D3467" s="14"/>
      <c r="E3467" s="14"/>
      <c r="F3467" s="14"/>
      <c r="G3467" s="16"/>
    </row>
    <row r="3468" spans="2:7" x14ac:dyDescent="0.25">
      <c r="B3468" s="38"/>
      <c r="C3468" s="14"/>
      <c r="D3468" s="14"/>
      <c r="E3468" s="14"/>
      <c r="F3468" s="14"/>
      <c r="G3468" s="16"/>
    </row>
    <row r="3469" spans="2:7" x14ac:dyDescent="0.25">
      <c r="B3469" s="38"/>
      <c r="C3469" s="14"/>
      <c r="D3469" s="14"/>
      <c r="E3469" s="14"/>
      <c r="F3469" s="14"/>
      <c r="G3469" s="16"/>
    </row>
    <row r="3470" spans="2:7" x14ac:dyDescent="0.25">
      <c r="B3470" s="38"/>
      <c r="C3470" s="14"/>
      <c r="D3470" s="14"/>
      <c r="E3470" s="14"/>
      <c r="F3470" s="14"/>
      <c r="G3470" s="16"/>
    </row>
    <row r="3471" spans="2:7" x14ac:dyDescent="0.25">
      <c r="B3471" s="38"/>
      <c r="C3471" s="14"/>
      <c r="D3471" s="14"/>
      <c r="E3471" s="14"/>
      <c r="F3471" s="14"/>
      <c r="G3471" s="16"/>
    </row>
    <row r="3472" spans="2:7" x14ac:dyDescent="0.25">
      <c r="B3472" s="38"/>
      <c r="C3472" s="14"/>
      <c r="D3472" s="14"/>
      <c r="E3472" s="14"/>
      <c r="F3472" s="14"/>
      <c r="G3472" s="16"/>
    </row>
    <row r="3473" spans="2:7" x14ac:dyDescent="0.25">
      <c r="B3473" s="38"/>
      <c r="C3473" s="14"/>
      <c r="D3473" s="14"/>
      <c r="E3473" s="14"/>
      <c r="F3473" s="14"/>
      <c r="G3473" s="16"/>
    </row>
    <row r="3474" spans="2:7" x14ac:dyDescent="0.25">
      <c r="B3474" s="38"/>
      <c r="C3474" s="14"/>
      <c r="D3474" s="14"/>
      <c r="E3474" s="14"/>
      <c r="F3474" s="14"/>
      <c r="G3474" s="16"/>
    </row>
    <row r="3475" spans="2:7" x14ac:dyDescent="0.25">
      <c r="B3475" s="38"/>
      <c r="C3475" s="14"/>
      <c r="D3475" s="14"/>
      <c r="E3475" s="14"/>
      <c r="F3475" s="14"/>
      <c r="G3475" s="16"/>
    </row>
    <row r="3476" spans="2:7" x14ac:dyDescent="0.25">
      <c r="B3476" s="38"/>
      <c r="C3476" s="14"/>
      <c r="D3476" s="14"/>
      <c r="E3476" s="14"/>
      <c r="F3476" s="14"/>
      <c r="G3476" s="16"/>
    </row>
    <row r="3477" spans="2:7" x14ac:dyDescent="0.25">
      <c r="B3477" s="38"/>
      <c r="C3477" s="14"/>
      <c r="D3477" s="14"/>
      <c r="E3477" s="14"/>
      <c r="F3477" s="14"/>
      <c r="G3477" s="16"/>
    </row>
    <row r="3478" spans="2:7" x14ac:dyDescent="0.25">
      <c r="B3478" s="38"/>
      <c r="C3478" s="14"/>
      <c r="D3478" s="14"/>
      <c r="E3478" s="14"/>
      <c r="F3478" s="14"/>
      <c r="G3478" s="16"/>
    </row>
    <row r="3479" spans="2:7" x14ac:dyDescent="0.25">
      <c r="B3479" s="38"/>
      <c r="C3479" s="14"/>
      <c r="D3479" s="14"/>
      <c r="E3479" s="14"/>
      <c r="F3479" s="14"/>
      <c r="G3479" s="16"/>
    </row>
    <row r="3480" spans="2:7" x14ac:dyDescent="0.25">
      <c r="B3480" s="38"/>
      <c r="C3480" s="14"/>
      <c r="D3480" s="14"/>
      <c r="E3480" s="14"/>
      <c r="F3480" s="14"/>
      <c r="G3480" s="16"/>
    </row>
    <row r="3481" spans="2:7" x14ac:dyDescent="0.25">
      <c r="B3481" s="38"/>
      <c r="C3481" s="14"/>
      <c r="D3481" s="14"/>
      <c r="E3481" s="14"/>
      <c r="F3481" s="14"/>
      <c r="G3481" s="16"/>
    </row>
    <row r="3482" spans="2:7" x14ac:dyDescent="0.25">
      <c r="B3482" s="38"/>
      <c r="C3482" s="14"/>
      <c r="D3482" s="14"/>
      <c r="E3482" s="14"/>
      <c r="F3482" s="14"/>
      <c r="G3482" s="16"/>
    </row>
    <row r="3483" spans="2:7" x14ac:dyDescent="0.25">
      <c r="B3483" s="38"/>
      <c r="C3483" s="14"/>
      <c r="D3483" s="14"/>
      <c r="E3483" s="14"/>
      <c r="F3483" s="14"/>
      <c r="G3483" s="16"/>
    </row>
    <row r="3484" spans="2:7" x14ac:dyDescent="0.25">
      <c r="B3484" s="38"/>
      <c r="C3484" s="14"/>
      <c r="D3484" s="14"/>
      <c r="E3484" s="14"/>
      <c r="F3484" s="14"/>
      <c r="G3484" s="16"/>
    </row>
    <row r="3485" spans="2:7" x14ac:dyDescent="0.25">
      <c r="B3485" s="38"/>
      <c r="C3485" s="14"/>
      <c r="D3485" s="14"/>
      <c r="E3485" s="14"/>
      <c r="F3485" s="14"/>
      <c r="G3485" s="16"/>
    </row>
    <row r="3486" spans="2:7" x14ac:dyDescent="0.25">
      <c r="B3486" s="38"/>
      <c r="C3486" s="14"/>
      <c r="D3486" s="14"/>
      <c r="E3486" s="14"/>
      <c r="F3486" s="14"/>
      <c r="G3486" s="16"/>
    </row>
    <row r="3487" spans="2:7" x14ac:dyDescent="0.25">
      <c r="B3487" s="38"/>
      <c r="C3487" s="14"/>
      <c r="D3487" s="14"/>
      <c r="E3487" s="14"/>
      <c r="F3487" s="14"/>
      <c r="G3487" s="16"/>
    </row>
    <row r="3488" spans="2:7" x14ac:dyDescent="0.25">
      <c r="B3488" s="38"/>
      <c r="C3488" s="14"/>
      <c r="D3488" s="14"/>
      <c r="E3488" s="14"/>
      <c r="F3488" s="14"/>
      <c r="G3488" s="16"/>
    </row>
    <row r="3489" spans="2:7" x14ac:dyDescent="0.25">
      <c r="B3489" s="38"/>
      <c r="C3489" s="14"/>
      <c r="D3489" s="14"/>
      <c r="E3489" s="14"/>
      <c r="F3489" s="14"/>
      <c r="G3489" s="16"/>
    </row>
    <row r="3490" spans="2:7" x14ac:dyDescent="0.25">
      <c r="B3490" s="38"/>
      <c r="C3490" s="14"/>
      <c r="D3490" s="14"/>
      <c r="E3490" s="14"/>
      <c r="F3490" s="14"/>
      <c r="G3490" s="16"/>
    </row>
    <row r="3491" spans="2:7" x14ac:dyDescent="0.25">
      <c r="B3491" s="38"/>
      <c r="C3491" s="14"/>
      <c r="D3491" s="14"/>
      <c r="E3491" s="14"/>
      <c r="F3491" s="14"/>
      <c r="G3491" s="16"/>
    </row>
    <row r="3492" spans="2:7" x14ac:dyDescent="0.25">
      <c r="B3492" s="38"/>
      <c r="C3492" s="14"/>
      <c r="D3492" s="14"/>
      <c r="E3492" s="14"/>
      <c r="F3492" s="14"/>
      <c r="G3492" s="16"/>
    </row>
    <row r="3493" spans="2:7" x14ac:dyDescent="0.25">
      <c r="B3493" s="38"/>
      <c r="C3493" s="14"/>
      <c r="D3493" s="14"/>
      <c r="E3493" s="14"/>
      <c r="F3493" s="14"/>
      <c r="G3493" s="16"/>
    </row>
    <row r="3494" spans="2:7" x14ac:dyDescent="0.25">
      <c r="B3494" s="38"/>
      <c r="C3494" s="14"/>
      <c r="D3494" s="14"/>
      <c r="E3494" s="14"/>
      <c r="F3494" s="14"/>
      <c r="G3494" s="16"/>
    </row>
    <row r="3495" spans="2:7" x14ac:dyDescent="0.25">
      <c r="B3495" s="38"/>
      <c r="C3495" s="14"/>
      <c r="D3495" s="14"/>
      <c r="E3495" s="14"/>
      <c r="F3495" s="14"/>
      <c r="G3495" s="16"/>
    </row>
    <row r="3496" spans="2:7" x14ac:dyDescent="0.25">
      <c r="B3496" s="38"/>
      <c r="C3496" s="14"/>
      <c r="D3496" s="14"/>
      <c r="E3496" s="14"/>
      <c r="F3496" s="14"/>
      <c r="G3496" s="16"/>
    </row>
    <row r="3497" spans="2:7" x14ac:dyDescent="0.25">
      <c r="B3497" s="38"/>
      <c r="C3497" s="14"/>
      <c r="D3497" s="14"/>
      <c r="E3497" s="14"/>
      <c r="F3497" s="14"/>
      <c r="G3497" s="16"/>
    </row>
    <row r="3498" spans="2:7" x14ac:dyDescent="0.25">
      <c r="B3498" s="38"/>
      <c r="C3498" s="14"/>
      <c r="D3498" s="14"/>
      <c r="E3498" s="14"/>
      <c r="F3498" s="14"/>
      <c r="G3498" s="16"/>
    </row>
    <row r="3499" spans="2:7" x14ac:dyDescent="0.25">
      <c r="B3499" s="38"/>
      <c r="C3499" s="14"/>
      <c r="D3499" s="14"/>
      <c r="E3499" s="14"/>
      <c r="F3499" s="14"/>
      <c r="G3499" s="16"/>
    </row>
    <row r="3500" spans="2:7" x14ac:dyDescent="0.25">
      <c r="B3500" s="38"/>
      <c r="C3500" s="14"/>
      <c r="D3500" s="14"/>
      <c r="E3500" s="14"/>
      <c r="F3500" s="14"/>
      <c r="G3500" s="16"/>
    </row>
    <row r="3501" spans="2:7" x14ac:dyDescent="0.25">
      <c r="B3501" s="38"/>
      <c r="C3501" s="14"/>
      <c r="D3501" s="14"/>
      <c r="E3501" s="14"/>
      <c r="F3501" s="14"/>
      <c r="G3501" s="16"/>
    </row>
    <row r="3502" spans="2:7" x14ac:dyDescent="0.25">
      <c r="B3502" s="38"/>
      <c r="C3502" s="14"/>
      <c r="D3502" s="14"/>
      <c r="E3502" s="14"/>
      <c r="F3502" s="14"/>
      <c r="G3502" s="16"/>
    </row>
    <row r="3503" spans="2:7" x14ac:dyDescent="0.25">
      <c r="B3503" s="38"/>
      <c r="C3503" s="14"/>
      <c r="D3503" s="14"/>
      <c r="E3503" s="14"/>
      <c r="F3503" s="14"/>
      <c r="G3503" s="16"/>
    </row>
    <row r="3504" spans="2:7" x14ac:dyDescent="0.25">
      <c r="B3504" s="38"/>
      <c r="C3504" s="14"/>
      <c r="D3504" s="14"/>
      <c r="E3504" s="14"/>
      <c r="F3504" s="14"/>
      <c r="G3504" s="16"/>
    </row>
    <row r="3505" spans="2:7" x14ac:dyDescent="0.25">
      <c r="B3505" s="38"/>
      <c r="C3505" s="14"/>
      <c r="D3505" s="14"/>
      <c r="E3505" s="14"/>
      <c r="F3505" s="14"/>
      <c r="G3505" s="16"/>
    </row>
    <row r="3506" spans="2:7" x14ac:dyDescent="0.25">
      <c r="B3506" s="38"/>
      <c r="C3506" s="14"/>
      <c r="D3506" s="14"/>
      <c r="E3506" s="14"/>
      <c r="F3506" s="14"/>
      <c r="G3506" s="16"/>
    </row>
    <row r="3507" spans="2:7" x14ac:dyDescent="0.25">
      <c r="B3507" s="38"/>
      <c r="C3507" s="14"/>
      <c r="D3507" s="14"/>
      <c r="E3507" s="14"/>
      <c r="F3507" s="14"/>
      <c r="G3507" s="16"/>
    </row>
    <row r="3508" spans="2:7" x14ac:dyDescent="0.25">
      <c r="B3508" s="38"/>
      <c r="C3508" s="14"/>
      <c r="D3508" s="14"/>
      <c r="E3508" s="14"/>
      <c r="F3508" s="14"/>
      <c r="G3508" s="16"/>
    </row>
    <row r="3509" spans="2:7" x14ac:dyDescent="0.25">
      <c r="B3509" s="38"/>
      <c r="C3509" s="14"/>
      <c r="D3509" s="14"/>
      <c r="E3509" s="14"/>
      <c r="F3509" s="14"/>
      <c r="G3509" s="16"/>
    </row>
    <row r="3510" spans="2:7" x14ac:dyDescent="0.25">
      <c r="B3510" s="38"/>
      <c r="C3510" s="14"/>
      <c r="D3510" s="14"/>
      <c r="E3510" s="14"/>
      <c r="F3510" s="14"/>
      <c r="G3510" s="16"/>
    </row>
    <row r="3511" spans="2:7" x14ac:dyDescent="0.25">
      <c r="B3511" s="38"/>
      <c r="C3511" s="14"/>
      <c r="D3511" s="14"/>
      <c r="E3511" s="14"/>
      <c r="F3511" s="14"/>
      <c r="G3511" s="16"/>
    </row>
    <row r="3512" spans="2:7" x14ac:dyDescent="0.25">
      <c r="B3512" s="38"/>
      <c r="C3512" s="14"/>
      <c r="D3512" s="14"/>
      <c r="E3512" s="14"/>
      <c r="F3512" s="14"/>
      <c r="G3512" s="16"/>
    </row>
    <row r="3513" spans="2:7" x14ac:dyDescent="0.25">
      <c r="B3513" s="38"/>
      <c r="C3513" s="14"/>
      <c r="D3513" s="14"/>
      <c r="E3513" s="14"/>
      <c r="F3513" s="14"/>
      <c r="G3513" s="16"/>
    </row>
    <row r="3514" spans="2:7" x14ac:dyDescent="0.25">
      <c r="B3514" s="38"/>
      <c r="C3514" s="14"/>
      <c r="D3514" s="14"/>
      <c r="E3514" s="14"/>
      <c r="F3514" s="14"/>
      <c r="G3514" s="16"/>
    </row>
    <row r="3515" spans="2:7" x14ac:dyDescent="0.25">
      <c r="B3515" s="38"/>
      <c r="C3515" s="14"/>
      <c r="D3515" s="14"/>
      <c r="E3515" s="14"/>
      <c r="F3515" s="14"/>
      <c r="G3515" s="16"/>
    </row>
    <row r="3516" spans="2:7" x14ac:dyDescent="0.25">
      <c r="B3516" s="38"/>
      <c r="C3516" s="14"/>
      <c r="D3516" s="14"/>
      <c r="E3516" s="14"/>
      <c r="F3516" s="14"/>
      <c r="G3516" s="16"/>
    </row>
    <row r="3517" spans="2:7" x14ac:dyDescent="0.25">
      <c r="B3517" s="38"/>
      <c r="C3517" s="14"/>
      <c r="D3517" s="14"/>
      <c r="E3517" s="14"/>
      <c r="F3517" s="14"/>
      <c r="G3517" s="16"/>
    </row>
    <row r="3518" spans="2:7" x14ac:dyDescent="0.25">
      <c r="B3518" s="38"/>
      <c r="C3518" s="14"/>
      <c r="D3518" s="14"/>
      <c r="E3518" s="14"/>
      <c r="F3518" s="14"/>
      <c r="G3518" s="16"/>
    </row>
    <row r="3519" spans="2:7" x14ac:dyDescent="0.25">
      <c r="B3519" s="38"/>
      <c r="C3519" s="14"/>
      <c r="D3519" s="14"/>
      <c r="E3519" s="14"/>
      <c r="F3519" s="14"/>
      <c r="G3519" s="16"/>
    </row>
    <row r="3520" spans="2:7" x14ac:dyDescent="0.25">
      <c r="B3520" s="38"/>
      <c r="C3520" s="14"/>
      <c r="D3520" s="14"/>
      <c r="E3520" s="14"/>
      <c r="F3520" s="14"/>
      <c r="G3520" s="16"/>
    </row>
    <row r="3521" spans="2:7" x14ac:dyDescent="0.25">
      <c r="B3521" s="38"/>
      <c r="C3521" s="14"/>
      <c r="D3521" s="14"/>
      <c r="E3521" s="14"/>
      <c r="F3521" s="14"/>
      <c r="G3521" s="16"/>
    </row>
    <row r="3522" spans="2:7" x14ac:dyDescent="0.25">
      <c r="B3522" s="38"/>
      <c r="C3522" s="14"/>
      <c r="D3522" s="14"/>
      <c r="E3522" s="14"/>
      <c r="F3522" s="14"/>
      <c r="G3522" s="16"/>
    </row>
    <row r="3523" spans="2:7" x14ac:dyDescent="0.25">
      <c r="B3523" s="38"/>
      <c r="C3523" s="14"/>
      <c r="D3523" s="14"/>
      <c r="E3523" s="14"/>
      <c r="F3523" s="14"/>
      <c r="G3523" s="16"/>
    </row>
    <row r="3524" spans="2:7" x14ac:dyDescent="0.25">
      <c r="B3524" s="38"/>
      <c r="C3524" s="14"/>
      <c r="D3524" s="14"/>
      <c r="E3524" s="14"/>
      <c r="F3524" s="14"/>
      <c r="G3524" s="16"/>
    </row>
    <row r="3525" spans="2:7" x14ac:dyDescent="0.25">
      <c r="B3525" s="38"/>
      <c r="C3525" s="14"/>
      <c r="D3525" s="14"/>
      <c r="E3525" s="14"/>
      <c r="F3525" s="14"/>
      <c r="G3525" s="16"/>
    </row>
    <row r="3526" spans="2:7" x14ac:dyDescent="0.25">
      <c r="B3526" s="38"/>
      <c r="C3526" s="14"/>
      <c r="D3526" s="14"/>
      <c r="E3526" s="14"/>
      <c r="F3526" s="14"/>
      <c r="G3526" s="16"/>
    </row>
    <row r="3527" spans="2:7" x14ac:dyDescent="0.25">
      <c r="B3527" s="38"/>
      <c r="C3527" s="14"/>
      <c r="D3527" s="14"/>
      <c r="E3527" s="14"/>
      <c r="F3527" s="14"/>
      <c r="G3527" s="16"/>
    </row>
    <row r="3528" spans="2:7" x14ac:dyDescent="0.25">
      <c r="B3528" s="38"/>
      <c r="C3528" s="14"/>
      <c r="D3528" s="14"/>
      <c r="E3528" s="14"/>
      <c r="F3528" s="14"/>
      <c r="G3528" s="16"/>
    </row>
    <row r="3529" spans="2:7" x14ac:dyDescent="0.25">
      <c r="B3529" s="38"/>
      <c r="C3529" s="14"/>
      <c r="D3529" s="14"/>
      <c r="E3529" s="14"/>
      <c r="F3529" s="14"/>
      <c r="G3529" s="16"/>
    </row>
    <row r="3530" spans="2:7" x14ac:dyDescent="0.25">
      <c r="B3530" s="38"/>
      <c r="C3530" s="14"/>
      <c r="D3530" s="14"/>
      <c r="E3530" s="14"/>
      <c r="F3530" s="14"/>
      <c r="G3530" s="16"/>
    </row>
    <row r="3531" spans="2:7" x14ac:dyDescent="0.25">
      <c r="B3531" s="38"/>
      <c r="C3531" s="14"/>
      <c r="D3531" s="14"/>
      <c r="E3531" s="14"/>
      <c r="F3531" s="14"/>
      <c r="G3531" s="16"/>
    </row>
    <row r="3532" spans="2:7" x14ac:dyDescent="0.25">
      <c r="B3532" s="38"/>
      <c r="C3532" s="14"/>
      <c r="D3532" s="14"/>
      <c r="E3532" s="14"/>
      <c r="F3532" s="14"/>
      <c r="G3532" s="16"/>
    </row>
    <row r="3533" spans="2:7" x14ac:dyDescent="0.25">
      <c r="B3533" s="38"/>
      <c r="C3533" s="14"/>
      <c r="D3533" s="14"/>
      <c r="E3533" s="14"/>
      <c r="F3533" s="14"/>
      <c r="G3533" s="16"/>
    </row>
    <row r="3534" spans="2:7" x14ac:dyDescent="0.25">
      <c r="B3534" s="38"/>
      <c r="C3534" s="14"/>
      <c r="D3534" s="14"/>
      <c r="E3534" s="14"/>
      <c r="F3534" s="14"/>
      <c r="G3534" s="16"/>
    </row>
    <row r="3535" spans="2:7" x14ac:dyDescent="0.25">
      <c r="B3535" s="38"/>
      <c r="C3535" s="14"/>
      <c r="D3535" s="14"/>
      <c r="E3535" s="14"/>
      <c r="F3535" s="14"/>
      <c r="G3535" s="16"/>
    </row>
    <row r="3536" spans="2:7" x14ac:dyDescent="0.25">
      <c r="B3536" s="38"/>
      <c r="C3536" s="14"/>
      <c r="D3536" s="14"/>
      <c r="E3536" s="14"/>
      <c r="F3536" s="14"/>
      <c r="G3536" s="16"/>
    </row>
    <row r="3537" spans="2:7" x14ac:dyDescent="0.25">
      <c r="B3537" s="38"/>
      <c r="C3537" s="14"/>
      <c r="D3537" s="14"/>
      <c r="E3537" s="14"/>
      <c r="F3537" s="14"/>
      <c r="G3537" s="16"/>
    </row>
    <row r="3538" spans="2:7" x14ac:dyDescent="0.25">
      <c r="B3538" s="38"/>
      <c r="C3538" s="14"/>
      <c r="D3538" s="14"/>
      <c r="E3538" s="14"/>
      <c r="F3538" s="14"/>
      <c r="G3538" s="16"/>
    </row>
    <row r="3539" spans="2:7" x14ac:dyDescent="0.25">
      <c r="B3539" s="38"/>
      <c r="C3539" s="14"/>
      <c r="D3539" s="14"/>
      <c r="E3539" s="14"/>
      <c r="F3539" s="14"/>
      <c r="G3539" s="16"/>
    </row>
    <row r="3540" spans="2:7" x14ac:dyDescent="0.25">
      <c r="B3540" s="38"/>
      <c r="C3540" s="14"/>
      <c r="D3540" s="14"/>
      <c r="E3540" s="14"/>
      <c r="F3540" s="14"/>
      <c r="G3540" s="16"/>
    </row>
    <row r="3541" spans="2:7" x14ac:dyDescent="0.25">
      <c r="B3541" s="38"/>
      <c r="C3541" s="14"/>
      <c r="D3541" s="14"/>
      <c r="E3541" s="14"/>
      <c r="F3541" s="14"/>
      <c r="G3541" s="16"/>
    </row>
    <row r="3542" spans="2:7" x14ac:dyDescent="0.25">
      <c r="B3542" s="38"/>
      <c r="C3542" s="14"/>
      <c r="D3542" s="14"/>
      <c r="E3542" s="14"/>
      <c r="F3542" s="14"/>
      <c r="G3542" s="16"/>
    </row>
    <row r="3543" spans="2:7" x14ac:dyDescent="0.25">
      <c r="B3543" s="38"/>
      <c r="C3543" s="14"/>
      <c r="D3543" s="14"/>
      <c r="E3543" s="14"/>
      <c r="F3543" s="14"/>
      <c r="G3543" s="16"/>
    </row>
    <row r="3544" spans="2:7" x14ac:dyDescent="0.25">
      <c r="B3544" s="38"/>
      <c r="C3544" s="14"/>
      <c r="D3544" s="14"/>
      <c r="E3544" s="14"/>
      <c r="F3544" s="14"/>
      <c r="G3544" s="16"/>
    </row>
    <row r="3545" spans="2:7" x14ac:dyDescent="0.25">
      <c r="B3545" s="38"/>
      <c r="C3545" s="14"/>
      <c r="D3545" s="14"/>
      <c r="E3545" s="14"/>
      <c r="F3545" s="14"/>
      <c r="G3545" s="16"/>
    </row>
    <row r="3546" spans="2:7" x14ac:dyDescent="0.25">
      <c r="B3546" s="38"/>
      <c r="C3546" s="14"/>
      <c r="D3546" s="14"/>
      <c r="E3546" s="14"/>
      <c r="F3546" s="14"/>
      <c r="G3546" s="16"/>
    </row>
    <row r="3547" spans="2:7" x14ac:dyDescent="0.25">
      <c r="B3547" s="38"/>
      <c r="C3547" s="14"/>
      <c r="D3547" s="14"/>
      <c r="E3547" s="14"/>
      <c r="F3547" s="14"/>
      <c r="G3547" s="16"/>
    </row>
    <row r="3548" spans="2:7" x14ac:dyDescent="0.25">
      <c r="B3548" s="38"/>
      <c r="C3548" s="14"/>
      <c r="D3548" s="14"/>
      <c r="E3548" s="14"/>
      <c r="F3548" s="14"/>
      <c r="G3548" s="16"/>
    </row>
    <row r="3549" spans="2:7" x14ac:dyDescent="0.25">
      <c r="B3549" s="38"/>
      <c r="C3549" s="14"/>
      <c r="D3549" s="14"/>
      <c r="E3549" s="14"/>
      <c r="F3549" s="14"/>
      <c r="G3549" s="16"/>
    </row>
    <row r="3550" spans="2:7" x14ac:dyDescent="0.25">
      <c r="B3550" s="38"/>
      <c r="C3550" s="14"/>
      <c r="D3550" s="14"/>
      <c r="E3550" s="14"/>
      <c r="F3550" s="14"/>
      <c r="G3550" s="16"/>
    </row>
    <row r="3551" spans="2:7" x14ac:dyDescent="0.25">
      <c r="B3551" s="38"/>
      <c r="C3551" s="14"/>
      <c r="D3551" s="14"/>
      <c r="E3551" s="14"/>
      <c r="F3551" s="14"/>
      <c r="G3551" s="16"/>
    </row>
    <row r="3552" spans="2:7" x14ac:dyDescent="0.25">
      <c r="B3552" s="38"/>
      <c r="C3552" s="14"/>
      <c r="D3552" s="14"/>
      <c r="E3552" s="14"/>
      <c r="F3552" s="14"/>
      <c r="G3552" s="16"/>
    </row>
    <row r="3553" spans="2:7" x14ac:dyDescent="0.25">
      <c r="B3553" s="38"/>
      <c r="C3553" s="14"/>
      <c r="D3553" s="14"/>
      <c r="E3553" s="14"/>
      <c r="F3553" s="14"/>
      <c r="G3553" s="16"/>
    </row>
    <row r="3554" spans="2:7" x14ac:dyDescent="0.25">
      <c r="B3554" s="38"/>
      <c r="C3554" s="14"/>
      <c r="D3554" s="14"/>
      <c r="E3554" s="14"/>
      <c r="F3554" s="14"/>
      <c r="G3554" s="16"/>
    </row>
    <row r="3555" spans="2:7" x14ac:dyDescent="0.25">
      <c r="B3555" s="38"/>
      <c r="C3555" s="14"/>
      <c r="D3555" s="14"/>
      <c r="E3555" s="14"/>
      <c r="F3555" s="14"/>
      <c r="G3555" s="16"/>
    </row>
    <row r="3556" spans="2:7" x14ac:dyDescent="0.25">
      <c r="B3556" s="38"/>
      <c r="C3556" s="14"/>
      <c r="D3556" s="14"/>
      <c r="E3556" s="14"/>
      <c r="F3556" s="14"/>
      <c r="G3556" s="16"/>
    </row>
    <row r="3557" spans="2:7" x14ac:dyDescent="0.25">
      <c r="B3557" s="38"/>
      <c r="C3557" s="14"/>
      <c r="D3557" s="14"/>
      <c r="E3557" s="14"/>
      <c r="F3557" s="14"/>
      <c r="G3557" s="16"/>
    </row>
    <row r="3558" spans="2:7" x14ac:dyDescent="0.25">
      <c r="B3558" s="38"/>
      <c r="C3558" s="14"/>
      <c r="D3558" s="14"/>
      <c r="E3558" s="14"/>
      <c r="F3558" s="14"/>
      <c r="G3558" s="16"/>
    </row>
    <row r="3559" spans="2:7" x14ac:dyDescent="0.25">
      <c r="B3559" s="38"/>
      <c r="C3559" s="14"/>
      <c r="D3559" s="14"/>
      <c r="E3559" s="14"/>
      <c r="F3559" s="14"/>
      <c r="G3559" s="16"/>
    </row>
    <row r="3560" spans="2:7" x14ac:dyDescent="0.25">
      <c r="B3560" s="38"/>
      <c r="C3560" s="14"/>
      <c r="D3560" s="14"/>
      <c r="E3560" s="14"/>
      <c r="F3560" s="14"/>
      <c r="G3560" s="16"/>
    </row>
    <row r="3561" spans="2:7" x14ac:dyDescent="0.25">
      <c r="B3561" s="38"/>
      <c r="C3561" s="14"/>
      <c r="D3561" s="14"/>
      <c r="E3561" s="14"/>
      <c r="F3561" s="14"/>
      <c r="G3561" s="16"/>
    </row>
    <row r="3562" spans="2:7" x14ac:dyDescent="0.25">
      <c r="B3562" s="38"/>
      <c r="C3562" s="14"/>
      <c r="D3562" s="14"/>
      <c r="E3562" s="14"/>
      <c r="F3562" s="14"/>
      <c r="G3562" s="16"/>
    </row>
    <row r="3563" spans="2:7" x14ac:dyDescent="0.25">
      <c r="B3563" s="38"/>
      <c r="C3563" s="14"/>
      <c r="D3563" s="14"/>
      <c r="E3563" s="14"/>
      <c r="F3563" s="14"/>
      <c r="G3563" s="16"/>
    </row>
    <row r="3564" spans="2:7" x14ac:dyDescent="0.25">
      <c r="B3564" s="38"/>
      <c r="C3564" s="14"/>
      <c r="D3564" s="14"/>
      <c r="E3564" s="14"/>
      <c r="F3564" s="14"/>
      <c r="G3564" s="16"/>
    </row>
    <row r="3565" spans="2:7" x14ac:dyDescent="0.25">
      <c r="B3565" s="38"/>
      <c r="C3565" s="14"/>
      <c r="D3565" s="14"/>
      <c r="E3565" s="14"/>
      <c r="F3565" s="14"/>
      <c r="G3565" s="16"/>
    </row>
    <row r="3566" spans="2:7" x14ac:dyDescent="0.25">
      <c r="B3566" s="38"/>
      <c r="C3566" s="14"/>
      <c r="D3566" s="14"/>
      <c r="E3566" s="14"/>
      <c r="F3566" s="14"/>
      <c r="G3566" s="16"/>
    </row>
    <row r="3567" spans="2:7" x14ac:dyDescent="0.25">
      <c r="B3567" s="38"/>
      <c r="C3567" s="14"/>
      <c r="D3567" s="14"/>
      <c r="E3567" s="14"/>
      <c r="F3567" s="14"/>
      <c r="G3567" s="16"/>
    </row>
    <row r="3568" spans="2:7" x14ac:dyDescent="0.25">
      <c r="B3568" s="38"/>
      <c r="C3568" s="14"/>
      <c r="D3568" s="14"/>
      <c r="E3568" s="14"/>
      <c r="F3568" s="14"/>
      <c r="G3568" s="16"/>
    </row>
    <row r="3569" spans="2:7" x14ac:dyDescent="0.25">
      <c r="B3569" s="38"/>
      <c r="C3569" s="14"/>
      <c r="D3569" s="14"/>
      <c r="E3569" s="14"/>
      <c r="F3569" s="14"/>
      <c r="G3569" s="16"/>
    </row>
    <row r="3570" spans="2:7" x14ac:dyDescent="0.25">
      <c r="B3570" s="38"/>
      <c r="C3570" s="14"/>
      <c r="D3570" s="14"/>
      <c r="E3570" s="14"/>
      <c r="F3570" s="14"/>
      <c r="G3570" s="16"/>
    </row>
    <row r="3571" spans="2:7" x14ac:dyDescent="0.25">
      <c r="B3571" s="38"/>
      <c r="C3571" s="14"/>
      <c r="D3571" s="14"/>
      <c r="E3571" s="14"/>
      <c r="F3571" s="14"/>
      <c r="G3571" s="16"/>
    </row>
    <row r="3572" spans="2:7" x14ac:dyDescent="0.25">
      <c r="B3572" s="38"/>
      <c r="C3572" s="14"/>
      <c r="D3572" s="14"/>
      <c r="E3572" s="14"/>
      <c r="F3572" s="14"/>
      <c r="G3572" s="16"/>
    </row>
    <row r="3573" spans="2:7" x14ac:dyDescent="0.25">
      <c r="B3573" s="38"/>
      <c r="C3573" s="14"/>
      <c r="D3573" s="14"/>
      <c r="E3573" s="14"/>
      <c r="F3573" s="14"/>
      <c r="G3573" s="16"/>
    </row>
    <row r="3574" spans="2:7" x14ac:dyDescent="0.25">
      <c r="B3574" s="38"/>
      <c r="C3574" s="14"/>
      <c r="D3574" s="14"/>
      <c r="E3574" s="14"/>
      <c r="F3574" s="14"/>
      <c r="G3574" s="16"/>
    </row>
    <row r="3575" spans="2:7" x14ac:dyDescent="0.25">
      <c r="B3575" s="38"/>
      <c r="C3575" s="14"/>
      <c r="D3575" s="14"/>
      <c r="E3575" s="14"/>
      <c r="F3575" s="14"/>
      <c r="G3575" s="16"/>
    </row>
    <row r="3576" spans="2:7" x14ac:dyDescent="0.25">
      <c r="B3576" s="38"/>
      <c r="C3576" s="14"/>
      <c r="D3576" s="14"/>
      <c r="E3576" s="14"/>
      <c r="F3576" s="14"/>
      <c r="G3576" s="16"/>
    </row>
    <row r="3577" spans="2:7" x14ac:dyDescent="0.25">
      <c r="B3577" s="38"/>
      <c r="C3577" s="14"/>
      <c r="D3577" s="14"/>
      <c r="E3577" s="14"/>
      <c r="F3577" s="14"/>
      <c r="G3577" s="16"/>
    </row>
    <row r="3578" spans="2:7" x14ac:dyDescent="0.25">
      <c r="B3578" s="38"/>
      <c r="C3578" s="14"/>
      <c r="D3578" s="14"/>
      <c r="E3578" s="14"/>
      <c r="F3578" s="14"/>
      <c r="G3578" s="16"/>
    </row>
    <row r="3579" spans="2:7" x14ac:dyDescent="0.25">
      <c r="B3579" s="38"/>
      <c r="C3579" s="14"/>
      <c r="D3579" s="14"/>
      <c r="E3579" s="14"/>
      <c r="F3579" s="14"/>
      <c r="G3579" s="16"/>
    </row>
    <row r="3580" spans="2:7" x14ac:dyDescent="0.25">
      <c r="B3580" s="38"/>
      <c r="C3580" s="14"/>
      <c r="D3580" s="14"/>
      <c r="E3580" s="14"/>
      <c r="F3580" s="14"/>
      <c r="G3580" s="16"/>
    </row>
    <row r="3581" spans="2:7" x14ac:dyDescent="0.25">
      <c r="B3581" s="38"/>
      <c r="C3581" s="14"/>
      <c r="D3581" s="14"/>
      <c r="E3581" s="14"/>
      <c r="F3581" s="14"/>
      <c r="G3581" s="16"/>
    </row>
    <row r="3582" spans="2:7" x14ac:dyDescent="0.25">
      <c r="B3582" s="38"/>
      <c r="C3582" s="14"/>
      <c r="D3582" s="14"/>
      <c r="E3582" s="14"/>
      <c r="F3582" s="14"/>
      <c r="G3582" s="16"/>
    </row>
    <row r="3583" spans="2:7" x14ac:dyDescent="0.25">
      <c r="B3583" s="38"/>
      <c r="C3583" s="14"/>
      <c r="D3583" s="14"/>
      <c r="E3583" s="14"/>
      <c r="F3583" s="14"/>
      <c r="G3583" s="16"/>
    </row>
    <row r="3584" spans="2:7" x14ac:dyDescent="0.25">
      <c r="B3584" s="38"/>
      <c r="C3584" s="14"/>
      <c r="D3584" s="14"/>
      <c r="E3584" s="14"/>
      <c r="F3584" s="14"/>
      <c r="G3584" s="16"/>
    </row>
    <row r="3585" spans="2:7" x14ac:dyDescent="0.25">
      <c r="B3585" s="38"/>
      <c r="C3585" s="14"/>
      <c r="D3585" s="14"/>
      <c r="E3585" s="14"/>
      <c r="F3585" s="14"/>
      <c r="G3585" s="16"/>
    </row>
    <row r="3586" spans="2:7" x14ac:dyDescent="0.25">
      <c r="B3586" s="38"/>
      <c r="C3586" s="14"/>
      <c r="D3586" s="14"/>
      <c r="E3586" s="14"/>
      <c r="F3586" s="14"/>
      <c r="G3586" s="16"/>
    </row>
    <row r="3587" spans="2:7" x14ac:dyDescent="0.25">
      <c r="B3587" s="38"/>
      <c r="C3587" s="14"/>
      <c r="D3587" s="14"/>
      <c r="E3587" s="14"/>
      <c r="F3587" s="14"/>
      <c r="G3587" s="16"/>
    </row>
    <row r="3588" spans="2:7" x14ac:dyDescent="0.25">
      <c r="B3588" s="38"/>
      <c r="C3588" s="14"/>
      <c r="D3588" s="14"/>
      <c r="E3588" s="14"/>
      <c r="F3588" s="14"/>
      <c r="G3588" s="16"/>
    </row>
    <row r="3589" spans="2:7" x14ac:dyDescent="0.25">
      <c r="B3589" s="38"/>
      <c r="C3589" s="14"/>
      <c r="D3589" s="14"/>
      <c r="E3589" s="14"/>
      <c r="F3589" s="14"/>
      <c r="G3589" s="16"/>
    </row>
    <row r="3590" spans="2:7" x14ac:dyDescent="0.25">
      <c r="B3590" s="38"/>
      <c r="C3590" s="14"/>
      <c r="D3590" s="14"/>
      <c r="E3590" s="14"/>
      <c r="F3590" s="14"/>
      <c r="G3590" s="16"/>
    </row>
    <row r="3591" spans="2:7" x14ac:dyDescent="0.25">
      <c r="B3591" s="38"/>
      <c r="C3591" s="14"/>
      <c r="D3591" s="14"/>
      <c r="E3591" s="14"/>
      <c r="F3591" s="14"/>
      <c r="G3591" s="16"/>
    </row>
    <row r="3592" spans="2:7" x14ac:dyDescent="0.25">
      <c r="B3592" s="38"/>
      <c r="C3592" s="14"/>
      <c r="D3592" s="14"/>
      <c r="E3592" s="14"/>
      <c r="F3592" s="14"/>
      <c r="G3592" s="16"/>
    </row>
    <row r="3593" spans="2:7" x14ac:dyDescent="0.25">
      <c r="B3593" s="38"/>
      <c r="C3593" s="14"/>
      <c r="D3593" s="14"/>
      <c r="E3593" s="14"/>
      <c r="F3593" s="14"/>
      <c r="G3593" s="16"/>
    </row>
    <row r="3594" spans="2:7" x14ac:dyDescent="0.25">
      <c r="B3594" s="38"/>
      <c r="C3594" s="14"/>
      <c r="D3594" s="14"/>
      <c r="E3594" s="14"/>
      <c r="F3594" s="14"/>
      <c r="G3594" s="16"/>
    </row>
    <row r="3595" spans="2:7" x14ac:dyDescent="0.25">
      <c r="B3595" s="38"/>
      <c r="C3595" s="14"/>
      <c r="D3595" s="14"/>
      <c r="E3595" s="14"/>
      <c r="F3595" s="14"/>
      <c r="G3595" s="16"/>
    </row>
    <row r="3596" spans="2:7" x14ac:dyDescent="0.25">
      <c r="B3596" s="38"/>
      <c r="C3596" s="14"/>
      <c r="D3596" s="14"/>
      <c r="E3596" s="14"/>
      <c r="F3596" s="14"/>
      <c r="G3596" s="16"/>
    </row>
    <row r="3597" spans="2:7" x14ac:dyDescent="0.25">
      <c r="B3597" s="38"/>
      <c r="C3597" s="14"/>
      <c r="D3597" s="14"/>
      <c r="E3597" s="14"/>
      <c r="F3597" s="14"/>
      <c r="G3597" s="16"/>
    </row>
    <row r="3598" spans="2:7" x14ac:dyDescent="0.25">
      <c r="B3598" s="38"/>
      <c r="C3598" s="14"/>
      <c r="D3598" s="14"/>
      <c r="E3598" s="14"/>
      <c r="F3598" s="14"/>
      <c r="G3598" s="16"/>
    </row>
    <row r="3599" spans="2:7" x14ac:dyDescent="0.25">
      <c r="B3599" s="38"/>
      <c r="C3599" s="14"/>
      <c r="D3599" s="14"/>
      <c r="E3599" s="14"/>
      <c r="F3599" s="14"/>
      <c r="G3599" s="16"/>
    </row>
    <row r="3600" spans="2:7" x14ac:dyDescent="0.25">
      <c r="B3600" s="38"/>
      <c r="C3600" s="14"/>
      <c r="D3600" s="14"/>
      <c r="E3600" s="14"/>
      <c r="F3600" s="14"/>
      <c r="G3600" s="16"/>
    </row>
    <row r="3601" spans="2:7" x14ac:dyDescent="0.25">
      <c r="B3601" s="38"/>
      <c r="C3601" s="14"/>
      <c r="D3601" s="14"/>
      <c r="E3601" s="14"/>
      <c r="F3601" s="14"/>
      <c r="G3601" s="16"/>
    </row>
    <row r="3602" spans="2:7" x14ac:dyDescent="0.25">
      <c r="B3602" s="38"/>
      <c r="C3602" s="14"/>
      <c r="D3602" s="14"/>
      <c r="E3602" s="14"/>
      <c r="F3602" s="14"/>
      <c r="G3602" s="16"/>
    </row>
    <row r="3603" spans="2:7" x14ac:dyDescent="0.25">
      <c r="B3603" s="38"/>
      <c r="C3603" s="14"/>
      <c r="D3603" s="14"/>
      <c r="E3603" s="14"/>
      <c r="F3603" s="14"/>
      <c r="G3603" s="16"/>
    </row>
    <row r="3604" spans="2:7" x14ac:dyDescent="0.25">
      <c r="B3604" s="38"/>
      <c r="C3604" s="14"/>
      <c r="D3604" s="14"/>
      <c r="E3604" s="14"/>
      <c r="F3604" s="14"/>
      <c r="G3604" s="16"/>
    </row>
    <row r="3605" spans="2:7" x14ac:dyDescent="0.25">
      <c r="B3605" s="38"/>
      <c r="C3605" s="14"/>
      <c r="D3605" s="14"/>
      <c r="E3605" s="14"/>
      <c r="F3605" s="14"/>
      <c r="G3605" s="16"/>
    </row>
    <row r="3606" spans="2:7" x14ac:dyDescent="0.25">
      <c r="B3606" s="38"/>
      <c r="C3606" s="14"/>
      <c r="D3606" s="14"/>
      <c r="E3606" s="14"/>
      <c r="F3606" s="14"/>
      <c r="G3606" s="16"/>
    </row>
    <row r="3607" spans="2:7" x14ac:dyDescent="0.25">
      <c r="B3607" s="38"/>
      <c r="C3607" s="14"/>
      <c r="D3607" s="14"/>
      <c r="E3607" s="14"/>
      <c r="F3607" s="14"/>
      <c r="G3607" s="16"/>
    </row>
    <row r="3608" spans="2:7" x14ac:dyDescent="0.25">
      <c r="B3608" s="38"/>
      <c r="C3608" s="14"/>
      <c r="D3608" s="14"/>
      <c r="E3608" s="14"/>
      <c r="F3608" s="14"/>
      <c r="G3608" s="16"/>
    </row>
    <row r="3609" spans="2:7" x14ac:dyDescent="0.25">
      <c r="B3609" s="38"/>
      <c r="C3609" s="14"/>
      <c r="D3609" s="14"/>
      <c r="E3609" s="14"/>
      <c r="F3609" s="14"/>
      <c r="G3609" s="16"/>
    </row>
    <row r="3610" spans="2:7" x14ac:dyDescent="0.25">
      <c r="B3610" s="38"/>
      <c r="C3610" s="14"/>
      <c r="D3610" s="14"/>
      <c r="E3610" s="14"/>
      <c r="F3610" s="14"/>
      <c r="G3610" s="16"/>
    </row>
    <row r="3611" spans="2:7" x14ac:dyDescent="0.25">
      <c r="B3611" s="38"/>
      <c r="C3611" s="14"/>
      <c r="D3611" s="14"/>
      <c r="E3611" s="14"/>
      <c r="F3611" s="14"/>
      <c r="G3611" s="16"/>
    </row>
    <row r="3612" spans="2:7" x14ac:dyDescent="0.25">
      <c r="B3612" s="38"/>
      <c r="C3612" s="14"/>
      <c r="D3612" s="14"/>
      <c r="E3612" s="14"/>
      <c r="F3612" s="14"/>
      <c r="G3612" s="16"/>
    </row>
    <row r="3613" spans="2:7" x14ac:dyDescent="0.25">
      <c r="B3613" s="38"/>
      <c r="C3613" s="14"/>
      <c r="D3613" s="14"/>
      <c r="E3613" s="14"/>
      <c r="F3613" s="14"/>
      <c r="G3613" s="16"/>
    </row>
    <row r="3614" spans="2:7" x14ac:dyDescent="0.25">
      <c r="B3614" s="38"/>
      <c r="C3614" s="14"/>
      <c r="D3614" s="14"/>
      <c r="E3614" s="14"/>
      <c r="F3614" s="14"/>
      <c r="G3614" s="16"/>
    </row>
    <row r="3615" spans="2:7" x14ac:dyDescent="0.25">
      <c r="B3615" s="38"/>
      <c r="C3615" s="14"/>
      <c r="D3615" s="14"/>
      <c r="E3615" s="14"/>
      <c r="F3615" s="14"/>
      <c r="G3615" s="16"/>
    </row>
    <row r="3616" spans="2:7" x14ac:dyDescent="0.25">
      <c r="B3616" s="38"/>
      <c r="C3616" s="14"/>
      <c r="D3616" s="14"/>
      <c r="E3616" s="14"/>
      <c r="F3616" s="14"/>
      <c r="G3616" s="16"/>
    </row>
    <row r="3617" spans="2:7" x14ac:dyDescent="0.25">
      <c r="B3617" s="38"/>
      <c r="C3617" s="14"/>
      <c r="D3617" s="14"/>
      <c r="E3617" s="14"/>
      <c r="F3617" s="14"/>
      <c r="G3617" s="16"/>
    </row>
    <row r="3618" spans="2:7" x14ac:dyDescent="0.25">
      <c r="B3618" s="38"/>
      <c r="C3618" s="14"/>
      <c r="D3618" s="14"/>
      <c r="E3618" s="14"/>
      <c r="F3618" s="14"/>
      <c r="G3618" s="16"/>
    </row>
    <row r="3619" spans="2:7" x14ac:dyDescent="0.25">
      <c r="B3619" s="38"/>
      <c r="C3619" s="14"/>
      <c r="D3619" s="14"/>
      <c r="E3619" s="14"/>
      <c r="F3619" s="14"/>
      <c r="G3619" s="16"/>
    </row>
    <row r="3620" spans="2:7" x14ac:dyDescent="0.25">
      <c r="B3620" s="38"/>
      <c r="C3620" s="14"/>
      <c r="D3620" s="14"/>
      <c r="E3620" s="14"/>
      <c r="F3620" s="14"/>
      <c r="G3620" s="16"/>
    </row>
    <row r="3621" spans="2:7" x14ac:dyDescent="0.25">
      <c r="B3621" s="38"/>
      <c r="C3621" s="14"/>
      <c r="D3621" s="14"/>
      <c r="E3621" s="14"/>
      <c r="F3621" s="14"/>
      <c r="G3621" s="16"/>
    </row>
    <row r="3622" spans="2:7" x14ac:dyDescent="0.25">
      <c r="B3622" s="38"/>
      <c r="C3622" s="14"/>
      <c r="D3622" s="14"/>
      <c r="E3622" s="14"/>
      <c r="F3622" s="14"/>
      <c r="G3622" s="16"/>
    </row>
    <row r="3623" spans="2:7" x14ac:dyDescent="0.25">
      <c r="B3623" s="38"/>
      <c r="C3623" s="14"/>
      <c r="D3623" s="14"/>
      <c r="E3623" s="14"/>
      <c r="F3623" s="14"/>
      <c r="G3623" s="16"/>
    </row>
    <row r="3624" spans="2:7" x14ac:dyDescent="0.25">
      <c r="B3624" s="38"/>
      <c r="C3624" s="14"/>
      <c r="D3624" s="14"/>
      <c r="E3624" s="14"/>
      <c r="F3624" s="14"/>
      <c r="G3624" s="16"/>
    </row>
    <row r="3625" spans="2:7" x14ac:dyDescent="0.25">
      <c r="B3625" s="38"/>
      <c r="C3625" s="14"/>
      <c r="D3625" s="14"/>
      <c r="E3625" s="14"/>
      <c r="F3625" s="14"/>
      <c r="G3625" s="16"/>
    </row>
    <row r="3626" spans="2:7" x14ac:dyDescent="0.25">
      <c r="B3626" s="38"/>
      <c r="C3626" s="14"/>
      <c r="D3626" s="14"/>
      <c r="E3626" s="14"/>
      <c r="F3626" s="14"/>
      <c r="G3626" s="16"/>
    </row>
    <row r="3627" spans="2:7" x14ac:dyDescent="0.25">
      <c r="B3627" s="38"/>
      <c r="C3627" s="14"/>
      <c r="D3627" s="14"/>
      <c r="E3627" s="14"/>
      <c r="F3627" s="14"/>
      <c r="G3627" s="16"/>
    </row>
    <row r="3628" spans="2:7" x14ac:dyDescent="0.25">
      <c r="B3628" s="38"/>
      <c r="C3628" s="14"/>
      <c r="D3628" s="14"/>
      <c r="E3628" s="14"/>
      <c r="F3628" s="14"/>
      <c r="G3628" s="16"/>
    </row>
    <row r="3629" spans="2:7" x14ac:dyDescent="0.25">
      <c r="B3629" s="38"/>
      <c r="C3629" s="14"/>
      <c r="D3629" s="14"/>
      <c r="E3629" s="14"/>
      <c r="F3629" s="14"/>
      <c r="G3629" s="16"/>
    </row>
    <row r="3630" spans="2:7" x14ac:dyDescent="0.25">
      <c r="B3630" s="38"/>
      <c r="C3630" s="14"/>
      <c r="D3630" s="14"/>
      <c r="E3630" s="14"/>
      <c r="F3630" s="14"/>
      <c r="G3630" s="16"/>
    </row>
    <row r="3631" spans="2:7" x14ac:dyDescent="0.25">
      <c r="B3631" s="38"/>
      <c r="C3631" s="14"/>
      <c r="D3631" s="14"/>
      <c r="E3631" s="14"/>
      <c r="F3631" s="14"/>
      <c r="G3631" s="16"/>
    </row>
    <row r="3632" spans="2:7" x14ac:dyDescent="0.25">
      <c r="B3632" s="38"/>
      <c r="C3632" s="14"/>
      <c r="D3632" s="14"/>
      <c r="E3632" s="14"/>
      <c r="F3632" s="14"/>
      <c r="G3632" s="16"/>
    </row>
    <row r="3633" spans="2:7" x14ac:dyDescent="0.25">
      <c r="B3633" s="38"/>
      <c r="C3633" s="14"/>
      <c r="D3633" s="14"/>
      <c r="E3633" s="14"/>
      <c r="F3633" s="14"/>
      <c r="G3633" s="16"/>
    </row>
    <row r="3634" spans="2:7" x14ac:dyDescent="0.25">
      <c r="B3634" s="38"/>
      <c r="C3634" s="14"/>
      <c r="D3634" s="14"/>
      <c r="E3634" s="14"/>
      <c r="F3634" s="14"/>
      <c r="G3634" s="16"/>
    </row>
    <row r="3635" spans="2:7" x14ac:dyDescent="0.25">
      <c r="B3635" s="38"/>
      <c r="C3635" s="14"/>
      <c r="D3635" s="14"/>
      <c r="E3635" s="14"/>
      <c r="F3635" s="14"/>
      <c r="G3635" s="16"/>
    </row>
    <row r="3636" spans="2:7" x14ac:dyDescent="0.25">
      <c r="B3636" s="38"/>
      <c r="C3636" s="14"/>
      <c r="D3636" s="14"/>
      <c r="E3636" s="14"/>
      <c r="F3636" s="14"/>
      <c r="G3636" s="16"/>
    </row>
    <row r="3637" spans="2:7" x14ac:dyDescent="0.25">
      <c r="B3637" s="38"/>
      <c r="C3637" s="14"/>
      <c r="D3637" s="14"/>
      <c r="E3637" s="14"/>
      <c r="F3637" s="14"/>
      <c r="G3637" s="16"/>
    </row>
    <row r="3638" spans="2:7" x14ac:dyDescent="0.25">
      <c r="B3638" s="38"/>
      <c r="C3638" s="14"/>
      <c r="D3638" s="14"/>
      <c r="E3638" s="14"/>
      <c r="F3638" s="14"/>
      <c r="G3638" s="16"/>
    </row>
    <row r="3639" spans="2:7" x14ac:dyDescent="0.25">
      <c r="B3639" s="38"/>
      <c r="C3639" s="14"/>
      <c r="D3639" s="14"/>
      <c r="E3639" s="14"/>
      <c r="F3639" s="14"/>
      <c r="G3639" s="16"/>
    </row>
    <row r="3640" spans="2:7" x14ac:dyDescent="0.25">
      <c r="B3640" s="38"/>
      <c r="C3640" s="14"/>
      <c r="D3640" s="14"/>
      <c r="E3640" s="14"/>
      <c r="F3640" s="14"/>
      <c r="G3640" s="16"/>
    </row>
    <row r="3641" spans="2:7" x14ac:dyDescent="0.25">
      <c r="B3641" s="38"/>
      <c r="C3641" s="14"/>
      <c r="D3641" s="14"/>
      <c r="E3641" s="14"/>
      <c r="F3641" s="14"/>
      <c r="G3641" s="16"/>
    </row>
    <row r="3642" spans="2:7" x14ac:dyDescent="0.25">
      <c r="B3642" s="38"/>
      <c r="C3642" s="14"/>
      <c r="D3642" s="14"/>
      <c r="E3642" s="14"/>
      <c r="F3642" s="14"/>
      <c r="G3642" s="16"/>
    </row>
    <row r="3643" spans="2:7" x14ac:dyDescent="0.25">
      <c r="B3643" s="38"/>
      <c r="C3643" s="14"/>
      <c r="D3643" s="14"/>
      <c r="E3643" s="14"/>
      <c r="F3643" s="14"/>
      <c r="G3643" s="16"/>
    </row>
    <row r="3644" spans="2:7" x14ac:dyDescent="0.25">
      <c r="B3644" s="38"/>
      <c r="C3644" s="14"/>
      <c r="D3644" s="14"/>
      <c r="E3644" s="14"/>
      <c r="F3644" s="14"/>
      <c r="G3644" s="16"/>
    </row>
    <row r="3645" spans="2:7" x14ac:dyDescent="0.25">
      <c r="B3645" s="38"/>
      <c r="C3645" s="14"/>
      <c r="D3645" s="14"/>
      <c r="E3645" s="14"/>
      <c r="F3645" s="14"/>
      <c r="G3645" s="16"/>
    </row>
    <row r="3646" spans="2:7" x14ac:dyDescent="0.25">
      <c r="B3646" s="38"/>
      <c r="C3646" s="14"/>
      <c r="D3646" s="14"/>
      <c r="E3646" s="14"/>
      <c r="F3646" s="14"/>
      <c r="G3646" s="16"/>
    </row>
    <row r="3647" spans="2:7" x14ac:dyDescent="0.25">
      <c r="B3647" s="38"/>
      <c r="C3647" s="14"/>
      <c r="D3647" s="14"/>
      <c r="E3647" s="14"/>
      <c r="F3647" s="14"/>
      <c r="G3647" s="16"/>
    </row>
    <row r="3648" spans="2:7" x14ac:dyDescent="0.25">
      <c r="B3648" s="38"/>
      <c r="C3648" s="14"/>
      <c r="D3648" s="14"/>
      <c r="E3648" s="14"/>
      <c r="F3648" s="14"/>
      <c r="G3648" s="16"/>
    </row>
    <row r="3649" spans="2:7" x14ac:dyDescent="0.25">
      <c r="B3649" s="38"/>
      <c r="C3649" s="14"/>
      <c r="D3649" s="14"/>
      <c r="E3649" s="14"/>
      <c r="F3649" s="14"/>
      <c r="G3649" s="16"/>
    </row>
    <row r="3650" spans="2:7" x14ac:dyDescent="0.25">
      <c r="B3650" s="38"/>
      <c r="C3650" s="14"/>
      <c r="D3650" s="14"/>
      <c r="E3650" s="14"/>
      <c r="F3650" s="14"/>
      <c r="G3650" s="16"/>
    </row>
    <row r="3651" spans="2:7" x14ac:dyDescent="0.25">
      <c r="B3651" s="38"/>
      <c r="C3651" s="14"/>
      <c r="D3651" s="14"/>
      <c r="E3651" s="14"/>
      <c r="F3651" s="14"/>
      <c r="G3651" s="16"/>
    </row>
    <row r="3652" spans="2:7" x14ac:dyDescent="0.25">
      <c r="B3652" s="38"/>
      <c r="C3652" s="14"/>
      <c r="D3652" s="14"/>
      <c r="E3652" s="14"/>
      <c r="F3652" s="14"/>
      <c r="G3652" s="16"/>
    </row>
    <row r="3653" spans="2:7" x14ac:dyDescent="0.25">
      <c r="B3653" s="38"/>
      <c r="C3653" s="14"/>
      <c r="D3653" s="14"/>
      <c r="E3653" s="14"/>
      <c r="F3653" s="14"/>
      <c r="G3653" s="16"/>
    </row>
    <row r="3654" spans="2:7" x14ac:dyDescent="0.25">
      <c r="B3654" s="38"/>
      <c r="C3654" s="14"/>
      <c r="D3654" s="14"/>
      <c r="E3654" s="14"/>
      <c r="F3654" s="14"/>
      <c r="G3654" s="16"/>
    </row>
    <row r="3655" spans="2:7" x14ac:dyDescent="0.25">
      <c r="B3655" s="38"/>
      <c r="C3655" s="14"/>
      <c r="D3655" s="14"/>
      <c r="E3655" s="14"/>
      <c r="F3655" s="14"/>
      <c r="G3655" s="16"/>
    </row>
    <row r="3656" spans="2:7" x14ac:dyDescent="0.25">
      <c r="B3656" s="38"/>
      <c r="C3656" s="14"/>
      <c r="D3656" s="14"/>
      <c r="E3656" s="14"/>
      <c r="F3656" s="14"/>
      <c r="G3656" s="16"/>
    </row>
    <row r="3657" spans="2:7" x14ac:dyDescent="0.25">
      <c r="B3657" s="38"/>
      <c r="C3657" s="14"/>
      <c r="D3657" s="14"/>
      <c r="E3657" s="14"/>
      <c r="F3657" s="14"/>
      <c r="G3657" s="16"/>
    </row>
    <row r="3658" spans="2:7" x14ac:dyDescent="0.25">
      <c r="B3658" s="38"/>
      <c r="C3658" s="14"/>
      <c r="D3658" s="14"/>
      <c r="E3658" s="14"/>
      <c r="F3658" s="14"/>
      <c r="G3658" s="16"/>
    </row>
    <row r="3659" spans="2:7" x14ac:dyDescent="0.25">
      <c r="B3659" s="38"/>
      <c r="C3659" s="14"/>
      <c r="D3659" s="14"/>
      <c r="E3659" s="14"/>
      <c r="F3659" s="14"/>
      <c r="G3659" s="16"/>
    </row>
    <row r="3660" spans="2:7" x14ac:dyDescent="0.25">
      <c r="B3660" s="38"/>
      <c r="C3660" s="14"/>
      <c r="D3660" s="14"/>
      <c r="E3660" s="14"/>
      <c r="F3660" s="14"/>
      <c r="G3660" s="16"/>
    </row>
    <row r="3661" spans="2:7" x14ac:dyDescent="0.25">
      <c r="B3661" s="38"/>
      <c r="C3661" s="14"/>
      <c r="D3661" s="14"/>
      <c r="E3661" s="14"/>
      <c r="F3661" s="14"/>
      <c r="G3661" s="16"/>
    </row>
    <row r="3662" spans="2:7" x14ac:dyDescent="0.25">
      <c r="B3662" s="38"/>
      <c r="C3662" s="14"/>
      <c r="D3662" s="14"/>
      <c r="E3662" s="14"/>
      <c r="F3662" s="14"/>
      <c r="G3662" s="16"/>
    </row>
    <row r="3663" spans="2:7" x14ac:dyDescent="0.25">
      <c r="B3663" s="38"/>
      <c r="C3663" s="14"/>
      <c r="D3663" s="14"/>
      <c r="E3663" s="14"/>
      <c r="F3663" s="14"/>
      <c r="G3663" s="16"/>
    </row>
    <row r="3664" spans="2:7" x14ac:dyDescent="0.25">
      <c r="B3664" s="38"/>
      <c r="C3664" s="14"/>
      <c r="D3664" s="14"/>
      <c r="E3664" s="14"/>
      <c r="F3664" s="14"/>
      <c r="G3664" s="16"/>
    </row>
    <row r="3665" spans="2:7" x14ac:dyDescent="0.25">
      <c r="B3665" s="38"/>
      <c r="C3665" s="14"/>
      <c r="D3665" s="14"/>
      <c r="E3665" s="14"/>
      <c r="F3665" s="14"/>
      <c r="G3665" s="16"/>
    </row>
    <row r="3666" spans="2:7" x14ac:dyDescent="0.25">
      <c r="B3666" s="38"/>
      <c r="C3666" s="14"/>
      <c r="D3666" s="14"/>
      <c r="E3666" s="14"/>
      <c r="F3666" s="14"/>
      <c r="G3666" s="16"/>
    </row>
    <row r="3667" spans="2:7" x14ac:dyDescent="0.25">
      <c r="B3667" s="38"/>
      <c r="C3667" s="14"/>
      <c r="D3667" s="14"/>
      <c r="E3667" s="14"/>
      <c r="F3667" s="14"/>
      <c r="G3667" s="16"/>
    </row>
    <row r="3668" spans="2:7" x14ac:dyDescent="0.25">
      <c r="B3668" s="38"/>
      <c r="C3668" s="14"/>
      <c r="D3668" s="14"/>
      <c r="E3668" s="14"/>
      <c r="F3668" s="14"/>
      <c r="G3668" s="16"/>
    </row>
    <row r="3669" spans="2:7" x14ac:dyDescent="0.25">
      <c r="B3669" s="38"/>
      <c r="C3669" s="14"/>
      <c r="D3669" s="14"/>
      <c r="E3669" s="14"/>
      <c r="F3669" s="14"/>
      <c r="G3669" s="16"/>
    </row>
    <row r="3670" spans="2:7" x14ac:dyDescent="0.25">
      <c r="B3670" s="38"/>
      <c r="C3670" s="14"/>
      <c r="D3670" s="14"/>
      <c r="E3670" s="14"/>
      <c r="F3670" s="14"/>
      <c r="G3670" s="16"/>
    </row>
    <row r="3671" spans="2:7" x14ac:dyDescent="0.25">
      <c r="B3671" s="38"/>
      <c r="C3671" s="14"/>
      <c r="D3671" s="14"/>
      <c r="E3671" s="14"/>
      <c r="F3671" s="14"/>
      <c r="G3671" s="16"/>
    </row>
    <row r="3672" spans="2:7" x14ac:dyDescent="0.25">
      <c r="B3672" s="38"/>
      <c r="C3672" s="14"/>
      <c r="D3672" s="14"/>
      <c r="E3672" s="14"/>
      <c r="F3672" s="14"/>
      <c r="G3672" s="16"/>
    </row>
    <row r="3673" spans="2:7" x14ac:dyDescent="0.25">
      <c r="B3673" s="38"/>
      <c r="C3673" s="14"/>
      <c r="D3673" s="14"/>
      <c r="E3673" s="14"/>
      <c r="F3673" s="14"/>
      <c r="G3673" s="16"/>
    </row>
    <row r="3674" spans="2:7" x14ac:dyDescent="0.25">
      <c r="B3674" s="38"/>
      <c r="C3674" s="14"/>
      <c r="D3674" s="14"/>
      <c r="E3674" s="14"/>
      <c r="F3674" s="14"/>
      <c r="G3674" s="16"/>
    </row>
    <row r="3675" spans="2:7" x14ac:dyDescent="0.25">
      <c r="B3675" s="38"/>
      <c r="C3675" s="14"/>
      <c r="D3675" s="14"/>
      <c r="E3675" s="14"/>
      <c r="F3675" s="14"/>
      <c r="G3675" s="16"/>
    </row>
    <row r="3676" spans="2:7" x14ac:dyDescent="0.25">
      <c r="B3676" s="38"/>
      <c r="C3676" s="14"/>
      <c r="D3676" s="14"/>
      <c r="E3676" s="14"/>
      <c r="F3676" s="14"/>
      <c r="G3676" s="16"/>
    </row>
    <row r="3677" spans="2:7" x14ac:dyDescent="0.25">
      <c r="B3677" s="38"/>
      <c r="C3677" s="14"/>
      <c r="D3677" s="14"/>
      <c r="E3677" s="14"/>
      <c r="F3677" s="14"/>
      <c r="G3677" s="16"/>
    </row>
    <row r="3678" spans="2:7" x14ac:dyDescent="0.25">
      <c r="B3678" s="38"/>
      <c r="C3678" s="14"/>
      <c r="D3678" s="14"/>
      <c r="E3678" s="14"/>
      <c r="F3678" s="14"/>
      <c r="G3678" s="16"/>
    </row>
    <row r="3679" spans="2:7" x14ac:dyDescent="0.25">
      <c r="B3679" s="38"/>
      <c r="C3679" s="14"/>
      <c r="D3679" s="14"/>
      <c r="E3679" s="14"/>
      <c r="F3679" s="14"/>
      <c r="G3679" s="16"/>
    </row>
    <row r="3680" spans="2:7" x14ac:dyDescent="0.25">
      <c r="B3680" s="38"/>
      <c r="C3680" s="14"/>
      <c r="D3680" s="14"/>
      <c r="E3680" s="14"/>
      <c r="F3680" s="14"/>
      <c r="G3680" s="16"/>
    </row>
    <row r="3681" spans="2:7" x14ac:dyDescent="0.25">
      <c r="B3681" s="38"/>
      <c r="C3681" s="14"/>
      <c r="D3681" s="14"/>
      <c r="E3681" s="14"/>
      <c r="F3681" s="14"/>
      <c r="G3681" s="16"/>
    </row>
    <row r="3682" spans="2:7" x14ac:dyDescent="0.25">
      <c r="B3682" s="38"/>
      <c r="C3682" s="14"/>
      <c r="D3682" s="14"/>
      <c r="E3682" s="14"/>
      <c r="F3682" s="14"/>
      <c r="G3682" s="16"/>
    </row>
    <row r="3683" spans="2:7" x14ac:dyDescent="0.25">
      <c r="B3683" s="38"/>
      <c r="C3683" s="14"/>
      <c r="D3683" s="14"/>
      <c r="E3683" s="14"/>
      <c r="F3683" s="14"/>
      <c r="G3683" s="16"/>
    </row>
    <row r="3684" spans="2:7" x14ac:dyDescent="0.25">
      <c r="B3684" s="38"/>
      <c r="C3684" s="14"/>
      <c r="D3684" s="14"/>
      <c r="E3684" s="14"/>
      <c r="F3684" s="14"/>
      <c r="G3684" s="16"/>
    </row>
    <row r="3685" spans="2:7" x14ac:dyDescent="0.25">
      <c r="B3685" s="38"/>
      <c r="C3685" s="14"/>
      <c r="D3685" s="14"/>
      <c r="E3685" s="14"/>
      <c r="F3685" s="14"/>
      <c r="G3685" s="16"/>
    </row>
    <row r="3686" spans="2:7" x14ac:dyDescent="0.25">
      <c r="B3686" s="38"/>
      <c r="C3686" s="14"/>
      <c r="D3686" s="14"/>
      <c r="E3686" s="14"/>
      <c r="F3686" s="14"/>
      <c r="G3686" s="16"/>
    </row>
    <row r="3687" spans="2:7" x14ac:dyDescent="0.25">
      <c r="B3687" s="38"/>
      <c r="C3687" s="14"/>
      <c r="D3687" s="14"/>
      <c r="E3687" s="14"/>
      <c r="F3687" s="14"/>
      <c r="G3687" s="16"/>
    </row>
    <row r="3688" spans="2:7" x14ac:dyDescent="0.25">
      <c r="B3688" s="38"/>
      <c r="C3688" s="14"/>
      <c r="D3688" s="14"/>
      <c r="E3688" s="14"/>
      <c r="F3688" s="14"/>
      <c r="G3688" s="16"/>
    </row>
    <row r="3689" spans="2:7" x14ac:dyDescent="0.25">
      <c r="B3689" s="38"/>
      <c r="C3689" s="14"/>
      <c r="D3689" s="14"/>
      <c r="E3689" s="14"/>
      <c r="F3689" s="14"/>
      <c r="G3689" s="16"/>
    </row>
    <row r="3690" spans="2:7" x14ac:dyDescent="0.25">
      <c r="B3690" s="38"/>
      <c r="C3690" s="14"/>
      <c r="D3690" s="14"/>
      <c r="E3690" s="14"/>
      <c r="F3690" s="14"/>
      <c r="G3690" s="16"/>
    </row>
    <row r="3691" spans="2:7" x14ac:dyDescent="0.25">
      <c r="B3691" s="38"/>
      <c r="C3691" s="14"/>
      <c r="D3691" s="14"/>
      <c r="E3691" s="14"/>
      <c r="F3691" s="14"/>
      <c r="G3691" s="16"/>
    </row>
    <row r="3692" spans="2:7" x14ac:dyDescent="0.25">
      <c r="B3692" s="38"/>
      <c r="C3692" s="14"/>
      <c r="D3692" s="14"/>
      <c r="E3692" s="14"/>
      <c r="F3692" s="14"/>
      <c r="G3692" s="16"/>
    </row>
    <row r="3693" spans="2:7" x14ac:dyDescent="0.25">
      <c r="B3693" s="38"/>
      <c r="C3693" s="14"/>
      <c r="D3693" s="14"/>
      <c r="E3693" s="14"/>
      <c r="F3693" s="14"/>
      <c r="G3693" s="16"/>
    </row>
    <row r="3694" spans="2:7" x14ac:dyDescent="0.25">
      <c r="B3694" s="38"/>
      <c r="C3694" s="14"/>
      <c r="D3694" s="14"/>
      <c r="E3694" s="14"/>
      <c r="F3694" s="14"/>
      <c r="G3694" s="16"/>
    </row>
    <row r="3695" spans="2:7" x14ac:dyDescent="0.25">
      <c r="B3695" s="38"/>
      <c r="C3695" s="14"/>
      <c r="D3695" s="14"/>
      <c r="E3695" s="14"/>
      <c r="F3695" s="14"/>
      <c r="G3695" s="16"/>
    </row>
    <row r="3696" spans="2:7" x14ac:dyDescent="0.25">
      <c r="B3696" s="38"/>
      <c r="C3696" s="14"/>
      <c r="D3696" s="14"/>
      <c r="E3696" s="14"/>
      <c r="F3696" s="14"/>
      <c r="G3696" s="16"/>
    </row>
    <row r="3697" spans="2:7" x14ac:dyDescent="0.25">
      <c r="B3697" s="38"/>
      <c r="C3697" s="14"/>
      <c r="D3697" s="14"/>
      <c r="E3697" s="14"/>
      <c r="F3697" s="14"/>
      <c r="G3697" s="16"/>
    </row>
    <row r="3698" spans="2:7" x14ac:dyDescent="0.25">
      <c r="B3698" s="38"/>
      <c r="C3698" s="14"/>
      <c r="D3698" s="14"/>
      <c r="E3698" s="14"/>
      <c r="F3698" s="14"/>
      <c r="G3698" s="16"/>
    </row>
    <row r="3699" spans="2:7" x14ac:dyDescent="0.25">
      <c r="B3699" s="38"/>
      <c r="C3699" s="14"/>
      <c r="D3699" s="14"/>
      <c r="E3699" s="14"/>
      <c r="F3699" s="14"/>
      <c r="G3699" s="16"/>
    </row>
    <row r="3700" spans="2:7" x14ac:dyDescent="0.25">
      <c r="B3700" s="38"/>
      <c r="C3700" s="14"/>
      <c r="D3700" s="14"/>
      <c r="E3700" s="14"/>
      <c r="F3700" s="14"/>
      <c r="G3700" s="16"/>
    </row>
    <row r="3701" spans="2:7" x14ac:dyDescent="0.25">
      <c r="B3701" s="38"/>
      <c r="C3701" s="14"/>
      <c r="D3701" s="14"/>
      <c r="E3701" s="14"/>
      <c r="F3701" s="14"/>
      <c r="G3701" s="16"/>
    </row>
    <row r="3702" spans="2:7" x14ac:dyDescent="0.25">
      <c r="B3702" s="38"/>
      <c r="C3702" s="14"/>
      <c r="D3702" s="14"/>
      <c r="E3702" s="14"/>
      <c r="F3702" s="14"/>
      <c r="G3702" s="16"/>
    </row>
    <row r="3703" spans="2:7" x14ac:dyDescent="0.25">
      <c r="B3703" s="38"/>
      <c r="C3703" s="14"/>
      <c r="D3703" s="14"/>
      <c r="E3703" s="14"/>
      <c r="F3703" s="14"/>
      <c r="G3703" s="16"/>
    </row>
    <row r="3704" spans="2:7" x14ac:dyDescent="0.25">
      <c r="B3704" s="38"/>
      <c r="C3704" s="14"/>
      <c r="D3704" s="14"/>
      <c r="E3704" s="14"/>
      <c r="F3704" s="14"/>
      <c r="G3704" s="16"/>
    </row>
    <row r="3705" spans="2:7" x14ac:dyDescent="0.25">
      <c r="B3705" s="38"/>
      <c r="C3705" s="14"/>
      <c r="D3705" s="14"/>
      <c r="E3705" s="14"/>
      <c r="F3705" s="14"/>
      <c r="G3705" s="16"/>
    </row>
    <row r="3706" spans="2:7" x14ac:dyDescent="0.25">
      <c r="B3706" s="38"/>
      <c r="C3706" s="14"/>
      <c r="D3706" s="14"/>
      <c r="E3706" s="14"/>
      <c r="F3706" s="14"/>
      <c r="G3706" s="16"/>
    </row>
    <row r="3707" spans="2:7" x14ac:dyDescent="0.25">
      <c r="B3707" s="38"/>
      <c r="C3707" s="14"/>
      <c r="D3707" s="14"/>
      <c r="E3707" s="14"/>
      <c r="F3707" s="14"/>
      <c r="G3707" s="16"/>
    </row>
    <row r="3708" spans="2:7" x14ac:dyDescent="0.25">
      <c r="B3708" s="38"/>
      <c r="C3708" s="14"/>
      <c r="D3708" s="14"/>
      <c r="E3708" s="14"/>
      <c r="F3708" s="14"/>
      <c r="G3708" s="16"/>
    </row>
    <row r="3709" spans="2:7" x14ac:dyDescent="0.25">
      <c r="B3709" s="38"/>
      <c r="C3709" s="14"/>
      <c r="D3709" s="14"/>
      <c r="E3709" s="14"/>
      <c r="F3709" s="14"/>
      <c r="G3709" s="16"/>
    </row>
    <row r="3710" spans="2:7" x14ac:dyDescent="0.25">
      <c r="B3710" s="38"/>
      <c r="C3710" s="14"/>
      <c r="D3710" s="14"/>
      <c r="E3710" s="14"/>
      <c r="F3710" s="14"/>
      <c r="G3710" s="16"/>
    </row>
    <row r="3711" spans="2:7" x14ac:dyDescent="0.25">
      <c r="B3711" s="38"/>
      <c r="C3711" s="14"/>
      <c r="D3711" s="14"/>
      <c r="E3711" s="14"/>
      <c r="F3711" s="14"/>
      <c r="G3711" s="16"/>
    </row>
    <row r="3712" spans="2:7" x14ac:dyDescent="0.25">
      <c r="B3712" s="38"/>
      <c r="C3712" s="14"/>
      <c r="D3712" s="14"/>
      <c r="E3712" s="14"/>
      <c r="F3712" s="14"/>
      <c r="G3712" s="16"/>
    </row>
    <row r="3713" spans="2:7" x14ac:dyDescent="0.25">
      <c r="B3713" s="38"/>
      <c r="C3713" s="14"/>
      <c r="D3713" s="14"/>
      <c r="E3713" s="14"/>
      <c r="F3713" s="14"/>
      <c r="G3713" s="16"/>
    </row>
    <row r="3714" spans="2:7" x14ac:dyDescent="0.25">
      <c r="B3714" s="38"/>
      <c r="C3714" s="14"/>
      <c r="D3714" s="14"/>
      <c r="E3714" s="14"/>
      <c r="F3714" s="14"/>
      <c r="G3714" s="16"/>
    </row>
    <row r="3715" spans="2:7" x14ac:dyDescent="0.25">
      <c r="B3715" s="38"/>
      <c r="C3715" s="14"/>
      <c r="D3715" s="14"/>
      <c r="E3715" s="14"/>
      <c r="F3715" s="14"/>
      <c r="G3715" s="16"/>
    </row>
    <row r="3716" spans="2:7" x14ac:dyDescent="0.25">
      <c r="B3716" s="38"/>
      <c r="C3716" s="14"/>
      <c r="D3716" s="14"/>
      <c r="E3716" s="14"/>
      <c r="F3716" s="14"/>
      <c r="G3716" s="16"/>
    </row>
    <row r="3717" spans="2:7" x14ac:dyDescent="0.25">
      <c r="B3717" s="38"/>
      <c r="C3717" s="14"/>
      <c r="D3717" s="14"/>
      <c r="E3717" s="14"/>
      <c r="F3717" s="14"/>
      <c r="G3717" s="16"/>
    </row>
    <row r="3718" spans="2:7" x14ac:dyDescent="0.25">
      <c r="B3718" s="38"/>
      <c r="C3718" s="14"/>
      <c r="D3718" s="14"/>
      <c r="E3718" s="14"/>
      <c r="F3718" s="14"/>
      <c r="G3718" s="16"/>
    </row>
    <row r="3719" spans="2:7" x14ac:dyDescent="0.25">
      <c r="B3719" s="38"/>
      <c r="C3719" s="14"/>
      <c r="D3719" s="14"/>
      <c r="E3719" s="14"/>
      <c r="F3719" s="14"/>
      <c r="G3719" s="16"/>
    </row>
    <row r="3720" spans="2:7" x14ac:dyDescent="0.25">
      <c r="B3720" s="38"/>
      <c r="C3720" s="14"/>
      <c r="D3720" s="14"/>
      <c r="E3720" s="14"/>
      <c r="F3720" s="14"/>
      <c r="G3720" s="16"/>
    </row>
    <row r="3721" spans="2:7" x14ac:dyDescent="0.25">
      <c r="B3721" s="38"/>
      <c r="C3721" s="14"/>
      <c r="D3721" s="14"/>
      <c r="E3721" s="14"/>
      <c r="F3721" s="14"/>
      <c r="G3721" s="16"/>
    </row>
    <row r="3722" spans="2:7" x14ac:dyDescent="0.25">
      <c r="B3722" s="38"/>
      <c r="C3722" s="14"/>
      <c r="D3722" s="14"/>
      <c r="E3722" s="14"/>
      <c r="F3722" s="14"/>
      <c r="G3722" s="16"/>
    </row>
    <row r="3723" spans="2:7" x14ac:dyDescent="0.25">
      <c r="B3723" s="38"/>
      <c r="C3723" s="14"/>
      <c r="D3723" s="14"/>
      <c r="E3723" s="14"/>
      <c r="F3723" s="14"/>
      <c r="G3723" s="16"/>
    </row>
    <row r="3724" spans="2:7" x14ac:dyDescent="0.25">
      <c r="B3724" s="38"/>
      <c r="C3724" s="14"/>
      <c r="D3724" s="14"/>
      <c r="E3724" s="14"/>
      <c r="F3724" s="14"/>
      <c r="G3724" s="16"/>
    </row>
    <row r="3725" spans="2:7" x14ac:dyDescent="0.25">
      <c r="B3725" s="38"/>
      <c r="C3725" s="14"/>
      <c r="D3725" s="14"/>
      <c r="E3725" s="14"/>
      <c r="F3725" s="14"/>
      <c r="G3725" s="16"/>
    </row>
    <row r="3726" spans="2:7" x14ac:dyDescent="0.25">
      <c r="B3726" s="38"/>
      <c r="C3726" s="14"/>
      <c r="D3726" s="14"/>
      <c r="E3726" s="14"/>
      <c r="F3726" s="14"/>
      <c r="G3726" s="16"/>
    </row>
    <row r="3727" spans="2:7" x14ac:dyDescent="0.25">
      <c r="B3727" s="38"/>
      <c r="C3727" s="14"/>
      <c r="D3727" s="14"/>
      <c r="E3727" s="14"/>
      <c r="F3727" s="14"/>
      <c r="G3727" s="16"/>
    </row>
    <row r="3728" spans="2:7" x14ac:dyDescent="0.25">
      <c r="B3728" s="38"/>
      <c r="C3728" s="14"/>
      <c r="D3728" s="14"/>
      <c r="E3728" s="14"/>
      <c r="F3728" s="14"/>
      <c r="G3728" s="16"/>
    </row>
    <row r="3729" spans="2:7" x14ac:dyDescent="0.25">
      <c r="B3729" s="38"/>
      <c r="C3729" s="14"/>
      <c r="D3729" s="14"/>
      <c r="E3729" s="14"/>
      <c r="F3729" s="14"/>
      <c r="G3729" s="16"/>
    </row>
    <row r="3730" spans="2:7" x14ac:dyDescent="0.25">
      <c r="B3730" s="38"/>
      <c r="C3730" s="14"/>
      <c r="D3730" s="14"/>
      <c r="E3730" s="14"/>
      <c r="F3730" s="14"/>
      <c r="G3730" s="16"/>
    </row>
    <row r="3731" spans="2:7" x14ac:dyDescent="0.25">
      <c r="B3731" s="38"/>
      <c r="C3731" s="14"/>
      <c r="D3731" s="14"/>
      <c r="E3731" s="14"/>
      <c r="F3731" s="14"/>
      <c r="G3731" s="16"/>
    </row>
    <row r="3732" spans="2:7" x14ac:dyDescent="0.25">
      <c r="B3732" s="38"/>
      <c r="C3732" s="14"/>
      <c r="D3732" s="14"/>
      <c r="E3732" s="14"/>
      <c r="F3732" s="14"/>
      <c r="G3732" s="16"/>
    </row>
    <row r="3733" spans="2:7" x14ac:dyDescent="0.25">
      <c r="B3733" s="38"/>
      <c r="C3733" s="14"/>
      <c r="D3733" s="14"/>
      <c r="E3733" s="14"/>
      <c r="F3733" s="14"/>
      <c r="G3733" s="16"/>
    </row>
    <row r="3734" spans="2:7" x14ac:dyDescent="0.25">
      <c r="B3734" s="38"/>
      <c r="C3734" s="14"/>
      <c r="D3734" s="14"/>
      <c r="E3734" s="14"/>
      <c r="F3734" s="14"/>
      <c r="G3734" s="16"/>
    </row>
    <row r="3735" spans="2:7" x14ac:dyDescent="0.25">
      <c r="B3735" s="38"/>
      <c r="C3735" s="14"/>
      <c r="D3735" s="14"/>
      <c r="E3735" s="14"/>
      <c r="F3735" s="14"/>
      <c r="G3735" s="16"/>
    </row>
    <row r="3736" spans="2:7" x14ac:dyDescent="0.25">
      <c r="B3736" s="38"/>
      <c r="C3736" s="14"/>
      <c r="D3736" s="14"/>
      <c r="E3736" s="14"/>
      <c r="F3736" s="14"/>
      <c r="G3736" s="16"/>
    </row>
    <row r="3737" spans="2:7" x14ac:dyDescent="0.25">
      <c r="B3737" s="38"/>
      <c r="C3737" s="14"/>
      <c r="D3737" s="14"/>
      <c r="E3737" s="14"/>
      <c r="F3737" s="14"/>
      <c r="G3737" s="16"/>
    </row>
    <row r="3738" spans="2:7" x14ac:dyDescent="0.25">
      <c r="B3738" s="38"/>
      <c r="C3738" s="14"/>
      <c r="D3738" s="14"/>
      <c r="E3738" s="14"/>
      <c r="F3738" s="14"/>
      <c r="G3738" s="16"/>
    </row>
    <row r="3739" spans="2:7" x14ac:dyDescent="0.25">
      <c r="B3739" s="38"/>
      <c r="C3739" s="14"/>
      <c r="D3739" s="14"/>
      <c r="E3739" s="14"/>
      <c r="F3739" s="14"/>
      <c r="G3739" s="16"/>
    </row>
    <row r="3740" spans="2:7" x14ac:dyDescent="0.25">
      <c r="B3740" s="38"/>
      <c r="C3740" s="14"/>
      <c r="D3740" s="14"/>
      <c r="E3740" s="14"/>
      <c r="F3740" s="14"/>
      <c r="G3740" s="16"/>
    </row>
    <row r="3741" spans="2:7" x14ac:dyDescent="0.25">
      <c r="B3741" s="38"/>
      <c r="C3741" s="14"/>
      <c r="D3741" s="14"/>
      <c r="E3741" s="14"/>
      <c r="F3741" s="14"/>
      <c r="G3741" s="16"/>
    </row>
    <row r="3742" spans="2:7" x14ac:dyDescent="0.25">
      <c r="B3742" s="38"/>
      <c r="C3742" s="14"/>
      <c r="D3742" s="14"/>
      <c r="E3742" s="14"/>
      <c r="F3742" s="14"/>
      <c r="G3742" s="16"/>
    </row>
    <row r="3743" spans="2:7" x14ac:dyDescent="0.25">
      <c r="B3743" s="38"/>
      <c r="C3743" s="14"/>
      <c r="D3743" s="14"/>
      <c r="E3743" s="14"/>
      <c r="F3743" s="14"/>
      <c r="G3743" s="16"/>
    </row>
    <row r="3744" spans="2:7" x14ac:dyDescent="0.25">
      <c r="B3744" s="38"/>
      <c r="C3744" s="14"/>
      <c r="D3744" s="14"/>
      <c r="E3744" s="14"/>
      <c r="F3744" s="14"/>
      <c r="G3744" s="16"/>
    </row>
    <row r="3745" spans="2:7" x14ac:dyDescent="0.25">
      <c r="B3745" s="38"/>
      <c r="C3745" s="14"/>
      <c r="D3745" s="14"/>
      <c r="E3745" s="14"/>
      <c r="F3745" s="14"/>
      <c r="G3745" s="16"/>
    </row>
    <row r="3746" spans="2:7" x14ac:dyDescent="0.25">
      <c r="B3746" s="38"/>
      <c r="C3746" s="14"/>
      <c r="D3746" s="14"/>
      <c r="E3746" s="14"/>
      <c r="F3746" s="14"/>
      <c r="G3746" s="16"/>
    </row>
    <row r="3747" spans="2:7" x14ac:dyDescent="0.25">
      <c r="B3747" s="38"/>
      <c r="C3747" s="14"/>
      <c r="D3747" s="14"/>
      <c r="E3747" s="14"/>
      <c r="F3747" s="14"/>
      <c r="G3747" s="16"/>
    </row>
    <row r="3748" spans="2:7" x14ac:dyDescent="0.25">
      <c r="B3748" s="38"/>
      <c r="C3748" s="14"/>
      <c r="D3748" s="14"/>
      <c r="E3748" s="14"/>
      <c r="F3748" s="14"/>
      <c r="G3748" s="16"/>
    </row>
    <row r="3749" spans="2:7" x14ac:dyDescent="0.25">
      <c r="B3749" s="38"/>
      <c r="C3749" s="14"/>
      <c r="D3749" s="14"/>
      <c r="E3749" s="14"/>
      <c r="F3749" s="14"/>
      <c r="G3749" s="16"/>
    </row>
    <row r="3750" spans="2:7" x14ac:dyDescent="0.25">
      <c r="B3750" s="38"/>
      <c r="C3750" s="14"/>
      <c r="D3750" s="14"/>
      <c r="E3750" s="14"/>
      <c r="F3750" s="14"/>
      <c r="G3750" s="16"/>
    </row>
    <row r="3751" spans="2:7" x14ac:dyDescent="0.25">
      <c r="B3751" s="38"/>
      <c r="C3751" s="14"/>
      <c r="D3751" s="14"/>
      <c r="E3751" s="14"/>
      <c r="F3751" s="14"/>
      <c r="G3751" s="16"/>
    </row>
    <row r="3752" spans="2:7" x14ac:dyDescent="0.25">
      <c r="B3752" s="38"/>
      <c r="C3752" s="14"/>
      <c r="D3752" s="14"/>
      <c r="E3752" s="14"/>
      <c r="F3752" s="14"/>
      <c r="G3752" s="16"/>
    </row>
    <row r="3753" spans="2:7" x14ac:dyDescent="0.25">
      <c r="B3753" s="38"/>
      <c r="C3753" s="14"/>
      <c r="D3753" s="14"/>
      <c r="E3753" s="14"/>
      <c r="F3753" s="14"/>
      <c r="G3753" s="16"/>
    </row>
    <row r="3754" spans="2:7" x14ac:dyDescent="0.25">
      <c r="B3754" s="38"/>
      <c r="C3754" s="14"/>
      <c r="D3754" s="14"/>
      <c r="E3754" s="14"/>
      <c r="F3754" s="14"/>
      <c r="G3754" s="16"/>
    </row>
    <row r="3755" spans="2:7" x14ac:dyDescent="0.25">
      <c r="B3755" s="38"/>
      <c r="C3755" s="14"/>
      <c r="D3755" s="14"/>
      <c r="E3755" s="14"/>
      <c r="F3755" s="14"/>
      <c r="G3755" s="16"/>
    </row>
    <row r="3756" spans="2:7" x14ac:dyDescent="0.25">
      <c r="B3756" s="38"/>
      <c r="C3756" s="14"/>
      <c r="D3756" s="14"/>
      <c r="E3756" s="14"/>
      <c r="F3756" s="14"/>
      <c r="G3756" s="16"/>
    </row>
    <row r="3757" spans="2:7" x14ac:dyDescent="0.25">
      <c r="B3757" s="38"/>
      <c r="C3757" s="14"/>
      <c r="D3757" s="14"/>
      <c r="E3757" s="14"/>
      <c r="F3757" s="14"/>
      <c r="G3757" s="16"/>
    </row>
    <row r="3758" spans="2:7" x14ac:dyDescent="0.25">
      <c r="B3758" s="38"/>
      <c r="C3758" s="14"/>
      <c r="D3758" s="14"/>
      <c r="E3758" s="14"/>
      <c r="F3758" s="14"/>
      <c r="G3758" s="16"/>
    </row>
    <row r="3759" spans="2:7" x14ac:dyDescent="0.25">
      <c r="B3759" s="38"/>
      <c r="C3759" s="14"/>
      <c r="D3759" s="14"/>
      <c r="E3759" s="14"/>
      <c r="F3759" s="14"/>
      <c r="G3759" s="16"/>
    </row>
    <row r="3760" spans="2:7" x14ac:dyDescent="0.25">
      <c r="B3760" s="38"/>
      <c r="C3760" s="14"/>
      <c r="D3760" s="14"/>
      <c r="E3760" s="14"/>
      <c r="F3760" s="14"/>
      <c r="G3760" s="16"/>
    </row>
    <row r="3761" spans="2:7" x14ac:dyDescent="0.25">
      <c r="B3761" s="38"/>
      <c r="C3761" s="14"/>
      <c r="D3761" s="14"/>
      <c r="E3761" s="14"/>
      <c r="F3761" s="14"/>
      <c r="G3761" s="16"/>
    </row>
    <row r="3762" spans="2:7" x14ac:dyDescent="0.25">
      <c r="B3762" s="38"/>
      <c r="C3762" s="14"/>
      <c r="D3762" s="14"/>
      <c r="E3762" s="14"/>
      <c r="F3762" s="14"/>
      <c r="G3762" s="16"/>
    </row>
    <row r="3763" spans="2:7" x14ac:dyDescent="0.25">
      <c r="B3763" s="38"/>
      <c r="C3763" s="14"/>
      <c r="D3763" s="14"/>
      <c r="E3763" s="14"/>
      <c r="F3763" s="14"/>
      <c r="G3763" s="16"/>
    </row>
    <row r="3764" spans="2:7" x14ac:dyDescent="0.25">
      <c r="B3764" s="38"/>
      <c r="C3764" s="14"/>
      <c r="D3764" s="14"/>
      <c r="E3764" s="14"/>
      <c r="F3764" s="14"/>
      <c r="G3764" s="16"/>
    </row>
    <row r="3765" spans="2:7" x14ac:dyDescent="0.25">
      <c r="B3765" s="38"/>
      <c r="C3765" s="14"/>
      <c r="D3765" s="14"/>
      <c r="E3765" s="14"/>
      <c r="F3765" s="14"/>
      <c r="G3765" s="16"/>
    </row>
    <row r="3766" spans="2:7" x14ac:dyDescent="0.25">
      <c r="B3766" s="38"/>
      <c r="C3766" s="14"/>
      <c r="D3766" s="14"/>
      <c r="E3766" s="14"/>
      <c r="F3766" s="14"/>
      <c r="G3766" s="16"/>
    </row>
    <row r="3767" spans="2:7" x14ac:dyDescent="0.25">
      <c r="B3767" s="38"/>
      <c r="C3767" s="14"/>
      <c r="D3767" s="14"/>
      <c r="E3767" s="14"/>
      <c r="F3767" s="14"/>
      <c r="G3767" s="16"/>
    </row>
    <row r="3768" spans="2:7" x14ac:dyDescent="0.25">
      <c r="B3768" s="38"/>
      <c r="C3768" s="14"/>
      <c r="D3768" s="14"/>
      <c r="E3768" s="14"/>
      <c r="F3768" s="14"/>
      <c r="G3768" s="16"/>
    </row>
    <row r="3769" spans="2:7" x14ac:dyDescent="0.25">
      <c r="B3769" s="38"/>
      <c r="C3769" s="14"/>
      <c r="D3769" s="14"/>
      <c r="E3769" s="14"/>
      <c r="F3769" s="14"/>
      <c r="G3769" s="16"/>
    </row>
    <row r="3770" spans="2:7" x14ac:dyDescent="0.25">
      <c r="B3770" s="38"/>
      <c r="C3770" s="14"/>
      <c r="D3770" s="14"/>
      <c r="E3770" s="14"/>
      <c r="F3770" s="14"/>
      <c r="G3770" s="16"/>
    </row>
    <row r="3771" spans="2:7" x14ac:dyDescent="0.25">
      <c r="B3771" s="38"/>
      <c r="C3771" s="14"/>
      <c r="D3771" s="14"/>
      <c r="E3771" s="14"/>
      <c r="F3771" s="14"/>
      <c r="G3771" s="16"/>
    </row>
    <row r="3772" spans="2:7" x14ac:dyDescent="0.25">
      <c r="B3772" s="38"/>
      <c r="C3772" s="14"/>
      <c r="D3772" s="14"/>
      <c r="E3772" s="14"/>
      <c r="F3772" s="14"/>
      <c r="G3772" s="16"/>
    </row>
    <row r="3773" spans="2:7" x14ac:dyDescent="0.25">
      <c r="B3773" s="38"/>
      <c r="C3773" s="14"/>
      <c r="D3773" s="14"/>
      <c r="E3773" s="14"/>
      <c r="F3773" s="14"/>
      <c r="G3773" s="16"/>
    </row>
    <row r="3774" spans="2:7" x14ac:dyDescent="0.25">
      <c r="B3774" s="38"/>
      <c r="C3774" s="14"/>
      <c r="D3774" s="14"/>
      <c r="E3774" s="14"/>
      <c r="F3774" s="14"/>
      <c r="G3774" s="16"/>
    </row>
    <row r="3775" spans="2:7" x14ac:dyDescent="0.25">
      <c r="B3775" s="38"/>
      <c r="C3775" s="14"/>
      <c r="D3775" s="14"/>
      <c r="E3775" s="14"/>
      <c r="F3775" s="14"/>
      <c r="G3775" s="16"/>
    </row>
    <row r="3776" spans="2:7" x14ac:dyDescent="0.25">
      <c r="B3776" s="38"/>
      <c r="C3776" s="14"/>
      <c r="D3776" s="14"/>
      <c r="E3776" s="14"/>
      <c r="F3776" s="14"/>
      <c r="G3776" s="16"/>
    </row>
    <row r="3777" spans="2:7" x14ac:dyDescent="0.25">
      <c r="B3777" s="38"/>
      <c r="C3777" s="14"/>
      <c r="D3777" s="14"/>
      <c r="E3777" s="14"/>
      <c r="F3777" s="14"/>
      <c r="G3777" s="16"/>
    </row>
    <row r="3778" spans="2:7" x14ac:dyDescent="0.25">
      <c r="B3778" s="38"/>
      <c r="C3778" s="14"/>
      <c r="D3778" s="14"/>
      <c r="E3778" s="14"/>
      <c r="F3778" s="14"/>
      <c r="G3778" s="16"/>
    </row>
    <row r="3779" spans="2:7" x14ac:dyDescent="0.25">
      <c r="B3779" s="38"/>
      <c r="C3779" s="14"/>
      <c r="D3779" s="14"/>
      <c r="E3779" s="14"/>
      <c r="F3779" s="14"/>
      <c r="G3779" s="16"/>
    </row>
    <row r="3780" spans="2:7" x14ac:dyDescent="0.25">
      <c r="B3780" s="38"/>
      <c r="C3780" s="14"/>
      <c r="D3780" s="14"/>
      <c r="E3780" s="14"/>
      <c r="F3780" s="14"/>
      <c r="G3780" s="16"/>
    </row>
    <row r="3781" spans="2:7" x14ac:dyDescent="0.25">
      <c r="B3781" s="38"/>
      <c r="C3781" s="14"/>
      <c r="D3781" s="14"/>
      <c r="E3781" s="14"/>
      <c r="F3781" s="14"/>
      <c r="G3781" s="16"/>
    </row>
    <row r="3782" spans="2:7" x14ac:dyDescent="0.25">
      <c r="B3782" s="38"/>
      <c r="C3782" s="14"/>
      <c r="D3782" s="14"/>
      <c r="E3782" s="14"/>
      <c r="F3782" s="14"/>
      <c r="G3782" s="16"/>
    </row>
    <row r="3783" spans="2:7" x14ac:dyDescent="0.25">
      <c r="B3783" s="38"/>
      <c r="C3783" s="14"/>
      <c r="D3783" s="14"/>
      <c r="E3783" s="14"/>
      <c r="F3783" s="14"/>
      <c r="G3783" s="16"/>
    </row>
    <row r="3784" spans="2:7" x14ac:dyDescent="0.25">
      <c r="B3784" s="38"/>
      <c r="C3784" s="14"/>
      <c r="D3784" s="14"/>
      <c r="E3784" s="14"/>
      <c r="F3784" s="14"/>
      <c r="G3784" s="16"/>
    </row>
    <row r="3785" spans="2:7" x14ac:dyDescent="0.25">
      <c r="B3785" s="38"/>
      <c r="C3785" s="14"/>
      <c r="D3785" s="14"/>
      <c r="E3785" s="14"/>
      <c r="F3785" s="14"/>
      <c r="G3785" s="16"/>
    </row>
    <row r="3786" spans="2:7" x14ac:dyDescent="0.25">
      <c r="B3786" s="38"/>
      <c r="C3786" s="14"/>
      <c r="D3786" s="14"/>
      <c r="E3786" s="14"/>
      <c r="F3786" s="14"/>
      <c r="G3786" s="16"/>
    </row>
    <row r="3787" spans="2:7" x14ac:dyDescent="0.25">
      <c r="B3787" s="38"/>
      <c r="C3787" s="14"/>
      <c r="D3787" s="14"/>
      <c r="E3787" s="14"/>
      <c r="F3787" s="14"/>
      <c r="G3787" s="16"/>
    </row>
    <row r="3788" spans="2:7" x14ac:dyDescent="0.25">
      <c r="B3788" s="38"/>
      <c r="C3788" s="14"/>
      <c r="D3788" s="14"/>
      <c r="E3788" s="14"/>
      <c r="F3788" s="14"/>
      <c r="G3788" s="16"/>
    </row>
    <row r="3789" spans="2:7" x14ac:dyDescent="0.25">
      <c r="B3789" s="38"/>
      <c r="C3789" s="14"/>
      <c r="D3789" s="14"/>
      <c r="E3789" s="14"/>
      <c r="F3789" s="14"/>
      <c r="G3789" s="16"/>
    </row>
    <row r="3790" spans="2:7" x14ac:dyDescent="0.25">
      <c r="B3790" s="38"/>
      <c r="C3790" s="14"/>
      <c r="D3790" s="14"/>
      <c r="E3790" s="14"/>
      <c r="F3790" s="14"/>
      <c r="G3790" s="16"/>
    </row>
    <row r="3791" spans="2:7" x14ac:dyDescent="0.25">
      <c r="B3791" s="38"/>
      <c r="C3791" s="14"/>
      <c r="D3791" s="14"/>
      <c r="E3791" s="14"/>
      <c r="F3791" s="14"/>
      <c r="G3791" s="16"/>
    </row>
    <row r="3792" spans="2:7" x14ac:dyDescent="0.25">
      <c r="B3792" s="38"/>
      <c r="C3792" s="14"/>
      <c r="D3792" s="14"/>
      <c r="E3792" s="14"/>
      <c r="F3792" s="14"/>
      <c r="G3792" s="16"/>
    </row>
    <row r="3793" spans="2:7" x14ac:dyDescent="0.25">
      <c r="B3793" s="38"/>
      <c r="C3793" s="14"/>
      <c r="D3793" s="14"/>
      <c r="E3793" s="14"/>
      <c r="F3793" s="14"/>
      <c r="G3793" s="16"/>
    </row>
    <row r="3794" spans="2:7" x14ac:dyDescent="0.25">
      <c r="B3794" s="38"/>
      <c r="C3794" s="14"/>
      <c r="D3794" s="14"/>
      <c r="E3794" s="14"/>
      <c r="F3794" s="14"/>
      <c r="G3794" s="16"/>
    </row>
    <row r="3795" spans="2:7" x14ac:dyDescent="0.25">
      <c r="B3795" s="38"/>
      <c r="C3795" s="14"/>
      <c r="D3795" s="14"/>
      <c r="E3795" s="14"/>
      <c r="F3795" s="14"/>
      <c r="G3795" s="16"/>
    </row>
    <row r="3796" spans="2:7" x14ac:dyDescent="0.25">
      <c r="B3796" s="38"/>
      <c r="C3796" s="14"/>
      <c r="D3796" s="14"/>
      <c r="E3796" s="14"/>
      <c r="F3796" s="14"/>
      <c r="G3796" s="16"/>
    </row>
    <row r="3797" spans="2:7" x14ac:dyDescent="0.25">
      <c r="B3797" s="38"/>
      <c r="C3797" s="14"/>
      <c r="D3797" s="14"/>
      <c r="E3797" s="14"/>
      <c r="F3797" s="14"/>
      <c r="G3797" s="16"/>
    </row>
    <row r="3798" spans="2:7" x14ac:dyDescent="0.25">
      <c r="B3798" s="38"/>
      <c r="C3798" s="14"/>
      <c r="D3798" s="14"/>
      <c r="E3798" s="14"/>
      <c r="F3798" s="14"/>
      <c r="G3798" s="16"/>
    </row>
    <row r="3799" spans="2:7" x14ac:dyDescent="0.25">
      <c r="B3799" s="38"/>
      <c r="C3799" s="14"/>
      <c r="D3799" s="14"/>
      <c r="E3799" s="14"/>
      <c r="F3799" s="14"/>
      <c r="G3799" s="16"/>
    </row>
    <row r="3800" spans="2:7" x14ac:dyDescent="0.25">
      <c r="B3800" s="38"/>
      <c r="C3800" s="14"/>
      <c r="D3800" s="14"/>
      <c r="E3800" s="14"/>
      <c r="F3800" s="14"/>
      <c r="G3800" s="16"/>
    </row>
    <row r="3801" spans="2:7" x14ac:dyDescent="0.25">
      <c r="B3801" s="38"/>
      <c r="C3801" s="14"/>
      <c r="D3801" s="14"/>
      <c r="E3801" s="14"/>
      <c r="F3801" s="14"/>
      <c r="G3801" s="16"/>
    </row>
    <row r="3802" spans="2:7" x14ac:dyDescent="0.25">
      <c r="B3802" s="38"/>
      <c r="C3802" s="14"/>
      <c r="D3802" s="14"/>
      <c r="E3802" s="14"/>
      <c r="F3802" s="14"/>
      <c r="G3802" s="16"/>
    </row>
    <row r="3803" spans="2:7" x14ac:dyDescent="0.25">
      <c r="B3803" s="38"/>
      <c r="C3803" s="14"/>
      <c r="D3803" s="14"/>
      <c r="E3803" s="14"/>
      <c r="F3803" s="14"/>
      <c r="G3803" s="16"/>
    </row>
    <row r="3804" spans="2:7" x14ac:dyDescent="0.25">
      <c r="B3804" s="38"/>
      <c r="C3804" s="14"/>
      <c r="D3804" s="14"/>
      <c r="E3804" s="14"/>
      <c r="F3804" s="14"/>
      <c r="G3804" s="16"/>
    </row>
    <row r="3805" spans="2:7" x14ac:dyDescent="0.25">
      <c r="B3805" s="38"/>
      <c r="C3805" s="14"/>
      <c r="D3805" s="14"/>
      <c r="E3805" s="14"/>
      <c r="F3805" s="14"/>
      <c r="G3805" s="16"/>
    </row>
    <row r="3806" spans="2:7" x14ac:dyDescent="0.25">
      <c r="B3806" s="38"/>
      <c r="C3806" s="14"/>
      <c r="D3806" s="14"/>
      <c r="E3806" s="14"/>
      <c r="F3806" s="14"/>
      <c r="G3806" s="16"/>
    </row>
    <row r="3807" spans="2:7" x14ac:dyDescent="0.25">
      <c r="B3807" s="38"/>
      <c r="C3807" s="14"/>
      <c r="D3807" s="14"/>
      <c r="E3807" s="14"/>
      <c r="F3807" s="14"/>
      <c r="G3807" s="16"/>
    </row>
    <row r="3808" spans="2:7" x14ac:dyDescent="0.25">
      <c r="B3808" s="38"/>
      <c r="C3808" s="14"/>
      <c r="D3808" s="14"/>
      <c r="E3808" s="14"/>
      <c r="F3808" s="14"/>
      <c r="G3808" s="16"/>
    </row>
    <row r="3809" spans="2:7" x14ac:dyDescent="0.25">
      <c r="B3809" s="38"/>
      <c r="C3809" s="14"/>
      <c r="D3809" s="14"/>
      <c r="E3809" s="14"/>
      <c r="F3809" s="14"/>
      <c r="G3809" s="16"/>
    </row>
    <row r="3810" spans="2:7" x14ac:dyDescent="0.25">
      <c r="B3810" s="38"/>
      <c r="C3810" s="14"/>
      <c r="D3810" s="14"/>
      <c r="E3810" s="14"/>
      <c r="F3810" s="14"/>
      <c r="G3810" s="16"/>
    </row>
    <row r="3811" spans="2:7" x14ac:dyDescent="0.25">
      <c r="B3811" s="38"/>
      <c r="C3811" s="14"/>
      <c r="D3811" s="14"/>
      <c r="E3811" s="14"/>
      <c r="F3811" s="14"/>
      <c r="G3811" s="16"/>
    </row>
    <row r="3812" spans="2:7" x14ac:dyDescent="0.25">
      <c r="B3812" s="38"/>
      <c r="C3812" s="14"/>
      <c r="D3812" s="14"/>
      <c r="E3812" s="14"/>
      <c r="F3812" s="14"/>
      <c r="G3812" s="16"/>
    </row>
    <row r="3813" spans="2:7" x14ac:dyDescent="0.25">
      <c r="B3813" s="38"/>
      <c r="C3813" s="14"/>
      <c r="D3813" s="14"/>
      <c r="E3813" s="14"/>
      <c r="F3813" s="14"/>
      <c r="G3813" s="16"/>
    </row>
    <row r="3814" spans="2:7" x14ac:dyDescent="0.25">
      <c r="B3814" s="38"/>
      <c r="C3814" s="14"/>
      <c r="D3814" s="14"/>
      <c r="E3814" s="14"/>
      <c r="F3814" s="14"/>
      <c r="G3814" s="16"/>
    </row>
    <row r="3815" spans="2:7" x14ac:dyDescent="0.25">
      <c r="B3815" s="38"/>
      <c r="C3815" s="14"/>
      <c r="D3815" s="14"/>
      <c r="E3815" s="14"/>
      <c r="F3815" s="14"/>
      <c r="G3815" s="16"/>
    </row>
    <row r="3816" spans="2:7" x14ac:dyDescent="0.25">
      <c r="B3816" s="38"/>
      <c r="C3816" s="14"/>
      <c r="D3816" s="14"/>
      <c r="E3816" s="14"/>
      <c r="F3816" s="14"/>
      <c r="G3816" s="16"/>
    </row>
    <row r="3817" spans="2:7" x14ac:dyDescent="0.25">
      <c r="B3817" s="38"/>
      <c r="C3817" s="14"/>
      <c r="D3817" s="14"/>
      <c r="E3817" s="14"/>
      <c r="F3817" s="14"/>
      <c r="G3817" s="16"/>
    </row>
    <row r="3818" spans="2:7" x14ac:dyDescent="0.25">
      <c r="B3818" s="38"/>
      <c r="C3818" s="14"/>
      <c r="D3818" s="14"/>
      <c r="E3818" s="14"/>
      <c r="F3818" s="14"/>
      <c r="G3818" s="16"/>
    </row>
    <row r="3819" spans="2:7" x14ac:dyDescent="0.25">
      <c r="B3819" s="38"/>
      <c r="C3819" s="14"/>
      <c r="D3819" s="14"/>
      <c r="E3819" s="14"/>
      <c r="F3819" s="14"/>
      <c r="G3819" s="16"/>
    </row>
    <row r="3820" spans="2:7" x14ac:dyDescent="0.25">
      <c r="B3820" s="38"/>
      <c r="C3820" s="14"/>
      <c r="D3820" s="14"/>
      <c r="E3820" s="14"/>
      <c r="F3820" s="14"/>
      <c r="G3820" s="16"/>
    </row>
    <row r="3821" spans="2:7" x14ac:dyDescent="0.25">
      <c r="B3821" s="38"/>
      <c r="C3821" s="14"/>
      <c r="D3821" s="14"/>
      <c r="E3821" s="14"/>
      <c r="F3821" s="14"/>
      <c r="G3821" s="16"/>
    </row>
    <row r="3822" spans="2:7" x14ac:dyDescent="0.25">
      <c r="B3822" s="38"/>
      <c r="C3822" s="14"/>
      <c r="D3822" s="14"/>
      <c r="E3822" s="14"/>
      <c r="F3822" s="14"/>
      <c r="G3822" s="16"/>
    </row>
    <row r="3823" spans="2:7" x14ac:dyDescent="0.25">
      <c r="B3823" s="38"/>
      <c r="C3823" s="14"/>
      <c r="D3823" s="14"/>
      <c r="E3823" s="14"/>
      <c r="F3823" s="14"/>
      <c r="G3823" s="16"/>
    </row>
    <row r="3824" spans="2:7" x14ac:dyDescent="0.25">
      <c r="B3824" s="38"/>
      <c r="C3824" s="14"/>
      <c r="D3824" s="14"/>
      <c r="E3824" s="14"/>
      <c r="F3824" s="14"/>
      <c r="G3824" s="16"/>
    </row>
    <row r="3825" spans="2:7" x14ac:dyDescent="0.25">
      <c r="B3825" s="38"/>
      <c r="C3825" s="14"/>
      <c r="D3825" s="14"/>
      <c r="E3825" s="14"/>
      <c r="F3825" s="14"/>
      <c r="G3825" s="16"/>
    </row>
    <row r="3826" spans="2:7" x14ac:dyDescent="0.25">
      <c r="B3826" s="38"/>
      <c r="C3826" s="14"/>
      <c r="D3826" s="14"/>
      <c r="E3826" s="14"/>
      <c r="F3826" s="14"/>
      <c r="G3826" s="16"/>
    </row>
    <row r="3827" spans="2:7" x14ac:dyDescent="0.25">
      <c r="B3827" s="38"/>
      <c r="C3827" s="14"/>
      <c r="D3827" s="14"/>
      <c r="E3827" s="14"/>
      <c r="F3827" s="14"/>
      <c r="G3827" s="16"/>
    </row>
    <row r="3828" spans="2:7" x14ac:dyDescent="0.25">
      <c r="B3828" s="38"/>
      <c r="C3828" s="14"/>
      <c r="D3828" s="14"/>
      <c r="E3828" s="14"/>
      <c r="F3828" s="14"/>
      <c r="G3828" s="16"/>
    </row>
    <row r="3829" spans="2:7" x14ac:dyDescent="0.25">
      <c r="B3829" s="38"/>
      <c r="C3829" s="14"/>
      <c r="D3829" s="14"/>
      <c r="E3829" s="14"/>
      <c r="F3829" s="14"/>
      <c r="G3829" s="16"/>
    </row>
    <row r="3830" spans="2:7" x14ac:dyDescent="0.25">
      <c r="B3830" s="38"/>
      <c r="C3830" s="14"/>
      <c r="D3830" s="14"/>
      <c r="E3830" s="14"/>
      <c r="F3830" s="14"/>
      <c r="G3830" s="16"/>
    </row>
    <row r="3831" spans="2:7" x14ac:dyDescent="0.25">
      <c r="B3831" s="38"/>
      <c r="C3831" s="14"/>
      <c r="D3831" s="14"/>
      <c r="E3831" s="14"/>
      <c r="F3831" s="14"/>
      <c r="G3831" s="16"/>
    </row>
    <row r="3832" spans="2:7" x14ac:dyDescent="0.25">
      <c r="B3832" s="38"/>
      <c r="C3832" s="14"/>
      <c r="D3832" s="14"/>
      <c r="E3832" s="14"/>
      <c r="F3832" s="14"/>
      <c r="G3832" s="16"/>
    </row>
    <row r="3833" spans="2:7" x14ac:dyDescent="0.25">
      <c r="B3833" s="38"/>
      <c r="C3833" s="14"/>
      <c r="D3833" s="14"/>
      <c r="E3833" s="14"/>
      <c r="F3833" s="14"/>
      <c r="G3833" s="16"/>
    </row>
    <row r="3834" spans="2:7" x14ac:dyDescent="0.25">
      <c r="B3834" s="38"/>
      <c r="C3834" s="14"/>
      <c r="D3834" s="14"/>
      <c r="E3834" s="14"/>
      <c r="F3834" s="14"/>
      <c r="G3834" s="16"/>
    </row>
    <row r="3835" spans="2:7" x14ac:dyDescent="0.25">
      <c r="B3835" s="38"/>
      <c r="C3835" s="14"/>
      <c r="D3835" s="14"/>
      <c r="E3835" s="14"/>
      <c r="F3835" s="14"/>
      <c r="G3835" s="16"/>
    </row>
    <row r="3836" spans="2:7" x14ac:dyDescent="0.25">
      <c r="B3836" s="38"/>
      <c r="C3836" s="14"/>
      <c r="D3836" s="14"/>
      <c r="E3836" s="14"/>
      <c r="F3836" s="14"/>
      <c r="G3836" s="16"/>
    </row>
    <row r="3837" spans="2:7" x14ac:dyDescent="0.25">
      <c r="B3837" s="38"/>
      <c r="C3837" s="14"/>
      <c r="D3837" s="14"/>
      <c r="E3837" s="14"/>
      <c r="F3837" s="14"/>
      <c r="G3837" s="16"/>
    </row>
    <row r="3838" spans="2:7" x14ac:dyDescent="0.25">
      <c r="B3838" s="38"/>
      <c r="C3838" s="14"/>
      <c r="D3838" s="14"/>
      <c r="E3838" s="14"/>
      <c r="F3838" s="14"/>
      <c r="G3838" s="16"/>
    </row>
    <row r="3839" spans="2:7" x14ac:dyDescent="0.25">
      <c r="B3839" s="38"/>
      <c r="C3839" s="14"/>
      <c r="D3839" s="14"/>
      <c r="E3839" s="14"/>
      <c r="F3839" s="14"/>
      <c r="G3839" s="16"/>
    </row>
    <row r="3840" spans="2:7" x14ac:dyDescent="0.25">
      <c r="B3840" s="38"/>
      <c r="C3840" s="14"/>
      <c r="D3840" s="14"/>
      <c r="E3840" s="14"/>
      <c r="F3840" s="14"/>
      <c r="G3840" s="16"/>
    </row>
    <row r="3841" spans="2:7" x14ac:dyDescent="0.25">
      <c r="B3841" s="38"/>
      <c r="C3841" s="14"/>
      <c r="D3841" s="14"/>
      <c r="E3841" s="14"/>
      <c r="F3841" s="14"/>
      <c r="G3841" s="16"/>
    </row>
    <row r="3842" spans="2:7" x14ac:dyDescent="0.25">
      <c r="B3842" s="38"/>
      <c r="C3842" s="14"/>
      <c r="D3842" s="14"/>
      <c r="E3842" s="14"/>
      <c r="F3842" s="14"/>
      <c r="G3842" s="16"/>
    </row>
    <row r="3843" spans="2:7" x14ac:dyDescent="0.25">
      <c r="B3843" s="38"/>
      <c r="C3843" s="14"/>
      <c r="D3843" s="14"/>
      <c r="E3843" s="14"/>
      <c r="F3843" s="14"/>
      <c r="G3843" s="16"/>
    </row>
    <row r="3844" spans="2:7" x14ac:dyDescent="0.25">
      <c r="B3844" s="38"/>
      <c r="C3844" s="14"/>
      <c r="D3844" s="14"/>
      <c r="E3844" s="14"/>
      <c r="F3844" s="14"/>
      <c r="G3844" s="16"/>
    </row>
    <row r="3845" spans="2:7" x14ac:dyDescent="0.25">
      <c r="B3845" s="38"/>
      <c r="C3845" s="14"/>
      <c r="D3845" s="14"/>
      <c r="E3845" s="14"/>
      <c r="F3845" s="14"/>
      <c r="G3845" s="16"/>
    </row>
    <row r="3846" spans="2:7" x14ac:dyDescent="0.25">
      <c r="B3846" s="38"/>
      <c r="C3846" s="14"/>
      <c r="D3846" s="14"/>
      <c r="E3846" s="14"/>
      <c r="F3846" s="14"/>
      <c r="G3846" s="16"/>
    </row>
    <row r="3847" spans="2:7" x14ac:dyDescent="0.25">
      <c r="B3847" s="38"/>
      <c r="C3847" s="14"/>
      <c r="D3847" s="14"/>
      <c r="E3847" s="14"/>
      <c r="F3847" s="14"/>
      <c r="G3847" s="16"/>
    </row>
    <row r="3848" spans="2:7" x14ac:dyDescent="0.25">
      <c r="B3848" s="38"/>
      <c r="C3848" s="14"/>
      <c r="D3848" s="14"/>
      <c r="E3848" s="14"/>
      <c r="F3848" s="14"/>
      <c r="G3848" s="16"/>
    </row>
    <row r="3849" spans="2:7" x14ac:dyDescent="0.25">
      <c r="B3849" s="38"/>
      <c r="C3849" s="14"/>
      <c r="D3849" s="14"/>
      <c r="E3849" s="14"/>
      <c r="F3849" s="14"/>
      <c r="G3849" s="16"/>
    </row>
    <row r="3850" spans="2:7" x14ac:dyDescent="0.25">
      <c r="B3850" s="38"/>
      <c r="C3850" s="14"/>
      <c r="D3850" s="14"/>
      <c r="E3850" s="14"/>
      <c r="F3850" s="14"/>
      <c r="G3850" s="16"/>
    </row>
    <row r="3851" spans="2:7" x14ac:dyDescent="0.25">
      <c r="B3851" s="38"/>
      <c r="C3851" s="14"/>
      <c r="D3851" s="14"/>
      <c r="E3851" s="14"/>
      <c r="F3851" s="14"/>
      <c r="G3851" s="16"/>
    </row>
    <row r="3852" spans="2:7" x14ac:dyDescent="0.25">
      <c r="B3852" s="38"/>
      <c r="C3852" s="14"/>
      <c r="D3852" s="14"/>
      <c r="E3852" s="14"/>
      <c r="F3852" s="14"/>
      <c r="G3852" s="16"/>
    </row>
    <row r="3853" spans="2:7" x14ac:dyDescent="0.25">
      <c r="B3853" s="38"/>
      <c r="C3853" s="14"/>
      <c r="D3853" s="14"/>
      <c r="E3853" s="14"/>
      <c r="F3853" s="14"/>
      <c r="G3853" s="16"/>
    </row>
    <row r="3854" spans="2:7" x14ac:dyDescent="0.25">
      <c r="B3854" s="38"/>
      <c r="C3854" s="14"/>
      <c r="D3854" s="14"/>
      <c r="E3854" s="14"/>
      <c r="F3854" s="14"/>
      <c r="G3854" s="16"/>
    </row>
    <row r="3855" spans="2:7" x14ac:dyDescent="0.25">
      <c r="B3855" s="38"/>
      <c r="C3855" s="14"/>
      <c r="D3855" s="14"/>
      <c r="E3855" s="14"/>
      <c r="F3855" s="14"/>
      <c r="G3855" s="16"/>
    </row>
    <row r="3856" spans="2:7" x14ac:dyDescent="0.25">
      <c r="B3856" s="38"/>
      <c r="C3856" s="14"/>
      <c r="D3856" s="14"/>
      <c r="E3856" s="14"/>
      <c r="F3856" s="14"/>
      <c r="G3856" s="16"/>
    </row>
    <row r="3857" spans="2:7" x14ac:dyDescent="0.25">
      <c r="B3857" s="38"/>
      <c r="C3857" s="14"/>
      <c r="D3857" s="14"/>
      <c r="E3857" s="14"/>
      <c r="F3857" s="14"/>
      <c r="G3857" s="16"/>
    </row>
    <row r="3858" spans="2:7" x14ac:dyDescent="0.25">
      <c r="B3858" s="38"/>
      <c r="C3858" s="14"/>
      <c r="D3858" s="14"/>
      <c r="E3858" s="14"/>
      <c r="F3858" s="14"/>
      <c r="G3858" s="16"/>
    </row>
    <row r="3859" spans="2:7" x14ac:dyDescent="0.25">
      <c r="B3859" s="38"/>
      <c r="C3859" s="14"/>
      <c r="D3859" s="14"/>
      <c r="E3859" s="14"/>
      <c r="F3859" s="14"/>
      <c r="G3859" s="16"/>
    </row>
    <row r="3860" spans="2:7" x14ac:dyDescent="0.25">
      <c r="B3860" s="38"/>
      <c r="C3860" s="14"/>
      <c r="D3860" s="14"/>
      <c r="E3860" s="14"/>
      <c r="F3860" s="14"/>
      <c r="G3860" s="16"/>
    </row>
    <row r="3861" spans="2:7" x14ac:dyDescent="0.25">
      <c r="B3861" s="38"/>
      <c r="C3861" s="14"/>
      <c r="D3861" s="14"/>
      <c r="E3861" s="14"/>
      <c r="F3861" s="14"/>
      <c r="G3861" s="16"/>
    </row>
    <row r="3862" spans="2:7" x14ac:dyDescent="0.25">
      <c r="B3862" s="38"/>
      <c r="C3862" s="14"/>
      <c r="D3862" s="14"/>
      <c r="E3862" s="14"/>
      <c r="F3862" s="14"/>
      <c r="G3862" s="16"/>
    </row>
    <row r="3863" spans="2:7" x14ac:dyDescent="0.25">
      <c r="B3863" s="38"/>
      <c r="C3863" s="14"/>
      <c r="D3863" s="14"/>
      <c r="E3863" s="14"/>
      <c r="F3863" s="14"/>
      <c r="G3863" s="16"/>
    </row>
    <row r="3864" spans="2:7" x14ac:dyDescent="0.25">
      <c r="B3864" s="38"/>
      <c r="C3864" s="14"/>
      <c r="D3864" s="14"/>
      <c r="E3864" s="14"/>
      <c r="F3864" s="14"/>
      <c r="G3864" s="16"/>
    </row>
    <row r="3865" spans="2:7" x14ac:dyDescent="0.25">
      <c r="B3865" s="38"/>
      <c r="C3865" s="14"/>
      <c r="D3865" s="14"/>
      <c r="E3865" s="14"/>
      <c r="F3865" s="14"/>
      <c r="G3865" s="16"/>
    </row>
    <row r="3866" spans="2:7" x14ac:dyDescent="0.25">
      <c r="B3866" s="38"/>
      <c r="C3866" s="14"/>
      <c r="D3866" s="14"/>
      <c r="E3866" s="14"/>
      <c r="F3866" s="14"/>
      <c r="G3866" s="16"/>
    </row>
    <row r="3867" spans="2:7" x14ac:dyDescent="0.25">
      <c r="B3867" s="38"/>
      <c r="C3867" s="14"/>
      <c r="D3867" s="14"/>
      <c r="E3867" s="14"/>
      <c r="F3867" s="14"/>
      <c r="G3867" s="16"/>
    </row>
    <row r="3868" spans="2:7" x14ac:dyDescent="0.25">
      <c r="B3868" s="38"/>
      <c r="C3868" s="14"/>
      <c r="D3868" s="14"/>
      <c r="E3868" s="14"/>
      <c r="F3868" s="14"/>
      <c r="G3868" s="16"/>
    </row>
    <row r="3869" spans="2:7" x14ac:dyDescent="0.25">
      <c r="B3869" s="38"/>
      <c r="C3869" s="14"/>
      <c r="D3869" s="14"/>
      <c r="E3869" s="14"/>
      <c r="F3869" s="14"/>
      <c r="G3869" s="16"/>
    </row>
    <row r="3870" spans="2:7" x14ac:dyDescent="0.25">
      <c r="B3870" s="38"/>
      <c r="C3870" s="14"/>
      <c r="D3870" s="14"/>
      <c r="E3870" s="14"/>
      <c r="F3870" s="14"/>
      <c r="G3870" s="16"/>
    </row>
    <row r="3871" spans="2:7" x14ac:dyDescent="0.25">
      <c r="B3871" s="38"/>
      <c r="C3871" s="14"/>
      <c r="D3871" s="14"/>
      <c r="E3871" s="14"/>
      <c r="F3871" s="14"/>
      <c r="G3871" s="16"/>
    </row>
    <row r="3872" spans="2:7" x14ac:dyDescent="0.25">
      <c r="B3872" s="38"/>
      <c r="C3872" s="14"/>
      <c r="D3872" s="14"/>
      <c r="E3872" s="14"/>
      <c r="F3872" s="14"/>
      <c r="G3872" s="16"/>
    </row>
    <row r="3873" spans="2:7" x14ac:dyDescent="0.25">
      <c r="B3873" s="38"/>
      <c r="C3873" s="14"/>
      <c r="D3873" s="14"/>
      <c r="E3873" s="14"/>
      <c r="F3873" s="14"/>
      <c r="G3873" s="16"/>
    </row>
    <row r="3874" spans="2:7" x14ac:dyDescent="0.25">
      <c r="B3874" s="38"/>
      <c r="C3874" s="14"/>
      <c r="D3874" s="14"/>
      <c r="E3874" s="14"/>
      <c r="F3874" s="14"/>
      <c r="G3874" s="16"/>
    </row>
    <row r="3875" spans="2:7" x14ac:dyDescent="0.25">
      <c r="B3875" s="38"/>
      <c r="C3875" s="14"/>
      <c r="D3875" s="14"/>
      <c r="E3875" s="14"/>
      <c r="F3875" s="14"/>
      <c r="G3875" s="16"/>
    </row>
    <row r="3876" spans="2:7" x14ac:dyDescent="0.25">
      <c r="B3876" s="38"/>
      <c r="C3876" s="14"/>
      <c r="D3876" s="14"/>
      <c r="E3876" s="14"/>
      <c r="F3876" s="14"/>
      <c r="G3876" s="16"/>
    </row>
    <row r="3877" spans="2:7" x14ac:dyDescent="0.25">
      <c r="B3877" s="38"/>
      <c r="C3877" s="14"/>
      <c r="D3877" s="14"/>
      <c r="E3877" s="14"/>
      <c r="F3877" s="14"/>
      <c r="G3877" s="16"/>
    </row>
    <row r="3878" spans="2:7" x14ac:dyDescent="0.25">
      <c r="B3878" s="38"/>
      <c r="C3878" s="14"/>
      <c r="D3878" s="14"/>
      <c r="E3878" s="14"/>
      <c r="F3878" s="14"/>
      <c r="G3878" s="16"/>
    </row>
    <row r="3879" spans="2:7" x14ac:dyDescent="0.25">
      <c r="B3879" s="38"/>
      <c r="C3879" s="14"/>
      <c r="D3879" s="14"/>
      <c r="E3879" s="14"/>
      <c r="F3879" s="14"/>
      <c r="G3879" s="16"/>
    </row>
    <row r="3880" spans="2:7" x14ac:dyDescent="0.25">
      <c r="B3880" s="38"/>
      <c r="C3880" s="14"/>
      <c r="D3880" s="14"/>
      <c r="E3880" s="14"/>
      <c r="F3880" s="14"/>
      <c r="G3880" s="16"/>
    </row>
    <row r="3881" spans="2:7" x14ac:dyDescent="0.25">
      <c r="B3881" s="38"/>
      <c r="C3881" s="14"/>
      <c r="D3881" s="14"/>
      <c r="E3881" s="14"/>
      <c r="F3881" s="14"/>
      <c r="G3881" s="16"/>
    </row>
    <row r="3882" spans="2:7" x14ac:dyDescent="0.25">
      <c r="B3882" s="38"/>
      <c r="C3882" s="14"/>
      <c r="D3882" s="14"/>
      <c r="E3882" s="14"/>
      <c r="F3882" s="14"/>
      <c r="G3882" s="16"/>
    </row>
    <row r="3883" spans="2:7" x14ac:dyDescent="0.25">
      <c r="B3883" s="38"/>
      <c r="C3883" s="14"/>
      <c r="D3883" s="14"/>
      <c r="E3883" s="14"/>
      <c r="F3883" s="14"/>
      <c r="G3883" s="16"/>
    </row>
    <row r="3884" spans="2:7" x14ac:dyDescent="0.25">
      <c r="B3884" s="38"/>
      <c r="C3884" s="14"/>
      <c r="D3884" s="14"/>
      <c r="E3884" s="14"/>
      <c r="F3884" s="14"/>
      <c r="G3884" s="16"/>
    </row>
    <row r="3885" spans="2:7" x14ac:dyDescent="0.25">
      <c r="B3885" s="38"/>
      <c r="C3885" s="14"/>
      <c r="D3885" s="14"/>
      <c r="E3885" s="14"/>
      <c r="F3885" s="14"/>
      <c r="G3885" s="16"/>
    </row>
    <row r="3886" spans="2:7" x14ac:dyDescent="0.25">
      <c r="B3886" s="38"/>
      <c r="C3886" s="14"/>
      <c r="D3886" s="14"/>
      <c r="E3886" s="14"/>
      <c r="F3886" s="14"/>
      <c r="G3886" s="16"/>
    </row>
    <row r="3887" spans="2:7" x14ac:dyDescent="0.25">
      <c r="B3887" s="38"/>
      <c r="C3887" s="14"/>
      <c r="D3887" s="14"/>
      <c r="E3887" s="14"/>
      <c r="F3887" s="14"/>
      <c r="G3887" s="16"/>
    </row>
    <row r="3888" spans="2:7" x14ac:dyDescent="0.25">
      <c r="B3888" s="38"/>
      <c r="C3888" s="14"/>
      <c r="D3888" s="14"/>
      <c r="E3888" s="14"/>
      <c r="F3888" s="14"/>
      <c r="G3888" s="16"/>
    </row>
    <row r="3889" spans="2:7" x14ac:dyDescent="0.25">
      <c r="B3889" s="38"/>
      <c r="C3889" s="14"/>
      <c r="D3889" s="14"/>
      <c r="E3889" s="14"/>
      <c r="F3889" s="14"/>
      <c r="G3889" s="16"/>
    </row>
    <row r="3890" spans="2:7" x14ac:dyDescent="0.25">
      <c r="B3890" s="38"/>
      <c r="C3890" s="14"/>
      <c r="D3890" s="14"/>
      <c r="E3890" s="14"/>
      <c r="F3890" s="14"/>
      <c r="G3890" s="16"/>
    </row>
    <row r="3891" spans="2:7" x14ac:dyDescent="0.25">
      <c r="B3891" s="38"/>
      <c r="C3891" s="14"/>
      <c r="D3891" s="14"/>
      <c r="E3891" s="14"/>
      <c r="F3891" s="14"/>
      <c r="G3891" s="16"/>
    </row>
    <row r="3892" spans="2:7" x14ac:dyDescent="0.25">
      <c r="B3892" s="38"/>
      <c r="C3892" s="14"/>
      <c r="D3892" s="14"/>
      <c r="E3892" s="14"/>
      <c r="F3892" s="14"/>
      <c r="G3892" s="16"/>
    </row>
    <row r="3893" spans="2:7" x14ac:dyDescent="0.25">
      <c r="B3893" s="38"/>
      <c r="C3893" s="14"/>
      <c r="D3893" s="14"/>
      <c r="E3893" s="14"/>
      <c r="F3893" s="14"/>
      <c r="G3893" s="16"/>
    </row>
    <row r="3894" spans="2:7" x14ac:dyDescent="0.25">
      <c r="B3894" s="38"/>
      <c r="C3894" s="14"/>
      <c r="D3894" s="14"/>
      <c r="E3894" s="14"/>
      <c r="F3894" s="14"/>
      <c r="G3894" s="16"/>
    </row>
    <row r="3895" spans="2:7" x14ac:dyDescent="0.25">
      <c r="B3895" s="38"/>
      <c r="C3895" s="14"/>
      <c r="D3895" s="14"/>
      <c r="E3895" s="14"/>
      <c r="F3895" s="14"/>
      <c r="G3895" s="16"/>
    </row>
    <row r="3896" spans="2:7" x14ac:dyDescent="0.25">
      <c r="B3896" s="38"/>
      <c r="C3896" s="14"/>
      <c r="D3896" s="14"/>
      <c r="E3896" s="14"/>
      <c r="F3896" s="14"/>
      <c r="G3896" s="16"/>
    </row>
    <row r="3897" spans="2:7" x14ac:dyDescent="0.25">
      <c r="B3897" s="38"/>
      <c r="C3897" s="14"/>
      <c r="D3897" s="14"/>
      <c r="E3897" s="14"/>
      <c r="F3897" s="14"/>
      <c r="G3897" s="16"/>
    </row>
    <row r="3898" spans="2:7" x14ac:dyDescent="0.25">
      <c r="B3898" s="38"/>
      <c r="C3898" s="14"/>
      <c r="D3898" s="14"/>
      <c r="E3898" s="14"/>
      <c r="F3898" s="14"/>
      <c r="G3898" s="16"/>
    </row>
    <row r="3899" spans="2:7" x14ac:dyDescent="0.25">
      <c r="B3899" s="38"/>
      <c r="C3899" s="14"/>
      <c r="D3899" s="14"/>
      <c r="E3899" s="14"/>
      <c r="F3899" s="14"/>
      <c r="G3899" s="16"/>
    </row>
    <row r="3900" spans="2:7" x14ac:dyDescent="0.25">
      <c r="B3900" s="38"/>
      <c r="C3900" s="14"/>
      <c r="D3900" s="14"/>
      <c r="E3900" s="14"/>
      <c r="F3900" s="14"/>
      <c r="G3900" s="16"/>
    </row>
    <row r="3901" spans="2:7" x14ac:dyDescent="0.25">
      <c r="B3901" s="38"/>
      <c r="C3901" s="14"/>
      <c r="D3901" s="14"/>
      <c r="E3901" s="14"/>
      <c r="F3901" s="14"/>
      <c r="G3901" s="16"/>
    </row>
    <row r="3902" spans="2:7" x14ac:dyDescent="0.25">
      <c r="B3902" s="38"/>
      <c r="C3902" s="14"/>
      <c r="D3902" s="14"/>
      <c r="E3902" s="14"/>
      <c r="F3902" s="14"/>
      <c r="G3902" s="16"/>
    </row>
    <row r="3903" spans="2:7" x14ac:dyDescent="0.25">
      <c r="B3903" s="38"/>
      <c r="C3903" s="14"/>
      <c r="D3903" s="14"/>
      <c r="E3903" s="14"/>
      <c r="F3903" s="14"/>
      <c r="G3903" s="16"/>
    </row>
    <row r="3904" spans="2:7" x14ac:dyDescent="0.25">
      <c r="B3904" s="38"/>
      <c r="C3904" s="14"/>
      <c r="D3904" s="14"/>
      <c r="E3904" s="14"/>
      <c r="F3904" s="14"/>
      <c r="G3904" s="16"/>
    </row>
    <row r="3905" spans="2:7" x14ac:dyDescent="0.25">
      <c r="B3905" s="38"/>
      <c r="C3905" s="14"/>
      <c r="D3905" s="14"/>
      <c r="E3905" s="14"/>
      <c r="F3905" s="14"/>
      <c r="G3905" s="16"/>
    </row>
    <row r="3906" spans="2:7" x14ac:dyDescent="0.25">
      <c r="B3906" s="38"/>
      <c r="C3906" s="14"/>
      <c r="D3906" s="14"/>
      <c r="E3906" s="14"/>
      <c r="F3906" s="14"/>
      <c r="G3906" s="16"/>
    </row>
    <row r="3907" spans="2:7" x14ac:dyDescent="0.25">
      <c r="B3907" s="38"/>
      <c r="C3907" s="14"/>
      <c r="D3907" s="14"/>
      <c r="E3907" s="14"/>
      <c r="F3907" s="14"/>
      <c r="G3907" s="16"/>
    </row>
    <row r="3908" spans="2:7" x14ac:dyDescent="0.25">
      <c r="B3908" s="38"/>
      <c r="C3908" s="14"/>
      <c r="D3908" s="14"/>
      <c r="E3908" s="14"/>
      <c r="F3908" s="14"/>
      <c r="G3908" s="16"/>
    </row>
    <row r="3909" spans="2:7" x14ac:dyDescent="0.25">
      <c r="B3909" s="38"/>
      <c r="C3909" s="14"/>
      <c r="D3909" s="14"/>
      <c r="E3909" s="14"/>
      <c r="F3909" s="14"/>
      <c r="G3909" s="16"/>
    </row>
    <row r="3910" spans="2:7" x14ac:dyDescent="0.25">
      <c r="B3910" s="38"/>
      <c r="C3910" s="14"/>
      <c r="D3910" s="14"/>
      <c r="E3910" s="14"/>
      <c r="F3910" s="14"/>
      <c r="G3910" s="16"/>
    </row>
    <row r="3911" spans="2:7" x14ac:dyDescent="0.25">
      <c r="B3911" s="38"/>
      <c r="C3911" s="14"/>
      <c r="D3911" s="14"/>
      <c r="E3911" s="14"/>
      <c r="F3911" s="14"/>
      <c r="G3911" s="16"/>
    </row>
    <row r="3912" spans="2:7" x14ac:dyDescent="0.25">
      <c r="B3912" s="38"/>
      <c r="C3912" s="14"/>
      <c r="D3912" s="14"/>
      <c r="E3912" s="14"/>
      <c r="F3912" s="14"/>
      <c r="G3912" s="16"/>
    </row>
    <row r="3913" spans="2:7" x14ac:dyDescent="0.25">
      <c r="B3913" s="38"/>
      <c r="C3913" s="14"/>
      <c r="D3913" s="14"/>
      <c r="E3913" s="14"/>
      <c r="F3913" s="14"/>
      <c r="G3913" s="16"/>
    </row>
    <row r="3914" spans="2:7" x14ac:dyDescent="0.25">
      <c r="B3914" s="38"/>
      <c r="C3914" s="14"/>
      <c r="D3914" s="14"/>
      <c r="E3914" s="14"/>
      <c r="F3914" s="14"/>
      <c r="G3914" s="16"/>
    </row>
    <row r="3915" spans="2:7" x14ac:dyDescent="0.25">
      <c r="B3915" s="38"/>
      <c r="C3915" s="14"/>
      <c r="D3915" s="14"/>
      <c r="E3915" s="14"/>
      <c r="F3915" s="14"/>
      <c r="G3915" s="16"/>
    </row>
    <row r="3916" spans="2:7" x14ac:dyDescent="0.25">
      <c r="B3916" s="38"/>
      <c r="C3916" s="14"/>
      <c r="D3916" s="14"/>
      <c r="E3916" s="14"/>
      <c r="F3916" s="14"/>
      <c r="G3916" s="16"/>
    </row>
    <row r="3917" spans="2:7" x14ac:dyDescent="0.25">
      <c r="B3917" s="38"/>
      <c r="C3917" s="14"/>
      <c r="D3917" s="14"/>
      <c r="E3917" s="14"/>
      <c r="F3917" s="14"/>
      <c r="G3917" s="16"/>
    </row>
    <row r="3918" spans="2:7" x14ac:dyDescent="0.25">
      <c r="B3918" s="38"/>
      <c r="C3918" s="14"/>
      <c r="D3918" s="14"/>
      <c r="E3918" s="14"/>
      <c r="F3918" s="14"/>
      <c r="G3918" s="16"/>
    </row>
    <row r="3919" spans="2:7" x14ac:dyDescent="0.25">
      <c r="B3919" s="38"/>
      <c r="C3919" s="14"/>
      <c r="D3919" s="14"/>
      <c r="E3919" s="14"/>
      <c r="F3919" s="14"/>
      <c r="G3919" s="16"/>
    </row>
    <row r="3920" spans="2:7" x14ac:dyDescent="0.25">
      <c r="B3920" s="38"/>
      <c r="C3920" s="14"/>
      <c r="D3920" s="14"/>
      <c r="E3920" s="14"/>
      <c r="F3920" s="14"/>
      <c r="G3920" s="16"/>
    </row>
    <row r="3921" spans="2:7" x14ac:dyDescent="0.25">
      <c r="B3921" s="38"/>
      <c r="C3921" s="14"/>
      <c r="D3921" s="14"/>
      <c r="E3921" s="14"/>
      <c r="F3921" s="14"/>
      <c r="G3921" s="16"/>
    </row>
    <row r="3922" spans="2:7" x14ac:dyDescent="0.25">
      <c r="B3922" s="38"/>
      <c r="C3922" s="14"/>
      <c r="D3922" s="14"/>
      <c r="E3922" s="14"/>
      <c r="F3922" s="14"/>
      <c r="G3922" s="16"/>
    </row>
    <row r="3923" spans="2:7" x14ac:dyDescent="0.25">
      <c r="B3923" s="38"/>
      <c r="C3923" s="14"/>
      <c r="D3923" s="14"/>
      <c r="E3923" s="14"/>
      <c r="F3923" s="14"/>
      <c r="G3923" s="16"/>
    </row>
    <row r="3924" spans="2:7" x14ac:dyDescent="0.25">
      <c r="B3924" s="38"/>
      <c r="C3924" s="14"/>
      <c r="D3924" s="14"/>
      <c r="E3924" s="14"/>
      <c r="F3924" s="14"/>
      <c r="G3924" s="16"/>
    </row>
    <row r="3925" spans="2:7" x14ac:dyDescent="0.25">
      <c r="B3925" s="38"/>
      <c r="C3925" s="14"/>
      <c r="D3925" s="14"/>
      <c r="E3925" s="14"/>
      <c r="F3925" s="14"/>
      <c r="G3925" s="16"/>
    </row>
    <row r="3926" spans="2:7" x14ac:dyDescent="0.25">
      <c r="B3926" s="38"/>
      <c r="C3926" s="14"/>
      <c r="D3926" s="14"/>
      <c r="E3926" s="14"/>
      <c r="F3926" s="14"/>
      <c r="G3926" s="16"/>
    </row>
    <row r="3927" spans="2:7" x14ac:dyDescent="0.25">
      <c r="B3927" s="38"/>
      <c r="C3927" s="14"/>
      <c r="D3927" s="14"/>
      <c r="E3927" s="14"/>
      <c r="F3927" s="14"/>
      <c r="G3927" s="16"/>
    </row>
    <row r="3928" spans="2:7" x14ac:dyDescent="0.25">
      <c r="B3928" s="38"/>
      <c r="C3928" s="14"/>
      <c r="D3928" s="14"/>
      <c r="E3928" s="14"/>
      <c r="F3928" s="14"/>
      <c r="G3928" s="16"/>
    </row>
    <row r="3929" spans="2:7" x14ac:dyDescent="0.25">
      <c r="B3929" s="38"/>
      <c r="C3929" s="14"/>
      <c r="D3929" s="14"/>
      <c r="E3929" s="14"/>
      <c r="F3929" s="14"/>
      <c r="G3929" s="16"/>
    </row>
    <row r="3930" spans="2:7" x14ac:dyDescent="0.25">
      <c r="B3930" s="38"/>
      <c r="C3930" s="14"/>
      <c r="D3930" s="14"/>
      <c r="E3930" s="14"/>
      <c r="F3930" s="14"/>
      <c r="G3930" s="16"/>
    </row>
    <row r="3931" spans="2:7" x14ac:dyDescent="0.25">
      <c r="B3931" s="38"/>
      <c r="C3931" s="14"/>
      <c r="D3931" s="14"/>
      <c r="E3931" s="14"/>
      <c r="F3931" s="14"/>
      <c r="G3931" s="16"/>
    </row>
    <row r="3932" spans="2:7" x14ac:dyDescent="0.25">
      <c r="B3932" s="38"/>
      <c r="C3932" s="14"/>
      <c r="D3932" s="14"/>
      <c r="E3932" s="14"/>
      <c r="F3932" s="14"/>
      <c r="G3932" s="16"/>
    </row>
    <row r="3933" spans="2:7" x14ac:dyDescent="0.25">
      <c r="B3933" s="38"/>
      <c r="C3933" s="14"/>
      <c r="D3933" s="14"/>
      <c r="E3933" s="14"/>
      <c r="F3933" s="14"/>
      <c r="G3933" s="16"/>
    </row>
    <row r="3934" spans="2:7" x14ac:dyDescent="0.25">
      <c r="B3934" s="38"/>
      <c r="C3934" s="14"/>
      <c r="D3934" s="14"/>
      <c r="E3934" s="14"/>
      <c r="F3934" s="14"/>
      <c r="G3934" s="16"/>
    </row>
    <row r="3935" spans="2:7" x14ac:dyDescent="0.25">
      <c r="B3935" s="38"/>
      <c r="C3935" s="14"/>
      <c r="D3935" s="14"/>
      <c r="E3935" s="14"/>
      <c r="F3935" s="14"/>
      <c r="G3935" s="16"/>
    </row>
    <row r="3936" spans="2:7" x14ac:dyDescent="0.25">
      <c r="B3936" s="38"/>
      <c r="C3936" s="14"/>
      <c r="D3936" s="14"/>
      <c r="E3936" s="14"/>
      <c r="F3936" s="14"/>
      <c r="G3936" s="16"/>
    </row>
    <row r="3937" spans="2:7" x14ac:dyDescent="0.25">
      <c r="B3937" s="38"/>
      <c r="C3937" s="14"/>
      <c r="D3937" s="14"/>
      <c r="E3937" s="14"/>
      <c r="F3937" s="14"/>
      <c r="G3937" s="16"/>
    </row>
    <row r="3938" spans="2:7" x14ac:dyDescent="0.25">
      <c r="B3938" s="38"/>
      <c r="C3938" s="14"/>
      <c r="D3938" s="14"/>
      <c r="E3938" s="14"/>
      <c r="F3938" s="14"/>
      <c r="G3938" s="16"/>
    </row>
    <row r="3939" spans="2:7" x14ac:dyDescent="0.25">
      <c r="B3939" s="38"/>
      <c r="C3939" s="14"/>
      <c r="D3939" s="14"/>
      <c r="E3939" s="14"/>
      <c r="F3939" s="14"/>
      <c r="G3939" s="16"/>
    </row>
    <row r="3940" spans="2:7" x14ac:dyDescent="0.25">
      <c r="B3940" s="38"/>
      <c r="C3940" s="14"/>
      <c r="D3940" s="14"/>
      <c r="E3940" s="14"/>
      <c r="F3940" s="14"/>
      <c r="G3940" s="16"/>
    </row>
    <row r="3941" spans="2:7" x14ac:dyDescent="0.25">
      <c r="B3941" s="38"/>
      <c r="C3941" s="14"/>
      <c r="D3941" s="14"/>
      <c r="E3941" s="14"/>
      <c r="F3941" s="14"/>
      <c r="G3941" s="16"/>
    </row>
    <row r="3942" spans="2:7" x14ac:dyDescent="0.25">
      <c r="B3942" s="38"/>
      <c r="C3942" s="14"/>
      <c r="D3942" s="14"/>
      <c r="E3942" s="14"/>
      <c r="F3942" s="14"/>
      <c r="G3942" s="16"/>
    </row>
    <row r="3943" spans="2:7" x14ac:dyDescent="0.25">
      <c r="B3943" s="38"/>
      <c r="C3943" s="14"/>
      <c r="D3943" s="14"/>
      <c r="E3943" s="14"/>
      <c r="F3943" s="14"/>
      <c r="G3943" s="16"/>
    </row>
    <row r="3944" spans="2:7" x14ac:dyDescent="0.25">
      <c r="B3944" s="38"/>
      <c r="C3944" s="14"/>
      <c r="D3944" s="14"/>
      <c r="E3944" s="14"/>
      <c r="F3944" s="14"/>
      <c r="G3944" s="16"/>
    </row>
    <row r="3945" spans="2:7" x14ac:dyDescent="0.25">
      <c r="B3945" s="38"/>
      <c r="C3945" s="14"/>
      <c r="D3945" s="14"/>
      <c r="E3945" s="14"/>
      <c r="F3945" s="14"/>
      <c r="G3945" s="16"/>
    </row>
    <row r="3946" spans="2:7" x14ac:dyDescent="0.25">
      <c r="B3946" s="38"/>
      <c r="C3946" s="14"/>
      <c r="D3946" s="14"/>
      <c r="E3946" s="14"/>
      <c r="F3946" s="14"/>
      <c r="G3946" s="16"/>
    </row>
    <row r="3947" spans="2:7" x14ac:dyDescent="0.25">
      <c r="B3947" s="38"/>
      <c r="C3947" s="14"/>
      <c r="D3947" s="14"/>
      <c r="E3947" s="14"/>
      <c r="F3947" s="14"/>
      <c r="G3947" s="16"/>
    </row>
    <row r="3948" spans="2:7" x14ac:dyDescent="0.25">
      <c r="B3948" s="38"/>
      <c r="C3948" s="14"/>
      <c r="D3948" s="14"/>
      <c r="E3948" s="14"/>
      <c r="F3948" s="14"/>
      <c r="G3948" s="16"/>
    </row>
    <row r="3949" spans="2:7" x14ac:dyDescent="0.25">
      <c r="B3949" s="38"/>
      <c r="C3949" s="14"/>
      <c r="D3949" s="14"/>
      <c r="E3949" s="14"/>
      <c r="F3949" s="14"/>
      <c r="G3949" s="16"/>
    </row>
    <row r="3950" spans="2:7" x14ac:dyDescent="0.25">
      <c r="B3950" s="38"/>
      <c r="C3950" s="14"/>
      <c r="D3950" s="14"/>
      <c r="E3950" s="14"/>
      <c r="F3950" s="14"/>
      <c r="G3950" s="16"/>
    </row>
    <row r="3951" spans="2:7" x14ac:dyDescent="0.25">
      <c r="B3951" s="38"/>
      <c r="C3951" s="14"/>
      <c r="D3951" s="14"/>
      <c r="E3951" s="14"/>
      <c r="F3951" s="14"/>
      <c r="G3951" s="16"/>
    </row>
    <row r="3952" spans="2:7" x14ac:dyDescent="0.25">
      <c r="B3952" s="38"/>
      <c r="C3952" s="14"/>
      <c r="D3952" s="14"/>
      <c r="E3952" s="14"/>
      <c r="F3952" s="14"/>
      <c r="G3952" s="16"/>
    </row>
    <row r="3953" spans="2:7" x14ac:dyDescent="0.25">
      <c r="B3953" s="38"/>
      <c r="C3953" s="14"/>
      <c r="D3953" s="14"/>
      <c r="E3953" s="14"/>
      <c r="F3953" s="14"/>
      <c r="G3953" s="16"/>
    </row>
    <row r="3954" spans="2:7" x14ac:dyDescent="0.25">
      <c r="B3954" s="38"/>
      <c r="C3954" s="14"/>
      <c r="D3954" s="14"/>
      <c r="E3954" s="14"/>
      <c r="F3954" s="14"/>
      <c r="G3954" s="16"/>
    </row>
    <row r="3955" spans="2:7" x14ac:dyDescent="0.25">
      <c r="B3955" s="38"/>
      <c r="C3955" s="14"/>
      <c r="D3955" s="14"/>
      <c r="E3955" s="14"/>
      <c r="F3955" s="14"/>
      <c r="G3955" s="16"/>
    </row>
    <row r="3956" spans="2:7" x14ac:dyDescent="0.25">
      <c r="B3956" s="38"/>
      <c r="C3956" s="14"/>
      <c r="D3956" s="14"/>
      <c r="E3956" s="14"/>
      <c r="F3956" s="14"/>
      <c r="G3956" s="16"/>
    </row>
    <row r="3957" spans="2:7" x14ac:dyDescent="0.25">
      <c r="B3957" s="38"/>
      <c r="C3957" s="14"/>
      <c r="D3957" s="14"/>
      <c r="E3957" s="14"/>
      <c r="F3957" s="14"/>
      <c r="G3957" s="16"/>
    </row>
    <row r="3958" spans="2:7" x14ac:dyDescent="0.25">
      <c r="B3958" s="38"/>
      <c r="C3958" s="14"/>
      <c r="D3958" s="14"/>
      <c r="E3958" s="14"/>
      <c r="F3958" s="14"/>
      <c r="G3958" s="16"/>
    </row>
    <row r="3959" spans="2:7" x14ac:dyDescent="0.25">
      <c r="B3959" s="38"/>
      <c r="C3959" s="14"/>
      <c r="D3959" s="14"/>
      <c r="E3959" s="14"/>
      <c r="F3959" s="14"/>
      <c r="G3959" s="16"/>
    </row>
    <row r="3960" spans="2:7" x14ac:dyDescent="0.25">
      <c r="B3960" s="38"/>
      <c r="C3960" s="14"/>
      <c r="D3960" s="14"/>
      <c r="E3960" s="14"/>
      <c r="F3960" s="14"/>
      <c r="G3960" s="16"/>
    </row>
    <row r="3961" spans="2:7" x14ac:dyDescent="0.25">
      <c r="B3961" s="38"/>
      <c r="C3961" s="14"/>
      <c r="D3961" s="14"/>
      <c r="E3961" s="14"/>
      <c r="F3961" s="14"/>
      <c r="G3961" s="16"/>
    </row>
    <row r="3962" spans="2:7" x14ac:dyDescent="0.25">
      <c r="B3962" s="38"/>
      <c r="C3962" s="14"/>
      <c r="D3962" s="14"/>
      <c r="E3962" s="14"/>
      <c r="F3962" s="14"/>
      <c r="G3962" s="16"/>
    </row>
    <row r="3963" spans="2:7" x14ac:dyDescent="0.25">
      <c r="B3963" s="38"/>
      <c r="C3963" s="14"/>
      <c r="D3963" s="14"/>
      <c r="E3963" s="14"/>
      <c r="F3963" s="14"/>
      <c r="G3963" s="16"/>
    </row>
    <row r="3964" spans="2:7" x14ac:dyDescent="0.25">
      <c r="B3964" s="38"/>
      <c r="C3964" s="14"/>
      <c r="D3964" s="14"/>
      <c r="E3964" s="14"/>
      <c r="F3964" s="14"/>
      <c r="G3964" s="16"/>
    </row>
    <row r="3965" spans="2:7" x14ac:dyDescent="0.25">
      <c r="B3965" s="38"/>
      <c r="C3965" s="14"/>
      <c r="D3965" s="14"/>
      <c r="E3965" s="14"/>
      <c r="F3965" s="14"/>
      <c r="G3965" s="16"/>
    </row>
    <row r="3966" spans="2:7" x14ac:dyDescent="0.25">
      <c r="B3966" s="38"/>
      <c r="C3966" s="14"/>
      <c r="D3966" s="14"/>
      <c r="E3966" s="14"/>
      <c r="F3966" s="14"/>
      <c r="G3966" s="16"/>
    </row>
    <row r="3967" spans="2:7" x14ac:dyDescent="0.25">
      <c r="B3967" s="38"/>
      <c r="C3967" s="14"/>
      <c r="D3967" s="14"/>
      <c r="E3967" s="14"/>
      <c r="F3967" s="14"/>
      <c r="G3967" s="16"/>
    </row>
    <row r="3968" spans="2:7" x14ac:dyDescent="0.25">
      <c r="B3968" s="38"/>
      <c r="C3968" s="14"/>
      <c r="D3968" s="14"/>
      <c r="E3968" s="14"/>
      <c r="F3968" s="14"/>
      <c r="G3968" s="16"/>
    </row>
    <row r="3969" spans="2:7" x14ac:dyDescent="0.25">
      <c r="B3969" s="38"/>
      <c r="C3969" s="14"/>
      <c r="D3969" s="14"/>
      <c r="E3969" s="14"/>
      <c r="F3969" s="14"/>
      <c r="G3969" s="16"/>
    </row>
    <row r="3970" spans="2:7" x14ac:dyDescent="0.25">
      <c r="B3970" s="38"/>
      <c r="C3970" s="14"/>
      <c r="D3970" s="14"/>
      <c r="E3970" s="14"/>
      <c r="F3970" s="14"/>
      <c r="G3970" s="16"/>
    </row>
    <row r="3971" spans="2:7" x14ac:dyDescent="0.25">
      <c r="B3971" s="38"/>
      <c r="C3971" s="14"/>
      <c r="D3971" s="14"/>
      <c r="E3971" s="14"/>
      <c r="F3971" s="14"/>
      <c r="G3971" s="16"/>
    </row>
    <row r="3972" spans="2:7" x14ac:dyDescent="0.25">
      <c r="B3972" s="38"/>
      <c r="C3972" s="14"/>
      <c r="D3972" s="14"/>
      <c r="E3972" s="14"/>
      <c r="F3972" s="14"/>
      <c r="G3972" s="16"/>
    </row>
    <row r="3973" spans="2:7" x14ac:dyDescent="0.25">
      <c r="B3973" s="38"/>
      <c r="C3973" s="14"/>
      <c r="D3973" s="14"/>
      <c r="E3973" s="14"/>
      <c r="F3973" s="14"/>
      <c r="G3973" s="16"/>
    </row>
    <row r="3974" spans="2:7" x14ac:dyDescent="0.25">
      <c r="B3974" s="38"/>
      <c r="C3974" s="14"/>
      <c r="D3974" s="14"/>
      <c r="E3974" s="14"/>
      <c r="F3974" s="14"/>
      <c r="G3974" s="16"/>
    </row>
    <row r="3975" spans="2:7" x14ac:dyDescent="0.25">
      <c r="B3975" s="38"/>
      <c r="C3975" s="14"/>
      <c r="D3975" s="14"/>
      <c r="E3975" s="14"/>
      <c r="F3975" s="14"/>
      <c r="G3975" s="16"/>
    </row>
    <row r="3976" spans="2:7" x14ac:dyDescent="0.25">
      <c r="B3976" s="38"/>
      <c r="C3976" s="14"/>
      <c r="D3976" s="14"/>
      <c r="E3976" s="14"/>
      <c r="F3976" s="14"/>
      <c r="G3976" s="16"/>
    </row>
    <row r="3977" spans="2:7" x14ac:dyDescent="0.25">
      <c r="B3977" s="38"/>
      <c r="C3977" s="14"/>
      <c r="D3977" s="14"/>
      <c r="E3977" s="14"/>
      <c r="F3977" s="14"/>
      <c r="G3977" s="16"/>
    </row>
    <row r="3978" spans="2:7" x14ac:dyDescent="0.25">
      <c r="B3978" s="38"/>
      <c r="C3978" s="14"/>
      <c r="D3978" s="14"/>
      <c r="E3978" s="14"/>
      <c r="F3978" s="14"/>
      <c r="G3978" s="16"/>
    </row>
    <row r="3979" spans="2:7" x14ac:dyDescent="0.25">
      <c r="B3979" s="38"/>
      <c r="C3979" s="14"/>
      <c r="D3979" s="14"/>
      <c r="E3979" s="14"/>
      <c r="F3979" s="14"/>
      <c r="G3979" s="16"/>
    </row>
    <row r="3980" spans="2:7" x14ac:dyDescent="0.25">
      <c r="B3980" s="38"/>
      <c r="C3980" s="14"/>
      <c r="D3980" s="14"/>
      <c r="E3980" s="14"/>
      <c r="F3980" s="14"/>
      <c r="G3980" s="16"/>
    </row>
    <row r="3981" spans="2:7" x14ac:dyDescent="0.25">
      <c r="B3981" s="38"/>
      <c r="C3981" s="14"/>
      <c r="D3981" s="14"/>
      <c r="E3981" s="14"/>
      <c r="F3981" s="14"/>
      <c r="G3981" s="16"/>
    </row>
    <row r="3982" spans="2:7" x14ac:dyDescent="0.25">
      <c r="B3982" s="38"/>
      <c r="C3982" s="14"/>
      <c r="D3982" s="14"/>
      <c r="E3982" s="14"/>
      <c r="F3982" s="14"/>
      <c r="G3982" s="16"/>
    </row>
    <row r="3983" spans="2:7" x14ac:dyDescent="0.25">
      <c r="B3983" s="38"/>
      <c r="C3983" s="14"/>
      <c r="D3983" s="14"/>
      <c r="E3983" s="14"/>
      <c r="F3983" s="14"/>
      <c r="G3983" s="16"/>
    </row>
    <row r="3984" spans="2:7" x14ac:dyDescent="0.25">
      <c r="B3984" s="38"/>
      <c r="C3984" s="14"/>
      <c r="D3984" s="14"/>
      <c r="E3984" s="14"/>
      <c r="F3984" s="14"/>
      <c r="G3984" s="16"/>
    </row>
    <row r="3985" spans="2:7" x14ac:dyDescent="0.25">
      <c r="B3985" s="38"/>
      <c r="C3985" s="14"/>
      <c r="D3985" s="14"/>
      <c r="E3985" s="14"/>
      <c r="F3985" s="14"/>
      <c r="G3985" s="16"/>
    </row>
    <row r="3986" spans="2:7" x14ac:dyDescent="0.25">
      <c r="B3986" s="38"/>
      <c r="C3986" s="14"/>
      <c r="D3986" s="14"/>
      <c r="E3986" s="14"/>
      <c r="F3986" s="14"/>
      <c r="G3986" s="16"/>
    </row>
    <row r="3987" spans="2:7" x14ac:dyDescent="0.25">
      <c r="B3987" s="38"/>
      <c r="C3987" s="14"/>
      <c r="D3987" s="14"/>
      <c r="E3987" s="14"/>
      <c r="F3987" s="14"/>
      <c r="G3987" s="16"/>
    </row>
    <row r="3988" spans="2:7" x14ac:dyDescent="0.25">
      <c r="B3988" s="38"/>
      <c r="C3988" s="14"/>
      <c r="D3988" s="14"/>
      <c r="E3988" s="14"/>
      <c r="F3988" s="14"/>
      <c r="G3988" s="16"/>
    </row>
    <row r="3989" spans="2:7" x14ac:dyDescent="0.25">
      <c r="B3989" s="38"/>
      <c r="C3989" s="14"/>
      <c r="D3989" s="14"/>
      <c r="E3989" s="14"/>
      <c r="F3989" s="14"/>
      <c r="G3989" s="16"/>
    </row>
    <row r="3990" spans="2:7" x14ac:dyDescent="0.25">
      <c r="B3990" s="38"/>
      <c r="C3990" s="14"/>
      <c r="D3990" s="14"/>
      <c r="E3990" s="14"/>
      <c r="F3990" s="14"/>
      <c r="G3990" s="16"/>
    </row>
    <row r="3991" spans="2:7" x14ac:dyDescent="0.25">
      <c r="B3991" s="38"/>
      <c r="C3991" s="14"/>
      <c r="D3991" s="14"/>
      <c r="E3991" s="14"/>
      <c r="F3991" s="14"/>
      <c r="G3991" s="16"/>
    </row>
    <row r="3992" spans="2:7" x14ac:dyDescent="0.25">
      <c r="B3992" s="38"/>
      <c r="C3992" s="14"/>
      <c r="D3992" s="14"/>
      <c r="E3992" s="14"/>
      <c r="F3992" s="14"/>
      <c r="G3992" s="16"/>
    </row>
    <row r="3993" spans="2:7" x14ac:dyDescent="0.25">
      <c r="B3993" s="38"/>
      <c r="C3993" s="14"/>
      <c r="D3993" s="14"/>
      <c r="E3993" s="14"/>
      <c r="F3993" s="14"/>
      <c r="G3993" s="16"/>
    </row>
    <row r="3994" spans="2:7" x14ac:dyDescent="0.25">
      <c r="B3994" s="38"/>
      <c r="C3994" s="14"/>
      <c r="D3994" s="14"/>
      <c r="E3994" s="14"/>
      <c r="F3994" s="14"/>
      <c r="G3994" s="16"/>
    </row>
    <row r="3995" spans="2:7" x14ac:dyDescent="0.25">
      <c r="B3995" s="38"/>
      <c r="C3995" s="14"/>
      <c r="D3995" s="14"/>
      <c r="E3995" s="14"/>
      <c r="F3995" s="14"/>
      <c r="G3995" s="16"/>
    </row>
    <row r="3996" spans="2:7" x14ac:dyDescent="0.25">
      <c r="B3996" s="38"/>
      <c r="C3996" s="14"/>
      <c r="D3996" s="14"/>
      <c r="E3996" s="14"/>
      <c r="F3996" s="14"/>
      <c r="G3996" s="16"/>
    </row>
    <row r="3997" spans="2:7" x14ac:dyDescent="0.25">
      <c r="B3997" s="38"/>
      <c r="C3997" s="14"/>
      <c r="D3997" s="14"/>
      <c r="E3997" s="14"/>
      <c r="F3997" s="14"/>
      <c r="G3997" s="16"/>
    </row>
    <row r="3998" spans="2:7" x14ac:dyDescent="0.25">
      <c r="B3998" s="38"/>
      <c r="C3998" s="14"/>
      <c r="D3998" s="14"/>
      <c r="E3998" s="14"/>
      <c r="F3998" s="14"/>
      <c r="G3998" s="16"/>
    </row>
    <row r="3999" spans="2:7" x14ac:dyDescent="0.25">
      <c r="B3999" s="38"/>
      <c r="C3999" s="14"/>
      <c r="D3999" s="14"/>
      <c r="E3999" s="14"/>
      <c r="F3999" s="14"/>
      <c r="G3999" s="16"/>
    </row>
    <row r="4000" spans="2:7" x14ac:dyDescent="0.25">
      <c r="B4000" s="38"/>
      <c r="C4000" s="14"/>
      <c r="D4000" s="14"/>
      <c r="E4000" s="14"/>
      <c r="F4000" s="14"/>
      <c r="G4000" s="16"/>
    </row>
    <row r="4001" spans="2:7" x14ac:dyDescent="0.25">
      <c r="B4001" s="38"/>
      <c r="C4001" s="14"/>
      <c r="D4001" s="14"/>
      <c r="E4001" s="14"/>
      <c r="F4001" s="14"/>
      <c r="G4001" s="16"/>
    </row>
    <row r="4002" spans="2:7" x14ac:dyDescent="0.25">
      <c r="B4002" s="38"/>
      <c r="C4002" s="14"/>
      <c r="D4002" s="14"/>
      <c r="E4002" s="14"/>
      <c r="F4002" s="14"/>
      <c r="G4002" s="16"/>
    </row>
    <row r="4003" spans="2:7" x14ac:dyDescent="0.25">
      <c r="B4003" s="38"/>
      <c r="C4003" s="14"/>
      <c r="D4003" s="14"/>
      <c r="E4003" s="14"/>
      <c r="F4003" s="14"/>
      <c r="G4003" s="16"/>
    </row>
    <row r="4004" spans="2:7" x14ac:dyDescent="0.25">
      <c r="B4004" s="38"/>
      <c r="C4004" s="14"/>
      <c r="D4004" s="14"/>
      <c r="E4004" s="14"/>
      <c r="F4004" s="14"/>
      <c r="G4004" s="16"/>
    </row>
    <row r="4005" spans="2:7" x14ac:dyDescent="0.25">
      <c r="B4005" s="38"/>
      <c r="C4005" s="14"/>
      <c r="D4005" s="14"/>
      <c r="E4005" s="14"/>
      <c r="F4005" s="14"/>
      <c r="G4005" s="16"/>
    </row>
    <row r="4006" spans="2:7" x14ac:dyDescent="0.25">
      <c r="B4006" s="38"/>
      <c r="C4006" s="14"/>
      <c r="D4006" s="14"/>
      <c r="E4006" s="14"/>
      <c r="F4006" s="14"/>
      <c r="G4006" s="16"/>
    </row>
    <row r="4007" spans="2:7" x14ac:dyDescent="0.25">
      <c r="B4007" s="38"/>
      <c r="C4007" s="14"/>
      <c r="D4007" s="14"/>
      <c r="E4007" s="14"/>
      <c r="F4007" s="14"/>
      <c r="G4007" s="16"/>
    </row>
    <row r="4008" spans="2:7" x14ac:dyDescent="0.25">
      <c r="B4008" s="38"/>
      <c r="C4008" s="14"/>
      <c r="D4008" s="14"/>
      <c r="E4008" s="14"/>
      <c r="F4008" s="14"/>
      <c r="G4008" s="16"/>
    </row>
    <row r="4009" spans="2:7" x14ac:dyDescent="0.25">
      <c r="B4009" s="38"/>
      <c r="C4009" s="14"/>
      <c r="D4009" s="14"/>
      <c r="E4009" s="14"/>
      <c r="F4009" s="14"/>
      <c r="G4009" s="16"/>
    </row>
    <row r="4010" spans="2:7" x14ac:dyDescent="0.25">
      <c r="B4010" s="38"/>
      <c r="C4010" s="14"/>
      <c r="D4010" s="14"/>
      <c r="E4010" s="14"/>
      <c r="F4010" s="14"/>
      <c r="G4010" s="16"/>
    </row>
    <row r="4011" spans="2:7" x14ac:dyDescent="0.25">
      <c r="B4011" s="38"/>
      <c r="C4011" s="14"/>
      <c r="D4011" s="14"/>
      <c r="E4011" s="14"/>
      <c r="F4011" s="14"/>
      <c r="G4011" s="16"/>
    </row>
    <row r="4012" spans="2:7" x14ac:dyDescent="0.25">
      <c r="B4012" s="38"/>
      <c r="C4012" s="14"/>
      <c r="D4012" s="14"/>
      <c r="E4012" s="14"/>
      <c r="F4012" s="14"/>
      <c r="G4012" s="16"/>
    </row>
    <row r="4013" spans="2:7" x14ac:dyDescent="0.25">
      <c r="B4013" s="38"/>
      <c r="C4013" s="14"/>
      <c r="D4013" s="14"/>
      <c r="E4013" s="14"/>
      <c r="F4013" s="14"/>
      <c r="G4013" s="16"/>
    </row>
    <row r="4014" spans="2:7" x14ac:dyDescent="0.25">
      <c r="B4014" s="38"/>
      <c r="C4014" s="14"/>
      <c r="D4014" s="14"/>
      <c r="E4014" s="14"/>
      <c r="F4014" s="14"/>
      <c r="G4014" s="16"/>
    </row>
    <row r="4015" spans="2:7" x14ac:dyDescent="0.25">
      <c r="B4015" s="38"/>
      <c r="C4015" s="14"/>
      <c r="D4015" s="14"/>
      <c r="E4015" s="14"/>
      <c r="F4015" s="14"/>
      <c r="G4015" s="16"/>
    </row>
    <row r="4016" spans="2:7" x14ac:dyDescent="0.25">
      <c r="B4016" s="38"/>
      <c r="C4016" s="14"/>
      <c r="D4016" s="14"/>
      <c r="E4016" s="14"/>
      <c r="F4016" s="14"/>
      <c r="G4016" s="16"/>
    </row>
    <row r="4017" spans="2:7" x14ac:dyDescent="0.25">
      <c r="B4017" s="38"/>
      <c r="C4017" s="14"/>
      <c r="D4017" s="14"/>
      <c r="E4017" s="14"/>
      <c r="F4017" s="14"/>
      <c r="G4017" s="16"/>
    </row>
    <row r="4018" spans="2:7" x14ac:dyDescent="0.25">
      <c r="B4018" s="38"/>
      <c r="C4018" s="14"/>
      <c r="D4018" s="14"/>
      <c r="E4018" s="14"/>
      <c r="F4018" s="14"/>
      <c r="G4018" s="16"/>
    </row>
    <row r="4019" spans="2:7" x14ac:dyDescent="0.25">
      <c r="B4019" s="38"/>
      <c r="C4019" s="14"/>
      <c r="D4019" s="14"/>
      <c r="E4019" s="14"/>
      <c r="F4019" s="14"/>
      <c r="G4019" s="16"/>
    </row>
    <row r="4020" spans="2:7" x14ac:dyDescent="0.25">
      <c r="B4020" s="38"/>
      <c r="C4020" s="14"/>
      <c r="D4020" s="14"/>
      <c r="E4020" s="14"/>
      <c r="F4020" s="14"/>
      <c r="G4020" s="16"/>
    </row>
    <row r="4021" spans="2:7" x14ac:dyDescent="0.25">
      <c r="B4021" s="38"/>
      <c r="C4021" s="14"/>
      <c r="D4021" s="14"/>
      <c r="E4021" s="14"/>
      <c r="F4021" s="14"/>
      <c r="G4021" s="16"/>
    </row>
    <row r="4022" spans="2:7" x14ac:dyDescent="0.25">
      <c r="B4022" s="38"/>
      <c r="C4022" s="14"/>
      <c r="D4022" s="14"/>
      <c r="E4022" s="14"/>
      <c r="F4022" s="14"/>
      <c r="G4022" s="16"/>
    </row>
    <row r="4023" spans="2:7" x14ac:dyDescent="0.25">
      <c r="B4023" s="38"/>
      <c r="C4023" s="14"/>
      <c r="D4023" s="14"/>
      <c r="E4023" s="14"/>
      <c r="F4023" s="14"/>
      <c r="G4023" s="16"/>
    </row>
    <row r="4024" spans="2:7" x14ac:dyDescent="0.25">
      <c r="B4024" s="38"/>
      <c r="C4024" s="14"/>
      <c r="D4024" s="14"/>
      <c r="E4024" s="14"/>
      <c r="F4024" s="14"/>
      <c r="G4024" s="16"/>
    </row>
    <row r="4025" spans="2:7" x14ac:dyDescent="0.25">
      <c r="B4025" s="38"/>
      <c r="C4025" s="14"/>
      <c r="D4025" s="14"/>
      <c r="E4025" s="14"/>
      <c r="F4025" s="14"/>
      <c r="G4025" s="16"/>
    </row>
    <row r="4026" spans="2:7" x14ac:dyDescent="0.25">
      <c r="B4026" s="38"/>
      <c r="C4026" s="14"/>
      <c r="D4026" s="14"/>
      <c r="E4026" s="14"/>
      <c r="F4026" s="14"/>
      <c r="G4026" s="16"/>
    </row>
    <row r="4027" spans="2:7" x14ac:dyDescent="0.25">
      <c r="B4027" s="38"/>
      <c r="C4027" s="14"/>
      <c r="D4027" s="14"/>
      <c r="E4027" s="14"/>
      <c r="F4027" s="14"/>
      <c r="G4027" s="16"/>
    </row>
    <row r="4028" spans="2:7" x14ac:dyDescent="0.25">
      <c r="B4028" s="38"/>
      <c r="C4028" s="14"/>
      <c r="D4028" s="14"/>
      <c r="E4028" s="14"/>
      <c r="F4028" s="14"/>
      <c r="G4028" s="16"/>
    </row>
    <row r="4029" spans="2:7" x14ac:dyDescent="0.25">
      <c r="B4029" s="38"/>
      <c r="C4029" s="14"/>
      <c r="D4029" s="14"/>
      <c r="E4029" s="14"/>
      <c r="F4029" s="14"/>
      <c r="G4029" s="16"/>
    </row>
    <row r="4030" spans="2:7" x14ac:dyDescent="0.25">
      <c r="B4030" s="38"/>
      <c r="C4030" s="14"/>
      <c r="D4030" s="14"/>
      <c r="E4030" s="14"/>
      <c r="F4030" s="14"/>
      <c r="G4030" s="16"/>
    </row>
    <row r="4031" spans="2:7" x14ac:dyDescent="0.25">
      <c r="B4031" s="38"/>
      <c r="C4031" s="14"/>
      <c r="D4031" s="14"/>
      <c r="E4031" s="14"/>
      <c r="F4031" s="14"/>
      <c r="G4031" s="16"/>
    </row>
    <row r="4032" spans="2:7" x14ac:dyDescent="0.25">
      <c r="B4032" s="38"/>
      <c r="C4032" s="14"/>
      <c r="D4032" s="14"/>
      <c r="E4032" s="14"/>
      <c r="F4032" s="14"/>
      <c r="G4032" s="16"/>
    </row>
    <row r="4033" spans="2:7" x14ac:dyDescent="0.25">
      <c r="B4033" s="38"/>
      <c r="C4033" s="14"/>
      <c r="D4033" s="14"/>
      <c r="E4033" s="14"/>
      <c r="F4033" s="14"/>
      <c r="G4033" s="16"/>
    </row>
    <row r="4034" spans="2:7" x14ac:dyDescent="0.25">
      <c r="B4034" s="38"/>
      <c r="C4034" s="14"/>
      <c r="D4034" s="14"/>
      <c r="E4034" s="14"/>
      <c r="F4034" s="14"/>
      <c r="G4034" s="16"/>
    </row>
    <row r="4035" spans="2:7" x14ac:dyDescent="0.25">
      <c r="B4035" s="38"/>
      <c r="C4035" s="14"/>
      <c r="D4035" s="14"/>
      <c r="E4035" s="14"/>
      <c r="F4035" s="14"/>
      <c r="G4035" s="16"/>
    </row>
    <row r="4036" spans="2:7" x14ac:dyDescent="0.25">
      <c r="B4036" s="38"/>
      <c r="C4036" s="14"/>
      <c r="D4036" s="14"/>
      <c r="E4036" s="14"/>
      <c r="F4036" s="14"/>
      <c r="G4036" s="16"/>
    </row>
    <row r="4037" spans="2:7" x14ac:dyDescent="0.25">
      <c r="B4037" s="38"/>
      <c r="C4037" s="14"/>
      <c r="D4037" s="14"/>
      <c r="E4037" s="14"/>
      <c r="F4037" s="14"/>
      <c r="G4037" s="16"/>
    </row>
    <row r="4038" spans="2:7" x14ac:dyDescent="0.25">
      <c r="B4038" s="38"/>
      <c r="C4038" s="14"/>
      <c r="D4038" s="14"/>
      <c r="E4038" s="14"/>
      <c r="F4038" s="14"/>
      <c r="G4038" s="16"/>
    </row>
    <row r="4039" spans="2:7" x14ac:dyDescent="0.25">
      <c r="B4039" s="38"/>
      <c r="C4039" s="14"/>
      <c r="D4039" s="14"/>
      <c r="E4039" s="14"/>
      <c r="F4039" s="14"/>
      <c r="G4039" s="16"/>
    </row>
    <row r="4040" spans="2:7" x14ac:dyDescent="0.25">
      <c r="B4040" s="38"/>
      <c r="C4040" s="14"/>
      <c r="D4040" s="14"/>
      <c r="E4040" s="14"/>
      <c r="F4040" s="14"/>
      <c r="G4040" s="16"/>
    </row>
    <row r="4041" spans="2:7" x14ac:dyDescent="0.25">
      <c r="B4041" s="38"/>
      <c r="C4041" s="14"/>
      <c r="D4041" s="14"/>
      <c r="E4041" s="14"/>
      <c r="F4041" s="14"/>
      <c r="G4041" s="16"/>
    </row>
    <row r="4042" spans="2:7" x14ac:dyDescent="0.25">
      <c r="B4042" s="38"/>
      <c r="C4042" s="14"/>
      <c r="D4042" s="14"/>
      <c r="E4042" s="14"/>
      <c r="F4042" s="14"/>
      <c r="G4042" s="16"/>
    </row>
    <row r="4043" spans="2:7" x14ac:dyDescent="0.25">
      <c r="B4043" s="38"/>
      <c r="C4043" s="14"/>
      <c r="D4043" s="14"/>
      <c r="E4043" s="14"/>
      <c r="F4043" s="14"/>
      <c r="G4043" s="16"/>
    </row>
    <row r="4044" spans="2:7" x14ac:dyDescent="0.25">
      <c r="B4044" s="38"/>
      <c r="C4044" s="14"/>
      <c r="D4044" s="14"/>
      <c r="E4044" s="14"/>
      <c r="F4044" s="14"/>
      <c r="G4044" s="16"/>
    </row>
    <row r="4045" spans="2:7" x14ac:dyDescent="0.25">
      <c r="B4045" s="38"/>
      <c r="C4045" s="14"/>
      <c r="D4045" s="14"/>
      <c r="E4045" s="14"/>
      <c r="F4045" s="14"/>
      <c r="G4045" s="16"/>
    </row>
    <row r="4046" spans="2:7" x14ac:dyDescent="0.25">
      <c r="B4046" s="38"/>
      <c r="C4046" s="14"/>
      <c r="D4046" s="14"/>
      <c r="E4046" s="14"/>
      <c r="F4046" s="14"/>
      <c r="G4046" s="16"/>
    </row>
    <row r="4047" spans="2:7" x14ac:dyDescent="0.25">
      <c r="B4047" s="38"/>
      <c r="C4047" s="14"/>
      <c r="D4047" s="14"/>
      <c r="E4047" s="14"/>
      <c r="F4047" s="14"/>
      <c r="G4047" s="16"/>
    </row>
    <row r="4048" spans="2:7" x14ac:dyDescent="0.25">
      <c r="B4048" s="38"/>
      <c r="C4048" s="14"/>
      <c r="D4048" s="14"/>
      <c r="E4048" s="14"/>
      <c r="F4048" s="14"/>
      <c r="G4048" s="16"/>
    </row>
    <row r="4049" spans="2:7" x14ac:dyDescent="0.25">
      <c r="B4049" s="38"/>
      <c r="C4049" s="14"/>
      <c r="D4049" s="14"/>
      <c r="E4049" s="14"/>
      <c r="F4049" s="14"/>
      <c r="G4049" s="16"/>
    </row>
    <row r="4050" spans="2:7" x14ac:dyDescent="0.25">
      <c r="B4050" s="38"/>
      <c r="C4050" s="14"/>
      <c r="D4050" s="14"/>
      <c r="E4050" s="14"/>
      <c r="F4050" s="14"/>
      <c r="G4050" s="16"/>
    </row>
    <row r="4051" spans="2:7" x14ac:dyDescent="0.25">
      <c r="B4051" s="38"/>
      <c r="C4051" s="14"/>
      <c r="D4051" s="14"/>
      <c r="E4051" s="14"/>
      <c r="F4051" s="14"/>
      <c r="G4051" s="16"/>
    </row>
    <row r="4052" spans="2:7" x14ac:dyDescent="0.25">
      <c r="B4052" s="38"/>
      <c r="C4052" s="14"/>
      <c r="D4052" s="14"/>
      <c r="E4052" s="14"/>
      <c r="F4052" s="14"/>
      <c r="G4052" s="16"/>
    </row>
    <row r="4053" spans="2:7" x14ac:dyDescent="0.25">
      <c r="B4053" s="38"/>
      <c r="C4053" s="14"/>
      <c r="D4053" s="14"/>
      <c r="E4053" s="14"/>
      <c r="F4053" s="14"/>
      <c r="G4053" s="16"/>
    </row>
    <row r="4054" spans="2:7" x14ac:dyDescent="0.25">
      <c r="B4054" s="38"/>
      <c r="C4054" s="14"/>
      <c r="D4054" s="14"/>
      <c r="E4054" s="14"/>
      <c r="F4054" s="14"/>
      <c r="G4054" s="16"/>
    </row>
    <row r="4055" spans="2:7" x14ac:dyDescent="0.25">
      <c r="B4055" s="38"/>
      <c r="C4055" s="14"/>
      <c r="D4055" s="14"/>
      <c r="E4055" s="14"/>
      <c r="F4055" s="14"/>
      <c r="G4055" s="16"/>
    </row>
    <row r="4056" spans="2:7" x14ac:dyDescent="0.25">
      <c r="B4056" s="38"/>
      <c r="C4056" s="14"/>
      <c r="D4056" s="14"/>
      <c r="E4056" s="14"/>
      <c r="F4056" s="14"/>
      <c r="G4056" s="16"/>
    </row>
    <row r="4057" spans="2:7" x14ac:dyDescent="0.25">
      <c r="B4057" s="38"/>
      <c r="C4057" s="14"/>
      <c r="D4057" s="14"/>
      <c r="E4057" s="14"/>
      <c r="F4057" s="14"/>
      <c r="G4057" s="16"/>
    </row>
    <row r="4058" spans="2:7" x14ac:dyDescent="0.25">
      <c r="B4058" s="38"/>
      <c r="C4058" s="14"/>
      <c r="D4058" s="14"/>
      <c r="E4058" s="14"/>
      <c r="F4058" s="14"/>
      <c r="G4058" s="16"/>
    </row>
    <row r="4059" spans="2:7" x14ac:dyDescent="0.25">
      <c r="B4059" s="38"/>
      <c r="C4059" s="14"/>
      <c r="D4059" s="14"/>
      <c r="E4059" s="14"/>
      <c r="F4059" s="14"/>
      <c r="G4059" s="16"/>
    </row>
    <row r="4060" spans="2:7" x14ac:dyDescent="0.25">
      <c r="B4060" s="38"/>
      <c r="C4060" s="14"/>
      <c r="D4060" s="14"/>
      <c r="E4060" s="14"/>
      <c r="F4060" s="14"/>
      <c r="G4060" s="16"/>
    </row>
    <row r="4061" spans="2:7" x14ac:dyDescent="0.25">
      <c r="B4061" s="38"/>
      <c r="C4061" s="14"/>
      <c r="D4061" s="14"/>
      <c r="E4061" s="14"/>
      <c r="F4061" s="14"/>
      <c r="G4061" s="16"/>
    </row>
    <row r="4062" spans="2:7" x14ac:dyDescent="0.25">
      <c r="B4062" s="38"/>
      <c r="C4062" s="14"/>
      <c r="D4062" s="14"/>
      <c r="E4062" s="14"/>
      <c r="F4062" s="14"/>
      <c r="G4062" s="16"/>
    </row>
    <row r="4063" spans="2:7" x14ac:dyDescent="0.25">
      <c r="B4063" s="38"/>
      <c r="C4063" s="14"/>
      <c r="D4063" s="14"/>
      <c r="E4063" s="14"/>
      <c r="F4063" s="14"/>
      <c r="G4063" s="16"/>
    </row>
    <row r="4064" spans="2:7" x14ac:dyDescent="0.25">
      <c r="B4064" s="38"/>
      <c r="C4064" s="14"/>
      <c r="D4064" s="14"/>
      <c r="E4064" s="14"/>
      <c r="F4064" s="14"/>
      <c r="G4064" s="16"/>
    </row>
    <row r="4065" spans="2:7" x14ac:dyDescent="0.25">
      <c r="B4065" s="38"/>
      <c r="C4065" s="14"/>
      <c r="D4065" s="14"/>
      <c r="E4065" s="14"/>
      <c r="F4065" s="14"/>
      <c r="G4065" s="16"/>
    </row>
    <row r="4066" spans="2:7" x14ac:dyDescent="0.25">
      <c r="B4066" s="38"/>
      <c r="C4066" s="14"/>
      <c r="D4066" s="14"/>
      <c r="E4066" s="14"/>
      <c r="F4066" s="14"/>
      <c r="G4066" s="16"/>
    </row>
    <row r="4067" spans="2:7" x14ac:dyDescent="0.25">
      <c r="B4067" s="38"/>
      <c r="C4067" s="14"/>
      <c r="D4067" s="14"/>
      <c r="E4067" s="14"/>
      <c r="F4067" s="14"/>
      <c r="G4067" s="16"/>
    </row>
    <row r="4068" spans="2:7" x14ac:dyDescent="0.25">
      <c r="B4068" s="38"/>
      <c r="C4068" s="14"/>
      <c r="D4068" s="14"/>
      <c r="E4068" s="14"/>
      <c r="F4068" s="14"/>
      <c r="G4068" s="16"/>
    </row>
    <row r="4069" spans="2:7" x14ac:dyDescent="0.25">
      <c r="B4069" s="38"/>
      <c r="C4069" s="14"/>
      <c r="D4069" s="14"/>
      <c r="E4069" s="14"/>
      <c r="F4069" s="14"/>
      <c r="G4069" s="16"/>
    </row>
    <row r="4070" spans="2:7" x14ac:dyDescent="0.25">
      <c r="B4070" s="38"/>
      <c r="C4070" s="14"/>
      <c r="D4070" s="14"/>
      <c r="E4070" s="14"/>
      <c r="F4070" s="14"/>
      <c r="G4070" s="16"/>
    </row>
    <row r="4071" spans="2:7" x14ac:dyDescent="0.25">
      <c r="B4071" s="38"/>
      <c r="C4071" s="14"/>
      <c r="D4071" s="14"/>
      <c r="E4071" s="14"/>
      <c r="F4071" s="14"/>
      <c r="G4071" s="16"/>
    </row>
    <row r="4072" spans="2:7" x14ac:dyDescent="0.25">
      <c r="B4072" s="38"/>
      <c r="C4072" s="14"/>
      <c r="D4072" s="14"/>
      <c r="E4072" s="14"/>
      <c r="F4072" s="14"/>
      <c r="G4072" s="16"/>
    </row>
    <row r="4073" spans="2:7" x14ac:dyDescent="0.25">
      <c r="B4073" s="38"/>
      <c r="C4073" s="14"/>
      <c r="D4073" s="14"/>
      <c r="E4073" s="14"/>
      <c r="F4073" s="14"/>
      <c r="G4073" s="16"/>
    </row>
    <row r="4074" spans="2:7" x14ac:dyDescent="0.25">
      <c r="B4074" s="38"/>
      <c r="C4074" s="14"/>
      <c r="D4074" s="14"/>
      <c r="E4074" s="14"/>
      <c r="F4074" s="14"/>
      <c r="G4074" s="16"/>
    </row>
    <row r="4075" spans="2:7" x14ac:dyDescent="0.25">
      <c r="B4075" s="38"/>
      <c r="C4075" s="14"/>
      <c r="D4075" s="14"/>
      <c r="E4075" s="14"/>
      <c r="F4075" s="14"/>
      <c r="G4075" s="16"/>
    </row>
    <row r="4076" spans="2:7" x14ac:dyDescent="0.25">
      <c r="B4076" s="38"/>
      <c r="C4076" s="14"/>
      <c r="D4076" s="14"/>
      <c r="E4076" s="14"/>
      <c r="F4076" s="14"/>
      <c r="G4076" s="16"/>
    </row>
    <row r="4077" spans="2:7" x14ac:dyDescent="0.25">
      <c r="B4077" s="38"/>
      <c r="C4077" s="14"/>
      <c r="D4077" s="14"/>
      <c r="E4077" s="14"/>
      <c r="F4077" s="14"/>
      <c r="G4077" s="16"/>
    </row>
    <row r="4078" spans="2:7" x14ac:dyDescent="0.25">
      <c r="B4078" s="38"/>
      <c r="C4078" s="14"/>
      <c r="D4078" s="14"/>
      <c r="E4078" s="14"/>
      <c r="F4078" s="14"/>
      <c r="G4078" s="16"/>
    </row>
    <row r="4079" spans="2:7" x14ac:dyDescent="0.25">
      <c r="B4079" s="38"/>
      <c r="C4079" s="14"/>
      <c r="D4079" s="14"/>
      <c r="E4079" s="14"/>
      <c r="F4079" s="14"/>
      <c r="G4079" s="16"/>
    </row>
    <row r="4080" spans="2:7" x14ac:dyDescent="0.25">
      <c r="B4080" s="38"/>
      <c r="C4080" s="14"/>
      <c r="D4080" s="14"/>
      <c r="E4080" s="14"/>
      <c r="F4080" s="14"/>
      <c r="G4080" s="16"/>
    </row>
    <row r="4081" spans="2:7" x14ac:dyDescent="0.25">
      <c r="B4081" s="38"/>
      <c r="C4081" s="14"/>
      <c r="D4081" s="14"/>
      <c r="E4081" s="14"/>
      <c r="F4081" s="14"/>
      <c r="G4081" s="16"/>
    </row>
    <row r="4082" spans="2:7" x14ac:dyDescent="0.25">
      <c r="B4082" s="38"/>
      <c r="C4082" s="14"/>
      <c r="D4082" s="14"/>
      <c r="E4082" s="14"/>
      <c r="F4082" s="14"/>
      <c r="G4082" s="16"/>
    </row>
    <row r="4083" spans="2:7" x14ac:dyDescent="0.25">
      <c r="B4083" s="38"/>
      <c r="C4083" s="14"/>
      <c r="D4083" s="14"/>
      <c r="E4083" s="14"/>
      <c r="F4083" s="14"/>
      <c r="G4083" s="16"/>
    </row>
    <row r="4084" spans="2:7" x14ac:dyDescent="0.25">
      <c r="B4084" s="38"/>
      <c r="C4084" s="14"/>
      <c r="D4084" s="14"/>
      <c r="E4084" s="14"/>
      <c r="F4084" s="14"/>
      <c r="G4084" s="16"/>
    </row>
    <row r="4085" spans="2:7" x14ac:dyDescent="0.25">
      <c r="B4085" s="38"/>
      <c r="C4085" s="14"/>
      <c r="D4085" s="14"/>
      <c r="E4085" s="14"/>
      <c r="F4085" s="14"/>
      <c r="G4085" s="16"/>
    </row>
    <row r="4086" spans="2:7" x14ac:dyDescent="0.25">
      <c r="B4086" s="38"/>
      <c r="C4086" s="14"/>
      <c r="D4086" s="14"/>
      <c r="E4086" s="14"/>
      <c r="F4086" s="14"/>
      <c r="G4086" s="16"/>
    </row>
    <row r="4087" spans="2:7" x14ac:dyDescent="0.25">
      <c r="B4087" s="38"/>
      <c r="C4087" s="14"/>
      <c r="D4087" s="14"/>
      <c r="E4087" s="14"/>
      <c r="F4087" s="14"/>
      <c r="G4087" s="16"/>
    </row>
    <row r="4088" spans="2:7" x14ac:dyDescent="0.25">
      <c r="B4088" s="38"/>
      <c r="C4088" s="14"/>
      <c r="D4088" s="14"/>
      <c r="E4088" s="14"/>
      <c r="F4088" s="14"/>
      <c r="G4088" s="16"/>
    </row>
    <row r="4089" spans="2:7" x14ac:dyDescent="0.25">
      <c r="B4089" s="38"/>
      <c r="C4089" s="14"/>
      <c r="D4089" s="14"/>
      <c r="E4089" s="14"/>
      <c r="F4089" s="14"/>
      <c r="G4089" s="16"/>
    </row>
    <row r="4090" spans="2:7" x14ac:dyDescent="0.25">
      <c r="B4090" s="38"/>
      <c r="C4090" s="14"/>
      <c r="D4090" s="14"/>
      <c r="E4090" s="14"/>
      <c r="F4090" s="14"/>
      <c r="G4090" s="16"/>
    </row>
    <row r="4091" spans="2:7" x14ac:dyDescent="0.25">
      <c r="B4091" s="38"/>
      <c r="C4091" s="14"/>
      <c r="D4091" s="14"/>
      <c r="E4091" s="14"/>
      <c r="F4091" s="14"/>
      <c r="G4091" s="16"/>
    </row>
    <row r="4092" spans="2:7" x14ac:dyDescent="0.25">
      <c r="B4092" s="38"/>
      <c r="C4092" s="14"/>
      <c r="D4092" s="14"/>
      <c r="E4092" s="14"/>
      <c r="F4092" s="14"/>
      <c r="G4092" s="16"/>
    </row>
    <row r="4093" spans="2:7" x14ac:dyDescent="0.25">
      <c r="B4093" s="38"/>
      <c r="C4093" s="14"/>
      <c r="D4093" s="14"/>
      <c r="E4093" s="14"/>
      <c r="F4093" s="14"/>
      <c r="G4093" s="16"/>
    </row>
    <row r="4094" spans="2:7" x14ac:dyDescent="0.25">
      <c r="B4094" s="38"/>
      <c r="C4094" s="14"/>
      <c r="D4094" s="14"/>
      <c r="E4094" s="14"/>
      <c r="F4094" s="14"/>
      <c r="G4094" s="16"/>
    </row>
    <row r="4095" spans="2:7" x14ac:dyDescent="0.25">
      <c r="B4095" s="38"/>
      <c r="C4095" s="14"/>
      <c r="D4095" s="14"/>
      <c r="E4095" s="14"/>
      <c r="F4095" s="14"/>
      <c r="G4095" s="16"/>
    </row>
    <row r="4096" spans="2:7" x14ac:dyDescent="0.25">
      <c r="B4096" s="38"/>
      <c r="C4096" s="14"/>
      <c r="D4096" s="14"/>
      <c r="E4096" s="14"/>
      <c r="F4096" s="14"/>
      <c r="G4096" s="16"/>
    </row>
    <row r="4097" spans="2:7" x14ac:dyDescent="0.25">
      <c r="B4097" s="38"/>
      <c r="C4097" s="14"/>
      <c r="D4097" s="14"/>
      <c r="E4097" s="14"/>
      <c r="F4097" s="14"/>
      <c r="G4097" s="16"/>
    </row>
    <row r="4098" spans="2:7" x14ac:dyDescent="0.25">
      <c r="B4098" s="38"/>
      <c r="C4098" s="14"/>
      <c r="D4098" s="14"/>
      <c r="E4098" s="14"/>
      <c r="F4098" s="14"/>
      <c r="G4098" s="16"/>
    </row>
    <row r="4099" spans="2:7" x14ac:dyDescent="0.25">
      <c r="B4099" s="38"/>
      <c r="C4099" s="14"/>
      <c r="D4099" s="14"/>
      <c r="E4099" s="14"/>
      <c r="F4099" s="14"/>
      <c r="G4099" s="16"/>
    </row>
    <row r="4100" spans="2:7" x14ac:dyDescent="0.25">
      <c r="B4100" s="38"/>
      <c r="C4100" s="14"/>
      <c r="D4100" s="14"/>
      <c r="E4100" s="14"/>
      <c r="F4100" s="14"/>
      <c r="G4100" s="16"/>
    </row>
    <row r="4101" spans="2:7" x14ac:dyDescent="0.25">
      <c r="B4101" s="38"/>
      <c r="C4101" s="14"/>
      <c r="D4101" s="14"/>
      <c r="E4101" s="14"/>
      <c r="F4101" s="14"/>
      <c r="G4101" s="16"/>
    </row>
    <row r="4102" spans="2:7" x14ac:dyDescent="0.25">
      <c r="B4102" s="38"/>
      <c r="C4102" s="14"/>
      <c r="D4102" s="14"/>
      <c r="E4102" s="14"/>
      <c r="F4102" s="14"/>
      <c r="G4102" s="16"/>
    </row>
    <row r="4103" spans="2:7" x14ac:dyDescent="0.25">
      <c r="B4103" s="38"/>
      <c r="C4103" s="14"/>
      <c r="D4103" s="14"/>
      <c r="E4103" s="14"/>
      <c r="F4103" s="14"/>
      <c r="G4103" s="16"/>
    </row>
    <row r="4104" spans="2:7" x14ac:dyDescent="0.25">
      <c r="B4104" s="38"/>
      <c r="C4104" s="14"/>
      <c r="D4104" s="14"/>
      <c r="E4104" s="14"/>
      <c r="F4104" s="14"/>
      <c r="G4104" s="16"/>
    </row>
    <row r="4105" spans="2:7" x14ac:dyDescent="0.25">
      <c r="B4105" s="38"/>
      <c r="C4105" s="14"/>
      <c r="D4105" s="14"/>
      <c r="E4105" s="14"/>
      <c r="F4105" s="14"/>
      <c r="G4105" s="16"/>
    </row>
    <row r="4106" spans="2:7" x14ac:dyDescent="0.25">
      <c r="B4106" s="38"/>
      <c r="C4106" s="14"/>
      <c r="D4106" s="14"/>
      <c r="E4106" s="14"/>
      <c r="F4106" s="14"/>
      <c r="G4106" s="16"/>
    </row>
    <row r="4107" spans="2:7" x14ac:dyDescent="0.25">
      <c r="B4107" s="38"/>
      <c r="C4107" s="14"/>
      <c r="D4107" s="14"/>
      <c r="E4107" s="14"/>
      <c r="F4107" s="14"/>
      <c r="G4107" s="16"/>
    </row>
    <row r="4108" spans="2:7" x14ac:dyDescent="0.25">
      <c r="B4108" s="38"/>
      <c r="C4108" s="14"/>
      <c r="D4108" s="14"/>
      <c r="E4108" s="14"/>
      <c r="F4108" s="14"/>
      <c r="G4108" s="16"/>
    </row>
    <row r="4109" spans="2:7" x14ac:dyDescent="0.25">
      <c r="B4109" s="38"/>
      <c r="C4109" s="14"/>
      <c r="D4109" s="14"/>
      <c r="E4109" s="14"/>
      <c r="F4109" s="14"/>
      <c r="G4109" s="16"/>
    </row>
    <row r="4110" spans="2:7" x14ac:dyDescent="0.25">
      <c r="B4110" s="38"/>
      <c r="C4110" s="14"/>
      <c r="D4110" s="14"/>
      <c r="E4110" s="14"/>
      <c r="F4110" s="14"/>
      <c r="G4110" s="16"/>
    </row>
    <row r="4111" spans="2:7" x14ac:dyDescent="0.25">
      <c r="B4111" s="38"/>
      <c r="C4111" s="14"/>
      <c r="D4111" s="14"/>
      <c r="E4111" s="14"/>
      <c r="F4111" s="14"/>
      <c r="G4111" s="16"/>
    </row>
    <row r="4112" spans="2:7" x14ac:dyDescent="0.25">
      <c r="B4112" s="38"/>
      <c r="C4112" s="14"/>
      <c r="D4112" s="14"/>
      <c r="E4112" s="14"/>
      <c r="F4112" s="14"/>
      <c r="G4112" s="16"/>
    </row>
    <row r="4113" spans="2:7" x14ac:dyDescent="0.25">
      <c r="B4113" s="38"/>
      <c r="C4113" s="14"/>
      <c r="D4113" s="14"/>
      <c r="E4113" s="14"/>
      <c r="F4113" s="14"/>
      <c r="G4113" s="16"/>
    </row>
    <row r="4114" spans="2:7" x14ac:dyDescent="0.25">
      <c r="B4114" s="38"/>
      <c r="C4114" s="14"/>
      <c r="D4114" s="14"/>
      <c r="E4114" s="14"/>
      <c r="F4114" s="14"/>
      <c r="G4114" s="16"/>
    </row>
    <row r="4115" spans="2:7" x14ac:dyDescent="0.25">
      <c r="B4115" s="38"/>
      <c r="C4115" s="14"/>
      <c r="D4115" s="14"/>
      <c r="E4115" s="14"/>
      <c r="F4115" s="14"/>
      <c r="G4115" s="16"/>
    </row>
    <row r="4116" spans="2:7" x14ac:dyDescent="0.25">
      <c r="B4116" s="38"/>
      <c r="C4116" s="14"/>
      <c r="D4116" s="14"/>
      <c r="E4116" s="14"/>
      <c r="F4116" s="14"/>
      <c r="G4116" s="16"/>
    </row>
    <row r="4117" spans="2:7" x14ac:dyDescent="0.25">
      <c r="B4117" s="38"/>
      <c r="C4117" s="14"/>
      <c r="D4117" s="14"/>
      <c r="E4117" s="14"/>
      <c r="F4117" s="14"/>
      <c r="G4117" s="16"/>
    </row>
    <row r="4118" spans="2:7" x14ac:dyDescent="0.25">
      <c r="B4118" s="38"/>
      <c r="C4118" s="14"/>
      <c r="D4118" s="14"/>
      <c r="E4118" s="14"/>
      <c r="F4118" s="14"/>
      <c r="G4118" s="16"/>
    </row>
    <row r="4119" spans="2:7" x14ac:dyDescent="0.25">
      <c r="B4119" s="38"/>
      <c r="C4119" s="14"/>
      <c r="D4119" s="14"/>
      <c r="E4119" s="14"/>
      <c r="F4119" s="14"/>
      <c r="G4119" s="16"/>
    </row>
    <row r="4120" spans="2:7" x14ac:dyDescent="0.25">
      <c r="B4120" s="38"/>
      <c r="C4120" s="14"/>
      <c r="D4120" s="14"/>
      <c r="E4120" s="14"/>
      <c r="F4120" s="14"/>
      <c r="G4120" s="16"/>
    </row>
    <row r="4121" spans="2:7" x14ac:dyDescent="0.25">
      <c r="B4121" s="38"/>
      <c r="C4121" s="14"/>
      <c r="D4121" s="14"/>
      <c r="E4121" s="14"/>
      <c r="F4121" s="14"/>
      <c r="G4121" s="16"/>
    </row>
    <row r="4122" spans="2:7" x14ac:dyDescent="0.25">
      <c r="B4122" s="38"/>
      <c r="C4122" s="14"/>
      <c r="D4122" s="14"/>
      <c r="E4122" s="14"/>
      <c r="F4122" s="14"/>
      <c r="G4122" s="16"/>
    </row>
    <row r="4123" spans="2:7" x14ac:dyDescent="0.25">
      <c r="B4123" s="38"/>
      <c r="C4123" s="14"/>
      <c r="D4123" s="14"/>
      <c r="E4123" s="14"/>
      <c r="F4123" s="14"/>
      <c r="G4123" s="16"/>
    </row>
    <row r="4124" spans="2:7" x14ac:dyDescent="0.25">
      <c r="B4124" s="38"/>
      <c r="C4124" s="14"/>
      <c r="D4124" s="14"/>
      <c r="E4124" s="14"/>
      <c r="F4124" s="14"/>
      <c r="G4124" s="16"/>
    </row>
    <row r="4125" spans="2:7" x14ac:dyDescent="0.25">
      <c r="B4125" s="38"/>
      <c r="C4125" s="14"/>
      <c r="D4125" s="14"/>
      <c r="E4125" s="14"/>
      <c r="F4125" s="14"/>
      <c r="G4125" s="16"/>
    </row>
    <row r="4126" spans="2:7" x14ac:dyDescent="0.25">
      <c r="B4126" s="38"/>
      <c r="C4126" s="14"/>
      <c r="D4126" s="14"/>
      <c r="E4126" s="14"/>
      <c r="F4126" s="14"/>
      <c r="G4126" s="16"/>
    </row>
    <row r="4127" spans="2:7" x14ac:dyDescent="0.25">
      <c r="B4127" s="38"/>
      <c r="C4127" s="14"/>
      <c r="D4127" s="14"/>
      <c r="E4127" s="14"/>
      <c r="F4127" s="14"/>
      <c r="G4127" s="16"/>
    </row>
    <row r="4128" spans="2:7" x14ac:dyDescent="0.25">
      <c r="B4128" s="38"/>
      <c r="C4128" s="14"/>
      <c r="D4128" s="14"/>
      <c r="E4128" s="14"/>
      <c r="F4128" s="14"/>
      <c r="G4128" s="16"/>
    </row>
    <row r="4129" spans="2:7" x14ac:dyDescent="0.25">
      <c r="B4129" s="38"/>
      <c r="C4129" s="14"/>
      <c r="D4129" s="14"/>
      <c r="E4129" s="14"/>
      <c r="F4129" s="14"/>
      <c r="G4129" s="16"/>
    </row>
    <row r="4130" spans="2:7" x14ac:dyDescent="0.25">
      <c r="B4130" s="38"/>
      <c r="C4130" s="14"/>
      <c r="D4130" s="14"/>
      <c r="E4130" s="14"/>
      <c r="F4130" s="14"/>
      <c r="G4130" s="16"/>
    </row>
    <row r="4131" spans="2:7" x14ac:dyDescent="0.25">
      <c r="B4131" s="38"/>
      <c r="C4131" s="14"/>
      <c r="D4131" s="14"/>
      <c r="E4131" s="14"/>
      <c r="F4131" s="14"/>
      <c r="G4131" s="16"/>
    </row>
    <row r="4132" spans="2:7" x14ac:dyDescent="0.25">
      <c r="B4132" s="38"/>
      <c r="C4132" s="14"/>
      <c r="D4132" s="14"/>
      <c r="E4132" s="14"/>
      <c r="F4132" s="14"/>
      <c r="G4132" s="16"/>
    </row>
    <row r="4133" spans="2:7" x14ac:dyDescent="0.25">
      <c r="B4133" s="38"/>
      <c r="C4133" s="14"/>
      <c r="D4133" s="14"/>
      <c r="E4133" s="14"/>
      <c r="F4133" s="14"/>
      <c r="G4133" s="16"/>
    </row>
    <row r="4134" spans="2:7" x14ac:dyDescent="0.25">
      <c r="B4134" s="38"/>
      <c r="C4134" s="14"/>
      <c r="D4134" s="14"/>
      <c r="E4134" s="14"/>
      <c r="F4134" s="14"/>
      <c r="G4134" s="16"/>
    </row>
    <row r="4135" spans="2:7" x14ac:dyDescent="0.25">
      <c r="B4135" s="38"/>
      <c r="C4135" s="14"/>
      <c r="D4135" s="14"/>
      <c r="E4135" s="14"/>
      <c r="F4135" s="14"/>
      <c r="G4135" s="16"/>
    </row>
    <row r="4136" spans="2:7" x14ac:dyDescent="0.25">
      <c r="B4136" s="38"/>
      <c r="C4136" s="14"/>
      <c r="D4136" s="14"/>
      <c r="E4136" s="14"/>
      <c r="F4136" s="14"/>
      <c r="G4136" s="16"/>
    </row>
    <row r="4137" spans="2:7" x14ac:dyDescent="0.25">
      <c r="B4137" s="38"/>
      <c r="C4137" s="14"/>
      <c r="D4137" s="14"/>
      <c r="E4137" s="14"/>
      <c r="F4137" s="14"/>
      <c r="G4137" s="16"/>
    </row>
    <row r="4138" spans="2:7" x14ac:dyDescent="0.25">
      <c r="B4138" s="38"/>
      <c r="C4138" s="14"/>
      <c r="D4138" s="14"/>
      <c r="E4138" s="14"/>
      <c r="F4138" s="14"/>
      <c r="G4138" s="16"/>
    </row>
    <row r="4139" spans="2:7" x14ac:dyDescent="0.25">
      <c r="B4139" s="38"/>
      <c r="C4139" s="14"/>
      <c r="D4139" s="14"/>
      <c r="E4139" s="14"/>
      <c r="F4139" s="14"/>
      <c r="G4139" s="16"/>
    </row>
    <row r="4140" spans="2:7" x14ac:dyDescent="0.25">
      <c r="B4140" s="38"/>
      <c r="C4140" s="14"/>
      <c r="D4140" s="14"/>
      <c r="E4140" s="14"/>
      <c r="F4140" s="14"/>
      <c r="G4140" s="16"/>
    </row>
    <row r="4141" spans="2:7" x14ac:dyDescent="0.25">
      <c r="B4141" s="38"/>
      <c r="C4141" s="14"/>
      <c r="D4141" s="14"/>
      <c r="E4141" s="14"/>
      <c r="F4141" s="14"/>
      <c r="G4141" s="16"/>
    </row>
    <row r="4142" spans="2:7" x14ac:dyDescent="0.25">
      <c r="B4142" s="38"/>
      <c r="C4142" s="14"/>
      <c r="D4142" s="14"/>
      <c r="E4142" s="14"/>
      <c r="F4142" s="14"/>
      <c r="G4142" s="16"/>
    </row>
    <row r="4143" spans="2:7" x14ac:dyDescent="0.25">
      <c r="B4143" s="38"/>
      <c r="C4143" s="14"/>
      <c r="D4143" s="14"/>
      <c r="E4143" s="14"/>
      <c r="F4143" s="14"/>
      <c r="G4143" s="16"/>
    </row>
    <row r="4144" spans="2:7" x14ac:dyDescent="0.25">
      <c r="B4144" s="38"/>
      <c r="C4144" s="14"/>
      <c r="D4144" s="14"/>
      <c r="E4144" s="14"/>
      <c r="F4144" s="14"/>
      <c r="G4144" s="16"/>
    </row>
    <row r="4145" spans="2:7" x14ac:dyDescent="0.25">
      <c r="B4145" s="38"/>
      <c r="C4145" s="14"/>
      <c r="D4145" s="14"/>
      <c r="E4145" s="14"/>
      <c r="F4145" s="14"/>
      <c r="G4145" s="16"/>
    </row>
    <row r="4146" spans="2:7" x14ac:dyDescent="0.25">
      <c r="B4146" s="38"/>
      <c r="C4146" s="14"/>
      <c r="D4146" s="14"/>
      <c r="E4146" s="14"/>
      <c r="F4146" s="14"/>
      <c r="G4146" s="16"/>
    </row>
    <row r="4147" spans="2:7" x14ac:dyDescent="0.25">
      <c r="B4147" s="38"/>
      <c r="C4147" s="14"/>
      <c r="D4147" s="14"/>
      <c r="E4147" s="14"/>
      <c r="F4147" s="14"/>
      <c r="G4147" s="16"/>
    </row>
    <row r="4148" spans="2:7" x14ac:dyDescent="0.25">
      <c r="B4148" s="38"/>
      <c r="C4148" s="14"/>
      <c r="D4148" s="14"/>
      <c r="E4148" s="14"/>
      <c r="F4148" s="14"/>
      <c r="G4148" s="16"/>
    </row>
    <row r="4149" spans="2:7" x14ac:dyDescent="0.25">
      <c r="B4149" s="38"/>
      <c r="C4149" s="14"/>
      <c r="D4149" s="14"/>
      <c r="E4149" s="14"/>
      <c r="F4149" s="14"/>
      <c r="G4149" s="16"/>
    </row>
    <row r="4150" spans="2:7" x14ac:dyDescent="0.25">
      <c r="B4150" s="38"/>
      <c r="C4150" s="14"/>
      <c r="D4150" s="14"/>
      <c r="E4150" s="14"/>
      <c r="F4150" s="14"/>
      <c r="G4150" s="16"/>
    </row>
    <row r="4151" spans="2:7" x14ac:dyDescent="0.25">
      <c r="B4151" s="38"/>
      <c r="C4151" s="14"/>
      <c r="D4151" s="14"/>
      <c r="E4151" s="14"/>
      <c r="F4151" s="14"/>
      <c r="G4151" s="16"/>
    </row>
    <row r="4152" spans="2:7" x14ac:dyDescent="0.25">
      <c r="B4152" s="38"/>
      <c r="C4152" s="14"/>
      <c r="D4152" s="14"/>
      <c r="E4152" s="14"/>
      <c r="F4152" s="14"/>
      <c r="G4152" s="16"/>
    </row>
    <row r="4153" spans="2:7" x14ac:dyDescent="0.25">
      <c r="B4153" s="38"/>
      <c r="C4153" s="14"/>
      <c r="D4153" s="14"/>
      <c r="E4153" s="14"/>
      <c r="F4153" s="14"/>
      <c r="G4153" s="16"/>
    </row>
    <row r="4154" spans="2:7" x14ac:dyDescent="0.25">
      <c r="B4154" s="38"/>
      <c r="C4154" s="14"/>
      <c r="D4154" s="14"/>
      <c r="E4154" s="14"/>
      <c r="F4154" s="14"/>
      <c r="G4154" s="16"/>
    </row>
    <row r="4155" spans="2:7" x14ac:dyDescent="0.25">
      <c r="B4155" s="38"/>
      <c r="C4155" s="14"/>
      <c r="D4155" s="14"/>
      <c r="E4155" s="14"/>
      <c r="F4155" s="14"/>
      <c r="G4155" s="16"/>
    </row>
    <row r="4156" spans="2:7" x14ac:dyDescent="0.25">
      <c r="B4156" s="38"/>
      <c r="C4156" s="14"/>
      <c r="D4156" s="14"/>
      <c r="E4156" s="14"/>
      <c r="F4156" s="14"/>
      <c r="G4156" s="16"/>
    </row>
    <row r="4157" spans="2:7" x14ac:dyDescent="0.25">
      <c r="B4157" s="38"/>
      <c r="C4157" s="14"/>
      <c r="D4157" s="14"/>
      <c r="E4157" s="14"/>
      <c r="F4157" s="14"/>
      <c r="G4157" s="16"/>
    </row>
    <row r="4158" spans="2:7" x14ac:dyDescent="0.25">
      <c r="B4158" s="38"/>
      <c r="C4158" s="14"/>
      <c r="D4158" s="14"/>
      <c r="E4158" s="14"/>
      <c r="F4158" s="14"/>
      <c r="G4158" s="16"/>
    </row>
    <row r="4159" spans="2:7" x14ac:dyDescent="0.25">
      <c r="B4159" s="38"/>
      <c r="C4159" s="14"/>
      <c r="D4159" s="14"/>
      <c r="E4159" s="14"/>
      <c r="F4159" s="14"/>
      <c r="G4159" s="16"/>
    </row>
    <row r="4160" spans="2:7" x14ac:dyDescent="0.25">
      <c r="B4160" s="38"/>
      <c r="C4160" s="14"/>
      <c r="D4160" s="14"/>
      <c r="E4160" s="14"/>
      <c r="F4160" s="14"/>
      <c r="G4160" s="16"/>
    </row>
    <row r="4161" spans="2:7" x14ac:dyDescent="0.25">
      <c r="B4161" s="38"/>
      <c r="C4161" s="14"/>
      <c r="D4161" s="14"/>
      <c r="E4161" s="14"/>
      <c r="F4161" s="14"/>
      <c r="G4161" s="16"/>
    </row>
    <row r="4162" spans="2:7" x14ac:dyDescent="0.25">
      <c r="B4162" s="38"/>
      <c r="C4162" s="14"/>
      <c r="D4162" s="14"/>
      <c r="E4162" s="14"/>
      <c r="F4162" s="14"/>
      <c r="G4162" s="16"/>
    </row>
    <row r="4163" spans="2:7" x14ac:dyDescent="0.25">
      <c r="B4163" s="38"/>
      <c r="C4163" s="14"/>
      <c r="D4163" s="14"/>
      <c r="E4163" s="14"/>
      <c r="F4163" s="14"/>
      <c r="G4163" s="16"/>
    </row>
    <row r="4164" spans="2:7" x14ac:dyDescent="0.25">
      <c r="B4164" s="38"/>
      <c r="C4164" s="14"/>
      <c r="D4164" s="14"/>
      <c r="E4164" s="14"/>
      <c r="F4164" s="14"/>
      <c r="G4164" s="16"/>
    </row>
    <row r="4165" spans="2:7" x14ac:dyDescent="0.25">
      <c r="B4165" s="38"/>
      <c r="C4165" s="14"/>
      <c r="D4165" s="14"/>
      <c r="E4165" s="14"/>
      <c r="F4165" s="14"/>
      <c r="G4165" s="16"/>
    </row>
    <row r="4166" spans="2:7" x14ac:dyDescent="0.25">
      <c r="B4166" s="38"/>
      <c r="C4166" s="14"/>
      <c r="D4166" s="14"/>
      <c r="E4166" s="14"/>
      <c r="F4166" s="14"/>
      <c r="G4166" s="16"/>
    </row>
    <row r="4167" spans="2:7" x14ac:dyDescent="0.25">
      <c r="B4167" s="38"/>
      <c r="C4167" s="14"/>
      <c r="D4167" s="14"/>
      <c r="E4167" s="14"/>
      <c r="F4167" s="14"/>
      <c r="G4167" s="16"/>
    </row>
    <row r="4168" spans="2:7" x14ac:dyDescent="0.25">
      <c r="B4168" s="38"/>
      <c r="C4168" s="14"/>
      <c r="D4168" s="14"/>
      <c r="E4168" s="14"/>
      <c r="F4168" s="14"/>
      <c r="G4168" s="16"/>
    </row>
    <row r="4169" spans="2:7" x14ac:dyDescent="0.25">
      <c r="B4169" s="38"/>
      <c r="C4169" s="14"/>
      <c r="D4169" s="14"/>
      <c r="E4169" s="14"/>
      <c r="F4169" s="14"/>
      <c r="G4169" s="16"/>
    </row>
    <row r="4170" spans="2:7" x14ac:dyDescent="0.25">
      <c r="B4170" s="38"/>
      <c r="C4170" s="14"/>
      <c r="D4170" s="14"/>
      <c r="E4170" s="14"/>
      <c r="F4170" s="14"/>
      <c r="G4170" s="16"/>
    </row>
    <row r="4171" spans="2:7" x14ac:dyDescent="0.25">
      <c r="B4171" s="38"/>
      <c r="C4171" s="14"/>
      <c r="D4171" s="14"/>
      <c r="E4171" s="14"/>
      <c r="F4171" s="14"/>
      <c r="G4171" s="16"/>
    </row>
    <row r="4172" spans="2:7" x14ac:dyDescent="0.25">
      <c r="B4172" s="38"/>
      <c r="C4172" s="14"/>
      <c r="D4172" s="14"/>
      <c r="E4172" s="14"/>
      <c r="F4172" s="14"/>
      <c r="G4172" s="16"/>
    </row>
    <row r="4173" spans="2:7" x14ac:dyDescent="0.25">
      <c r="B4173" s="38"/>
      <c r="C4173" s="14"/>
      <c r="D4173" s="14"/>
      <c r="E4173" s="14"/>
      <c r="F4173" s="14"/>
      <c r="G4173" s="16"/>
    </row>
    <row r="4174" spans="2:7" x14ac:dyDescent="0.25">
      <c r="B4174" s="38"/>
      <c r="C4174" s="14"/>
      <c r="D4174" s="14"/>
      <c r="E4174" s="14"/>
      <c r="F4174" s="14"/>
      <c r="G4174" s="16"/>
    </row>
    <row r="4175" spans="2:7" x14ac:dyDescent="0.25">
      <c r="B4175" s="38"/>
      <c r="C4175" s="14"/>
      <c r="D4175" s="14"/>
      <c r="E4175" s="14"/>
      <c r="F4175" s="14"/>
      <c r="G4175" s="16"/>
    </row>
    <row r="4176" spans="2:7" x14ac:dyDescent="0.25">
      <c r="B4176" s="38"/>
      <c r="C4176" s="14"/>
      <c r="D4176" s="14"/>
      <c r="E4176" s="14"/>
      <c r="F4176" s="14"/>
      <c r="G4176" s="16"/>
    </row>
    <row r="4177" spans="2:7" x14ac:dyDescent="0.25">
      <c r="B4177" s="38"/>
      <c r="C4177" s="14"/>
      <c r="D4177" s="14"/>
      <c r="E4177" s="14"/>
      <c r="F4177" s="14"/>
      <c r="G4177" s="16"/>
    </row>
    <row r="4178" spans="2:7" x14ac:dyDescent="0.25">
      <c r="B4178" s="38"/>
      <c r="C4178" s="14"/>
      <c r="D4178" s="14"/>
      <c r="E4178" s="14"/>
      <c r="F4178" s="14"/>
      <c r="G4178" s="16"/>
    </row>
    <row r="4179" spans="2:7" x14ac:dyDescent="0.25">
      <c r="B4179" s="38"/>
      <c r="C4179" s="14"/>
      <c r="D4179" s="14"/>
      <c r="E4179" s="14"/>
      <c r="F4179" s="14"/>
      <c r="G4179" s="16"/>
    </row>
    <row r="4180" spans="2:7" x14ac:dyDescent="0.25">
      <c r="B4180" s="38"/>
      <c r="C4180" s="14"/>
      <c r="D4180" s="14"/>
      <c r="E4180" s="14"/>
      <c r="F4180" s="14"/>
      <c r="G4180" s="16"/>
    </row>
    <row r="4181" spans="2:7" x14ac:dyDescent="0.25">
      <c r="B4181" s="38"/>
      <c r="C4181" s="14"/>
      <c r="D4181" s="14"/>
      <c r="E4181" s="14"/>
      <c r="F4181" s="14"/>
      <c r="G4181" s="16"/>
    </row>
    <row r="4182" spans="2:7" x14ac:dyDescent="0.25">
      <c r="B4182" s="38"/>
      <c r="C4182" s="14"/>
      <c r="D4182" s="14"/>
      <c r="E4182" s="14"/>
      <c r="F4182" s="14"/>
      <c r="G4182" s="16"/>
    </row>
    <row r="4183" spans="2:7" x14ac:dyDescent="0.25">
      <c r="B4183" s="38"/>
      <c r="C4183" s="14"/>
      <c r="D4183" s="14"/>
      <c r="E4183" s="14"/>
      <c r="F4183" s="14"/>
      <c r="G4183" s="16"/>
    </row>
    <row r="4184" spans="2:7" x14ac:dyDescent="0.25">
      <c r="B4184" s="38"/>
      <c r="C4184" s="14"/>
      <c r="D4184" s="14"/>
      <c r="E4184" s="14"/>
      <c r="F4184" s="14"/>
      <c r="G4184" s="16"/>
    </row>
    <row r="4185" spans="2:7" x14ac:dyDescent="0.25">
      <c r="B4185" s="38"/>
      <c r="C4185" s="14"/>
      <c r="D4185" s="14"/>
      <c r="E4185" s="14"/>
      <c r="F4185" s="14"/>
      <c r="G4185" s="16"/>
    </row>
    <row r="4186" spans="2:7" x14ac:dyDescent="0.25">
      <c r="B4186" s="38"/>
      <c r="C4186" s="14"/>
      <c r="D4186" s="14"/>
      <c r="E4186" s="14"/>
      <c r="F4186" s="14"/>
      <c r="G4186" s="16"/>
    </row>
    <row r="4187" spans="2:7" x14ac:dyDescent="0.25">
      <c r="B4187" s="38"/>
      <c r="C4187" s="14"/>
      <c r="D4187" s="14"/>
      <c r="E4187" s="14"/>
      <c r="F4187" s="14"/>
      <c r="G4187" s="16"/>
    </row>
    <row r="4188" spans="2:7" x14ac:dyDescent="0.25">
      <c r="B4188" s="38"/>
      <c r="C4188" s="14"/>
      <c r="D4188" s="14"/>
      <c r="E4188" s="14"/>
      <c r="F4188" s="14"/>
      <c r="G4188" s="16"/>
    </row>
    <row r="4189" spans="2:7" x14ac:dyDescent="0.25">
      <c r="B4189" s="38"/>
      <c r="C4189" s="14"/>
      <c r="D4189" s="14"/>
      <c r="E4189" s="14"/>
      <c r="F4189" s="14"/>
      <c r="G4189" s="16"/>
    </row>
    <row r="4190" spans="2:7" x14ac:dyDescent="0.25">
      <c r="B4190" s="38"/>
      <c r="C4190" s="14"/>
      <c r="D4190" s="14"/>
      <c r="E4190" s="14"/>
      <c r="F4190" s="14"/>
      <c r="G4190" s="16"/>
    </row>
    <row r="4191" spans="2:7" x14ac:dyDescent="0.25">
      <c r="B4191" s="38"/>
      <c r="C4191" s="14"/>
      <c r="D4191" s="14"/>
      <c r="E4191" s="14"/>
      <c r="F4191" s="14"/>
      <c r="G4191" s="16"/>
    </row>
    <row r="4192" spans="2:7" x14ac:dyDescent="0.25">
      <c r="B4192" s="38"/>
      <c r="C4192" s="14"/>
      <c r="D4192" s="14"/>
      <c r="E4192" s="14"/>
      <c r="F4192" s="14"/>
      <c r="G4192" s="16"/>
    </row>
    <row r="4193" spans="2:7" x14ac:dyDescent="0.25">
      <c r="B4193" s="38"/>
      <c r="C4193" s="14"/>
      <c r="D4193" s="14"/>
      <c r="E4193" s="14"/>
      <c r="F4193" s="14"/>
      <c r="G4193" s="16"/>
    </row>
    <row r="4194" spans="2:7" x14ac:dyDescent="0.25">
      <c r="B4194" s="38"/>
      <c r="C4194" s="14"/>
      <c r="D4194" s="14"/>
      <c r="E4194" s="14"/>
      <c r="F4194" s="14"/>
      <c r="G4194" s="16"/>
    </row>
    <row r="4195" spans="2:7" x14ac:dyDescent="0.25">
      <c r="B4195" s="38"/>
      <c r="C4195" s="14"/>
      <c r="D4195" s="14"/>
      <c r="E4195" s="14"/>
      <c r="F4195" s="14"/>
      <c r="G4195" s="16"/>
    </row>
    <row r="4196" spans="2:7" x14ac:dyDescent="0.25">
      <c r="B4196" s="38"/>
      <c r="C4196" s="14"/>
      <c r="D4196" s="14"/>
      <c r="E4196" s="14"/>
      <c r="F4196" s="14"/>
      <c r="G4196" s="16"/>
    </row>
    <row r="4197" spans="2:7" x14ac:dyDescent="0.25">
      <c r="B4197" s="38"/>
      <c r="C4197" s="14"/>
      <c r="D4197" s="14"/>
      <c r="E4197" s="14"/>
      <c r="F4197" s="14"/>
      <c r="G4197" s="16"/>
    </row>
    <row r="4198" spans="2:7" x14ac:dyDescent="0.25">
      <c r="B4198" s="38"/>
      <c r="C4198" s="14"/>
      <c r="D4198" s="14"/>
      <c r="E4198" s="14"/>
      <c r="F4198" s="14"/>
      <c r="G4198" s="16"/>
    </row>
    <row r="4199" spans="2:7" x14ac:dyDescent="0.25">
      <c r="B4199" s="38"/>
      <c r="C4199" s="14"/>
      <c r="D4199" s="14"/>
      <c r="E4199" s="14"/>
      <c r="F4199" s="14"/>
      <c r="G4199" s="16"/>
    </row>
    <row r="4200" spans="2:7" x14ac:dyDescent="0.25">
      <c r="B4200" s="38"/>
      <c r="C4200" s="14"/>
      <c r="D4200" s="14"/>
      <c r="E4200" s="14"/>
      <c r="F4200" s="14"/>
      <c r="G4200" s="16"/>
    </row>
    <row r="4201" spans="2:7" x14ac:dyDescent="0.25">
      <c r="B4201" s="38"/>
      <c r="C4201" s="14"/>
      <c r="D4201" s="14"/>
      <c r="E4201" s="14"/>
      <c r="F4201" s="14"/>
      <c r="G4201" s="16"/>
    </row>
    <row r="4202" spans="2:7" x14ac:dyDescent="0.25">
      <c r="B4202" s="38"/>
      <c r="C4202" s="14"/>
      <c r="D4202" s="14"/>
      <c r="E4202" s="14"/>
      <c r="F4202" s="14"/>
      <c r="G4202" s="16"/>
    </row>
    <row r="4203" spans="2:7" x14ac:dyDescent="0.25">
      <c r="B4203" s="38"/>
      <c r="C4203" s="14"/>
      <c r="D4203" s="14"/>
      <c r="E4203" s="14"/>
      <c r="F4203" s="14"/>
      <c r="G4203" s="16"/>
    </row>
    <row r="4204" spans="2:7" x14ac:dyDescent="0.25">
      <c r="B4204" s="38"/>
      <c r="C4204" s="14"/>
      <c r="D4204" s="14"/>
      <c r="E4204" s="14"/>
      <c r="F4204" s="14"/>
      <c r="G4204" s="16"/>
    </row>
    <row r="4205" spans="2:7" x14ac:dyDescent="0.25">
      <c r="B4205" s="38"/>
      <c r="C4205" s="14"/>
      <c r="D4205" s="14"/>
      <c r="E4205" s="14"/>
      <c r="F4205" s="14"/>
      <c r="G4205" s="16"/>
    </row>
    <row r="4206" spans="2:7" x14ac:dyDescent="0.25">
      <c r="B4206" s="38"/>
      <c r="C4206" s="14"/>
      <c r="D4206" s="14"/>
      <c r="E4206" s="14"/>
      <c r="F4206" s="14"/>
      <c r="G4206" s="16"/>
    </row>
    <row r="4207" spans="2:7" x14ac:dyDescent="0.25">
      <c r="B4207" s="38"/>
      <c r="C4207" s="14"/>
      <c r="D4207" s="14"/>
      <c r="E4207" s="14"/>
      <c r="F4207" s="14"/>
      <c r="G4207" s="16"/>
    </row>
    <row r="4208" spans="2:7" x14ac:dyDescent="0.25">
      <c r="B4208" s="38"/>
      <c r="C4208" s="14"/>
      <c r="D4208" s="14"/>
      <c r="E4208" s="14"/>
      <c r="F4208" s="14"/>
      <c r="G4208" s="16"/>
    </row>
    <row r="4209" spans="2:7" x14ac:dyDescent="0.25">
      <c r="B4209" s="38"/>
      <c r="C4209" s="14"/>
      <c r="D4209" s="14"/>
      <c r="E4209" s="14"/>
      <c r="F4209" s="14"/>
      <c r="G4209" s="16"/>
    </row>
    <row r="4210" spans="2:7" x14ac:dyDescent="0.25">
      <c r="B4210" s="38"/>
      <c r="C4210" s="14"/>
      <c r="D4210" s="14"/>
      <c r="E4210" s="14"/>
      <c r="F4210" s="14"/>
      <c r="G4210" s="16"/>
    </row>
    <row r="4211" spans="2:7" x14ac:dyDescent="0.25">
      <c r="B4211" s="38"/>
      <c r="C4211" s="14"/>
      <c r="D4211" s="14"/>
      <c r="E4211" s="14"/>
      <c r="F4211" s="14"/>
      <c r="G4211" s="16"/>
    </row>
    <row r="4212" spans="2:7" x14ac:dyDescent="0.25">
      <c r="B4212" s="38"/>
      <c r="C4212" s="14"/>
      <c r="D4212" s="14"/>
      <c r="E4212" s="14"/>
      <c r="F4212" s="14"/>
      <c r="G4212" s="16"/>
    </row>
    <row r="4213" spans="2:7" x14ac:dyDescent="0.25">
      <c r="B4213" s="38"/>
      <c r="C4213" s="14"/>
      <c r="D4213" s="14"/>
      <c r="E4213" s="14"/>
      <c r="F4213" s="14"/>
      <c r="G4213" s="16"/>
    </row>
    <row r="4214" spans="2:7" x14ac:dyDescent="0.25">
      <c r="B4214" s="38"/>
      <c r="C4214" s="14"/>
      <c r="D4214" s="14"/>
      <c r="E4214" s="14"/>
      <c r="F4214" s="14"/>
      <c r="G4214" s="16"/>
    </row>
    <row r="4215" spans="2:7" x14ac:dyDescent="0.25">
      <c r="B4215" s="38"/>
      <c r="C4215" s="14"/>
      <c r="D4215" s="14"/>
      <c r="E4215" s="14"/>
      <c r="F4215" s="14"/>
      <c r="G4215" s="16"/>
    </row>
    <row r="4216" spans="2:7" x14ac:dyDescent="0.25">
      <c r="B4216" s="38"/>
      <c r="C4216" s="14"/>
      <c r="D4216" s="14"/>
      <c r="E4216" s="14"/>
      <c r="F4216" s="14"/>
      <c r="G4216" s="16"/>
    </row>
    <row r="4217" spans="2:7" x14ac:dyDescent="0.25">
      <c r="B4217" s="38"/>
      <c r="C4217" s="14"/>
      <c r="D4217" s="14"/>
      <c r="E4217" s="14"/>
      <c r="F4217" s="14"/>
      <c r="G4217" s="16"/>
    </row>
    <row r="4218" spans="2:7" x14ac:dyDescent="0.25">
      <c r="B4218" s="38"/>
      <c r="C4218" s="14"/>
      <c r="D4218" s="14"/>
      <c r="E4218" s="14"/>
      <c r="F4218" s="14"/>
      <c r="G4218" s="16"/>
    </row>
    <row r="4219" spans="2:7" x14ac:dyDescent="0.25">
      <c r="B4219" s="38"/>
      <c r="C4219" s="14"/>
      <c r="D4219" s="14"/>
      <c r="E4219" s="14"/>
      <c r="F4219" s="14"/>
      <c r="G4219" s="16"/>
    </row>
    <row r="4220" spans="2:7" x14ac:dyDescent="0.25">
      <c r="B4220" s="38"/>
      <c r="C4220" s="14"/>
      <c r="D4220" s="14"/>
      <c r="E4220" s="14"/>
      <c r="F4220" s="14"/>
      <c r="G4220" s="16"/>
    </row>
    <row r="4221" spans="2:7" x14ac:dyDescent="0.25">
      <c r="B4221" s="38"/>
      <c r="C4221" s="14"/>
      <c r="D4221" s="14"/>
      <c r="E4221" s="14"/>
      <c r="F4221" s="14"/>
      <c r="G4221" s="16"/>
    </row>
    <row r="4222" spans="2:7" x14ac:dyDescent="0.25">
      <c r="B4222" s="38"/>
      <c r="C4222" s="14"/>
      <c r="D4222" s="14"/>
      <c r="E4222" s="14"/>
      <c r="F4222" s="14"/>
      <c r="G4222" s="16"/>
    </row>
    <row r="4223" spans="2:7" x14ac:dyDescent="0.25">
      <c r="B4223" s="38"/>
      <c r="C4223" s="14"/>
      <c r="D4223" s="14"/>
      <c r="E4223" s="14"/>
      <c r="F4223" s="14"/>
      <c r="G4223" s="16"/>
    </row>
    <row r="4224" spans="2:7" x14ac:dyDescent="0.25">
      <c r="B4224" s="38"/>
      <c r="C4224" s="14"/>
      <c r="D4224" s="14"/>
      <c r="E4224" s="14"/>
      <c r="F4224" s="14"/>
      <c r="G4224" s="16"/>
    </row>
    <row r="4225" spans="2:7" x14ac:dyDescent="0.25">
      <c r="B4225" s="38"/>
      <c r="C4225" s="14"/>
      <c r="D4225" s="14"/>
      <c r="E4225" s="14"/>
      <c r="F4225" s="14"/>
      <c r="G4225" s="16"/>
    </row>
    <row r="4226" spans="2:7" x14ac:dyDescent="0.25">
      <c r="B4226" s="38"/>
      <c r="C4226" s="14"/>
      <c r="D4226" s="14"/>
      <c r="E4226" s="14"/>
      <c r="F4226" s="14"/>
      <c r="G4226" s="16"/>
    </row>
    <row r="4227" spans="2:7" x14ac:dyDescent="0.25">
      <c r="B4227" s="38"/>
      <c r="C4227" s="14"/>
      <c r="D4227" s="14"/>
      <c r="E4227" s="14"/>
      <c r="F4227" s="14"/>
      <c r="G4227" s="16"/>
    </row>
    <row r="4228" spans="2:7" x14ac:dyDescent="0.25">
      <c r="B4228" s="38"/>
      <c r="C4228" s="14"/>
      <c r="D4228" s="14"/>
      <c r="E4228" s="14"/>
      <c r="F4228" s="14"/>
      <c r="G4228" s="16"/>
    </row>
    <row r="4229" spans="2:7" x14ac:dyDescent="0.25">
      <c r="B4229" s="38"/>
      <c r="C4229" s="14"/>
      <c r="D4229" s="14"/>
      <c r="E4229" s="14"/>
      <c r="F4229" s="14"/>
      <c r="G4229" s="16"/>
    </row>
    <row r="4230" spans="2:7" x14ac:dyDescent="0.25">
      <c r="B4230" s="38"/>
      <c r="C4230" s="14"/>
      <c r="D4230" s="14"/>
      <c r="E4230" s="14"/>
      <c r="F4230" s="14"/>
      <c r="G4230" s="16"/>
    </row>
    <row r="4231" spans="2:7" x14ac:dyDescent="0.25">
      <c r="B4231" s="38"/>
      <c r="C4231" s="14"/>
      <c r="D4231" s="14"/>
      <c r="E4231" s="14"/>
      <c r="F4231" s="14"/>
      <c r="G4231" s="16"/>
    </row>
    <row r="4232" spans="2:7" x14ac:dyDescent="0.25">
      <c r="B4232" s="38"/>
      <c r="C4232" s="14"/>
      <c r="D4232" s="14"/>
      <c r="E4232" s="14"/>
      <c r="F4232" s="14"/>
      <c r="G4232" s="16"/>
    </row>
    <row r="4233" spans="2:7" x14ac:dyDescent="0.25">
      <c r="B4233" s="38"/>
      <c r="C4233" s="14"/>
      <c r="D4233" s="14"/>
      <c r="E4233" s="14"/>
      <c r="F4233" s="14"/>
      <c r="G4233" s="16"/>
    </row>
    <row r="4234" spans="2:7" x14ac:dyDescent="0.25">
      <c r="B4234" s="38"/>
      <c r="C4234" s="14"/>
      <c r="D4234" s="14"/>
      <c r="E4234" s="14"/>
      <c r="F4234" s="14"/>
      <c r="G4234" s="16"/>
    </row>
    <row r="4235" spans="2:7" x14ac:dyDescent="0.25">
      <c r="B4235" s="38"/>
      <c r="C4235" s="14"/>
      <c r="D4235" s="14"/>
      <c r="E4235" s="14"/>
      <c r="F4235" s="14"/>
      <c r="G4235" s="16"/>
    </row>
    <row r="4236" spans="2:7" x14ac:dyDescent="0.25">
      <c r="B4236" s="38"/>
      <c r="C4236" s="14"/>
      <c r="D4236" s="14"/>
      <c r="E4236" s="14"/>
      <c r="F4236" s="14"/>
      <c r="G4236" s="16"/>
    </row>
    <row r="4237" spans="2:7" x14ac:dyDescent="0.25">
      <c r="B4237" s="38"/>
      <c r="C4237" s="14"/>
      <c r="D4237" s="14"/>
      <c r="E4237" s="14"/>
      <c r="F4237" s="14"/>
      <c r="G4237" s="16"/>
    </row>
    <row r="4238" spans="2:7" x14ac:dyDescent="0.25">
      <c r="B4238" s="38"/>
      <c r="C4238" s="14"/>
      <c r="D4238" s="14"/>
      <c r="E4238" s="14"/>
      <c r="F4238" s="14"/>
      <c r="G4238" s="16"/>
    </row>
    <row r="4239" spans="2:7" x14ac:dyDescent="0.25">
      <c r="B4239" s="38"/>
      <c r="C4239" s="14"/>
      <c r="D4239" s="14"/>
      <c r="E4239" s="14"/>
      <c r="F4239" s="14"/>
      <c r="G4239" s="16"/>
    </row>
    <row r="4240" spans="2:7" x14ac:dyDescent="0.25">
      <c r="B4240" s="38"/>
      <c r="C4240" s="14"/>
      <c r="D4240" s="14"/>
      <c r="E4240" s="14"/>
      <c r="F4240" s="14"/>
      <c r="G4240" s="16"/>
    </row>
    <row r="4241" spans="2:7" x14ac:dyDescent="0.25">
      <c r="B4241" s="38"/>
      <c r="C4241" s="14"/>
      <c r="D4241" s="14"/>
      <c r="E4241" s="14"/>
      <c r="F4241" s="14"/>
      <c r="G4241" s="16"/>
    </row>
    <row r="4242" spans="2:7" x14ac:dyDescent="0.25">
      <c r="B4242" s="38"/>
      <c r="C4242" s="14"/>
      <c r="D4242" s="14"/>
      <c r="E4242" s="14"/>
      <c r="F4242" s="14"/>
      <c r="G4242" s="16"/>
    </row>
    <row r="4243" spans="2:7" x14ac:dyDescent="0.25">
      <c r="B4243" s="38"/>
      <c r="C4243" s="14"/>
      <c r="D4243" s="14"/>
      <c r="E4243" s="14"/>
      <c r="F4243" s="14"/>
      <c r="G4243" s="16"/>
    </row>
    <row r="4244" spans="2:7" x14ac:dyDescent="0.25">
      <c r="B4244" s="38"/>
      <c r="C4244" s="14"/>
      <c r="D4244" s="14"/>
      <c r="E4244" s="14"/>
      <c r="F4244" s="14"/>
      <c r="G4244" s="16"/>
    </row>
    <row r="4245" spans="2:7" x14ac:dyDescent="0.25">
      <c r="B4245" s="38"/>
      <c r="C4245" s="14"/>
      <c r="D4245" s="14"/>
      <c r="E4245" s="14"/>
      <c r="F4245" s="14"/>
      <c r="G4245" s="16"/>
    </row>
    <row r="4246" spans="2:7" x14ac:dyDescent="0.25">
      <c r="B4246" s="38"/>
      <c r="C4246" s="14"/>
      <c r="D4246" s="14"/>
      <c r="E4246" s="14"/>
      <c r="F4246" s="14"/>
      <c r="G4246" s="16"/>
    </row>
    <row r="4247" spans="2:7" x14ac:dyDescent="0.25">
      <c r="B4247" s="38"/>
      <c r="C4247" s="14"/>
      <c r="D4247" s="14"/>
      <c r="E4247" s="14"/>
      <c r="F4247" s="14"/>
      <c r="G4247" s="16"/>
    </row>
    <row r="4248" spans="2:7" x14ac:dyDescent="0.25">
      <c r="B4248" s="38"/>
      <c r="C4248" s="14"/>
      <c r="D4248" s="14"/>
      <c r="E4248" s="14"/>
      <c r="F4248" s="14"/>
      <c r="G4248" s="16"/>
    </row>
    <row r="4249" spans="2:7" x14ac:dyDescent="0.25">
      <c r="B4249" s="38"/>
      <c r="C4249" s="14"/>
      <c r="D4249" s="14"/>
      <c r="E4249" s="14"/>
      <c r="F4249" s="14"/>
      <c r="G4249" s="16"/>
    </row>
    <row r="4250" spans="2:7" x14ac:dyDescent="0.25">
      <c r="B4250" s="38"/>
      <c r="C4250" s="14"/>
      <c r="D4250" s="14"/>
      <c r="E4250" s="14"/>
      <c r="F4250" s="14"/>
      <c r="G4250" s="16"/>
    </row>
    <row r="4251" spans="2:7" x14ac:dyDescent="0.25">
      <c r="B4251" s="38"/>
      <c r="C4251" s="14"/>
      <c r="D4251" s="14"/>
      <c r="E4251" s="14"/>
      <c r="F4251" s="14"/>
      <c r="G4251" s="16"/>
    </row>
    <row r="4252" spans="2:7" x14ac:dyDescent="0.25">
      <c r="B4252" s="38"/>
      <c r="C4252" s="14"/>
      <c r="D4252" s="14"/>
      <c r="E4252" s="14"/>
      <c r="F4252" s="14"/>
      <c r="G4252" s="16"/>
    </row>
    <row r="4253" spans="2:7" x14ac:dyDescent="0.25">
      <c r="B4253" s="38"/>
      <c r="C4253" s="14"/>
      <c r="D4253" s="14"/>
      <c r="E4253" s="14"/>
      <c r="F4253" s="14"/>
      <c r="G4253" s="16"/>
    </row>
    <row r="4254" spans="2:7" x14ac:dyDescent="0.25">
      <c r="B4254" s="38"/>
      <c r="C4254" s="14"/>
      <c r="D4254" s="14"/>
      <c r="E4254" s="14"/>
      <c r="F4254" s="14"/>
      <c r="G4254" s="16"/>
    </row>
    <row r="4255" spans="2:7" x14ac:dyDescent="0.25">
      <c r="B4255" s="38"/>
      <c r="C4255" s="14"/>
      <c r="D4255" s="14"/>
      <c r="E4255" s="14"/>
      <c r="F4255" s="14"/>
      <c r="G4255" s="16"/>
    </row>
    <row r="4256" spans="2:7" x14ac:dyDescent="0.25">
      <c r="B4256" s="38"/>
      <c r="C4256" s="14"/>
      <c r="D4256" s="14"/>
      <c r="E4256" s="14"/>
      <c r="F4256" s="14"/>
      <c r="G4256" s="16"/>
    </row>
    <row r="4257" spans="2:7" x14ac:dyDescent="0.25">
      <c r="B4257" s="38"/>
      <c r="C4257" s="14"/>
      <c r="D4257" s="14"/>
      <c r="E4257" s="14"/>
      <c r="F4257" s="14"/>
      <c r="G4257" s="16"/>
    </row>
    <row r="4258" spans="2:7" x14ac:dyDescent="0.25">
      <c r="B4258" s="38"/>
      <c r="C4258" s="14"/>
      <c r="D4258" s="14"/>
      <c r="E4258" s="14"/>
      <c r="F4258" s="14"/>
      <c r="G4258" s="16"/>
    </row>
    <row r="4259" spans="2:7" x14ac:dyDescent="0.25">
      <c r="B4259" s="38"/>
      <c r="C4259" s="14"/>
      <c r="D4259" s="14"/>
      <c r="E4259" s="14"/>
      <c r="F4259" s="14"/>
      <c r="G4259" s="16"/>
    </row>
    <row r="4260" spans="2:7" x14ac:dyDescent="0.25">
      <c r="B4260" s="38"/>
      <c r="C4260" s="14"/>
      <c r="D4260" s="14"/>
      <c r="E4260" s="14"/>
      <c r="F4260" s="14"/>
      <c r="G4260" s="16"/>
    </row>
    <row r="4261" spans="2:7" x14ac:dyDescent="0.25">
      <c r="B4261" s="38"/>
      <c r="C4261" s="14"/>
      <c r="D4261" s="14"/>
      <c r="E4261" s="14"/>
      <c r="F4261" s="14"/>
      <c r="G4261" s="16"/>
    </row>
    <row r="4262" spans="2:7" x14ac:dyDescent="0.25">
      <c r="B4262" s="38"/>
      <c r="C4262" s="14"/>
      <c r="D4262" s="14"/>
      <c r="E4262" s="14"/>
      <c r="F4262" s="14"/>
      <c r="G4262" s="16"/>
    </row>
    <row r="4263" spans="2:7" x14ac:dyDescent="0.25">
      <c r="B4263" s="38"/>
      <c r="C4263" s="14"/>
      <c r="D4263" s="14"/>
      <c r="E4263" s="14"/>
      <c r="F4263" s="14"/>
      <c r="G4263" s="16"/>
    </row>
    <row r="4264" spans="2:7" x14ac:dyDescent="0.25">
      <c r="B4264" s="38"/>
      <c r="C4264" s="14"/>
      <c r="D4264" s="14"/>
      <c r="E4264" s="14"/>
      <c r="F4264" s="14"/>
      <c r="G4264" s="16"/>
    </row>
    <row r="4265" spans="2:7" x14ac:dyDescent="0.25">
      <c r="B4265" s="38"/>
      <c r="C4265" s="14"/>
      <c r="D4265" s="14"/>
      <c r="E4265" s="14"/>
      <c r="F4265" s="14"/>
      <c r="G4265" s="16"/>
    </row>
    <row r="4266" spans="2:7" x14ac:dyDescent="0.25">
      <c r="B4266" s="38"/>
      <c r="C4266" s="14"/>
      <c r="D4266" s="14"/>
      <c r="E4266" s="14"/>
      <c r="F4266" s="14"/>
      <c r="G4266" s="16"/>
    </row>
    <row r="4267" spans="2:7" x14ac:dyDescent="0.25">
      <c r="B4267" s="38"/>
      <c r="C4267" s="14"/>
      <c r="D4267" s="14"/>
      <c r="E4267" s="14"/>
      <c r="F4267" s="14"/>
      <c r="G4267" s="16"/>
    </row>
    <row r="4268" spans="2:7" x14ac:dyDescent="0.25">
      <c r="B4268" s="38"/>
      <c r="C4268" s="14"/>
      <c r="D4268" s="14"/>
      <c r="E4268" s="14"/>
      <c r="F4268" s="14"/>
      <c r="G4268" s="16"/>
    </row>
    <row r="4269" spans="2:7" x14ac:dyDescent="0.25">
      <c r="B4269" s="38"/>
      <c r="C4269" s="14"/>
      <c r="D4269" s="14"/>
      <c r="E4269" s="14"/>
      <c r="F4269" s="14"/>
      <c r="G4269" s="16"/>
    </row>
    <row r="4270" spans="2:7" x14ac:dyDescent="0.25">
      <c r="B4270" s="38"/>
      <c r="C4270" s="14"/>
      <c r="D4270" s="14"/>
      <c r="E4270" s="14"/>
      <c r="F4270" s="14"/>
      <c r="G4270" s="16"/>
    </row>
    <row r="4271" spans="2:7" x14ac:dyDescent="0.25">
      <c r="B4271" s="38"/>
      <c r="C4271" s="14"/>
      <c r="D4271" s="14"/>
      <c r="E4271" s="14"/>
      <c r="F4271" s="14"/>
      <c r="G4271" s="16"/>
    </row>
    <row r="4272" spans="2:7" x14ac:dyDescent="0.25">
      <c r="B4272" s="38"/>
      <c r="C4272" s="14"/>
      <c r="D4272" s="14"/>
      <c r="E4272" s="14"/>
      <c r="F4272" s="14"/>
      <c r="G4272" s="16"/>
    </row>
    <row r="4273" spans="2:7" x14ac:dyDescent="0.25">
      <c r="B4273" s="38"/>
      <c r="C4273" s="14"/>
      <c r="D4273" s="14"/>
      <c r="E4273" s="14"/>
      <c r="F4273" s="14"/>
      <c r="G4273" s="16"/>
    </row>
    <row r="4274" spans="2:7" x14ac:dyDescent="0.25">
      <c r="B4274" s="38"/>
      <c r="C4274" s="14"/>
      <c r="D4274" s="14"/>
      <c r="E4274" s="14"/>
      <c r="F4274" s="14"/>
      <c r="G4274" s="16"/>
    </row>
    <row r="4275" spans="2:7" x14ac:dyDescent="0.25">
      <c r="B4275" s="38"/>
      <c r="C4275" s="14"/>
      <c r="D4275" s="14"/>
      <c r="E4275" s="14"/>
      <c r="F4275" s="14"/>
      <c r="G4275" s="16"/>
    </row>
    <row r="4276" spans="2:7" x14ac:dyDescent="0.25">
      <c r="B4276" s="38"/>
      <c r="C4276" s="14"/>
      <c r="D4276" s="14"/>
      <c r="E4276" s="14"/>
      <c r="F4276" s="14"/>
      <c r="G4276" s="16"/>
    </row>
    <row r="4277" spans="2:7" x14ac:dyDescent="0.25">
      <c r="B4277" s="38"/>
      <c r="C4277" s="14"/>
      <c r="D4277" s="14"/>
      <c r="E4277" s="14"/>
      <c r="F4277" s="14"/>
      <c r="G4277" s="16"/>
    </row>
    <row r="4278" spans="2:7" x14ac:dyDescent="0.25">
      <c r="B4278" s="38"/>
      <c r="C4278" s="14"/>
      <c r="D4278" s="14"/>
      <c r="E4278" s="14"/>
      <c r="F4278" s="14"/>
      <c r="G4278" s="16"/>
    </row>
    <row r="4279" spans="2:7" x14ac:dyDescent="0.25">
      <c r="B4279" s="38"/>
      <c r="C4279" s="14"/>
      <c r="D4279" s="14"/>
      <c r="E4279" s="14"/>
      <c r="F4279" s="14"/>
      <c r="G4279" s="16"/>
    </row>
    <row r="4280" spans="2:7" x14ac:dyDescent="0.25">
      <c r="B4280" s="38"/>
      <c r="C4280" s="14"/>
      <c r="D4280" s="14"/>
      <c r="E4280" s="14"/>
      <c r="F4280" s="14"/>
      <c r="G4280" s="16"/>
    </row>
    <row r="4281" spans="2:7" x14ac:dyDescent="0.25">
      <c r="B4281" s="38"/>
      <c r="C4281" s="14"/>
      <c r="D4281" s="14"/>
      <c r="E4281" s="14"/>
      <c r="F4281" s="14"/>
      <c r="G4281" s="16"/>
    </row>
    <row r="4282" spans="2:7" x14ac:dyDescent="0.25">
      <c r="B4282" s="38"/>
      <c r="C4282" s="14"/>
      <c r="D4282" s="14"/>
      <c r="E4282" s="14"/>
      <c r="F4282" s="14"/>
      <c r="G4282" s="16"/>
    </row>
    <row r="4283" spans="2:7" x14ac:dyDescent="0.25">
      <c r="B4283" s="38"/>
      <c r="C4283" s="14"/>
      <c r="D4283" s="14"/>
      <c r="E4283" s="14"/>
      <c r="F4283" s="14"/>
      <c r="G4283" s="16"/>
    </row>
    <row r="4284" spans="2:7" x14ac:dyDescent="0.25">
      <c r="B4284" s="38"/>
      <c r="C4284" s="14"/>
      <c r="D4284" s="14"/>
      <c r="E4284" s="14"/>
      <c r="F4284" s="14"/>
      <c r="G4284" s="16"/>
    </row>
    <row r="4285" spans="2:7" x14ac:dyDescent="0.25">
      <c r="B4285" s="38"/>
      <c r="C4285" s="14"/>
      <c r="D4285" s="14"/>
      <c r="E4285" s="14"/>
      <c r="F4285" s="14"/>
      <c r="G4285" s="16"/>
    </row>
    <row r="4286" spans="2:7" x14ac:dyDescent="0.25">
      <c r="B4286" s="38"/>
      <c r="C4286" s="14"/>
      <c r="D4286" s="14"/>
      <c r="E4286" s="14"/>
      <c r="F4286" s="14"/>
      <c r="G4286" s="16"/>
    </row>
    <row r="4287" spans="2:7" x14ac:dyDescent="0.25">
      <c r="B4287" s="38"/>
      <c r="C4287" s="14"/>
      <c r="D4287" s="14"/>
      <c r="E4287" s="14"/>
      <c r="F4287" s="14"/>
      <c r="G4287" s="16"/>
    </row>
    <row r="4288" spans="2:7" x14ac:dyDescent="0.25">
      <c r="B4288" s="38"/>
      <c r="C4288" s="14"/>
      <c r="D4288" s="14"/>
      <c r="E4288" s="14"/>
      <c r="F4288" s="14"/>
      <c r="G4288" s="16"/>
    </row>
    <row r="4289" spans="2:7" x14ac:dyDescent="0.25">
      <c r="B4289" s="38"/>
      <c r="C4289" s="14"/>
      <c r="D4289" s="14"/>
      <c r="E4289" s="14"/>
      <c r="F4289" s="14"/>
      <c r="G4289" s="16"/>
    </row>
    <row r="4290" spans="2:7" x14ac:dyDescent="0.25">
      <c r="B4290" s="38"/>
      <c r="C4290" s="14"/>
      <c r="D4290" s="14"/>
      <c r="E4290" s="14"/>
      <c r="F4290" s="14"/>
      <c r="G4290" s="16"/>
    </row>
    <row r="4291" spans="2:7" x14ac:dyDescent="0.25">
      <c r="B4291" s="38"/>
      <c r="C4291" s="14"/>
      <c r="D4291" s="14"/>
      <c r="E4291" s="14"/>
      <c r="F4291" s="14"/>
      <c r="G4291" s="16"/>
    </row>
    <row r="4292" spans="2:7" x14ac:dyDescent="0.25">
      <c r="B4292" s="38"/>
      <c r="C4292" s="14"/>
      <c r="D4292" s="14"/>
      <c r="E4292" s="14"/>
      <c r="F4292" s="14"/>
      <c r="G4292" s="16"/>
    </row>
    <row r="4293" spans="2:7" x14ac:dyDescent="0.25">
      <c r="B4293" s="38"/>
      <c r="C4293" s="14"/>
      <c r="D4293" s="14"/>
      <c r="E4293" s="14"/>
      <c r="F4293" s="14"/>
      <c r="G4293" s="16"/>
    </row>
    <row r="4294" spans="2:7" x14ac:dyDescent="0.25">
      <c r="B4294" s="38"/>
      <c r="C4294" s="14"/>
      <c r="D4294" s="14"/>
      <c r="E4294" s="14"/>
      <c r="F4294" s="14"/>
      <c r="G4294" s="16"/>
    </row>
    <row r="4295" spans="2:7" x14ac:dyDescent="0.25">
      <c r="B4295" s="38"/>
      <c r="C4295" s="14"/>
      <c r="D4295" s="14"/>
      <c r="E4295" s="14"/>
      <c r="F4295" s="14"/>
      <c r="G4295" s="16"/>
    </row>
    <row r="4296" spans="2:7" x14ac:dyDescent="0.25">
      <c r="B4296" s="38"/>
      <c r="C4296" s="14"/>
      <c r="D4296" s="14"/>
      <c r="E4296" s="14"/>
      <c r="F4296" s="14"/>
      <c r="G4296" s="16"/>
    </row>
    <row r="4297" spans="2:7" x14ac:dyDescent="0.25">
      <c r="B4297" s="38"/>
      <c r="C4297" s="14"/>
      <c r="D4297" s="14"/>
      <c r="E4297" s="14"/>
      <c r="F4297" s="14"/>
      <c r="G4297" s="16"/>
    </row>
    <row r="4298" spans="2:7" x14ac:dyDescent="0.25">
      <c r="B4298" s="38"/>
      <c r="C4298" s="14"/>
      <c r="D4298" s="14"/>
      <c r="E4298" s="14"/>
      <c r="F4298" s="14"/>
      <c r="G4298" s="16"/>
    </row>
    <row r="4299" spans="2:7" x14ac:dyDescent="0.25">
      <c r="B4299" s="38"/>
      <c r="C4299" s="14"/>
      <c r="D4299" s="14"/>
      <c r="E4299" s="14"/>
      <c r="F4299" s="14"/>
      <c r="G4299" s="16"/>
    </row>
    <row r="4300" spans="2:7" x14ac:dyDescent="0.25">
      <c r="B4300" s="38"/>
      <c r="C4300" s="14"/>
      <c r="D4300" s="14"/>
      <c r="E4300" s="14"/>
      <c r="F4300" s="14"/>
      <c r="G4300" s="16"/>
    </row>
    <row r="4301" spans="2:7" x14ac:dyDescent="0.25">
      <c r="B4301" s="38"/>
      <c r="C4301" s="14"/>
      <c r="D4301" s="14"/>
      <c r="E4301" s="14"/>
      <c r="F4301" s="14"/>
      <c r="G4301" s="16"/>
    </row>
    <row r="4302" spans="2:7" x14ac:dyDescent="0.25">
      <c r="B4302" s="38"/>
      <c r="C4302" s="14"/>
      <c r="D4302" s="14"/>
      <c r="E4302" s="14"/>
      <c r="F4302" s="14"/>
      <c r="G4302" s="16"/>
    </row>
    <row r="4303" spans="2:7" x14ac:dyDescent="0.25">
      <c r="B4303" s="38"/>
      <c r="C4303" s="14"/>
      <c r="D4303" s="14"/>
      <c r="E4303" s="14"/>
      <c r="F4303" s="14"/>
      <c r="G4303" s="16"/>
    </row>
    <row r="4304" spans="2:7" x14ac:dyDescent="0.25">
      <c r="B4304" s="38"/>
      <c r="C4304" s="14"/>
      <c r="D4304" s="14"/>
      <c r="E4304" s="14"/>
      <c r="F4304" s="14"/>
      <c r="G4304" s="16"/>
    </row>
    <row r="4305" spans="2:7" x14ac:dyDescent="0.25">
      <c r="B4305" s="38"/>
      <c r="C4305" s="14"/>
      <c r="D4305" s="14"/>
      <c r="E4305" s="14"/>
      <c r="F4305" s="14"/>
      <c r="G4305" s="16"/>
    </row>
    <row r="4306" spans="2:7" x14ac:dyDescent="0.25">
      <c r="B4306" s="38"/>
      <c r="C4306" s="14"/>
      <c r="D4306" s="14"/>
      <c r="E4306" s="14"/>
      <c r="F4306" s="14"/>
      <c r="G4306" s="16"/>
    </row>
    <row r="4307" spans="2:7" x14ac:dyDescent="0.25">
      <c r="B4307" s="38"/>
      <c r="C4307" s="14"/>
      <c r="D4307" s="14"/>
      <c r="E4307" s="14"/>
      <c r="F4307" s="14"/>
      <c r="G4307" s="16"/>
    </row>
    <row r="4308" spans="2:7" x14ac:dyDescent="0.25">
      <c r="B4308" s="38"/>
      <c r="C4308" s="14"/>
      <c r="D4308" s="14"/>
      <c r="E4308" s="14"/>
      <c r="F4308" s="14"/>
      <c r="G4308" s="16"/>
    </row>
    <row r="4309" spans="2:7" x14ac:dyDescent="0.25">
      <c r="B4309" s="38"/>
      <c r="C4309" s="14"/>
      <c r="D4309" s="14"/>
      <c r="E4309" s="14"/>
      <c r="F4309" s="14"/>
      <c r="G4309" s="16"/>
    </row>
    <row r="4310" spans="2:7" x14ac:dyDescent="0.25">
      <c r="B4310" s="38"/>
      <c r="C4310" s="14"/>
      <c r="D4310" s="14"/>
      <c r="E4310" s="14"/>
      <c r="F4310" s="14"/>
      <c r="G4310" s="16"/>
    </row>
    <row r="4311" spans="2:7" x14ac:dyDescent="0.25">
      <c r="B4311" s="38"/>
      <c r="C4311" s="14"/>
      <c r="D4311" s="14"/>
      <c r="E4311" s="14"/>
      <c r="F4311" s="14"/>
      <c r="G4311" s="16"/>
    </row>
    <row r="4312" spans="2:7" x14ac:dyDescent="0.25">
      <c r="B4312" s="38"/>
      <c r="C4312" s="14"/>
      <c r="D4312" s="14"/>
      <c r="E4312" s="14"/>
      <c r="F4312" s="14"/>
      <c r="G4312" s="16"/>
    </row>
    <row r="4313" spans="2:7" x14ac:dyDescent="0.25">
      <c r="B4313" s="38"/>
      <c r="C4313" s="14"/>
      <c r="D4313" s="14"/>
      <c r="E4313" s="14"/>
      <c r="F4313" s="14"/>
      <c r="G4313" s="16"/>
    </row>
    <row r="4314" spans="2:7" x14ac:dyDescent="0.25">
      <c r="B4314" s="38"/>
      <c r="C4314" s="14"/>
      <c r="D4314" s="14"/>
      <c r="E4314" s="14"/>
      <c r="F4314" s="14"/>
      <c r="G4314" s="16"/>
    </row>
    <row r="4315" spans="2:7" x14ac:dyDescent="0.25">
      <c r="B4315" s="38"/>
      <c r="C4315" s="14"/>
      <c r="D4315" s="14"/>
      <c r="E4315" s="14"/>
      <c r="F4315" s="14"/>
      <c r="G4315" s="16"/>
    </row>
    <row r="4316" spans="2:7" x14ac:dyDescent="0.25">
      <c r="B4316" s="38"/>
      <c r="C4316" s="14"/>
      <c r="D4316" s="14"/>
      <c r="E4316" s="14"/>
      <c r="F4316" s="14"/>
      <c r="G4316" s="16"/>
    </row>
    <row r="4317" spans="2:7" x14ac:dyDescent="0.25">
      <c r="B4317" s="38"/>
      <c r="C4317" s="14"/>
      <c r="D4317" s="14"/>
      <c r="E4317" s="14"/>
      <c r="F4317" s="14"/>
      <c r="G4317" s="16"/>
    </row>
    <row r="4318" spans="2:7" x14ac:dyDescent="0.25">
      <c r="B4318" s="38"/>
      <c r="C4318" s="14"/>
      <c r="D4318" s="14"/>
      <c r="E4318" s="14"/>
      <c r="F4318" s="14"/>
      <c r="G4318" s="16"/>
    </row>
    <row r="4319" spans="2:7" x14ac:dyDescent="0.25">
      <c r="B4319" s="38"/>
      <c r="C4319" s="14"/>
      <c r="D4319" s="14"/>
      <c r="E4319" s="14"/>
      <c r="F4319" s="14"/>
      <c r="G4319" s="16"/>
    </row>
    <row r="4320" spans="2:7" x14ac:dyDescent="0.25">
      <c r="B4320" s="38"/>
      <c r="C4320" s="14"/>
      <c r="D4320" s="14"/>
      <c r="E4320" s="14"/>
      <c r="F4320" s="14"/>
      <c r="G4320" s="16"/>
    </row>
    <row r="4321" spans="2:7" x14ac:dyDescent="0.25">
      <c r="B4321" s="38"/>
      <c r="C4321" s="14"/>
      <c r="D4321" s="14"/>
      <c r="E4321" s="14"/>
      <c r="F4321" s="14"/>
      <c r="G4321" s="16"/>
    </row>
    <row r="4322" spans="2:7" x14ac:dyDescent="0.25">
      <c r="B4322" s="38"/>
      <c r="C4322" s="14"/>
      <c r="D4322" s="14"/>
      <c r="E4322" s="14"/>
      <c r="F4322" s="14"/>
      <c r="G4322" s="16"/>
    </row>
    <row r="4323" spans="2:7" x14ac:dyDescent="0.25">
      <c r="B4323" s="38"/>
      <c r="C4323" s="14"/>
      <c r="D4323" s="14"/>
      <c r="E4323" s="14"/>
      <c r="F4323" s="14"/>
      <c r="G4323" s="16"/>
    </row>
    <row r="4324" spans="2:7" x14ac:dyDescent="0.25">
      <c r="B4324" s="38"/>
      <c r="C4324" s="14"/>
      <c r="D4324" s="14"/>
      <c r="E4324" s="14"/>
      <c r="F4324" s="14"/>
      <c r="G4324" s="16"/>
    </row>
    <row r="4325" spans="2:7" x14ac:dyDescent="0.25">
      <c r="B4325" s="38"/>
      <c r="C4325" s="14"/>
      <c r="D4325" s="14"/>
      <c r="E4325" s="14"/>
      <c r="F4325" s="14"/>
      <c r="G4325" s="16"/>
    </row>
    <row r="4326" spans="2:7" x14ac:dyDescent="0.25">
      <c r="B4326" s="38"/>
      <c r="C4326" s="14"/>
      <c r="D4326" s="14"/>
      <c r="E4326" s="14"/>
      <c r="F4326" s="14"/>
      <c r="G4326" s="16"/>
    </row>
    <row r="4327" spans="2:7" x14ac:dyDescent="0.25">
      <c r="B4327" s="38"/>
      <c r="C4327" s="14"/>
      <c r="D4327" s="14"/>
      <c r="E4327" s="14"/>
      <c r="F4327" s="14"/>
      <c r="G4327" s="16"/>
    </row>
    <row r="4328" spans="2:7" x14ac:dyDescent="0.25">
      <c r="B4328" s="38"/>
      <c r="C4328" s="14"/>
      <c r="D4328" s="14"/>
      <c r="E4328" s="14"/>
      <c r="F4328" s="14"/>
      <c r="G4328" s="16"/>
    </row>
    <row r="4329" spans="2:7" x14ac:dyDescent="0.25">
      <c r="B4329" s="38"/>
      <c r="C4329" s="14"/>
      <c r="D4329" s="14"/>
      <c r="E4329" s="14"/>
      <c r="F4329" s="14"/>
      <c r="G4329" s="16"/>
    </row>
    <row r="4330" spans="2:7" x14ac:dyDescent="0.25">
      <c r="B4330" s="38"/>
      <c r="C4330" s="14"/>
      <c r="D4330" s="14"/>
      <c r="E4330" s="14"/>
      <c r="F4330" s="14"/>
      <c r="G4330" s="16"/>
    </row>
    <row r="4331" spans="2:7" x14ac:dyDescent="0.25">
      <c r="B4331" s="38"/>
      <c r="C4331" s="14"/>
      <c r="D4331" s="14"/>
      <c r="E4331" s="14"/>
      <c r="F4331" s="14"/>
      <c r="G4331" s="16"/>
    </row>
    <row r="4332" spans="2:7" x14ac:dyDescent="0.25">
      <c r="B4332" s="38"/>
      <c r="C4332" s="14"/>
      <c r="D4332" s="14"/>
      <c r="E4332" s="14"/>
      <c r="F4332" s="14"/>
      <c r="G4332" s="16"/>
    </row>
    <row r="4333" spans="2:7" x14ac:dyDescent="0.25">
      <c r="B4333" s="38"/>
      <c r="C4333" s="14"/>
      <c r="D4333" s="14"/>
      <c r="E4333" s="14"/>
      <c r="F4333" s="14"/>
      <c r="G4333" s="16"/>
    </row>
    <row r="4334" spans="2:7" x14ac:dyDescent="0.25">
      <c r="B4334" s="38"/>
      <c r="C4334" s="14"/>
      <c r="D4334" s="14"/>
      <c r="E4334" s="14"/>
      <c r="F4334" s="14"/>
      <c r="G4334" s="16"/>
    </row>
    <row r="4335" spans="2:7" x14ac:dyDescent="0.25">
      <c r="B4335" s="38"/>
      <c r="C4335" s="14"/>
      <c r="D4335" s="14"/>
      <c r="E4335" s="14"/>
      <c r="F4335" s="14"/>
      <c r="G4335" s="16"/>
    </row>
    <row r="4336" spans="2:7" x14ac:dyDescent="0.25">
      <c r="B4336" s="38"/>
      <c r="C4336" s="14"/>
      <c r="D4336" s="14"/>
      <c r="E4336" s="14"/>
      <c r="F4336" s="14"/>
      <c r="G4336" s="16"/>
    </row>
    <row r="4337" spans="2:7" x14ac:dyDescent="0.25">
      <c r="B4337" s="38"/>
      <c r="C4337" s="14"/>
      <c r="D4337" s="14"/>
      <c r="E4337" s="14"/>
      <c r="F4337" s="14"/>
      <c r="G4337" s="16"/>
    </row>
    <row r="4338" spans="2:7" x14ac:dyDescent="0.25">
      <c r="B4338" s="38"/>
      <c r="C4338" s="14"/>
      <c r="D4338" s="14"/>
      <c r="E4338" s="14"/>
      <c r="F4338" s="14"/>
      <c r="G4338" s="16"/>
    </row>
    <row r="4339" spans="2:7" x14ac:dyDescent="0.25">
      <c r="B4339" s="38"/>
      <c r="C4339" s="14"/>
      <c r="D4339" s="14"/>
      <c r="E4339" s="14"/>
      <c r="F4339" s="14"/>
      <c r="G4339" s="16"/>
    </row>
    <row r="4340" spans="2:7" x14ac:dyDescent="0.25">
      <c r="B4340" s="38"/>
      <c r="C4340" s="14"/>
      <c r="D4340" s="14"/>
      <c r="E4340" s="14"/>
      <c r="F4340" s="14"/>
      <c r="G4340" s="16"/>
    </row>
    <row r="4341" spans="2:7" x14ac:dyDescent="0.25">
      <c r="B4341" s="38"/>
      <c r="C4341" s="14"/>
      <c r="D4341" s="14"/>
      <c r="E4341" s="14"/>
      <c r="F4341" s="14"/>
      <c r="G4341" s="16"/>
    </row>
    <row r="4342" spans="2:7" x14ac:dyDescent="0.25">
      <c r="B4342" s="38"/>
      <c r="C4342" s="14"/>
      <c r="D4342" s="14"/>
      <c r="E4342" s="14"/>
      <c r="F4342" s="14"/>
      <c r="G4342" s="16"/>
    </row>
    <row r="4343" spans="2:7" x14ac:dyDescent="0.25">
      <c r="B4343" s="38"/>
      <c r="C4343" s="14"/>
      <c r="D4343" s="14"/>
      <c r="E4343" s="14"/>
      <c r="F4343" s="14"/>
      <c r="G4343" s="16"/>
    </row>
    <row r="4344" spans="2:7" x14ac:dyDescent="0.25">
      <c r="B4344" s="38"/>
      <c r="C4344" s="14"/>
      <c r="D4344" s="14"/>
      <c r="E4344" s="14"/>
      <c r="F4344" s="14"/>
      <c r="G4344" s="16"/>
    </row>
    <row r="4345" spans="2:7" x14ac:dyDescent="0.25">
      <c r="B4345" s="38"/>
      <c r="C4345" s="14"/>
      <c r="D4345" s="14"/>
      <c r="E4345" s="14"/>
      <c r="F4345" s="14"/>
      <c r="G4345" s="16"/>
    </row>
    <row r="4346" spans="2:7" x14ac:dyDescent="0.25">
      <c r="B4346" s="38"/>
      <c r="C4346" s="14"/>
      <c r="D4346" s="14"/>
      <c r="E4346" s="14"/>
      <c r="F4346" s="14"/>
      <c r="G4346" s="16"/>
    </row>
    <row r="4347" spans="2:7" x14ac:dyDescent="0.25">
      <c r="B4347" s="38"/>
      <c r="C4347" s="14"/>
      <c r="D4347" s="14"/>
      <c r="E4347" s="14"/>
      <c r="F4347" s="14"/>
      <c r="G4347" s="16"/>
    </row>
    <row r="4348" spans="2:7" x14ac:dyDescent="0.25">
      <c r="B4348" s="38"/>
      <c r="C4348" s="14"/>
      <c r="D4348" s="14"/>
      <c r="E4348" s="14"/>
      <c r="F4348" s="14"/>
      <c r="G4348" s="16"/>
    </row>
    <row r="4349" spans="2:7" x14ac:dyDescent="0.25">
      <c r="B4349" s="38"/>
      <c r="C4349" s="14"/>
      <c r="D4349" s="14"/>
      <c r="E4349" s="14"/>
      <c r="F4349" s="14"/>
      <c r="G4349" s="16"/>
    </row>
    <row r="4350" spans="2:7" x14ac:dyDescent="0.25">
      <c r="B4350" s="38"/>
      <c r="C4350" s="14"/>
      <c r="D4350" s="14"/>
      <c r="E4350" s="14"/>
      <c r="F4350" s="14"/>
      <c r="G4350" s="16"/>
    </row>
    <row r="4351" spans="2:7" x14ac:dyDescent="0.25">
      <c r="B4351" s="38"/>
      <c r="C4351" s="14"/>
      <c r="D4351" s="14"/>
      <c r="E4351" s="14"/>
      <c r="F4351" s="14"/>
      <c r="G4351" s="16"/>
    </row>
    <row r="4352" spans="2:7" x14ac:dyDescent="0.25">
      <c r="B4352" s="38"/>
      <c r="C4352" s="14"/>
      <c r="D4352" s="14"/>
      <c r="E4352" s="14"/>
      <c r="F4352" s="14"/>
      <c r="G4352" s="16"/>
    </row>
    <row r="4353" spans="2:7" x14ac:dyDescent="0.25">
      <c r="B4353" s="38"/>
      <c r="C4353" s="14"/>
      <c r="D4353" s="14"/>
      <c r="E4353" s="14"/>
      <c r="F4353" s="14"/>
      <c r="G4353" s="16"/>
    </row>
    <row r="4354" spans="2:7" x14ac:dyDescent="0.25">
      <c r="B4354" s="38"/>
      <c r="C4354" s="14"/>
      <c r="D4354" s="14"/>
      <c r="E4354" s="14"/>
      <c r="F4354" s="14"/>
      <c r="G4354" s="16"/>
    </row>
    <row r="4355" spans="2:7" x14ac:dyDescent="0.25">
      <c r="B4355" s="38"/>
      <c r="C4355" s="14"/>
      <c r="D4355" s="14"/>
      <c r="E4355" s="14"/>
      <c r="F4355" s="14"/>
      <c r="G4355" s="16"/>
    </row>
    <row r="4356" spans="2:7" x14ac:dyDescent="0.25">
      <c r="B4356" s="38"/>
      <c r="C4356" s="14"/>
      <c r="D4356" s="14"/>
      <c r="E4356" s="14"/>
      <c r="F4356" s="14"/>
      <c r="G4356" s="16"/>
    </row>
    <row r="4357" spans="2:7" x14ac:dyDescent="0.25">
      <c r="B4357" s="38"/>
      <c r="C4357" s="14"/>
      <c r="D4357" s="14"/>
      <c r="E4357" s="14"/>
      <c r="F4357" s="14"/>
      <c r="G4357" s="16"/>
    </row>
    <row r="4358" spans="2:7" x14ac:dyDescent="0.25">
      <c r="B4358" s="38"/>
      <c r="C4358" s="14"/>
      <c r="D4358" s="14"/>
      <c r="E4358" s="14"/>
      <c r="F4358" s="14"/>
      <c r="G4358" s="16"/>
    </row>
    <row r="4359" spans="2:7" x14ac:dyDescent="0.25">
      <c r="B4359" s="38"/>
      <c r="C4359" s="14"/>
      <c r="D4359" s="14"/>
      <c r="E4359" s="14"/>
      <c r="F4359" s="14"/>
      <c r="G4359" s="16"/>
    </row>
    <row r="4360" spans="2:7" x14ac:dyDescent="0.25">
      <c r="B4360" s="38"/>
      <c r="C4360" s="14"/>
      <c r="D4360" s="14"/>
      <c r="E4360" s="14"/>
      <c r="F4360" s="14"/>
      <c r="G4360" s="16"/>
    </row>
    <row r="4361" spans="2:7" x14ac:dyDescent="0.25">
      <c r="B4361" s="38"/>
      <c r="C4361" s="14"/>
      <c r="D4361" s="14"/>
      <c r="E4361" s="14"/>
      <c r="F4361" s="14"/>
      <c r="G4361" s="16"/>
    </row>
    <row r="4362" spans="2:7" x14ac:dyDescent="0.25">
      <c r="B4362" s="38"/>
      <c r="C4362" s="14"/>
      <c r="D4362" s="14"/>
      <c r="E4362" s="14"/>
      <c r="F4362" s="14"/>
      <c r="G4362" s="16"/>
    </row>
    <row r="4363" spans="2:7" x14ac:dyDescent="0.25">
      <c r="B4363" s="38"/>
      <c r="C4363" s="14"/>
      <c r="D4363" s="14"/>
      <c r="E4363" s="14"/>
      <c r="F4363" s="14"/>
      <c r="G4363" s="16"/>
    </row>
    <row r="4364" spans="2:7" x14ac:dyDescent="0.25">
      <c r="B4364" s="38"/>
      <c r="C4364" s="14"/>
      <c r="D4364" s="14"/>
      <c r="E4364" s="14"/>
      <c r="F4364" s="14"/>
      <c r="G4364" s="16"/>
    </row>
    <row r="4365" spans="2:7" x14ac:dyDescent="0.25">
      <c r="B4365" s="38"/>
      <c r="C4365" s="14"/>
      <c r="D4365" s="14"/>
      <c r="E4365" s="14"/>
      <c r="F4365" s="14"/>
      <c r="G4365" s="16"/>
    </row>
    <row r="4366" spans="2:7" x14ac:dyDescent="0.25">
      <c r="B4366" s="38"/>
      <c r="C4366" s="14"/>
      <c r="D4366" s="14"/>
      <c r="E4366" s="14"/>
      <c r="F4366" s="14"/>
      <c r="G4366" s="16"/>
    </row>
    <row r="4367" spans="2:7" x14ac:dyDescent="0.25">
      <c r="B4367" s="38"/>
      <c r="C4367" s="14"/>
      <c r="D4367" s="14"/>
      <c r="E4367" s="14"/>
      <c r="F4367" s="14"/>
      <c r="G4367" s="16"/>
    </row>
    <row r="4368" spans="2:7" x14ac:dyDescent="0.25">
      <c r="B4368" s="38"/>
      <c r="C4368" s="14"/>
      <c r="D4368" s="14"/>
      <c r="E4368" s="14"/>
      <c r="F4368" s="14"/>
      <c r="G4368" s="16"/>
    </row>
    <row r="4369" spans="2:7" x14ac:dyDescent="0.25">
      <c r="B4369" s="38"/>
      <c r="C4369" s="14"/>
      <c r="D4369" s="14"/>
      <c r="E4369" s="14"/>
      <c r="F4369" s="14"/>
      <c r="G4369" s="16"/>
    </row>
    <row r="4370" spans="2:7" x14ac:dyDescent="0.25">
      <c r="B4370" s="38"/>
      <c r="C4370" s="14"/>
      <c r="D4370" s="14"/>
      <c r="E4370" s="14"/>
      <c r="F4370" s="14"/>
      <c r="G4370" s="16"/>
    </row>
    <row r="4371" spans="2:7" x14ac:dyDescent="0.25">
      <c r="B4371" s="38"/>
      <c r="C4371" s="14"/>
      <c r="D4371" s="14"/>
      <c r="E4371" s="14"/>
      <c r="F4371" s="14"/>
      <c r="G4371" s="16"/>
    </row>
    <row r="4372" spans="2:7" x14ac:dyDescent="0.25">
      <c r="B4372" s="38"/>
      <c r="C4372" s="14"/>
      <c r="D4372" s="14"/>
      <c r="E4372" s="14"/>
      <c r="F4372" s="14"/>
      <c r="G4372" s="16"/>
    </row>
    <row r="4373" spans="2:7" x14ac:dyDescent="0.25">
      <c r="B4373" s="38"/>
      <c r="C4373" s="14"/>
      <c r="D4373" s="14"/>
      <c r="E4373" s="14"/>
      <c r="F4373" s="14"/>
      <c r="G4373" s="16"/>
    </row>
    <row r="4374" spans="2:7" x14ac:dyDescent="0.25">
      <c r="B4374" s="38"/>
      <c r="C4374" s="14"/>
      <c r="D4374" s="14"/>
      <c r="E4374" s="14"/>
      <c r="F4374" s="14"/>
      <c r="G4374" s="16"/>
    </row>
    <row r="4375" spans="2:7" x14ac:dyDescent="0.25">
      <c r="B4375" s="38"/>
      <c r="C4375" s="14"/>
      <c r="D4375" s="14"/>
      <c r="E4375" s="14"/>
      <c r="F4375" s="14"/>
      <c r="G4375" s="16"/>
    </row>
    <row r="4376" spans="2:7" x14ac:dyDescent="0.25">
      <c r="B4376" s="38"/>
      <c r="C4376" s="14"/>
      <c r="D4376" s="14"/>
      <c r="E4376" s="14"/>
      <c r="F4376" s="14"/>
      <c r="G4376" s="16"/>
    </row>
    <row r="4377" spans="2:7" x14ac:dyDescent="0.25">
      <c r="B4377" s="38"/>
      <c r="C4377" s="14"/>
      <c r="D4377" s="14"/>
      <c r="E4377" s="14"/>
      <c r="F4377" s="14"/>
      <c r="G4377" s="16"/>
    </row>
    <row r="4378" spans="2:7" x14ac:dyDescent="0.25">
      <c r="B4378" s="38"/>
      <c r="C4378" s="14"/>
      <c r="D4378" s="14"/>
      <c r="E4378" s="14"/>
      <c r="F4378" s="14"/>
      <c r="G4378" s="16"/>
    </row>
    <row r="4379" spans="2:7" x14ac:dyDescent="0.25">
      <c r="B4379" s="38"/>
      <c r="C4379" s="14"/>
      <c r="D4379" s="14"/>
      <c r="E4379" s="14"/>
      <c r="F4379" s="14"/>
      <c r="G4379" s="16"/>
    </row>
    <row r="4380" spans="2:7" x14ac:dyDescent="0.25">
      <c r="B4380" s="38"/>
      <c r="C4380" s="14"/>
      <c r="D4380" s="14"/>
      <c r="E4380" s="14"/>
      <c r="F4380" s="14"/>
      <c r="G4380" s="16"/>
    </row>
    <row r="4381" spans="2:7" x14ac:dyDescent="0.25">
      <c r="B4381" s="38"/>
      <c r="C4381" s="14"/>
      <c r="D4381" s="14"/>
      <c r="E4381" s="14"/>
      <c r="F4381" s="14"/>
      <c r="G4381" s="16"/>
    </row>
    <row r="4382" spans="2:7" x14ac:dyDescent="0.25">
      <c r="B4382" s="38"/>
      <c r="C4382" s="14"/>
      <c r="D4382" s="14"/>
      <c r="E4382" s="14"/>
      <c r="F4382" s="14"/>
      <c r="G4382" s="16"/>
    </row>
    <row r="4383" spans="2:7" x14ac:dyDescent="0.25">
      <c r="B4383" s="38"/>
      <c r="C4383" s="14"/>
      <c r="D4383" s="14"/>
      <c r="E4383" s="14"/>
      <c r="F4383" s="14"/>
      <c r="G4383" s="16"/>
    </row>
    <row r="4384" spans="2:7" x14ac:dyDescent="0.25">
      <c r="B4384" s="38"/>
      <c r="C4384" s="14"/>
      <c r="D4384" s="14"/>
      <c r="E4384" s="14"/>
      <c r="F4384" s="14"/>
      <c r="G4384" s="16"/>
    </row>
    <row r="4385" spans="2:7" x14ac:dyDescent="0.25">
      <c r="B4385" s="38"/>
      <c r="C4385" s="14"/>
      <c r="D4385" s="14"/>
      <c r="E4385" s="14"/>
      <c r="F4385" s="14"/>
      <c r="G4385" s="16"/>
    </row>
    <row r="4386" spans="2:7" x14ac:dyDescent="0.25">
      <c r="B4386" s="38"/>
      <c r="C4386" s="14"/>
      <c r="D4386" s="14"/>
      <c r="E4386" s="14"/>
      <c r="F4386" s="14"/>
      <c r="G4386" s="16"/>
    </row>
    <row r="4387" spans="2:7" x14ac:dyDescent="0.25">
      <c r="B4387" s="38"/>
      <c r="C4387" s="14"/>
      <c r="D4387" s="14"/>
      <c r="E4387" s="14"/>
      <c r="F4387" s="14"/>
      <c r="G4387" s="16"/>
    </row>
    <row r="4388" spans="2:7" x14ac:dyDescent="0.25">
      <c r="B4388" s="38"/>
      <c r="C4388" s="14"/>
      <c r="D4388" s="14"/>
      <c r="E4388" s="14"/>
      <c r="F4388" s="14"/>
      <c r="G4388" s="16"/>
    </row>
    <row r="4389" spans="2:7" x14ac:dyDescent="0.25">
      <c r="B4389" s="38"/>
      <c r="C4389" s="14"/>
      <c r="D4389" s="14"/>
      <c r="E4389" s="14"/>
      <c r="F4389" s="14"/>
      <c r="G4389" s="16"/>
    </row>
    <row r="4390" spans="2:7" x14ac:dyDescent="0.25">
      <c r="B4390" s="38"/>
      <c r="C4390" s="14"/>
      <c r="D4390" s="14"/>
      <c r="E4390" s="14"/>
      <c r="F4390" s="14"/>
      <c r="G4390" s="16"/>
    </row>
    <row r="4391" spans="2:7" x14ac:dyDescent="0.25">
      <c r="B4391" s="38"/>
      <c r="C4391" s="14"/>
      <c r="D4391" s="14"/>
      <c r="E4391" s="14"/>
      <c r="F4391" s="14"/>
      <c r="G4391" s="16"/>
    </row>
    <row r="4392" spans="2:7" x14ac:dyDescent="0.25">
      <c r="B4392" s="38"/>
      <c r="C4392" s="14"/>
      <c r="D4392" s="14"/>
      <c r="E4392" s="14"/>
      <c r="F4392" s="14"/>
      <c r="G4392" s="16"/>
    </row>
    <row r="4393" spans="2:7" x14ac:dyDescent="0.25">
      <c r="B4393" s="38"/>
      <c r="C4393" s="14"/>
      <c r="D4393" s="14"/>
      <c r="E4393" s="14"/>
      <c r="F4393" s="14"/>
      <c r="G4393" s="16"/>
    </row>
    <row r="4394" spans="2:7" x14ac:dyDescent="0.25">
      <c r="B4394" s="38"/>
      <c r="C4394" s="14"/>
      <c r="D4394" s="14"/>
      <c r="E4394" s="14"/>
      <c r="F4394" s="14"/>
      <c r="G4394" s="16"/>
    </row>
    <row r="4395" spans="2:7" x14ac:dyDescent="0.25">
      <c r="B4395" s="38"/>
      <c r="C4395" s="14"/>
      <c r="D4395" s="14"/>
      <c r="E4395" s="14"/>
      <c r="F4395" s="14"/>
      <c r="G4395" s="16"/>
    </row>
    <row r="4396" spans="2:7" x14ac:dyDescent="0.25">
      <c r="B4396" s="38"/>
      <c r="C4396" s="14"/>
      <c r="D4396" s="14"/>
      <c r="E4396" s="14"/>
      <c r="F4396" s="14"/>
      <c r="G4396" s="16"/>
    </row>
    <row r="4397" spans="2:7" x14ac:dyDescent="0.25">
      <c r="B4397" s="38"/>
      <c r="C4397" s="14"/>
      <c r="D4397" s="14"/>
      <c r="E4397" s="14"/>
      <c r="F4397" s="14"/>
      <c r="G4397" s="16"/>
    </row>
    <row r="4398" spans="2:7" x14ac:dyDescent="0.25">
      <c r="B4398" s="38"/>
      <c r="C4398" s="14"/>
      <c r="D4398" s="14"/>
      <c r="E4398" s="14"/>
      <c r="F4398" s="14"/>
      <c r="G4398" s="16"/>
    </row>
    <row r="4399" spans="2:7" x14ac:dyDescent="0.25">
      <c r="B4399" s="38"/>
      <c r="C4399" s="14"/>
      <c r="D4399" s="14"/>
      <c r="E4399" s="14"/>
      <c r="F4399" s="14"/>
      <c r="G4399" s="16"/>
    </row>
    <row r="4400" spans="2:7" x14ac:dyDescent="0.25">
      <c r="B4400" s="38"/>
      <c r="C4400" s="14"/>
      <c r="D4400" s="14"/>
      <c r="E4400" s="14"/>
      <c r="F4400" s="14"/>
      <c r="G4400" s="16"/>
    </row>
    <row r="4401" spans="2:7" x14ac:dyDescent="0.25">
      <c r="B4401" s="38"/>
      <c r="C4401" s="14"/>
      <c r="D4401" s="14"/>
      <c r="E4401" s="14"/>
      <c r="F4401" s="14"/>
      <c r="G4401" s="16"/>
    </row>
    <row r="4402" spans="2:7" x14ac:dyDescent="0.25">
      <c r="B4402" s="38"/>
      <c r="C4402" s="14"/>
      <c r="D4402" s="14"/>
      <c r="E4402" s="14"/>
      <c r="F4402" s="14"/>
      <c r="G4402" s="16"/>
    </row>
    <row r="4403" spans="2:7" x14ac:dyDescent="0.25">
      <c r="B4403" s="38"/>
      <c r="C4403" s="14"/>
      <c r="D4403" s="14"/>
      <c r="E4403" s="14"/>
      <c r="F4403" s="14"/>
      <c r="G4403" s="16"/>
    </row>
    <row r="4404" spans="2:7" x14ac:dyDescent="0.25">
      <c r="B4404" s="38"/>
      <c r="C4404" s="14"/>
      <c r="D4404" s="14"/>
      <c r="E4404" s="14"/>
      <c r="F4404" s="14"/>
      <c r="G4404" s="16"/>
    </row>
    <row r="4405" spans="2:7" x14ac:dyDescent="0.25">
      <c r="B4405" s="38"/>
      <c r="C4405" s="14"/>
      <c r="D4405" s="14"/>
      <c r="E4405" s="14"/>
      <c r="F4405" s="14"/>
      <c r="G4405" s="16"/>
    </row>
    <row r="4406" spans="2:7" x14ac:dyDescent="0.25">
      <c r="B4406" s="38"/>
      <c r="C4406" s="14"/>
      <c r="D4406" s="14"/>
      <c r="E4406" s="14"/>
      <c r="F4406" s="14"/>
      <c r="G4406" s="16"/>
    </row>
    <row r="4407" spans="2:7" x14ac:dyDescent="0.25">
      <c r="B4407" s="38"/>
      <c r="C4407" s="14"/>
      <c r="D4407" s="14"/>
      <c r="E4407" s="14"/>
      <c r="F4407" s="14"/>
      <c r="G4407" s="16"/>
    </row>
    <row r="4408" spans="2:7" x14ac:dyDescent="0.25">
      <c r="B4408" s="38"/>
      <c r="C4408" s="14"/>
      <c r="D4408" s="14"/>
      <c r="E4408" s="14"/>
      <c r="F4408" s="14"/>
      <c r="G4408" s="16"/>
    </row>
    <row r="4409" spans="2:7" x14ac:dyDescent="0.25">
      <c r="B4409" s="38"/>
      <c r="C4409" s="14"/>
      <c r="D4409" s="14"/>
      <c r="E4409" s="14"/>
      <c r="F4409" s="14"/>
      <c r="G4409" s="16"/>
    </row>
    <row r="4410" spans="2:7" x14ac:dyDescent="0.25">
      <c r="B4410" s="38"/>
      <c r="C4410" s="14"/>
      <c r="D4410" s="14"/>
      <c r="E4410" s="14"/>
      <c r="F4410" s="14"/>
      <c r="G4410" s="16"/>
    </row>
    <row r="4411" spans="2:7" x14ac:dyDescent="0.25">
      <c r="B4411" s="38"/>
      <c r="C4411" s="14"/>
      <c r="D4411" s="14"/>
      <c r="E4411" s="14"/>
      <c r="F4411" s="14"/>
      <c r="G4411" s="16"/>
    </row>
    <row r="4412" spans="2:7" x14ac:dyDescent="0.25">
      <c r="B4412" s="38"/>
      <c r="C4412" s="14"/>
      <c r="D4412" s="14"/>
      <c r="E4412" s="14"/>
      <c r="F4412" s="14"/>
      <c r="G4412" s="16"/>
    </row>
    <row r="4413" spans="2:7" x14ac:dyDescent="0.25">
      <c r="B4413" s="38"/>
      <c r="C4413" s="14"/>
      <c r="D4413" s="14"/>
      <c r="E4413" s="14"/>
      <c r="F4413" s="14"/>
      <c r="G4413" s="16"/>
    </row>
    <row r="4414" spans="2:7" x14ac:dyDescent="0.25">
      <c r="B4414" s="38"/>
      <c r="C4414" s="14"/>
      <c r="D4414" s="14"/>
      <c r="E4414" s="14"/>
      <c r="F4414" s="14"/>
      <c r="G4414" s="16"/>
    </row>
    <row r="4415" spans="2:7" x14ac:dyDescent="0.25">
      <c r="B4415" s="38"/>
      <c r="C4415" s="14"/>
      <c r="D4415" s="14"/>
      <c r="E4415" s="14"/>
      <c r="F4415" s="14"/>
      <c r="G4415" s="16"/>
    </row>
    <row r="4416" spans="2:7" x14ac:dyDescent="0.25">
      <c r="B4416" s="38"/>
      <c r="C4416" s="14"/>
      <c r="D4416" s="14"/>
      <c r="E4416" s="14"/>
      <c r="F4416" s="14"/>
      <c r="G4416" s="16"/>
    </row>
    <row r="4417" spans="2:7" x14ac:dyDescent="0.25">
      <c r="B4417" s="38"/>
      <c r="C4417" s="14"/>
      <c r="D4417" s="14"/>
      <c r="E4417" s="14"/>
      <c r="F4417" s="14"/>
      <c r="G4417" s="16"/>
    </row>
    <row r="4418" spans="2:7" x14ac:dyDescent="0.25">
      <c r="B4418" s="38"/>
      <c r="C4418" s="14"/>
      <c r="D4418" s="14"/>
      <c r="E4418" s="14"/>
      <c r="F4418" s="14"/>
      <c r="G4418" s="16"/>
    </row>
    <row r="4419" spans="2:7" x14ac:dyDescent="0.25">
      <c r="B4419" s="38"/>
      <c r="C4419" s="14"/>
      <c r="D4419" s="14"/>
      <c r="E4419" s="14"/>
      <c r="F4419" s="14"/>
      <c r="G4419" s="16"/>
    </row>
    <row r="4420" spans="2:7" x14ac:dyDescent="0.25">
      <c r="B4420" s="38"/>
      <c r="C4420" s="14"/>
      <c r="D4420" s="14"/>
      <c r="E4420" s="14"/>
      <c r="F4420" s="14"/>
      <c r="G4420" s="16"/>
    </row>
    <row r="4421" spans="2:7" x14ac:dyDescent="0.25">
      <c r="B4421" s="38"/>
      <c r="C4421" s="14"/>
      <c r="D4421" s="14"/>
      <c r="E4421" s="14"/>
      <c r="F4421" s="14"/>
      <c r="G4421" s="16"/>
    </row>
    <row r="4422" spans="2:7" x14ac:dyDescent="0.25">
      <c r="B4422" s="38"/>
      <c r="C4422" s="14"/>
      <c r="D4422" s="14"/>
      <c r="E4422" s="14"/>
      <c r="F4422" s="14"/>
      <c r="G4422" s="16"/>
    </row>
    <row r="4423" spans="2:7" x14ac:dyDescent="0.25">
      <c r="B4423" s="38"/>
      <c r="C4423" s="14"/>
      <c r="D4423" s="14"/>
      <c r="E4423" s="14"/>
      <c r="F4423" s="14"/>
      <c r="G4423" s="16"/>
    </row>
    <row r="4424" spans="2:7" x14ac:dyDescent="0.25">
      <c r="B4424" s="38"/>
      <c r="C4424" s="14"/>
      <c r="D4424" s="14"/>
      <c r="E4424" s="14"/>
      <c r="F4424" s="14"/>
      <c r="G4424" s="16"/>
    </row>
    <row r="4425" spans="2:7" x14ac:dyDescent="0.25">
      <c r="B4425" s="38"/>
      <c r="C4425" s="14"/>
      <c r="D4425" s="14"/>
      <c r="E4425" s="14"/>
      <c r="F4425" s="14"/>
      <c r="G4425" s="16"/>
    </row>
    <row r="4426" spans="2:7" x14ac:dyDescent="0.25">
      <c r="B4426" s="38"/>
      <c r="C4426" s="14"/>
      <c r="D4426" s="14"/>
      <c r="E4426" s="14"/>
      <c r="F4426" s="14"/>
      <c r="G4426" s="16"/>
    </row>
    <row r="4427" spans="2:7" x14ac:dyDescent="0.25">
      <c r="B4427" s="38"/>
      <c r="C4427" s="14"/>
      <c r="D4427" s="14"/>
      <c r="E4427" s="14"/>
      <c r="F4427" s="14"/>
      <c r="G4427" s="16"/>
    </row>
    <row r="4428" spans="2:7" x14ac:dyDescent="0.25">
      <c r="B4428" s="38"/>
      <c r="C4428" s="14"/>
      <c r="D4428" s="14"/>
      <c r="E4428" s="14"/>
      <c r="F4428" s="14"/>
      <c r="G4428" s="16"/>
    </row>
    <row r="4429" spans="2:7" x14ac:dyDescent="0.25">
      <c r="B4429" s="38"/>
      <c r="C4429" s="14"/>
      <c r="D4429" s="14"/>
      <c r="E4429" s="14"/>
      <c r="F4429" s="14"/>
      <c r="G4429" s="16"/>
    </row>
    <row r="4430" spans="2:7" x14ac:dyDescent="0.25">
      <c r="B4430" s="38"/>
      <c r="C4430" s="14"/>
      <c r="D4430" s="14"/>
      <c r="E4430" s="14"/>
      <c r="F4430" s="14"/>
      <c r="G4430" s="16"/>
    </row>
    <row r="4431" spans="2:7" x14ac:dyDescent="0.25">
      <c r="B4431" s="38"/>
      <c r="C4431" s="14"/>
      <c r="D4431" s="14"/>
      <c r="E4431" s="14"/>
      <c r="F4431" s="14"/>
      <c r="G4431" s="16"/>
    </row>
    <row r="4432" spans="2:7" x14ac:dyDescent="0.25">
      <c r="B4432" s="38"/>
      <c r="C4432" s="14"/>
      <c r="D4432" s="14"/>
      <c r="E4432" s="14"/>
      <c r="F4432" s="14"/>
      <c r="G4432" s="16"/>
    </row>
    <row r="4433" spans="2:7" x14ac:dyDescent="0.25">
      <c r="B4433" s="38"/>
      <c r="C4433" s="14"/>
      <c r="D4433" s="14"/>
      <c r="E4433" s="14"/>
      <c r="F4433" s="14"/>
      <c r="G4433" s="16"/>
    </row>
    <row r="4434" spans="2:7" x14ac:dyDescent="0.25">
      <c r="B4434" s="38"/>
      <c r="C4434" s="14"/>
      <c r="D4434" s="14"/>
      <c r="E4434" s="14"/>
      <c r="F4434" s="14"/>
      <c r="G4434" s="16"/>
    </row>
    <row r="4435" spans="2:7" x14ac:dyDescent="0.25">
      <c r="B4435" s="38"/>
      <c r="C4435" s="14"/>
      <c r="D4435" s="14"/>
      <c r="E4435" s="14"/>
      <c r="F4435" s="14"/>
      <c r="G4435" s="16"/>
    </row>
    <row r="4436" spans="2:7" x14ac:dyDescent="0.25">
      <c r="B4436" s="38"/>
      <c r="C4436" s="14"/>
      <c r="D4436" s="14"/>
      <c r="E4436" s="14"/>
      <c r="F4436" s="14"/>
      <c r="G4436" s="16"/>
    </row>
    <row r="4437" spans="2:7" x14ac:dyDescent="0.25">
      <c r="B4437" s="38"/>
      <c r="C4437" s="14"/>
      <c r="D4437" s="14"/>
      <c r="E4437" s="14"/>
      <c r="F4437" s="14"/>
      <c r="G4437" s="16"/>
    </row>
    <row r="4438" spans="2:7" x14ac:dyDescent="0.25">
      <c r="B4438" s="38"/>
      <c r="C4438" s="14"/>
      <c r="D4438" s="14"/>
      <c r="E4438" s="14"/>
      <c r="F4438" s="14"/>
      <c r="G4438" s="16"/>
    </row>
    <row r="4439" spans="2:7" x14ac:dyDescent="0.25">
      <c r="B4439" s="38"/>
      <c r="C4439" s="14"/>
      <c r="D4439" s="14"/>
      <c r="E4439" s="14"/>
      <c r="F4439" s="14"/>
      <c r="G4439" s="16"/>
    </row>
    <row r="4440" spans="2:7" x14ac:dyDescent="0.25">
      <c r="B4440" s="38"/>
      <c r="C4440" s="14"/>
      <c r="D4440" s="14"/>
      <c r="E4440" s="14"/>
      <c r="F4440" s="14"/>
      <c r="G4440" s="16"/>
    </row>
    <row r="4441" spans="2:7" x14ac:dyDescent="0.25">
      <c r="B4441" s="38"/>
      <c r="C4441" s="14"/>
      <c r="D4441" s="14"/>
      <c r="E4441" s="14"/>
      <c r="F4441" s="14"/>
      <c r="G4441" s="16"/>
    </row>
    <row r="4442" spans="2:7" x14ac:dyDescent="0.25">
      <c r="B4442" s="38"/>
      <c r="C4442" s="14"/>
      <c r="D4442" s="14"/>
      <c r="E4442" s="14"/>
      <c r="F4442" s="14"/>
      <c r="G4442" s="16"/>
    </row>
    <row r="4443" spans="2:7" x14ac:dyDescent="0.25">
      <c r="B4443" s="38"/>
      <c r="C4443" s="14"/>
      <c r="D4443" s="14"/>
      <c r="E4443" s="14"/>
      <c r="F4443" s="14"/>
      <c r="G4443" s="16"/>
    </row>
    <row r="4444" spans="2:7" x14ac:dyDescent="0.25">
      <c r="B4444" s="38"/>
      <c r="C4444" s="14"/>
      <c r="D4444" s="14"/>
      <c r="E4444" s="14"/>
      <c r="F4444" s="14"/>
      <c r="G4444" s="16"/>
    </row>
    <row r="4445" spans="2:7" x14ac:dyDescent="0.25">
      <c r="B4445" s="38"/>
      <c r="C4445" s="14"/>
      <c r="D4445" s="14"/>
      <c r="E4445" s="14"/>
      <c r="F4445" s="14"/>
      <c r="G4445" s="16"/>
    </row>
    <row r="4446" spans="2:7" x14ac:dyDescent="0.25">
      <c r="B4446" s="38"/>
      <c r="C4446" s="14"/>
      <c r="D4446" s="14"/>
      <c r="E4446" s="14"/>
      <c r="F4446" s="14"/>
      <c r="G4446" s="16"/>
    </row>
    <row r="4447" spans="2:7" x14ac:dyDescent="0.25">
      <c r="B4447" s="38"/>
      <c r="C4447" s="14"/>
      <c r="D4447" s="14"/>
      <c r="E4447" s="14"/>
      <c r="F4447" s="14"/>
      <c r="G4447" s="16"/>
    </row>
    <row r="4448" spans="2:7" x14ac:dyDescent="0.25">
      <c r="B4448" s="38"/>
      <c r="C4448" s="14"/>
      <c r="D4448" s="14"/>
      <c r="E4448" s="14"/>
      <c r="F4448" s="14"/>
      <c r="G4448" s="16"/>
    </row>
    <row r="4449" spans="2:7" x14ac:dyDescent="0.25">
      <c r="B4449" s="38"/>
      <c r="C4449" s="14"/>
      <c r="D4449" s="14"/>
      <c r="E4449" s="14"/>
      <c r="F4449" s="14"/>
      <c r="G4449" s="16"/>
    </row>
    <row r="4450" spans="2:7" x14ac:dyDescent="0.25">
      <c r="B4450" s="38"/>
      <c r="C4450" s="14"/>
      <c r="D4450" s="14"/>
      <c r="E4450" s="14"/>
      <c r="F4450" s="14"/>
      <c r="G4450" s="16"/>
    </row>
    <row r="4451" spans="2:7" x14ac:dyDescent="0.25">
      <c r="B4451" s="38"/>
      <c r="C4451" s="14"/>
      <c r="D4451" s="14"/>
      <c r="E4451" s="14"/>
      <c r="F4451" s="14"/>
      <c r="G4451" s="16"/>
    </row>
    <row r="4452" spans="2:7" x14ac:dyDescent="0.25">
      <c r="B4452" s="38"/>
      <c r="C4452" s="14"/>
      <c r="D4452" s="14"/>
      <c r="E4452" s="14"/>
      <c r="F4452" s="14"/>
      <c r="G4452" s="16"/>
    </row>
    <row r="4453" spans="2:7" x14ac:dyDescent="0.25">
      <c r="B4453" s="38"/>
      <c r="C4453" s="14"/>
      <c r="D4453" s="14"/>
      <c r="E4453" s="14"/>
      <c r="F4453" s="14"/>
      <c r="G4453" s="16"/>
    </row>
    <row r="4454" spans="2:7" x14ac:dyDescent="0.25">
      <c r="B4454" s="38"/>
      <c r="C4454" s="14"/>
      <c r="D4454" s="14"/>
      <c r="E4454" s="14"/>
      <c r="F4454" s="14"/>
      <c r="G4454" s="16"/>
    </row>
    <row r="4455" spans="2:7" x14ac:dyDescent="0.25">
      <c r="B4455" s="38"/>
      <c r="C4455" s="14"/>
      <c r="D4455" s="14"/>
      <c r="E4455" s="14"/>
      <c r="F4455" s="14"/>
      <c r="G4455" s="16"/>
    </row>
    <row r="4456" spans="2:7" x14ac:dyDescent="0.25">
      <c r="B4456" s="38"/>
      <c r="C4456" s="14"/>
      <c r="D4456" s="14"/>
      <c r="E4456" s="14"/>
      <c r="F4456" s="14"/>
      <c r="G4456" s="16"/>
    </row>
    <row r="4457" spans="2:7" x14ac:dyDescent="0.25">
      <c r="B4457" s="38"/>
      <c r="C4457" s="14"/>
      <c r="D4457" s="14"/>
      <c r="E4457" s="14"/>
      <c r="F4457" s="14"/>
      <c r="G4457" s="16"/>
    </row>
    <row r="4458" spans="2:7" x14ac:dyDescent="0.25">
      <c r="B4458" s="38"/>
      <c r="C4458" s="14"/>
      <c r="D4458" s="14"/>
      <c r="E4458" s="14"/>
      <c r="F4458" s="14"/>
      <c r="G4458" s="16"/>
    </row>
    <row r="4459" spans="2:7" x14ac:dyDescent="0.25">
      <c r="B4459" s="38"/>
      <c r="C4459" s="14"/>
      <c r="D4459" s="14"/>
      <c r="E4459" s="14"/>
      <c r="F4459" s="14"/>
      <c r="G4459" s="16"/>
    </row>
    <row r="4460" spans="2:7" x14ac:dyDescent="0.25">
      <c r="B4460" s="38"/>
      <c r="C4460" s="14"/>
      <c r="D4460" s="14"/>
      <c r="E4460" s="14"/>
      <c r="F4460" s="14"/>
      <c r="G4460" s="16"/>
    </row>
    <row r="4461" spans="2:7" x14ac:dyDescent="0.25">
      <c r="B4461" s="38"/>
      <c r="C4461" s="14"/>
      <c r="D4461" s="14"/>
      <c r="E4461" s="14"/>
      <c r="F4461" s="14"/>
      <c r="G4461" s="16"/>
    </row>
    <row r="4462" spans="2:7" x14ac:dyDescent="0.25">
      <c r="B4462" s="38"/>
      <c r="C4462" s="14"/>
      <c r="D4462" s="14"/>
      <c r="E4462" s="14"/>
      <c r="F4462" s="14"/>
      <c r="G4462" s="16"/>
    </row>
    <row r="4463" spans="2:7" x14ac:dyDescent="0.25">
      <c r="B4463" s="38"/>
      <c r="C4463" s="14"/>
      <c r="D4463" s="14"/>
      <c r="E4463" s="14"/>
      <c r="F4463" s="14"/>
      <c r="G4463" s="16"/>
    </row>
    <row r="4464" spans="2:7" x14ac:dyDescent="0.25">
      <c r="B4464" s="38"/>
      <c r="C4464" s="14"/>
      <c r="D4464" s="14"/>
      <c r="E4464" s="14"/>
      <c r="F4464" s="14"/>
      <c r="G4464" s="16"/>
    </row>
    <row r="4465" spans="2:7" x14ac:dyDescent="0.25">
      <c r="B4465" s="38"/>
      <c r="C4465" s="14"/>
      <c r="D4465" s="14"/>
      <c r="E4465" s="14"/>
      <c r="F4465" s="14"/>
      <c r="G4465" s="16"/>
    </row>
    <row r="4466" spans="2:7" x14ac:dyDescent="0.25">
      <c r="B4466" s="38"/>
      <c r="C4466" s="14"/>
      <c r="D4466" s="14"/>
      <c r="E4466" s="14"/>
      <c r="F4466" s="14"/>
      <c r="G4466" s="16"/>
    </row>
    <row r="4467" spans="2:7" x14ac:dyDescent="0.25">
      <c r="B4467" s="38"/>
      <c r="C4467" s="14"/>
      <c r="D4467" s="14"/>
      <c r="E4467" s="14"/>
      <c r="F4467" s="14"/>
      <c r="G4467" s="16"/>
    </row>
    <row r="4468" spans="2:7" x14ac:dyDescent="0.25">
      <c r="B4468" s="38"/>
      <c r="C4468" s="14"/>
      <c r="D4468" s="14"/>
      <c r="E4468" s="14"/>
      <c r="F4468" s="14"/>
      <c r="G4468" s="16"/>
    </row>
    <row r="4469" spans="2:7" x14ac:dyDescent="0.25">
      <c r="B4469" s="38"/>
      <c r="C4469" s="14"/>
      <c r="D4469" s="14"/>
      <c r="E4469" s="14"/>
      <c r="F4469" s="14"/>
      <c r="G4469" s="16"/>
    </row>
    <row r="4470" spans="2:7" x14ac:dyDescent="0.25">
      <c r="B4470" s="38"/>
      <c r="C4470" s="14"/>
      <c r="D4470" s="14"/>
      <c r="E4470" s="14"/>
      <c r="F4470" s="14"/>
      <c r="G4470" s="16"/>
    </row>
    <row r="4471" spans="2:7" x14ac:dyDescent="0.25">
      <c r="B4471" s="38"/>
      <c r="C4471" s="14"/>
      <c r="D4471" s="14"/>
      <c r="E4471" s="14"/>
      <c r="F4471" s="14"/>
      <c r="G4471" s="16"/>
    </row>
    <row r="4472" spans="2:7" x14ac:dyDescent="0.25">
      <c r="B4472" s="38"/>
      <c r="C4472" s="14"/>
      <c r="D4472" s="14"/>
      <c r="E4472" s="14"/>
      <c r="F4472" s="14"/>
      <c r="G4472" s="16"/>
    </row>
    <row r="4473" spans="2:7" x14ac:dyDescent="0.25">
      <c r="B4473" s="38"/>
      <c r="C4473" s="14"/>
      <c r="D4473" s="14"/>
      <c r="E4473" s="14"/>
      <c r="F4473" s="14"/>
      <c r="G4473" s="16"/>
    </row>
    <row r="4474" spans="2:7" x14ac:dyDescent="0.25">
      <c r="B4474" s="38"/>
      <c r="C4474" s="14"/>
      <c r="D4474" s="14"/>
      <c r="E4474" s="14"/>
      <c r="F4474" s="14"/>
      <c r="G4474" s="16"/>
    </row>
    <row r="4475" spans="2:7" x14ac:dyDescent="0.25">
      <c r="B4475" s="38"/>
      <c r="C4475" s="14"/>
      <c r="D4475" s="14"/>
      <c r="E4475" s="14"/>
      <c r="F4475" s="14"/>
      <c r="G4475" s="16"/>
    </row>
    <row r="4476" spans="2:7" x14ac:dyDescent="0.25">
      <c r="B4476" s="38"/>
      <c r="C4476" s="14"/>
      <c r="D4476" s="14"/>
      <c r="E4476" s="14"/>
      <c r="F4476" s="14"/>
      <c r="G4476" s="16"/>
    </row>
    <row r="4477" spans="2:7" x14ac:dyDescent="0.25">
      <c r="B4477" s="38"/>
      <c r="C4477" s="14"/>
      <c r="D4477" s="14"/>
      <c r="E4477" s="14"/>
      <c r="F4477" s="14"/>
      <c r="G4477" s="16"/>
    </row>
    <row r="4478" spans="2:7" x14ac:dyDescent="0.25">
      <c r="B4478" s="38"/>
      <c r="C4478" s="14"/>
      <c r="D4478" s="14"/>
      <c r="E4478" s="14"/>
      <c r="F4478" s="14"/>
      <c r="G4478" s="16"/>
    </row>
    <row r="4479" spans="2:7" x14ac:dyDescent="0.25">
      <c r="B4479" s="38"/>
      <c r="C4479" s="14"/>
      <c r="D4479" s="14"/>
      <c r="E4479" s="14"/>
      <c r="F4479" s="14"/>
      <c r="G4479" s="16"/>
    </row>
    <row r="4480" spans="2:7" x14ac:dyDescent="0.25">
      <c r="B4480" s="38"/>
      <c r="C4480" s="14"/>
      <c r="D4480" s="14"/>
      <c r="E4480" s="14"/>
      <c r="F4480" s="14"/>
      <c r="G4480" s="16"/>
    </row>
    <row r="4481" spans="2:7" x14ac:dyDescent="0.25">
      <c r="B4481" s="38"/>
      <c r="C4481" s="14"/>
      <c r="D4481" s="14"/>
      <c r="E4481" s="14"/>
      <c r="F4481" s="14"/>
      <c r="G4481" s="16"/>
    </row>
    <row r="4482" spans="2:7" x14ac:dyDescent="0.25">
      <c r="B4482" s="38"/>
      <c r="C4482" s="14"/>
      <c r="D4482" s="14"/>
      <c r="E4482" s="14"/>
      <c r="F4482" s="14"/>
      <c r="G4482" s="16"/>
    </row>
    <row r="4483" spans="2:7" x14ac:dyDescent="0.25">
      <c r="B4483" s="38"/>
      <c r="C4483" s="14"/>
      <c r="D4483" s="14"/>
      <c r="E4483" s="14"/>
      <c r="F4483" s="14"/>
      <c r="G4483" s="16"/>
    </row>
    <row r="4484" spans="2:7" x14ac:dyDescent="0.25">
      <c r="B4484" s="38"/>
      <c r="C4484" s="14"/>
      <c r="D4484" s="14"/>
      <c r="E4484" s="14"/>
      <c r="F4484" s="14"/>
      <c r="G4484" s="16"/>
    </row>
    <row r="4485" spans="2:7" x14ac:dyDescent="0.25">
      <c r="B4485" s="38"/>
      <c r="C4485" s="14"/>
      <c r="D4485" s="14"/>
      <c r="E4485" s="14"/>
      <c r="F4485" s="14"/>
      <c r="G4485" s="16"/>
    </row>
    <row r="4486" spans="2:7" x14ac:dyDescent="0.25">
      <c r="B4486" s="38"/>
      <c r="C4486" s="14"/>
      <c r="D4486" s="14"/>
      <c r="E4486" s="14"/>
      <c r="F4486" s="14"/>
      <c r="G4486" s="16"/>
    </row>
    <row r="4487" spans="2:7" x14ac:dyDescent="0.25">
      <c r="B4487" s="38"/>
      <c r="C4487" s="14"/>
      <c r="D4487" s="14"/>
      <c r="E4487" s="14"/>
      <c r="F4487" s="14"/>
      <c r="G4487" s="16"/>
    </row>
    <row r="4488" spans="2:7" x14ac:dyDescent="0.25">
      <c r="B4488" s="38"/>
      <c r="C4488" s="14"/>
      <c r="D4488" s="14"/>
      <c r="E4488" s="14"/>
      <c r="F4488" s="14"/>
      <c r="G4488" s="16"/>
    </row>
    <row r="4489" spans="2:7" x14ac:dyDescent="0.25">
      <c r="B4489" s="38"/>
      <c r="C4489" s="14"/>
      <c r="D4489" s="14"/>
      <c r="E4489" s="14"/>
      <c r="F4489" s="14"/>
      <c r="G4489" s="16"/>
    </row>
    <row r="4490" spans="2:7" x14ac:dyDescent="0.25">
      <c r="B4490" s="38"/>
      <c r="C4490" s="14"/>
      <c r="D4490" s="14"/>
      <c r="E4490" s="14"/>
      <c r="F4490" s="14"/>
      <c r="G4490" s="16"/>
    </row>
    <row r="4491" spans="2:7" x14ac:dyDescent="0.25">
      <c r="B4491" s="38"/>
      <c r="C4491" s="14"/>
      <c r="D4491" s="14"/>
      <c r="E4491" s="14"/>
      <c r="F4491" s="14"/>
      <c r="G4491" s="16"/>
    </row>
    <row r="4492" spans="2:7" x14ac:dyDescent="0.25">
      <c r="B4492" s="38"/>
      <c r="C4492" s="14"/>
      <c r="D4492" s="14"/>
      <c r="E4492" s="14"/>
      <c r="F4492" s="14"/>
      <c r="G4492" s="16"/>
    </row>
    <row r="4493" spans="2:7" x14ac:dyDescent="0.25">
      <c r="B4493" s="38"/>
      <c r="C4493" s="14"/>
      <c r="D4493" s="14"/>
      <c r="E4493" s="14"/>
      <c r="F4493" s="14"/>
      <c r="G4493" s="16"/>
    </row>
    <row r="4494" spans="2:7" x14ac:dyDescent="0.25">
      <c r="B4494" s="38"/>
      <c r="C4494" s="14"/>
      <c r="D4494" s="14"/>
      <c r="E4494" s="14"/>
      <c r="F4494" s="14"/>
      <c r="G4494" s="16"/>
    </row>
    <row r="4495" spans="2:7" x14ac:dyDescent="0.25">
      <c r="B4495" s="38"/>
      <c r="C4495" s="14"/>
      <c r="D4495" s="14"/>
      <c r="E4495" s="14"/>
      <c r="F4495" s="14"/>
      <c r="G4495" s="16"/>
    </row>
    <row r="4496" spans="2:7" x14ac:dyDescent="0.25">
      <c r="B4496" s="38"/>
      <c r="C4496" s="14"/>
      <c r="D4496" s="14"/>
      <c r="E4496" s="14"/>
      <c r="F4496" s="14"/>
      <c r="G4496" s="16"/>
    </row>
    <row r="4497" spans="2:7" x14ac:dyDescent="0.25">
      <c r="B4497" s="38"/>
      <c r="C4497" s="14"/>
      <c r="D4497" s="14"/>
      <c r="E4497" s="14"/>
      <c r="F4497" s="14"/>
      <c r="G4497" s="16"/>
    </row>
    <row r="4498" spans="2:7" x14ac:dyDescent="0.25">
      <c r="B4498" s="38"/>
      <c r="C4498" s="14"/>
      <c r="D4498" s="14"/>
      <c r="E4498" s="14"/>
      <c r="F4498" s="14"/>
      <c r="G4498" s="16"/>
    </row>
    <row r="4499" spans="2:7" x14ac:dyDescent="0.25">
      <c r="B4499" s="38"/>
      <c r="C4499" s="14"/>
      <c r="D4499" s="14"/>
      <c r="E4499" s="14"/>
      <c r="F4499" s="14"/>
      <c r="G4499" s="16"/>
    </row>
    <row r="4500" spans="2:7" x14ac:dyDescent="0.25">
      <c r="B4500" s="38"/>
      <c r="C4500" s="14"/>
      <c r="D4500" s="14"/>
      <c r="E4500" s="14"/>
      <c r="F4500" s="14"/>
      <c r="G4500" s="16"/>
    </row>
    <row r="4501" spans="2:7" x14ac:dyDescent="0.25">
      <c r="B4501" s="38"/>
      <c r="C4501" s="14"/>
      <c r="D4501" s="14"/>
      <c r="E4501" s="14"/>
      <c r="F4501" s="14"/>
      <c r="G4501" s="16"/>
    </row>
    <row r="4502" spans="2:7" x14ac:dyDescent="0.25">
      <c r="B4502" s="38"/>
      <c r="C4502" s="14"/>
      <c r="D4502" s="14"/>
      <c r="E4502" s="14"/>
      <c r="F4502" s="14"/>
      <c r="G4502" s="16"/>
    </row>
    <row r="4503" spans="2:7" x14ac:dyDescent="0.25">
      <c r="B4503" s="38"/>
      <c r="C4503" s="14"/>
      <c r="D4503" s="14"/>
      <c r="E4503" s="14"/>
      <c r="F4503" s="14"/>
      <c r="G4503" s="16"/>
    </row>
    <row r="4504" spans="2:7" x14ac:dyDescent="0.25">
      <c r="B4504" s="38"/>
      <c r="C4504" s="14"/>
      <c r="D4504" s="14"/>
      <c r="E4504" s="14"/>
      <c r="F4504" s="14"/>
      <c r="G4504" s="16"/>
    </row>
    <row r="4505" spans="2:7" x14ac:dyDescent="0.25">
      <c r="B4505" s="38"/>
      <c r="C4505" s="14"/>
      <c r="D4505" s="14"/>
      <c r="E4505" s="14"/>
      <c r="F4505" s="14"/>
      <c r="G4505" s="16"/>
    </row>
    <row r="4506" spans="2:7" x14ac:dyDescent="0.25">
      <c r="B4506" s="38"/>
      <c r="C4506" s="14"/>
      <c r="D4506" s="14"/>
      <c r="E4506" s="14"/>
      <c r="F4506" s="14"/>
      <c r="G4506" s="16"/>
    </row>
    <row r="4507" spans="2:7" x14ac:dyDescent="0.25">
      <c r="B4507" s="38"/>
      <c r="C4507" s="14"/>
      <c r="D4507" s="14"/>
      <c r="E4507" s="14"/>
      <c r="F4507" s="14"/>
      <c r="G4507" s="16"/>
    </row>
    <row r="4508" spans="2:7" x14ac:dyDescent="0.25">
      <c r="B4508" s="38"/>
      <c r="C4508" s="14"/>
      <c r="D4508" s="14"/>
      <c r="E4508" s="14"/>
      <c r="F4508" s="14"/>
      <c r="G4508" s="16"/>
    </row>
    <row r="4509" spans="2:7" x14ac:dyDescent="0.25">
      <c r="B4509" s="38"/>
      <c r="C4509" s="14"/>
      <c r="D4509" s="14"/>
      <c r="E4509" s="14"/>
      <c r="F4509" s="14"/>
      <c r="G4509" s="16"/>
    </row>
    <row r="4510" spans="2:7" x14ac:dyDescent="0.25">
      <c r="B4510" s="38"/>
      <c r="C4510" s="14"/>
      <c r="D4510" s="14"/>
      <c r="E4510" s="14"/>
      <c r="F4510" s="14"/>
      <c r="G4510" s="16"/>
    </row>
    <row r="4511" spans="2:7" x14ac:dyDescent="0.25">
      <c r="B4511" s="38"/>
      <c r="C4511" s="14"/>
      <c r="D4511" s="14"/>
      <c r="E4511" s="14"/>
      <c r="F4511" s="14"/>
      <c r="G4511" s="16"/>
    </row>
    <row r="4512" spans="2:7" x14ac:dyDescent="0.25">
      <c r="B4512" s="38"/>
      <c r="C4512" s="14"/>
      <c r="D4512" s="14"/>
      <c r="E4512" s="14"/>
      <c r="F4512" s="14"/>
      <c r="G4512" s="16"/>
    </row>
    <row r="4513" spans="2:7" x14ac:dyDescent="0.25">
      <c r="B4513" s="38"/>
      <c r="C4513" s="14"/>
      <c r="D4513" s="14"/>
      <c r="E4513" s="14"/>
      <c r="F4513" s="14"/>
      <c r="G4513" s="16"/>
    </row>
    <row r="4514" spans="2:7" x14ac:dyDescent="0.25">
      <c r="B4514" s="38"/>
      <c r="C4514" s="14"/>
      <c r="D4514" s="14"/>
      <c r="E4514" s="14"/>
      <c r="F4514" s="14"/>
      <c r="G4514" s="16"/>
    </row>
    <row r="4515" spans="2:7" x14ac:dyDescent="0.25">
      <c r="B4515" s="38"/>
      <c r="C4515" s="14"/>
      <c r="D4515" s="14"/>
      <c r="E4515" s="14"/>
      <c r="F4515" s="14"/>
      <c r="G4515" s="16"/>
    </row>
    <row r="4516" spans="2:7" x14ac:dyDescent="0.25">
      <c r="B4516" s="38"/>
      <c r="C4516" s="14"/>
      <c r="D4516" s="14"/>
      <c r="E4516" s="14"/>
      <c r="F4516" s="14"/>
      <c r="G4516" s="16"/>
    </row>
    <row r="4517" spans="2:7" x14ac:dyDescent="0.25">
      <c r="B4517" s="38"/>
      <c r="C4517" s="14"/>
      <c r="D4517" s="14"/>
      <c r="E4517" s="14"/>
      <c r="F4517" s="14"/>
      <c r="G4517" s="16"/>
    </row>
    <row r="4518" spans="2:7" x14ac:dyDescent="0.25">
      <c r="B4518" s="38"/>
      <c r="C4518" s="14"/>
      <c r="D4518" s="14"/>
      <c r="E4518" s="14"/>
      <c r="F4518" s="14"/>
      <c r="G4518" s="16"/>
    </row>
    <row r="4519" spans="2:7" x14ac:dyDescent="0.25">
      <c r="B4519" s="38"/>
      <c r="C4519" s="14"/>
      <c r="D4519" s="14"/>
      <c r="E4519" s="14"/>
      <c r="F4519" s="14"/>
      <c r="G4519" s="16"/>
    </row>
    <row r="4520" spans="2:7" x14ac:dyDescent="0.25">
      <c r="B4520" s="38"/>
      <c r="C4520" s="14"/>
      <c r="D4520" s="14"/>
      <c r="E4520" s="14"/>
      <c r="F4520" s="14"/>
      <c r="G4520" s="16"/>
    </row>
    <row r="4521" spans="2:7" x14ac:dyDescent="0.25">
      <c r="B4521" s="38"/>
      <c r="C4521" s="14"/>
      <c r="D4521" s="14"/>
      <c r="E4521" s="14"/>
      <c r="F4521" s="14"/>
      <c r="G4521" s="16"/>
    </row>
    <row r="4522" spans="2:7" x14ac:dyDescent="0.25">
      <c r="B4522" s="38"/>
      <c r="C4522" s="14"/>
      <c r="D4522" s="14"/>
      <c r="E4522" s="14"/>
      <c r="F4522" s="14"/>
      <c r="G4522" s="16"/>
    </row>
    <row r="4523" spans="2:7" x14ac:dyDescent="0.25">
      <c r="B4523" s="38"/>
      <c r="C4523" s="14"/>
      <c r="D4523" s="14"/>
      <c r="E4523" s="14"/>
      <c r="F4523" s="14"/>
      <c r="G4523" s="16"/>
    </row>
    <row r="4524" spans="2:7" x14ac:dyDescent="0.25">
      <c r="B4524" s="38"/>
      <c r="C4524" s="14"/>
      <c r="D4524" s="14"/>
      <c r="E4524" s="14"/>
      <c r="F4524" s="14"/>
      <c r="G4524" s="16"/>
    </row>
    <row r="4525" spans="2:7" x14ac:dyDescent="0.25">
      <c r="B4525" s="38"/>
      <c r="C4525" s="14"/>
      <c r="D4525" s="14"/>
      <c r="E4525" s="14"/>
      <c r="F4525" s="14"/>
      <c r="G4525" s="16"/>
    </row>
    <row r="4526" spans="2:7" x14ac:dyDescent="0.25">
      <c r="B4526" s="38"/>
      <c r="C4526" s="14"/>
      <c r="D4526" s="14"/>
      <c r="E4526" s="14"/>
      <c r="F4526" s="14"/>
      <c r="G4526" s="16"/>
    </row>
    <row r="4527" spans="2:7" x14ac:dyDescent="0.25">
      <c r="B4527" s="38"/>
      <c r="C4527" s="14"/>
      <c r="D4527" s="14"/>
      <c r="E4527" s="14"/>
      <c r="F4527" s="14"/>
      <c r="G4527" s="16"/>
    </row>
    <row r="4528" spans="2:7" x14ac:dyDescent="0.25">
      <c r="B4528" s="38"/>
      <c r="C4528" s="14"/>
      <c r="D4528" s="14"/>
      <c r="E4528" s="14"/>
      <c r="F4528" s="14"/>
      <c r="G4528" s="16"/>
    </row>
    <row r="4529" spans="2:7" x14ac:dyDescent="0.25">
      <c r="B4529" s="38"/>
      <c r="C4529" s="14"/>
      <c r="D4529" s="14"/>
      <c r="E4529" s="14"/>
      <c r="F4529" s="14"/>
      <c r="G4529" s="16"/>
    </row>
    <row r="4530" spans="2:7" x14ac:dyDescent="0.25">
      <c r="B4530" s="38"/>
      <c r="C4530" s="14"/>
      <c r="D4530" s="14"/>
      <c r="E4530" s="14"/>
      <c r="F4530" s="14"/>
      <c r="G4530" s="16"/>
    </row>
    <row r="4531" spans="2:7" x14ac:dyDescent="0.25">
      <c r="B4531" s="38"/>
      <c r="C4531" s="14"/>
      <c r="D4531" s="14"/>
      <c r="E4531" s="14"/>
      <c r="F4531" s="14"/>
      <c r="G4531" s="16"/>
    </row>
    <row r="4532" spans="2:7" x14ac:dyDescent="0.25">
      <c r="B4532" s="38"/>
      <c r="C4532" s="14"/>
      <c r="D4532" s="14"/>
      <c r="E4532" s="14"/>
      <c r="F4532" s="14"/>
      <c r="G4532" s="16"/>
    </row>
    <row r="4533" spans="2:7" x14ac:dyDescent="0.25">
      <c r="B4533" s="38"/>
      <c r="C4533" s="14"/>
      <c r="D4533" s="14"/>
      <c r="E4533" s="14"/>
      <c r="F4533" s="14"/>
      <c r="G4533" s="16"/>
    </row>
    <row r="4534" spans="2:7" x14ac:dyDescent="0.25">
      <c r="B4534" s="38"/>
      <c r="C4534" s="14"/>
      <c r="D4534" s="14"/>
      <c r="E4534" s="14"/>
      <c r="F4534" s="14"/>
      <c r="G4534" s="16"/>
    </row>
    <row r="4535" spans="2:7" x14ac:dyDescent="0.25">
      <c r="B4535" s="38"/>
      <c r="C4535" s="14"/>
      <c r="D4535" s="14"/>
      <c r="E4535" s="14"/>
      <c r="F4535" s="14"/>
      <c r="G4535" s="16"/>
    </row>
    <row r="4536" spans="2:7" x14ac:dyDescent="0.25">
      <c r="B4536" s="38"/>
      <c r="C4536" s="14"/>
      <c r="D4536" s="14"/>
      <c r="E4536" s="14"/>
      <c r="F4536" s="14"/>
      <c r="G4536" s="16"/>
    </row>
    <row r="4537" spans="2:7" x14ac:dyDescent="0.25">
      <c r="B4537" s="38"/>
      <c r="C4537" s="14"/>
      <c r="D4537" s="14"/>
      <c r="E4537" s="14"/>
      <c r="F4537" s="14"/>
      <c r="G4537" s="16"/>
    </row>
    <row r="4538" spans="2:7" x14ac:dyDescent="0.25">
      <c r="B4538" s="38"/>
      <c r="C4538" s="14"/>
      <c r="D4538" s="14"/>
      <c r="E4538" s="14"/>
      <c r="F4538" s="14"/>
      <c r="G4538" s="16"/>
    </row>
    <row r="4539" spans="2:7" x14ac:dyDescent="0.25">
      <c r="B4539" s="38"/>
      <c r="C4539" s="14"/>
      <c r="D4539" s="14"/>
      <c r="E4539" s="14"/>
      <c r="F4539" s="14"/>
      <c r="G4539" s="16"/>
    </row>
    <row r="4540" spans="2:7" x14ac:dyDescent="0.25">
      <c r="B4540" s="38"/>
      <c r="C4540" s="14"/>
      <c r="D4540" s="14"/>
      <c r="E4540" s="14"/>
      <c r="F4540" s="14"/>
      <c r="G4540" s="16"/>
    </row>
    <row r="4541" spans="2:7" x14ac:dyDescent="0.25">
      <c r="B4541" s="38"/>
      <c r="C4541" s="14"/>
      <c r="D4541" s="14"/>
      <c r="E4541" s="14"/>
      <c r="F4541" s="14"/>
      <c r="G4541" s="16"/>
    </row>
    <row r="4542" spans="2:7" x14ac:dyDescent="0.25">
      <c r="B4542" s="38"/>
      <c r="C4542" s="14"/>
      <c r="D4542" s="14"/>
      <c r="E4542" s="14"/>
      <c r="F4542" s="14"/>
      <c r="G4542" s="16"/>
    </row>
    <row r="4543" spans="2:7" x14ac:dyDescent="0.25">
      <c r="B4543" s="38"/>
      <c r="C4543" s="14"/>
      <c r="D4543" s="14"/>
      <c r="E4543" s="14"/>
      <c r="F4543" s="14"/>
      <c r="G4543" s="16"/>
    </row>
    <row r="4544" spans="2:7" x14ac:dyDescent="0.25">
      <c r="B4544" s="38"/>
      <c r="C4544" s="14"/>
      <c r="D4544" s="14"/>
      <c r="E4544" s="14"/>
      <c r="F4544" s="14"/>
      <c r="G4544" s="16"/>
    </row>
    <row r="4545" spans="2:7" x14ac:dyDescent="0.25">
      <c r="B4545" s="38"/>
      <c r="C4545" s="14"/>
      <c r="D4545" s="14"/>
      <c r="E4545" s="14"/>
      <c r="F4545" s="14"/>
      <c r="G4545" s="16"/>
    </row>
    <row r="4546" spans="2:7" x14ac:dyDescent="0.25">
      <c r="B4546" s="38"/>
      <c r="C4546" s="14"/>
      <c r="D4546" s="14"/>
      <c r="E4546" s="14"/>
      <c r="F4546" s="14"/>
      <c r="G4546" s="16"/>
    </row>
    <row r="4547" spans="2:7" x14ac:dyDescent="0.25">
      <c r="B4547" s="38"/>
      <c r="C4547" s="14"/>
      <c r="D4547" s="14"/>
      <c r="E4547" s="14"/>
      <c r="F4547" s="14"/>
      <c r="G4547" s="16"/>
    </row>
    <row r="4548" spans="2:7" x14ac:dyDescent="0.25">
      <c r="B4548" s="38"/>
      <c r="C4548" s="14"/>
      <c r="D4548" s="14"/>
      <c r="E4548" s="14"/>
      <c r="F4548" s="14"/>
      <c r="G4548" s="16"/>
    </row>
    <row r="4549" spans="2:7" x14ac:dyDescent="0.25">
      <c r="B4549" s="38"/>
      <c r="C4549" s="14"/>
      <c r="D4549" s="14"/>
      <c r="E4549" s="14"/>
      <c r="F4549" s="14"/>
      <c r="G4549" s="16"/>
    </row>
    <row r="4550" spans="2:7" x14ac:dyDescent="0.25">
      <c r="B4550" s="38"/>
      <c r="C4550" s="14"/>
      <c r="D4550" s="14"/>
      <c r="E4550" s="14"/>
      <c r="F4550" s="14"/>
      <c r="G4550" s="16"/>
    </row>
    <row r="4551" spans="2:7" x14ac:dyDescent="0.25">
      <c r="B4551" s="38"/>
      <c r="C4551" s="14"/>
      <c r="D4551" s="14"/>
      <c r="E4551" s="14"/>
      <c r="F4551" s="14"/>
      <c r="G4551" s="16"/>
    </row>
    <row r="4552" spans="2:7" x14ac:dyDescent="0.25">
      <c r="B4552" s="38"/>
      <c r="C4552" s="14"/>
      <c r="D4552" s="14"/>
      <c r="E4552" s="14"/>
      <c r="F4552" s="14"/>
      <c r="G4552" s="16"/>
    </row>
    <row r="4553" spans="2:7" x14ac:dyDescent="0.25">
      <c r="B4553" s="38"/>
      <c r="C4553" s="14"/>
      <c r="D4553" s="14"/>
      <c r="E4553" s="14"/>
      <c r="F4553" s="14"/>
      <c r="G4553" s="16"/>
    </row>
    <row r="4554" spans="2:7" x14ac:dyDescent="0.25">
      <c r="B4554" s="38"/>
      <c r="C4554" s="14"/>
      <c r="D4554" s="14"/>
      <c r="E4554" s="14"/>
      <c r="F4554" s="14"/>
      <c r="G4554" s="16"/>
    </row>
    <row r="4555" spans="2:7" x14ac:dyDescent="0.25">
      <c r="B4555" s="38"/>
      <c r="C4555" s="14"/>
      <c r="D4555" s="14"/>
      <c r="E4555" s="14"/>
      <c r="F4555" s="14"/>
      <c r="G4555" s="16"/>
    </row>
    <row r="4556" spans="2:7" x14ac:dyDescent="0.25">
      <c r="B4556" s="38"/>
      <c r="C4556" s="14"/>
      <c r="D4556" s="14"/>
      <c r="E4556" s="14"/>
      <c r="F4556" s="14"/>
      <c r="G4556" s="16"/>
    </row>
    <row r="4557" spans="2:7" x14ac:dyDescent="0.25">
      <c r="B4557" s="38"/>
      <c r="C4557" s="14"/>
      <c r="D4557" s="14"/>
      <c r="E4557" s="14"/>
      <c r="F4557" s="14"/>
      <c r="G4557" s="16"/>
    </row>
    <row r="4558" spans="2:7" x14ac:dyDescent="0.25">
      <c r="B4558" s="38"/>
      <c r="C4558" s="14"/>
      <c r="D4558" s="14"/>
      <c r="E4558" s="14"/>
      <c r="F4558" s="14"/>
      <c r="G4558" s="16"/>
    </row>
    <row r="4559" spans="2:7" x14ac:dyDescent="0.25">
      <c r="B4559" s="38"/>
      <c r="C4559" s="14"/>
      <c r="D4559" s="14"/>
      <c r="E4559" s="14"/>
      <c r="F4559" s="14"/>
      <c r="G4559" s="16"/>
    </row>
    <row r="4560" spans="2:7" x14ac:dyDescent="0.25">
      <c r="B4560" s="38"/>
      <c r="C4560" s="14"/>
      <c r="D4560" s="14"/>
      <c r="E4560" s="14"/>
      <c r="F4560" s="14"/>
      <c r="G4560" s="16"/>
    </row>
    <row r="4561" spans="2:7" x14ac:dyDescent="0.25">
      <c r="B4561" s="38"/>
      <c r="C4561" s="14"/>
      <c r="D4561" s="14"/>
      <c r="E4561" s="14"/>
      <c r="F4561" s="14"/>
      <c r="G4561" s="16"/>
    </row>
    <row r="4562" spans="2:7" x14ac:dyDescent="0.25">
      <c r="B4562" s="38"/>
      <c r="C4562" s="14"/>
      <c r="D4562" s="14"/>
      <c r="E4562" s="14"/>
      <c r="F4562" s="14"/>
      <c r="G4562" s="16"/>
    </row>
    <row r="4563" spans="2:7" x14ac:dyDescent="0.25">
      <c r="B4563" s="38"/>
      <c r="C4563" s="14"/>
      <c r="D4563" s="14"/>
      <c r="E4563" s="14"/>
      <c r="F4563" s="14"/>
      <c r="G4563" s="16"/>
    </row>
    <row r="4564" spans="2:7" x14ac:dyDescent="0.25">
      <c r="B4564" s="38"/>
      <c r="C4564" s="14"/>
      <c r="D4564" s="14"/>
      <c r="E4564" s="14"/>
      <c r="F4564" s="14"/>
      <c r="G4564" s="16"/>
    </row>
    <row r="4565" spans="2:7" x14ac:dyDescent="0.25">
      <c r="B4565" s="38"/>
      <c r="C4565" s="14"/>
      <c r="D4565" s="14"/>
      <c r="E4565" s="14"/>
      <c r="F4565" s="14"/>
      <c r="G4565" s="16"/>
    </row>
    <row r="4566" spans="2:7" x14ac:dyDescent="0.25">
      <c r="B4566" s="38"/>
      <c r="C4566" s="14"/>
      <c r="D4566" s="14"/>
      <c r="E4566" s="14"/>
      <c r="F4566" s="14"/>
      <c r="G4566" s="16"/>
    </row>
    <row r="4567" spans="2:7" x14ac:dyDescent="0.25">
      <c r="B4567" s="38"/>
      <c r="C4567" s="14"/>
      <c r="D4567" s="14"/>
      <c r="E4567" s="14"/>
      <c r="F4567" s="14"/>
      <c r="G4567" s="16"/>
    </row>
    <row r="4568" spans="2:7" x14ac:dyDescent="0.25">
      <c r="B4568" s="38"/>
      <c r="C4568" s="14"/>
      <c r="D4568" s="14"/>
      <c r="E4568" s="14"/>
      <c r="F4568" s="14"/>
      <c r="G4568" s="16"/>
    </row>
    <row r="4569" spans="2:7" x14ac:dyDescent="0.25">
      <c r="B4569" s="38"/>
      <c r="C4569" s="14"/>
      <c r="D4569" s="14"/>
      <c r="E4569" s="14"/>
      <c r="F4569" s="14"/>
      <c r="G4569" s="16"/>
    </row>
    <row r="4570" spans="2:7" x14ac:dyDescent="0.25">
      <c r="B4570" s="38"/>
      <c r="C4570" s="14"/>
      <c r="D4570" s="14"/>
      <c r="E4570" s="14"/>
      <c r="F4570" s="14"/>
      <c r="G4570" s="16"/>
    </row>
    <row r="4571" spans="2:7" x14ac:dyDescent="0.25">
      <c r="B4571" s="38"/>
      <c r="C4571" s="14"/>
      <c r="D4571" s="14"/>
      <c r="E4571" s="14"/>
      <c r="F4571" s="14"/>
      <c r="G4571" s="16"/>
    </row>
    <row r="4572" spans="2:7" x14ac:dyDescent="0.25">
      <c r="B4572" s="38"/>
      <c r="C4572" s="14"/>
      <c r="D4572" s="14"/>
      <c r="E4572" s="14"/>
      <c r="F4572" s="14"/>
      <c r="G4572" s="16"/>
    </row>
    <row r="4573" spans="2:7" x14ac:dyDescent="0.25">
      <c r="B4573" s="38"/>
      <c r="C4573" s="14"/>
      <c r="D4573" s="14"/>
      <c r="E4573" s="14"/>
      <c r="F4573" s="14"/>
      <c r="G4573" s="16"/>
    </row>
    <row r="4574" spans="2:7" x14ac:dyDescent="0.25">
      <c r="B4574" s="38"/>
      <c r="C4574" s="14"/>
      <c r="D4574" s="14"/>
      <c r="E4574" s="14"/>
      <c r="F4574" s="14"/>
      <c r="G4574" s="16"/>
    </row>
    <row r="4575" spans="2:7" x14ac:dyDescent="0.25">
      <c r="B4575" s="38"/>
      <c r="C4575" s="14"/>
      <c r="D4575" s="14"/>
      <c r="E4575" s="14"/>
      <c r="F4575" s="14"/>
      <c r="G4575" s="16"/>
    </row>
    <row r="4576" spans="2:7" x14ac:dyDescent="0.25">
      <c r="B4576" s="38"/>
      <c r="C4576" s="14"/>
      <c r="D4576" s="14"/>
      <c r="E4576" s="14"/>
      <c r="F4576" s="14"/>
      <c r="G4576" s="16"/>
    </row>
    <row r="4577" spans="2:7" x14ac:dyDescent="0.25">
      <c r="B4577" s="38"/>
      <c r="C4577" s="14"/>
      <c r="D4577" s="14"/>
      <c r="E4577" s="14"/>
      <c r="F4577" s="14"/>
      <c r="G4577" s="16"/>
    </row>
    <row r="4578" spans="2:7" x14ac:dyDescent="0.25">
      <c r="B4578" s="38"/>
      <c r="C4578" s="14"/>
      <c r="D4578" s="14"/>
      <c r="E4578" s="14"/>
      <c r="F4578" s="14"/>
      <c r="G4578" s="16"/>
    </row>
    <row r="4579" spans="2:7" x14ac:dyDescent="0.25">
      <c r="B4579" s="38"/>
      <c r="C4579" s="14"/>
      <c r="D4579" s="14"/>
      <c r="E4579" s="14"/>
      <c r="F4579" s="14"/>
      <c r="G4579" s="16"/>
    </row>
    <row r="4580" spans="2:7" x14ac:dyDescent="0.25">
      <c r="B4580" s="38"/>
      <c r="C4580" s="14"/>
      <c r="D4580" s="14"/>
      <c r="E4580" s="14"/>
      <c r="F4580" s="14"/>
      <c r="G4580" s="16"/>
    </row>
    <row r="4581" spans="2:7" x14ac:dyDescent="0.25">
      <c r="B4581" s="38"/>
      <c r="C4581" s="14"/>
      <c r="D4581" s="14"/>
      <c r="E4581" s="14"/>
      <c r="F4581" s="14"/>
      <c r="G4581" s="16"/>
    </row>
    <row r="4582" spans="2:7" x14ac:dyDescent="0.25">
      <c r="B4582" s="38"/>
      <c r="C4582" s="14"/>
      <c r="D4582" s="14"/>
      <c r="E4582" s="14"/>
      <c r="F4582" s="14"/>
      <c r="G4582" s="16"/>
    </row>
    <row r="4583" spans="2:7" x14ac:dyDescent="0.25">
      <c r="B4583" s="38"/>
      <c r="C4583" s="14"/>
      <c r="D4583" s="14"/>
      <c r="E4583" s="14"/>
      <c r="F4583" s="14"/>
      <c r="G4583" s="16"/>
    </row>
    <row r="4584" spans="2:7" x14ac:dyDescent="0.25">
      <c r="B4584" s="38"/>
      <c r="C4584" s="14"/>
      <c r="D4584" s="14"/>
      <c r="E4584" s="14"/>
      <c r="F4584" s="14"/>
      <c r="G4584" s="16"/>
    </row>
    <row r="4585" spans="2:7" x14ac:dyDescent="0.25">
      <c r="B4585" s="38"/>
      <c r="C4585" s="14"/>
      <c r="D4585" s="14"/>
      <c r="E4585" s="14"/>
      <c r="F4585" s="14"/>
      <c r="G4585" s="16"/>
    </row>
    <row r="4586" spans="2:7" x14ac:dyDescent="0.25">
      <c r="B4586" s="38"/>
      <c r="C4586" s="14"/>
      <c r="D4586" s="14"/>
      <c r="E4586" s="14"/>
      <c r="F4586" s="14"/>
      <c r="G4586" s="16"/>
    </row>
    <row r="4587" spans="2:7" x14ac:dyDescent="0.25">
      <c r="B4587" s="38"/>
      <c r="C4587" s="14"/>
      <c r="D4587" s="14"/>
      <c r="E4587" s="14"/>
      <c r="F4587" s="14"/>
      <c r="G4587" s="16"/>
    </row>
    <row r="4588" spans="2:7" x14ac:dyDescent="0.25">
      <c r="B4588" s="38"/>
      <c r="C4588" s="14"/>
      <c r="D4588" s="14"/>
      <c r="E4588" s="14"/>
      <c r="F4588" s="14"/>
      <c r="G4588" s="16"/>
    </row>
    <row r="4589" spans="2:7" x14ac:dyDescent="0.25">
      <c r="B4589" s="38"/>
      <c r="C4589" s="14"/>
      <c r="D4589" s="14"/>
      <c r="E4589" s="14"/>
      <c r="F4589" s="14"/>
      <c r="G4589" s="16"/>
    </row>
    <row r="4590" spans="2:7" x14ac:dyDescent="0.25">
      <c r="B4590" s="38"/>
      <c r="C4590" s="14"/>
      <c r="D4590" s="14"/>
      <c r="E4590" s="14"/>
      <c r="F4590" s="14"/>
      <c r="G4590" s="16"/>
    </row>
    <row r="4591" spans="2:7" x14ac:dyDescent="0.25">
      <c r="B4591" s="38"/>
      <c r="C4591" s="14"/>
      <c r="D4591" s="14"/>
      <c r="E4591" s="14"/>
      <c r="F4591" s="14"/>
      <c r="G4591" s="16"/>
    </row>
    <row r="4592" spans="2:7" x14ac:dyDescent="0.25">
      <c r="B4592" s="38"/>
      <c r="C4592" s="14"/>
      <c r="D4592" s="14"/>
      <c r="E4592" s="14"/>
      <c r="F4592" s="14"/>
      <c r="G4592" s="16"/>
    </row>
    <row r="4593" spans="2:7" x14ac:dyDescent="0.25">
      <c r="B4593" s="38"/>
      <c r="C4593" s="14"/>
      <c r="D4593" s="14"/>
      <c r="E4593" s="14"/>
      <c r="F4593" s="14"/>
      <c r="G4593" s="16"/>
    </row>
    <row r="4594" spans="2:7" x14ac:dyDescent="0.25">
      <c r="B4594" s="38"/>
      <c r="C4594" s="14"/>
      <c r="D4594" s="14"/>
      <c r="E4594" s="14"/>
      <c r="F4594" s="14"/>
      <c r="G4594" s="16"/>
    </row>
    <row r="4595" spans="2:7" x14ac:dyDescent="0.25">
      <c r="B4595" s="38"/>
      <c r="C4595" s="14"/>
      <c r="D4595" s="14"/>
      <c r="E4595" s="14"/>
      <c r="F4595" s="14"/>
      <c r="G4595" s="16"/>
    </row>
    <row r="4596" spans="2:7" x14ac:dyDescent="0.25">
      <c r="B4596" s="38"/>
      <c r="C4596" s="14"/>
      <c r="D4596" s="14"/>
      <c r="E4596" s="14"/>
      <c r="F4596" s="14"/>
      <c r="G4596" s="16"/>
    </row>
    <row r="4597" spans="2:7" x14ac:dyDescent="0.25">
      <c r="B4597" s="38"/>
      <c r="C4597" s="14"/>
      <c r="D4597" s="14"/>
      <c r="E4597" s="14"/>
      <c r="F4597" s="14"/>
      <c r="G4597" s="16"/>
    </row>
    <row r="4598" spans="2:7" x14ac:dyDescent="0.25">
      <c r="B4598" s="38"/>
      <c r="C4598" s="14"/>
      <c r="D4598" s="14"/>
      <c r="E4598" s="14"/>
      <c r="F4598" s="14"/>
      <c r="G4598" s="16"/>
    </row>
    <row r="4599" spans="2:7" x14ac:dyDescent="0.25">
      <c r="B4599" s="38"/>
      <c r="C4599" s="14"/>
      <c r="D4599" s="14"/>
      <c r="E4599" s="14"/>
      <c r="F4599" s="14"/>
      <c r="G4599" s="16"/>
    </row>
    <row r="4600" spans="2:7" x14ac:dyDescent="0.25">
      <c r="B4600" s="38"/>
      <c r="C4600" s="14"/>
      <c r="D4600" s="14"/>
      <c r="E4600" s="14"/>
      <c r="F4600" s="14"/>
      <c r="G4600" s="16"/>
    </row>
    <row r="4601" spans="2:7" x14ac:dyDescent="0.25">
      <c r="B4601" s="38"/>
      <c r="C4601" s="14"/>
      <c r="D4601" s="14"/>
      <c r="E4601" s="14"/>
      <c r="F4601" s="14"/>
      <c r="G4601" s="16"/>
    </row>
    <row r="4602" spans="2:7" x14ac:dyDescent="0.25">
      <c r="B4602" s="38"/>
      <c r="C4602" s="14"/>
      <c r="D4602" s="14"/>
      <c r="E4602" s="14"/>
      <c r="F4602" s="14"/>
      <c r="G4602" s="16"/>
    </row>
    <row r="4603" spans="2:7" x14ac:dyDescent="0.25">
      <c r="B4603" s="38"/>
      <c r="C4603" s="14"/>
      <c r="D4603" s="14"/>
      <c r="E4603" s="14"/>
      <c r="F4603" s="14"/>
      <c r="G4603" s="16"/>
    </row>
    <row r="4604" spans="2:7" x14ac:dyDescent="0.25">
      <c r="B4604" s="38"/>
      <c r="C4604" s="14"/>
      <c r="D4604" s="14"/>
      <c r="E4604" s="14"/>
      <c r="F4604" s="14"/>
      <c r="G4604" s="16"/>
    </row>
    <row r="4605" spans="2:7" x14ac:dyDescent="0.25">
      <c r="B4605" s="38"/>
      <c r="C4605" s="14"/>
      <c r="D4605" s="14"/>
      <c r="E4605" s="14"/>
      <c r="F4605" s="14"/>
      <c r="G4605" s="16"/>
    </row>
    <row r="4606" spans="2:7" x14ac:dyDescent="0.25">
      <c r="B4606" s="38"/>
      <c r="C4606" s="14"/>
      <c r="D4606" s="14"/>
      <c r="E4606" s="14"/>
      <c r="F4606" s="14"/>
      <c r="G4606" s="16"/>
    </row>
    <row r="4607" spans="2:7" x14ac:dyDescent="0.25">
      <c r="B4607" s="38"/>
      <c r="C4607" s="14"/>
      <c r="D4607" s="14"/>
      <c r="E4607" s="14"/>
      <c r="F4607" s="14"/>
      <c r="G4607" s="16"/>
    </row>
    <row r="4608" spans="2:7" x14ac:dyDescent="0.25">
      <c r="B4608" s="38"/>
      <c r="C4608" s="14"/>
      <c r="D4608" s="14"/>
      <c r="E4608" s="14"/>
      <c r="F4608" s="14"/>
      <c r="G4608" s="16"/>
    </row>
    <row r="4609" spans="2:7" x14ac:dyDescent="0.25">
      <c r="B4609" s="38"/>
      <c r="C4609" s="14"/>
      <c r="D4609" s="14"/>
      <c r="E4609" s="14"/>
      <c r="F4609" s="14"/>
      <c r="G4609" s="16"/>
    </row>
    <row r="4610" spans="2:7" x14ac:dyDescent="0.25">
      <c r="B4610" s="38"/>
      <c r="C4610" s="14"/>
      <c r="D4610" s="14"/>
      <c r="E4610" s="14"/>
      <c r="F4610" s="14"/>
      <c r="G4610" s="16"/>
    </row>
    <row r="4611" spans="2:7" x14ac:dyDescent="0.25">
      <c r="B4611" s="38"/>
      <c r="C4611" s="14"/>
      <c r="D4611" s="14"/>
      <c r="E4611" s="14"/>
      <c r="F4611" s="14"/>
      <c r="G4611" s="16"/>
    </row>
    <row r="4612" spans="2:7" x14ac:dyDescent="0.25">
      <c r="B4612" s="38"/>
      <c r="C4612" s="14"/>
      <c r="D4612" s="14"/>
      <c r="E4612" s="14"/>
      <c r="F4612" s="14"/>
      <c r="G4612" s="16"/>
    </row>
    <row r="4613" spans="2:7" x14ac:dyDescent="0.25">
      <c r="B4613" s="38"/>
      <c r="C4613" s="14"/>
      <c r="D4613" s="14"/>
      <c r="E4613" s="14"/>
      <c r="F4613" s="14"/>
      <c r="G4613" s="16"/>
    </row>
    <row r="4614" spans="2:7" x14ac:dyDescent="0.25">
      <c r="B4614" s="38"/>
      <c r="C4614" s="14"/>
      <c r="D4614" s="14"/>
      <c r="E4614" s="14"/>
      <c r="F4614" s="14"/>
      <c r="G4614" s="16"/>
    </row>
    <row r="4615" spans="2:7" x14ac:dyDescent="0.25">
      <c r="B4615" s="38"/>
      <c r="C4615" s="14"/>
      <c r="D4615" s="14"/>
      <c r="E4615" s="14"/>
      <c r="F4615" s="14"/>
      <c r="G4615" s="16"/>
    </row>
    <row r="4616" spans="2:7" x14ac:dyDescent="0.25">
      <c r="B4616" s="38"/>
      <c r="C4616" s="14"/>
      <c r="D4616" s="14"/>
      <c r="E4616" s="14"/>
      <c r="F4616" s="14"/>
      <c r="G4616" s="16"/>
    </row>
    <row r="4617" spans="2:7" x14ac:dyDescent="0.25">
      <c r="B4617" s="38"/>
      <c r="C4617" s="14"/>
      <c r="D4617" s="14"/>
      <c r="E4617" s="14"/>
      <c r="F4617" s="14"/>
      <c r="G4617" s="16"/>
    </row>
    <row r="4618" spans="2:7" x14ac:dyDescent="0.25">
      <c r="B4618" s="38"/>
      <c r="C4618" s="14"/>
      <c r="D4618" s="14"/>
      <c r="E4618" s="14"/>
      <c r="F4618" s="14"/>
      <c r="G4618" s="16"/>
    </row>
    <row r="4619" spans="2:7" x14ac:dyDescent="0.25">
      <c r="B4619" s="38"/>
      <c r="C4619" s="14"/>
      <c r="D4619" s="14"/>
      <c r="E4619" s="14"/>
      <c r="F4619" s="14"/>
      <c r="G4619" s="16"/>
    </row>
    <row r="4620" spans="2:7" x14ac:dyDescent="0.25">
      <c r="B4620" s="38"/>
      <c r="C4620" s="14"/>
      <c r="D4620" s="14"/>
      <c r="E4620" s="14"/>
      <c r="F4620" s="14"/>
      <c r="G4620" s="16"/>
    </row>
    <row r="4621" spans="2:7" x14ac:dyDescent="0.25">
      <c r="B4621" s="38"/>
      <c r="C4621" s="14"/>
      <c r="D4621" s="14"/>
      <c r="E4621" s="14"/>
      <c r="F4621" s="14"/>
      <c r="G4621" s="16"/>
    </row>
    <row r="4622" spans="2:7" x14ac:dyDescent="0.25">
      <c r="B4622" s="38"/>
      <c r="C4622" s="14"/>
      <c r="D4622" s="14"/>
      <c r="E4622" s="14"/>
      <c r="F4622" s="14"/>
      <c r="G4622" s="16"/>
    </row>
    <row r="4623" spans="2:7" x14ac:dyDescent="0.25">
      <c r="B4623" s="38"/>
      <c r="C4623" s="14"/>
      <c r="D4623" s="14"/>
      <c r="E4623" s="14"/>
      <c r="F4623" s="14"/>
      <c r="G4623" s="16"/>
    </row>
    <row r="4624" spans="2:7" x14ac:dyDescent="0.25">
      <c r="B4624" s="38"/>
      <c r="C4624" s="14"/>
      <c r="D4624" s="14"/>
      <c r="E4624" s="14"/>
      <c r="F4624" s="14"/>
      <c r="G4624" s="16"/>
    </row>
    <row r="4625" spans="2:7" x14ac:dyDescent="0.25">
      <c r="B4625" s="38"/>
      <c r="C4625" s="14"/>
      <c r="D4625" s="14"/>
      <c r="E4625" s="14"/>
      <c r="F4625" s="14"/>
      <c r="G4625" s="16"/>
    </row>
    <row r="4626" spans="2:7" x14ac:dyDescent="0.25">
      <c r="B4626" s="38"/>
      <c r="C4626" s="14"/>
      <c r="D4626" s="14"/>
      <c r="E4626" s="14"/>
      <c r="F4626" s="14"/>
      <c r="G4626" s="16"/>
    </row>
    <row r="4627" spans="2:7" x14ac:dyDescent="0.25">
      <c r="B4627" s="38"/>
      <c r="C4627" s="14"/>
      <c r="D4627" s="14"/>
      <c r="E4627" s="14"/>
      <c r="F4627" s="14"/>
      <c r="G4627" s="16"/>
    </row>
    <row r="4628" spans="2:7" x14ac:dyDescent="0.25">
      <c r="B4628" s="38"/>
      <c r="C4628" s="14"/>
      <c r="D4628" s="14"/>
      <c r="E4628" s="14"/>
      <c r="F4628" s="14"/>
      <c r="G4628" s="16"/>
    </row>
    <row r="4629" spans="2:7" x14ac:dyDescent="0.25">
      <c r="B4629" s="38"/>
      <c r="C4629" s="14"/>
      <c r="D4629" s="14"/>
      <c r="E4629" s="14"/>
      <c r="F4629" s="14"/>
      <c r="G4629" s="16"/>
    </row>
    <row r="4630" spans="2:7" x14ac:dyDescent="0.25">
      <c r="B4630" s="38"/>
      <c r="C4630" s="14"/>
      <c r="D4630" s="14"/>
      <c r="E4630" s="14"/>
      <c r="F4630" s="14"/>
      <c r="G4630" s="16"/>
    </row>
    <row r="4631" spans="2:7" x14ac:dyDescent="0.25">
      <c r="B4631" s="38"/>
      <c r="C4631" s="14"/>
      <c r="D4631" s="14"/>
      <c r="E4631" s="14"/>
      <c r="F4631" s="14"/>
      <c r="G4631" s="16"/>
    </row>
    <row r="4632" spans="2:7" x14ac:dyDescent="0.25">
      <c r="B4632" s="38"/>
      <c r="C4632" s="14"/>
      <c r="D4632" s="14"/>
      <c r="E4632" s="14"/>
      <c r="F4632" s="14"/>
      <c r="G4632" s="16"/>
    </row>
    <row r="4633" spans="2:7" x14ac:dyDescent="0.25">
      <c r="B4633" s="38"/>
      <c r="C4633" s="14"/>
      <c r="D4633" s="14"/>
      <c r="E4633" s="14"/>
      <c r="F4633" s="14"/>
      <c r="G4633" s="16"/>
    </row>
    <row r="4634" spans="2:7" x14ac:dyDescent="0.25">
      <c r="B4634" s="38"/>
      <c r="C4634" s="14"/>
      <c r="D4634" s="14"/>
      <c r="E4634" s="14"/>
      <c r="F4634" s="14"/>
      <c r="G4634" s="16"/>
    </row>
    <row r="4635" spans="2:7" x14ac:dyDescent="0.25">
      <c r="B4635" s="38"/>
      <c r="C4635" s="14"/>
      <c r="D4635" s="14"/>
      <c r="E4635" s="14"/>
      <c r="F4635" s="14"/>
      <c r="G4635" s="16"/>
    </row>
    <row r="4636" spans="2:7" x14ac:dyDescent="0.25">
      <c r="B4636" s="38"/>
      <c r="C4636" s="14"/>
      <c r="D4636" s="14"/>
      <c r="E4636" s="14"/>
      <c r="F4636" s="14"/>
      <c r="G4636" s="16"/>
    </row>
    <row r="4637" spans="2:7" x14ac:dyDescent="0.25">
      <c r="B4637" s="38"/>
      <c r="C4637" s="14"/>
      <c r="D4637" s="14"/>
      <c r="E4637" s="14"/>
      <c r="F4637" s="14"/>
      <c r="G4637" s="16"/>
    </row>
    <row r="4638" spans="2:7" x14ac:dyDescent="0.25">
      <c r="B4638" s="38"/>
      <c r="C4638" s="14"/>
      <c r="D4638" s="14"/>
      <c r="E4638" s="14"/>
      <c r="F4638" s="14"/>
      <c r="G4638" s="16"/>
    </row>
    <row r="4639" spans="2:7" x14ac:dyDescent="0.25">
      <c r="B4639" s="38"/>
      <c r="C4639" s="14"/>
      <c r="D4639" s="14"/>
      <c r="E4639" s="14"/>
      <c r="F4639" s="14"/>
      <c r="G4639" s="16"/>
    </row>
    <row r="4640" spans="2:7" x14ac:dyDescent="0.25">
      <c r="B4640" s="38"/>
      <c r="C4640" s="14"/>
      <c r="D4640" s="14"/>
      <c r="E4640" s="14"/>
      <c r="F4640" s="14"/>
      <c r="G4640" s="16"/>
    </row>
    <row r="4641" spans="2:7" x14ac:dyDescent="0.25">
      <c r="B4641" s="38"/>
      <c r="C4641" s="14"/>
      <c r="D4641" s="14"/>
      <c r="E4641" s="14"/>
      <c r="F4641" s="14"/>
      <c r="G4641" s="16"/>
    </row>
    <row r="4642" spans="2:7" x14ac:dyDescent="0.25">
      <c r="B4642" s="38"/>
      <c r="C4642" s="14"/>
      <c r="D4642" s="14"/>
      <c r="E4642" s="14"/>
      <c r="F4642" s="14"/>
      <c r="G4642" s="16"/>
    </row>
    <row r="4643" spans="2:7" x14ac:dyDescent="0.25">
      <c r="B4643" s="38"/>
      <c r="C4643" s="14"/>
      <c r="D4643" s="14"/>
      <c r="E4643" s="14"/>
      <c r="F4643" s="14"/>
      <c r="G4643" s="16"/>
    </row>
    <row r="4644" spans="2:7" x14ac:dyDescent="0.25">
      <c r="B4644" s="38"/>
      <c r="C4644" s="14"/>
      <c r="D4644" s="14"/>
      <c r="E4644" s="14"/>
      <c r="F4644" s="14"/>
      <c r="G4644" s="16"/>
    </row>
    <row r="4645" spans="2:7" x14ac:dyDescent="0.25">
      <c r="B4645" s="38"/>
      <c r="C4645" s="14"/>
      <c r="D4645" s="14"/>
      <c r="E4645" s="14"/>
      <c r="F4645" s="14"/>
      <c r="G4645" s="16"/>
    </row>
    <row r="4646" spans="2:7" x14ac:dyDescent="0.25">
      <c r="B4646" s="38"/>
      <c r="C4646" s="14"/>
      <c r="D4646" s="14"/>
      <c r="E4646" s="14"/>
      <c r="F4646" s="14"/>
      <c r="G4646" s="16"/>
    </row>
    <row r="4647" spans="2:7" x14ac:dyDescent="0.25">
      <c r="B4647" s="38"/>
      <c r="C4647" s="14"/>
      <c r="D4647" s="14"/>
      <c r="E4647" s="14"/>
      <c r="F4647" s="14"/>
      <c r="G4647" s="16"/>
    </row>
    <row r="4648" spans="2:7" x14ac:dyDescent="0.25">
      <c r="B4648" s="38"/>
      <c r="C4648" s="14"/>
      <c r="D4648" s="14"/>
      <c r="E4648" s="14"/>
      <c r="F4648" s="14"/>
      <c r="G4648" s="16"/>
    </row>
    <row r="4649" spans="2:7" x14ac:dyDescent="0.25">
      <c r="B4649" s="38"/>
      <c r="C4649" s="14"/>
      <c r="D4649" s="14"/>
      <c r="E4649" s="14"/>
      <c r="F4649" s="14"/>
      <c r="G4649" s="16"/>
    </row>
    <row r="4650" spans="2:7" x14ac:dyDescent="0.25">
      <c r="B4650" s="38"/>
      <c r="C4650" s="14"/>
      <c r="D4650" s="14"/>
      <c r="E4650" s="14"/>
      <c r="F4650" s="14"/>
      <c r="G4650" s="16"/>
    </row>
    <row r="4651" spans="2:7" x14ac:dyDescent="0.25">
      <c r="B4651" s="38"/>
      <c r="C4651" s="14"/>
      <c r="D4651" s="14"/>
      <c r="E4651" s="14"/>
      <c r="F4651" s="14"/>
      <c r="G4651" s="16"/>
    </row>
    <row r="4652" spans="2:7" x14ac:dyDescent="0.25">
      <c r="B4652" s="38"/>
      <c r="C4652" s="14"/>
      <c r="D4652" s="14"/>
      <c r="E4652" s="14"/>
      <c r="F4652" s="14"/>
      <c r="G4652" s="16"/>
    </row>
    <row r="4653" spans="2:7" x14ac:dyDescent="0.25">
      <c r="B4653" s="38"/>
      <c r="C4653" s="14"/>
      <c r="D4653" s="14"/>
      <c r="E4653" s="14"/>
      <c r="F4653" s="14"/>
      <c r="G4653" s="16"/>
    </row>
    <row r="4654" spans="2:7" x14ac:dyDescent="0.25">
      <c r="B4654" s="38"/>
      <c r="C4654" s="14"/>
      <c r="D4654" s="14"/>
      <c r="E4654" s="14"/>
      <c r="F4654" s="14"/>
      <c r="G4654" s="16"/>
    </row>
    <row r="4655" spans="2:7" x14ac:dyDescent="0.25">
      <c r="B4655" s="38"/>
      <c r="C4655" s="14"/>
      <c r="D4655" s="14"/>
      <c r="E4655" s="14"/>
      <c r="F4655" s="14"/>
      <c r="G4655" s="16"/>
    </row>
    <row r="4656" spans="2:7" x14ac:dyDescent="0.25">
      <c r="B4656" s="38"/>
      <c r="C4656" s="14"/>
      <c r="D4656" s="14"/>
      <c r="E4656" s="14"/>
      <c r="F4656" s="14"/>
      <c r="G4656" s="16"/>
    </row>
    <row r="4657" spans="2:7" x14ac:dyDescent="0.25">
      <c r="B4657" s="38"/>
      <c r="C4657" s="14"/>
      <c r="D4657" s="14"/>
      <c r="E4657" s="14"/>
      <c r="F4657" s="14"/>
      <c r="G4657" s="16"/>
    </row>
    <row r="4658" spans="2:7" x14ac:dyDescent="0.25">
      <c r="B4658" s="38"/>
      <c r="C4658" s="14"/>
      <c r="D4658" s="14"/>
      <c r="E4658" s="14"/>
      <c r="F4658" s="14"/>
      <c r="G4658" s="16"/>
    </row>
    <row r="4659" spans="2:7" x14ac:dyDescent="0.25">
      <c r="B4659" s="38"/>
      <c r="C4659" s="14"/>
      <c r="D4659" s="14"/>
      <c r="E4659" s="14"/>
      <c r="F4659" s="14"/>
      <c r="G4659" s="16"/>
    </row>
    <row r="4660" spans="2:7" x14ac:dyDescent="0.25">
      <c r="B4660" s="38"/>
      <c r="C4660" s="14"/>
      <c r="D4660" s="14"/>
      <c r="E4660" s="14"/>
      <c r="F4660" s="14"/>
      <c r="G4660" s="16"/>
    </row>
    <row r="4661" spans="2:7" x14ac:dyDescent="0.25">
      <c r="B4661" s="38"/>
      <c r="C4661" s="14"/>
      <c r="D4661" s="14"/>
      <c r="E4661" s="14"/>
      <c r="F4661" s="14"/>
      <c r="G4661" s="16"/>
    </row>
    <row r="4662" spans="2:7" x14ac:dyDescent="0.25">
      <c r="B4662" s="38"/>
      <c r="C4662" s="14"/>
      <c r="D4662" s="14"/>
      <c r="E4662" s="14"/>
      <c r="F4662" s="14"/>
      <c r="G4662" s="16"/>
    </row>
    <row r="4663" spans="2:7" x14ac:dyDescent="0.25">
      <c r="B4663" s="38"/>
      <c r="C4663" s="14"/>
      <c r="D4663" s="14"/>
      <c r="E4663" s="14"/>
      <c r="F4663" s="14"/>
      <c r="G4663" s="16"/>
    </row>
    <row r="4664" spans="2:7" x14ac:dyDescent="0.25">
      <c r="B4664" s="38"/>
      <c r="C4664" s="14"/>
      <c r="D4664" s="14"/>
      <c r="E4664" s="14"/>
      <c r="F4664" s="14"/>
      <c r="G4664" s="16"/>
    </row>
    <row r="4665" spans="2:7" x14ac:dyDescent="0.25">
      <c r="B4665" s="38"/>
      <c r="C4665" s="14"/>
      <c r="D4665" s="14"/>
      <c r="E4665" s="14"/>
      <c r="F4665" s="14"/>
      <c r="G4665" s="16"/>
    </row>
    <row r="4666" spans="2:7" x14ac:dyDescent="0.25">
      <c r="B4666" s="38"/>
      <c r="C4666" s="14"/>
      <c r="D4666" s="14"/>
      <c r="E4666" s="14"/>
      <c r="F4666" s="14"/>
      <c r="G4666" s="16"/>
    </row>
    <row r="4667" spans="2:7" x14ac:dyDescent="0.25">
      <c r="B4667" s="38"/>
      <c r="C4667" s="14"/>
      <c r="D4667" s="14"/>
      <c r="E4667" s="14"/>
      <c r="F4667" s="14"/>
      <c r="G4667" s="16"/>
    </row>
    <row r="4668" spans="2:7" x14ac:dyDescent="0.25">
      <c r="B4668" s="38"/>
      <c r="C4668" s="14"/>
      <c r="D4668" s="14"/>
      <c r="E4668" s="14"/>
      <c r="F4668" s="14"/>
      <c r="G4668" s="16"/>
    </row>
    <row r="4669" spans="2:7" x14ac:dyDescent="0.25">
      <c r="B4669" s="38"/>
      <c r="C4669" s="14"/>
      <c r="D4669" s="14"/>
      <c r="E4669" s="14"/>
      <c r="F4669" s="14"/>
      <c r="G4669" s="16"/>
    </row>
    <row r="4670" spans="2:7" x14ac:dyDescent="0.25">
      <c r="B4670" s="38"/>
      <c r="C4670" s="14"/>
      <c r="D4670" s="14"/>
      <c r="E4670" s="14"/>
      <c r="F4670" s="14"/>
      <c r="G4670" s="16"/>
    </row>
    <row r="4671" spans="2:7" x14ac:dyDescent="0.25">
      <c r="B4671" s="38"/>
      <c r="C4671" s="14"/>
      <c r="D4671" s="14"/>
      <c r="E4671" s="14"/>
      <c r="F4671" s="14"/>
      <c r="G4671" s="16"/>
    </row>
    <row r="4672" spans="2:7" x14ac:dyDescent="0.25">
      <c r="B4672" s="38"/>
      <c r="C4672" s="14"/>
      <c r="D4672" s="14"/>
      <c r="E4672" s="14"/>
      <c r="F4672" s="14"/>
      <c r="G4672" s="16"/>
    </row>
    <row r="4673" spans="2:7" x14ac:dyDescent="0.25">
      <c r="B4673" s="38"/>
      <c r="C4673" s="14"/>
      <c r="D4673" s="14"/>
      <c r="E4673" s="14"/>
      <c r="F4673" s="14"/>
      <c r="G4673" s="16"/>
    </row>
    <row r="4674" spans="2:7" x14ac:dyDescent="0.25">
      <c r="B4674" s="38"/>
      <c r="C4674" s="14"/>
      <c r="D4674" s="14"/>
      <c r="E4674" s="14"/>
      <c r="F4674" s="14"/>
      <c r="G4674" s="16"/>
    </row>
    <row r="4675" spans="2:7" x14ac:dyDescent="0.25">
      <c r="B4675" s="38"/>
      <c r="C4675" s="14"/>
      <c r="D4675" s="14"/>
      <c r="E4675" s="14"/>
      <c r="F4675" s="14"/>
      <c r="G4675" s="16"/>
    </row>
    <row r="4676" spans="2:7" x14ac:dyDescent="0.25">
      <c r="B4676" s="38"/>
      <c r="C4676" s="14"/>
      <c r="D4676" s="14"/>
      <c r="E4676" s="14"/>
      <c r="F4676" s="14"/>
      <c r="G4676" s="16"/>
    </row>
    <row r="4677" spans="2:7" x14ac:dyDescent="0.25">
      <c r="B4677" s="38"/>
      <c r="C4677" s="14"/>
      <c r="D4677" s="14"/>
      <c r="E4677" s="14"/>
      <c r="F4677" s="14"/>
      <c r="G4677" s="16"/>
    </row>
    <row r="4678" spans="2:7" x14ac:dyDescent="0.25">
      <c r="B4678" s="38"/>
      <c r="C4678" s="14"/>
      <c r="D4678" s="14"/>
      <c r="E4678" s="14"/>
      <c r="F4678" s="14"/>
      <c r="G4678" s="16"/>
    </row>
    <row r="4679" spans="2:7" x14ac:dyDescent="0.25">
      <c r="B4679" s="38"/>
      <c r="C4679" s="14"/>
      <c r="D4679" s="14"/>
      <c r="E4679" s="14"/>
      <c r="F4679" s="14"/>
      <c r="G4679" s="16"/>
    </row>
    <row r="4680" spans="2:7" x14ac:dyDescent="0.25">
      <c r="B4680" s="38"/>
      <c r="C4680" s="14"/>
      <c r="D4680" s="14"/>
      <c r="E4680" s="14"/>
      <c r="F4680" s="14"/>
      <c r="G4680" s="16"/>
    </row>
    <row r="4681" spans="2:7" x14ac:dyDescent="0.25">
      <c r="B4681" s="38"/>
      <c r="C4681" s="14"/>
      <c r="D4681" s="14"/>
      <c r="E4681" s="14"/>
      <c r="F4681" s="14"/>
      <c r="G4681" s="16"/>
    </row>
    <row r="4682" spans="2:7" x14ac:dyDescent="0.25">
      <c r="B4682" s="38"/>
      <c r="C4682" s="14"/>
      <c r="D4682" s="14"/>
      <c r="E4682" s="14"/>
      <c r="F4682" s="14"/>
      <c r="G4682" s="16"/>
    </row>
    <row r="4683" spans="2:7" x14ac:dyDescent="0.25">
      <c r="B4683" s="38"/>
      <c r="C4683" s="14"/>
      <c r="D4683" s="14"/>
      <c r="E4683" s="14"/>
      <c r="F4683" s="14"/>
      <c r="G4683" s="16"/>
    </row>
    <row r="4684" spans="2:7" x14ac:dyDescent="0.25">
      <c r="B4684" s="38"/>
      <c r="C4684" s="14"/>
      <c r="D4684" s="14"/>
      <c r="E4684" s="14"/>
      <c r="F4684" s="14"/>
      <c r="G4684" s="16"/>
    </row>
    <row r="4685" spans="2:7" x14ac:dyDescent="0.25">
      <c r="B4685" s="38"/>
      <c r="C4685" s="14"/>
      <c r="D4685" s="14"/>
      <c r="E4685" s="14"/>
      <c r="F4685" s="14"/>
      <c r="G4685" s="16"/>
    </row>
    <row r="4686" spans="2:7" x14ac:dyDescent="0.25">
      <c r="B4686" s="38"/>
      <c r="C4686" s="14"/>
      <c r="D4686" s="14"/>
      <c r="E4686" s="14"/>
      <c r="F4686" s="14"/>
      <c r="G4686" s="16"/>
    </row>
    <row r="4687" spans="2:7" x14ac:dyDescent="0.25">
      <c r="B4687" s="38"/>
      <c r="C4687" s="14"/>
      <c r="D4687" s="14"/>
      <c r="E4687" s="14"/>
      <c r="F4687" s="14"/>
      <c r="G4687" s="16"/>
    </row>
    <row r="4688" spans="2:7" x14ac:dyDescent="0.25">
      <c r="B4688" s="38"/>
      <c r="C4688" s="14"/>
      <c r="D4688" s="14"/>
      <c r="E4688" s="14"/>
      <c r="F4688" s="14"/>
      <c r="G4688" s="16"/>
    </row>
    <row r="4689" spans="2:7" x14ac:dyDescent="0.25">
      <c r="B4689" s="38"/>
      <c r="C4689" s="14"/>
      <c r="D4689" s="14"/>
      <c r="E4689" s="14"/>
      <c r="F4689" s="14"/>
      <c r="G4689" s="16"/>
    </row>
    <row r="4690" spans="2:7" x14ac:dyDescent="0.25">
      <c r="B4690" s="38"/>
      <c r="C4690" s="14"/>
      <c r="D4690" s="14"/>
      <c r="E4690" s="14"/>
      <c r="F4690" s="14"/>
      <c r="G4690" s="16"/>
    </row>
    <row r="4691" spans="2:7" x14ac:dyDescent="0.25">
      <c r="B4691" s="38"/>
      <c r="C4691" s="14"/>
      <c r="D4691" s="14"/>
      <c r="E4691" s="14"/>
      <c r="F4691" s="14"/>
      <c r="G4691" s="16"/>
    </row>
    <row r="4692" spans="2:7" x14ac:dyDescent="0.25">
      <c r="B4692" s="38"/>
      <c r="C4692" s="14"/>
      <c r="D4692" s="14"/>
      <c r="E4692" s="14"/>
      <c r="F4692" s="14"/>
      <c r="G4692" s="16"/>
    </row>
    <row r="4693" spans="2:7" x14ac:dyDescent="0.25">
      <c r="B4693" s="38"/>
      <c r="C4693" s="14"/>
      <c r="D4693" s="14"/>
      <c r="E4693" s="14"/>
      <c r="F4693" s="14"/>
      <c r="G4693" s="16"/>
    </row>
    <row r="4694" spans="2:7" x14ac:dyDescent="0.25">
      <c r="B4694" s="38"/>
      <c r="C4694" s="14"/>
      <c r="D4694" s="14"/>
      <c r="E4694" s="14"/>
      <c r="F4694" s="14"/>
      <c r="G4694" s="16"/>
    </row>
    <row r="4695" spans="2:7" x14ac:dyDescent="0.25">
      <c r="B4695" s="38"/>
      <c r="C4695" s="14"/>
      <c r="D4695" s="14"/>
      <c r="E4695" s="14"/>
      <c r="F4695" s="14"/>
      <c r="G4695" s="16"/>
    </row>
    <row r="4696" spans="2:7" x14ac:dyDescent="0.25">
      <c r="B4696" s="38"/>
      <c r="C4696" s="14"/>
      <c r="D4696" s="14"/>
      <c r="E4696" s="14"/>
      <c r="F4696" s="14"/>
      <c r="G4696" s="16"/>
    </row>
    <row r="4697" spans="2:7" x14ac:dyDescent="0.25">
      <c r="B4697" s="38"/>
      <c r="C4697" s="14"/>
      <c r="D4697" s="14"/>
      <c r="E4697" s="14"/>
      <c r="F4697" s="14"/>
      <c r="G4697" s="16"/>
    </row>
    <row r="4698" spans="2:7" x14ac:dyDescent="0.25">
      <c r="B4698" s="38"/>
      <c r="C4698" s="14"/>
      <c r="D4698" s="14"/>
      <c r="E4698" s="14"/>
      <c r="F4698" s="14"/>
      <c r="G4698" s="16"/>
    </row>
    <row r="4699" spans="2:7" x14ac:dyDescent="0.25">
      <c r="B4699" s="38"/>
      <c r="C4699" s="14"/>
      <c r="D4699" s="14"/>
      <c r="E4699" s="14"/>
      <c r="F4699" s="14"/>
      <c r="G4699" s="16"/>
    </row>
    <row r="4700" spans="2:7" x14ac:dyDescent="0.25">
      <c r="B4700" s="38"/>
      <c r="C4700" s="14"/>
      <c r="D4700" s="14"/>
      <c r="E4700" s="14"/>
      <c r="F4700" s="14"/>
      <c r="G4700" s="16"/>
    </row>
    <row r="4701" spans="2:7" x14ac:dyDescent="0.25">
      <c r="B4701" s="38"/>
      <c r="C4701" s="14"/>
      <c r="D4701" s="14"/>
      <c r="E4701" s="14"/>
      <c r="F4701" s="14"/>
      <c r="G4701" s="16"/>
    </row>
    <row r="4702" spans="2:7" x14ac:dyDescent="0.25">
      <c r="B4702" s="38"/>
      <c r="C4702" s="14"/>
      <c r="D4702" s="14"/>
      <c r="E4702" s="14"/>
      <c r="F4702" s="14"/>
      <c r="G4702" s="16"/>
    </row>
    <row r="4703" spans="2:7" x14ac:dyDescent="0.25">
      <c r="B4703" s="38"/>
      <c r="C4703" s="14"/>
      <c r="D4703" s="14"/>
      <c r="E4703" s="14"/>
      <c r="F4703" s="14"/>
      <c r="G4703" s="16"/>
    </row>
    <row r="4704" spans="2:7" x14ac:dyDescent="0.25">
      <c r="B4704" s="38"/>
      <c r="C4704" s="14"/>
      <c r="D4704" s="14"/>
      <c r="E4704" s="14"/>
      <c r="F4704" s="14"/>
      <c r="G4704" s="16"/>
    </row>
    <row r="4705" spans="2:7" x14ac:dyDescent="0.25">
      <c r="B4705" s="38"/>
      <c r="C4705" s="14"/>
      <c r="D4705" s="14"/>
      <c r="E4705" s="14"/>
      <c r="F4705" s="14"/>
      <c r="G4705" s="16"/>
    </row>
    <row r="4706" spans="2:7" x14ac:dyDescent="0.25">
      <c r="B4706" s="38"/>
      <c r="C4706" s="14"/>
      <c r="D4706" s="14"/>
      <c r="E4706" s="14"/>
      <c r="F4706" s="14"/>
      <c r="G4706" s="16"/>
    </row>
    <row r="4707" spans="2:7" x14ac:dyDescent="0.25">
      <c r="B4707" s="38"/>
      <c r="C4707" s="14"/>
      <c r="D4707" s="14"/>
      <c r="E4707" s="14"/>
      <c r="F4707" s="14"/>
      <c r="G4707" s="16"/>
    </row>
    <row r="4708" spans="2:7" x14ac:dyDescent="0.25">
      <c r="B4708" s="38"/>
      <c r="C4708" s="14"/>
      <c r="D4708" s="14"/>
      <c r="E4708" s="14"/>
      <c r="F4708" s="14"/>
      <c r="G4708" s="16"/>
    </row>
    <row r="4709" spans="2:7" x14ac:dyDescent="0.25">
      <c r="B4709" s="38"/>
      <c r="C4709" s="14"/>
      <c r="D4709" s="14"/>
      <c r="E4709" s="14"/>
      <c r="F4709" s="14"/>
      <c r="G4709" s="16"/>
    </row>
    <row r="4710" spans="2:7" x14ac:dyDescent="0.25">
      <c r="B4710" s="38"/>
      <c r="C4710" s="14"/>
      <c r="D4710" s="14"/>
      <c r="E4710" s="14"/>
      <c r="F4710" s="14"/>
      <c r="G4710" s="16"/>
    </row>
    <row r="4711" spans="2:7" x14ac:dyDescent="0.25">
      <c r="B4711" s="38"/>
      <c r="C4711" s="14"/>
      <c r="D4711" s="14"/>
      <c r="E4711" s="14"/>
      <c r="F4711" s="14"/>
      <c r="G4711" s="16"/>
    </row>
    <row r="4712" spans="2:7" x14ac:dyDescent="0.25">
      <c r="B4712" s="38"/>
      <c r="C4712" s="14"/>
      <c r="D4712" s="14"/>
      <c r="E4712" s="14"/>
      <c r="F4712" s="14"/>
      <c r="G4712" s="16"/>
    </row>
    <row r="4713" spans="2:7" x14ac:dyDescent="0.25">
      <c r="B4713" s="38"/>
      <c r="C4713" s="14"/>
      <c r="D4713" s="14"/>
      <c r="E4713" s="14"/>
      <c r="F4713" s="14"/>
      <c r="G4713" s="16"/>
    </row>
    <row r="4714" spans="2:7" x14ac:dyDescent="0.25">
      <c r="B4714" s="38"/>
      <c r="C4714" s="14"/>
      <c r="D4714" s="14"/>
      <c r="E4714" s="14"/>
      <c r="F4714" s="14"/>
      <c r="G4714" s="16"/>
    </row>
    <row r="4715" spans="2:7" x14ac:dyDescent="0.25">
      <c r="B4715" s="38"/>
      <c r="C4715" s="14"/>
      <c r="D4715" s="14"/>
      <c r="E4715" s="14"/>
      <c r="F4715" s="14"/>
      <c r="G4715" s="16"/>
    </row>
    <row r="4716" spans="2:7" x14ac:dyDescent="0.25">
      <c r="B4716" s="38"/>
      <c r="C4716" s="14"/>
      <c r="D4716" s="14"/>
      <c r="E4716" s="14"/>
      <c r="F4716" s="14"/>
      <c r="G4716" s="16"/>
    </row>
    <row r="4717" spans="2:7" x14ac:dyDescent="0.25">
      <c r="B4717" s="38"/>
      <c r="C4717" s="14"/>
      <c r="D4717" s="14"/>
      <c r="E4717" s="14"/>
      <c r="F4717" s="14"/>
      <c r="G4717" s="16"/>
    </row>
    <row r="4718" spans="2:7" x14ac:dyDescent="0.25">
      <c r="B4718" s="38"/>
      <c r="C4718" s="14"/>
      <c r="D4718" s="14"/>
      <c r="E4718" s="14"/>
      <c r="F4718" s="14"/>
      <c r="G4718" s="16"/>
    </row>
    <row r="4719" spans="2:7" x14ac:dyDescent="0.25">
      <c r="B4719" s="38"/>
      <c r="C4719" s="14"/>
      <c r="D4719" s="14"/>
      <c r="E4719" s="14"/>
      <c r="F4719" s="14"/>
      <c r="G4719" s="16"/>
    </row>
    <row r="4720" spans="2:7" x14ac:dyDescent="0.25">
      <c r="B4720" s="38"/>
      <c r="C4720" s="14"/>
      <c r="D4720" s="14"/>
      <c r="E4720" s="14"/>
      <c r="F4720" s="14"/>
      <c r="G4720" s="16"/>
    </row>
    <row r="4721" spans="2:7" x14ac:dyDescent="0.25">
      <c r="B4721" s="38"/>
      <c r="C4721" s="14"/>
      <c r="D4721" s="14"/>
      <c r="E4721" s="14"/>
      <c r="F4721" s="14"/>
      <c r="G4721" s="16"/>
    </row>
    <row r="4722" spans="2:7" x14ac:dyDescent="0.25">
      <c r="B4722" s="38"/>
      <c r="C4722" s="14"/>
      <c r="D4722" s="14"/>
      <c r="E4722" s="14"/>
      <c r="F4722" s="14"/>
      <c r="G4722" s="16"/>
    </row>
    <row r="4723" spans="2:7" x14ac:dyDescent="0.25">
      <c r="B4723" s="38"/>
      <c r="C4723" s="14"/>
      <c r="D4723" s="14"/>
      <c r="E4723" s="14"/>
      <c r="F4723" s="14"/>
      <c r="G4723" s="16"/>
    </row>
    <row r="4724" spans="2:7" x14ac:dyDescent="0.25">
      <c r="B4724" s="38"/>
      <c r="C4724" s="14"/>
      <c r="D4724" s="14"/>
      <c r="E4724" s="14"/>
      <c r="F4724" s="14"/>
      <c r="G4724" s="16"/>
    </row>
    <row r="4725" spans="2:7" x14ac:dyDescent="0.25">
      <c r="B4725" s="38"/>
      <c r="C4725" s="14"/>
      <c r="D4725" s="14"/>
      <c r="E4725" s="14"/>
      <c r="F4725" s="14"/>
      <c r="G4725" s="16"/>
    </row>
    <row r="4726" spans="2:7" x14ac:dyDescent="0.25">
      <c r="B4726" s="38"/>
      <c r="C4726" s="14"/>
      <c r="D4726" s="14"/>
      <c r="E4726" s="14"/>
      <c r="F4726" s="14"/>
      <c r="G4726" s="16"/>
    </row>
    <row r="4727" spans="2:7" x14ac:dyDescent="0.25">
      <c r="B4727" s="38"/>
      <c r="C4727" s="14"/>
      <c r="D4727" s="14"/>
      <c r="E4727" s="14"/>
      <c r="F4727" s="14"/>
      <c r="G4727" s="16"/>
    </row>
    <row r="4728" spans="2:7" x14ac:dyDescent="0.25">
      <c r="B4728" s="38"/>
      <c r="C4728" s="14"/>
      <c r="D4728" s="14"/>
      <c r="E4728" s="14"/>
      <c r="F4728" s="14"/>
      <c r="G4728" s="16"/>
    </row>
    <row r="4729" spans="2:7" x14ac:dyDescent="0.25">
      <c r="B4729" s="38"/>
      <c r="C4729" s="14"/>
      <c r="D4729" s="14"/>
      <c r="E4729" s="14"/>
      <c r="F4729" s="14"/>
      <c r="G4729" s="16"/>
    </row>
    <row r="4730" spans="2:7" x14ac:dyDescent="0.25">
      <c r="B4730" s="38"/>
      <c r="C4730" s="14"/>
      <c r="D4730" s="14"/>
      <c r="E4730" s="14"/>
      <c r="F4730" s="14"/>
      <c r="G4730" s="16"/>
    </row>
    <row r="4731" spans="2:7" x14ac:dyDescent="0.25">
      <c r="B4731" s="38"/>
      <c r="C4731" s="14"/>
      <c r="D4731" s="14"/>
      <c r="E4731" s="14"/>
      <c r="F4731" s="14"/>
      <c r="G4731" s="16"/>
    </row>
    <row r="4732" spans="2:7" x14ac:dyDescent="0.25">
      <c r="B4732" s="38"/>
      <c r="C4732" s="14"/>
      <c r="D4732" s="14"/>
      <c r="E4732" s="14"/>
      <c r="F4732" s="14"/>
      <c r="G4732" s="16"/>
    </row>
    <row r="4733" spans="2:7" x14ac:dyDescent="0.25">
      <c r="B4733" s="38"/>
      <c r="C4733" s="14"/>
      <c r="D4733" s="14"/>
      <c r="E4733" s="14"/>
      <c r="F4733" s="14"/>
      <c r="G4733" s="16"/>
    </row>
    <row r="4734" spans="2:7" x14ac:dyDescent="0.25">
      <c r="B4734" s="38"/>
      <c r="C4734" s="14"/>
      <c r="D4734" s="14"/>
      <c r="E4734" s="14"/>
      <c r="F4734" s="14"/>
      <c r="G4734" s="16"/>
    </row>
    <row r="4735" spans="2:7" x14ac:dyDescent="0.25">
      <c r="B4735" s="38"/>
      <c r="C4735" s="14"/>
      <c r="D4735" s="14"/>
      <c r="E4735" s="14"/>
      <c r="F4735" s="14"/>
      <c r="G4735" s="16"/>
    </row>
    <row r="4736" spans="2:7" x14ac:dyDescent="0.25">
      <c r="B4736" s="38"/>
      <c r="C4736" s="14"/>
      <c r="D4736" s="14"/>
      <c r="E4736" s="14"/>
      <c r="F4736" s="14"/>
      <c r="G4736" s="16"/>
    </row>
    <row r="4737" spans="2:7" x14ac:dyDescent="0.25">
      <c r="B4737" s="38"/>
      <c r="C4737" s="14"/>
      <c r="D4737" s="14"/>
      <c r="E4737" s="14"/>
      <c r="F4737" s="14"/>
      <c r="G4737" s="16"/>
    </row>
    <row r="4738" spans="2:7" x14ac:dyDescent="0.25">
      <c r="B4738" s="38"/>
      <c r="C4738" s="14"/>
      <c r="D4738" s="14"/>
      <c r="E4738" s="14"/>
      <c r="F4738" s="14"/>
      <c r="G4738" s="16"/>
    </row>
    <row r="4739" spans="2:7" x14ac:dyDescent="0.25">
      <c r="B4739" s="38"/>
      <c r="C4739" s="14"/>
      <c r="D4739" s="14"/>
      <c r="E4739" s="14"/>
      <c r="F4739" s="14"/>
      <c r="G4739" s="16"/>
    </row>
    <row r="4740" spans="2:7" x14ac:dyDescent="0.25">
      <c r="B4740" s="38"/>
      <c r="C4740" s="14"/>
      <c r="D4740" s="14"/>
      <c r="E4740" s="14"/>
      <c r="F4740" s="14"/>
      <c r="G4740" s="16"/>
    </row>
    <row r="4741" spans="2:7" x14ac:dyDescent="0.25">
      <c r="B4741" s="38"/>
      <c r="C4741" s="14"/>
      <c r="D4741" s="14"/>
      <c r="E4741" s="14"/>
      <c r="F4741" s="14"/>
      <c r="G4741" s="16"/>
    </row>
    <row r="4742" spans="2:7" x14ac:dyDescent="0.25">
      <c r="B4742" s="38"/>
      <c r="C4742" s="14"/>
      <c r="D4742" s="14"/>
      <c r="E4742" s="14"/>
      <c r="F4742" s="14"/>
      <c r="G4742" s="16"/>
    </row>
    <row r="4743" spans="2:7" x14ac:dyDescent="0.25">
      <c r="B4743" s="38"/>
      <c r="C4743" s="14"/>
      <c r="D4743" s="14"/>
      <c r="E4743" s="14"/>
      <c r="F4743" s="14"/>
      <c r="G4743" s="16"/>
    </row>
    <row r="4744" spans="2:7" x14ac:dyDescent="0.25">
      <c r="B4744" s="38"/>
      <c r="C4744" s="14"/>
      <c r="D4744" s="14"/>
      <c r="E4744" s="14"/>
      <c r="F4744" s="14"/>
      <c r="G4744" s="16"/>
    </row>
    <row r="4745" spans="2:7" x14ac:dyDescent="0.25">
      <c r="B4745" s="38"/>
      <c r="C4745" s="14"/>
      <c r="D4745" s="14"/>
      <c r="E4745" s="14"/>
      <c r="F4745" s="14"/>
      <c r="G4745" s="16"/>
    </row>
    <row r="4746" spans="2:7" x14ac:dyDescent="0.25">
      <c r="B4746" s="38"/>
      <c r="C4746" s="14"/>
      <c r="D4746" s="14"/>
      <c r="E4746" s="14"/>
      <c r="F4746" s="14"/>
      <c r="G4746" s="16"/>
    </row>
    <row r="4747" spans="2:7" x14ac:dyDescent="0.25">
      <c r="B4747" s="38"/>
      <c r="C4747" s="14"/>
      <c r="D4747" s="14"/>
      <c r="E4747" s="14"/>
      <c r="F4747" s="14"/>
      <c r="G4747" s="16"/>
    </row>
    <row r="4748" spans="2:7" x14ac:dyDescent="0.25">
      <c r="B4748" s="38"/>
      <c r="C4748" s="14"/>
      <c r="D4748" s="14"/>
      <c r="E4748" s="14"/>
      <c r="F4748" s="14"/>
      <c r="G4748" s="16"/>
    </row>
    <row r="4749" spans="2:7" x14ac:dyDescent="0.25">
      <c r="B4749" s="38"/>
      <c r="C4749" s="14"/>
      <c r="D4749" s="14"/>
      <c r="E4749" s="14"/>
      <c r="F4749" s="14"/>
      <c r="G4749" s="16"/>
    </row>
    <row r="4750" spans="2:7" x14ac:dyDescent="0.25">
      <c r="B4750" s="38"/>
      <c r="C4750" s="14"/>
      <c r="D4750" s="14"/>
      <c r="E4750" s="14"/>
      <c r="F4750" s="14"/>
      <c r="G4750" s="16"/>
    </row>
    <row r="4751" spans="2:7" x14ac:dyDescent="0.25">
      <c r="B4751" s="38"/>
      <c r="C4751" s="14"/>
      <c r="D4751" s="14"/>
      <c r="E4751" s="14"/>
      <c r="F4751" s="14"/>
      <c r="G4751" s="16"/>
    </row>
    <row r="4752" spans="2:7" x14ac:dyDescent="0.25">
      <c r="B4752" s="38"/>
      <c r="C4752" s="14"/>
      <c r="D4752" s="14"/>
      <c r="E4752" s="14"/>
      <c r="F4752" s="14"/>
      <c r="G4752" s="16"/>
    </row>
    <row r="4753" spans="2:7" x14ac:dyDescent="0.25">
      <c r="B4753" s="38"/>
      <c r="C4753" s="14"/>
      <c r="D4753" s="14"/>
      <c r="E4753" s="14"/>
      <c r="F4753" s="14"/>
      <c r="G4753" s="16"/>
    </row>
    <row r="4754" spans="2:7" x14ac:dyDescent="0.25">
      <c r="B4754" s="38"/>
      <c r="C4754" s="14"/>
      <c r="D4754" s="14"/>
      <c r="E4754" s="14"/>
      <c r="F4754" s="14"/>
      <c r="G4754" s="16"/>
    </row>
    <row r="4755" spans="2:7" x14ac:dyDescent="0.25">
      <c r="B4755" s="38"/>
      <c r="C4755" s="14"/>
      <c r="D4755" s="14"/>
      <c r="E4755" s="14"/>
      <c r="F4755" s="14"/>
      <c r="G4755" s="16"/>
    </row>
    <row r="4756" spans="2:7" x14ac:dyDescent="0.25">
      <c r="B4756" s="38"/>
      <c r="C4756" s="14"/>
      <c r="D4756" s="14"/>
      <c r="E4756" s="14"/>
      <c r="F4756" s="14"/>
      <c r="G4756" s="16"/>
    </row>
    <row r="4757" spans="2:7" x14ac:dyDescent="0.25">
      <c r="B4757" s="38"/>
      <c r="C4757" s="14"/>
      <c r="D4757" s="14"/>
      <c r="E4757" s="14"/>
      <c r="F4757" s="14"/>
      <c r="G4757" s="16"/>
    </row>
    <row r="4758" spans="2:7" x14ac:dyDescent="0.25">
      <c r="B4758" s="38"/>
      <c r="C4758" s="14"/>
      <c r="D4758" s="14"/>
      <c r="E4758" s="14"/>
      <c r="F4758" s="14"/>
      <c r="G4758" s="16"/>
    </row>
    <row r="4759" spans="2:7" x14ac:dyDescent="0.25">
      <c r="B4759" s="38"/>
      <c r="C4759" s="14"/>
      <c r="D4759" s="14"/>
      <c r="E4759" s="14"/>
      <c r="F4759" s="14"/>
      <c r="G4759" s="16"/>
    </row>
    <row r="4760" spans="2:7" x14ac:dyDescent="0.25">
      <c r="B4760" s="38"/>
      <c r="C4760" s="14"/>
      <c r="D4760" s="14"/>
      <c r="E4760" s="14"/>
      <c r="F4760" s="14"/>
      <c r="G4760" s="16"/>
    </row>
    <row r="4761" spans="2:7" x14ac:dyDescent="0.25">
      <c r="B4761" s="38"/>
      <c r="C4761" s="14"/>
      <c r="D4761" s="14"/>
      <c r="E4761" s="14"/>
      <c r="F4761" s="14"/>
      <c r="G4761" s="16"/>
    </row>
    <row r="4762" spans="2:7" x14ac:dyDescent="0.25">
      <c r="B4762" s="38"/>
      <c r="C4762" s="14"/>
      <c r="D4762" s="14"/>
      <c r="E4762" s="14"/>
      <c r="F4762" s="14"/>
      <c r="G4762" s="16"/>
    </row>
    <row r="4763" spans="2:7" x14ac:dyDescent="0.25">
      <c r="B4763" s="38"/>
      <c r="C4763" s="14"/>
      <c r="D4763" s="14"/>
      <c r="E4763" s="14"/>
      <c r="F4763" s="14"/>
      <c r="G4763" s="16"/>
    </row>
    <row r="4764" spans="2:7" x14ac:dyDescent="0.25">
      <c r="B4764" s="38"/>
      <c r="C4764" s="14"/>
      <c r="D4764" s="14"/>
      <c r="E4764" s="14"/>
      <c r="F4764" s="14"/>
      <c r="G4764" s="16"/>
    </row>
    <row r="4765" spans="2:7" x14ac:dyDescent="0.25">
      <c r="B4765" s="38"/>
      <c r="C4765" s="14"/>
      <c r="D4765" s="14"/>
      <c r="E4765" s="14"/>
      <c r="F4765" s="14"/>
      <c r="G4765" s="16"/>
    </row>
    <row r="4766" spans="2:7" x14ac:dyDescent="0.25">
      <c r="B4766" s="38"/>
      <c r="C4766" s="14"/>
      <c r="D4766" s="14"/>
      <c r="E4766" s="14"/>
      <c r="F4766" s="14"/>
      <c r="G4766" s="16"/>
    </row>
    <row r="4767" spans="2:7" x14ac:dyDescent="0.25">
      <c r="B4767" s="38"/>
      <c r="C4767" s="14"/>
      <c r="D4767" s="14"/>
      <c r="E4767" s="14"/>
      <c r="F4767" s="14"/>
      <c r="G4767" s="16"/>
    </row>
    <row r="4768" spans="2:7" x14ac:dyDescent="0.25">
      <c r="B4768" s="38"/>
      <c r="C4768" s="14"/>
      <c r="D4768" s="14"/>
      <c r="E4768" s="14"/>
      <c r="F4768" s="14"/>
      <c r="G4768" s="16"/>
    </row>
    <row r="4769" spans="2:7" x14ac:dyDescent="0.25">
      <c r="B4769" s="38"/>
      <c r="C4769" s="14"/>
      <c r="D4769" s="14"/>
      <c r="E4769" s="14"/>
      <c r="F4769" s="14"/>
      <c r="G4769" s="16"/>
    </row>
    <row r="4770" spans="2:7" x14ac:dyDescent="0.25">
      <c r="B4770" s="38"/>
      <c r="C4770" s="14"/>
      <c r="D4770" s="14"/>
      <c r="E4770" s="14"/>
      <c r="F4770" s="14"/>
      <c r="G4770" s="16"/>
    </row>
    <row r="4771" spans="2:7" x14ac:dyDescent="0.25">
      <c r="B4771" s="38"/>
      <c r="C4771" s="14"/>
      <c r="D4771" s="14"/>
      <c r="E4771" s="14"/>
      <c r="F4771" s="14"/>
      <c r="G4771" s="16"/>
    </row>
    <row r="4772" spans="2:7" x14ac:dyDescent="0.25">
      <c r="B4772" s="38"/>
      <c r="C4772" s="14"/>
      <c r="D4772" s="14"/>
      <c r="E4772" s="14"/>
      <c r="F4772" s="14"/>
      <c r="G4772" s="16"/>
    </row>
    <row r="4773" spans="2:7" x14ac:dyDescent="0.25">
      <c r="B4773" s="38"/>
      <c r="C4773" s="14"/>
      <c r="D4773" s="14"/>
      <c r="E4773" s="14"/>
      <c r="F4773" s="14"/>
      <c r="G4773" s="16"/>
    </row>
    <row r="4774" spans="2:7" x14ac:dyDescent="0.25">
      <c r="B4774" s="38"/>
      <c r="C4774" s="14"/>
      <c r="D4774" s="14"/>
      <c r="E4774" s="14"/>
      <c r="F4774" s="14"/>
      <c r="G4774" s="16"/>
    </row>
    <row r="4775" spans="2:7" x14ac:dyDescent="0.25">
      <c r="B4775" s="38"/>
      <c r="C4775" s="14"/>
      <c r="D4775" s="14"/>
      <c r="E4775" s="14"/>
      <c r="F4775" s="14"/>
      <c r="G4775" s="16"/>
    </row>
    <row r="4776" spans="2:7" x14ac:dyDescent="0.25">
      <c r="B4776" s="38"/>
      <c r="C4776" s="14"/>
      <c r="D4776" s="14"/>
      <c r="E4776" s="14"/>
      <c r="F4776" s="14"/>
      <c r="G4776" s="16"/>
    </row>
    <row r="4777" spans="2:7" x14ac:dyDescent="0.25">
      <c r="B4777" s="38"/>
      <c r="C4777" s="14"/>
      <c r="D4777" s="14"/>
      <c r="E4777" s="14"/>
      <c r="F4777" s="14"/>
      <c r="G4777" s="16"/>
    </row>
    <row r="4778" spans="2:7" x14ac:dyDescent="0.25">
      <c r="B4778" s="38"/>
      <c r="C4778" s="14"/>
      <c r="D4778" s="14"/>
      <c r="E4778" s="14"/>
      <c r="F4778" s="14"/>
      <c r="G4778" s="16"/>
    </row>
    <row r="4779" spans="2:7" x14ac:dyDescent="0.25">
      <c r="B4779" s="38"/>
      <c r="C4779" s="14"/>
      <c r="D4779" s="14"/>
      <c r="E4779" s="14"/>
      <c r="F4779" s="14"/>
      <c r="G4779" s="16"/>
    </row>
    <row r="4780" spans="2:7" x14ac:dyDescent="0.25">
      <c r="B4780" s="38"/>
      <c r="C4780" s="14"/>
      <c r="D4780" s="14"/>
      <c r="E4780" s="14"/>
      <c r="F4780" s="14"/>
      <c r="G4780" s="16"/>
    </row>
    <row r="4781" spans="2:7" x14ac:dyDescent="0.25">
      <c r="B4781" s="38"/>
      <c r="C4781" s="14"/>
      <c r="D4781" s="14"/>
      <c r="E4781" s="14"/>
      <c r="F4781" s="14"/>
      <c r="G4781" s="16"/>
    </row>
    <row r="4782" spans="2:7" x14ac:dyDescent="0.25">
      <c r="B4782" s="38"/>
      <c r="C4782" s="14"/>
      <c r="D4782" s="14"/>
      <c r="E4782" s="14"/>
      <c r="F4782" s="14"/>
      <c r="G4782" s="16"/>
    </row>
    <row r="4783" spans="2:7" x14ac:dyDescent="0.25">
      <c r="B4783" s="38"/>
      <c r="C4783" s="14"/>
      <c r="D4783" s="14"/>
      <c r="E4783" s="14"/>
      <c r="F4783" s="14"/>
      <c r="G4783" s="16"/>
    </row>
    <row r="4784" spans="2:7" x14ac:dyDescent="0.25">
      <c r="B4784" s="38"/>
      <c r="C4784" s="14"/>
      <c r="D4784" s="14"/>
      <c r="E4784" s="14"/>
      <c r="F4784" s="14"/>
      <c r="G4784" s="16"/>
    </row>
    <row r="4785" spans="2:7" x14ac:dyDescent="0.25">
      <c r="B4785" s="38"/>
      <c r="C4785" s="14"/>
      <c r="D4785" s="14"/>
      <c r="E4785" s="14"/>
      <c r="F4785" s="14"/>
      <c r="G4785" s="16"/>
    </row>
    <row r="4786" spans="2:7" x14ac:dyDescent="0.25">
      <c r="B4786" s="38"/>
      <c r="C4786" s="14"/>
      <c r="D4786" s="14"/>
      <c r="E4786" s="14"/>
      <c r="F4786" s="14"/>
      <c r="G4786" s="16"/>
    </row>
    <row r="4787" spans="2:7" x14ac:dyDescent="0.25">
      <c r="B4787" s="38"/>
      <c r="C4787" s="14"/>
      <c r="D4787" s="14"/>
      <c r="E4787" s="14"/>
      <c r="F4787" s="14"/>
      <c r="G4787" s="16"/>
    </row>
    <row r="4788" spans="2:7" x14ac:dyDescent="0.25">
      <c r="B4788" s="38"/>
      <c r="C4788" s="14"/>
      <c r="D4788" s="14"/>
      <c r="E4788" s="14"/>
      <c r="F4788" s="14"/>
      <c r="G4788" s="16"/>
    </row>
    <row r="4789" spans="2:7" x14ac:dyDescent="0.25">
      <c r="B4789" s="38"/>
      <c r="C4789" s="14"/>
      <c r="D4789" s="14"/>
      <c r="E4789" s="14"/>
      <c r="F4789" s="14"/>
      <c r="G4789" s="16"/>
    </row>
    <row r="4790" spans="2:7" x14ac:dyDescent="0.25">
      <c r="B4790" s="38"/>
      <c r="C4790" s="14"/>
      <c r="D4790" s="14"/>
      <c r="E4790" s="14"/>
      <c r="F4790" s="14"/>
      <c r="G4790" s="16"/>
    </row>
    <row r="4791" spans="2:7" x14ac:dyDescent="0.25">
      <c r="B4791" s="38"/>
      <c r="C4791" s="14"/>
      <c r="D4791" s="14"/>
      <c r="E4791" s="14"/>
      <c r="F4791" s="14"/>
      <c r="G4791" s="16"/>
    </row>
    <row r="4792" spans="2:7" x14ac:dyDescent="0.25">
      <c r="B4792" s="38"/>
      <c r="C4792" s="14"/>
      <c r="D4792" s="14"/>
      <c r="E4792" s="14"/>
      <c r="F4792" s="14"/>
      <c r="G4792" s="16"/>
    </row>
    <row r="4793" spans="2:7" x14ac:dyDescent="0.25">
      <c r="B4793" s="38"/>
      <c r="C4793" s="14"/>
      <c r="D4793" s="14"/>
      <c r="E4793" s="14"/>
      <c r="F4793" s="14"/>
      <c r="G4793" s="16"/>
    </row>
    <row r="4794" spans="2:7" x14ac:dyDescent="0.25">
      <c r="B4794" s="38"/>
      <c r="C4794" s="14"/>
      <c r="D4794" s="14"/>
      <c r="E4794" s="14"/>
      <c r="F4794" s="14"/>
      <c r="G4794" s="16"/>
    </row>
    <row r="4795" spans="2:7" x14ac:dyDescent="0.25">
      <c r="B4795" s="38"/>
      <c r="C4795" s="14"/>
      <c r="D4795" s="14"/>
      <c r="E4795" s="14"/>
      <c r="F4795" s="14"/>
      <c r="G4795" s="16"/>
    </row>
    <row r="4796" spans="2:7" x14ac:dyDescent="0.25">
      <c r="B4796" s="38"/>
      <c r="C4796" s="14"/>
      <c r="D4796" s="14"/>
      <c r="E4796" s="14"/>
      <c r="F4796" s="14"/>
      <c r="G4796" s="16"/>
    </row>
    <row r="4797" spans="2:7" x14ac:dyDescent="0.25">
      <c r="B4797" s="38"/>
      <c r="C4797" s="14"/>
      <c r="D4797" s="14"/>
      <c r="E4797" s="14"/>
      <c r="F4797" s="14"/>
      <c r="G4797" s="16"/>
    </row>
    <row r="4798" spans="2:7" x14ac:dyDescent="0.25">
      <c r="B4798" s="38"/>
      <c r="C4798" s="14"/>
      <c r="D4798" s="14"/>
      <c r="E4798" s="14"/>
      <c r="F4798" s="14"/>
      <c r="G4798" s="16"/>
    </row>
    <row r="4799" spans="2:7" x14ac:dyDescent="0.25">
      <c r="B4799" s="38"/>
      <c r="C4799" s="14"/>
      <c r="D4799" s="14"/>
      <c r="E4799" s="14"/>
      <c r="F4799" s="14"/>
      <c r="G4799" s="16"/>
    </row>
    <row r="4800" spans="2:7" x14ac:dyDescent="0.25">
      <c r="B4800" s="38"/>
      <c r="C4800" s="14"/>
      <c r="D4800" s="14"/>
      <c r="E4800" s="14"/>
      <c r="F4800" s="14"/>
      <c r="G4800" s="16"/>
    </row>
    <row r="4801" spans="2:7" x14ac:dyDescent="0.25">
      <c r="B4801" s="38"/>
      <c r="C4801" s="14"/>
      <c r="D4801" s="14"/>
      <c r="E4801" s="14"/>
      <c r="F4801" s="14"/>
      <c r="G4801" s="16"/>
    </row>
    <row r="4802" spans="2:7" x14ac:dyDescent="0.25">
      <c r="B4802" s="38"/>
      <c r="C4802" s="14"/>
      <c r="D4802" s="14"/>
      <c r="E4802" s="14"/>
      <c r="F4802" s="14"/>
      <c r="G4802" s="16"/>
    </row>
    <row r="4803" spans="2:7" x14ac:dyDescent="0.25">
      <c r="B4803" s="38"/>
      <c r="C4803" s="14"/>
      <c r="D4803" s="14"/>
      <c r="E4803" s="14"/>
      <c r="F4803" s="14"/>
      <c r="G4803" s="16"/>
    </row>
    <row r="4804" spans="2:7" x14ac:dyDescent="0.25">
      <c r="B4804" s="38"/>
      <c r="C4804" s="14"/>
      <c r="D4804" s="14"/>
      <c r="E4804" s="14"/>
      <c r="F4804" s="14"/>
      <c r="G4804" s="16"/>
    </row>
    <row r="4805" spans="2:7" x14ac:dyDescent="0.25">
      <c r="B4805" s="38"/>
      <c r="C4805" s="14"/>
      <c r="D4805" s="14"/>
      <c r="E4805" s="14"/>
      <c r="F4805" s="14"/>
      <c r="G4805" s="16"/>
    </row>
    <row r="4806" spans="2:7" x14ac:dyDescent="0.25">
      <c r="B4806" s="38"/>
      <c r="C4806" s="14"/>
      <c r="D4806" s="14"/>
      <c r="E4806" s="14"/>
      <c r="F4806" s="14"/>
      <c r="G4806" s="16"/>
    </row>
    <row r="4807" spans="2:7" x14ac:dyDescent="0.25">
      <c r="B4807" s="38"/>
      <c r="C4807" s="14"/>
      <c r="D4807" s="14"/>
      <c r="E4807" s="14"/>
      <c r="F4807" s="14"/>
      <c r="G4807" s="16"/>
    </row>
    <row r="4808" spans="2:7" x14ac:dyDescent="0.25">
      <c r="B4808" s="38"/>
      <c r="C4808" s="14"/>
      <c r="D4808" s="14"/>
      <c r="E4808" s="14"/>
      <c r="F4808" s="14"/>
      <c r="G4808" s="16"/>
    </row>
    <row r="4809" spans="2:7" x14ac:dyDescent="0.25">
      <c r="B4809" s="38"/>
      <c r="C4809" s="14"/>
      <c r="D4809" s="14"/>
      <c r="E4809" s="14"/>
      <c r="F4809" s="14"/>
      <c r="G4809" s="16"/>
    </row>
    <row r="4810" spans="2:7" x14ac:dyDescent="0.25">
      <c r="B4810" s="38"/>
      <c r="C4810" s="14"/>
      <c r="D4810" s="14"/>
      <c r="E4810" s="14"/>
      <c r="F4810" s="14"/>
      <c r="G4810" s="16"/>
    </row>
    <row r="4811" spans="2:7" x14ac:dyDescent="0.25">
      <c r="B4811" s="38"/>
      <c r="C4811" s="14"/>
      <c r="D4811" s="14"/>
      <c r="E4811" s="14"/>
      <c r="F4811" s="14"/>
      <c r="G4811" s="16"/>
    </row>
    <row r="4812" spans="2:7" x14ac:dyDescent="0.25">
      <c r="B4812" s="38"/>
      <c r="C4812" s="14"/>
      <c r="D4812" s="14"/>
      <c r="E4812" s="14"/>
      <c r="F4812" s="14"/>
      <c r="G4812" s="16"/>
    </row>
    <row r="4813" spans="2:7" x14ac:dyDescent="0.25">
      <c r="B4813" s="38"/>
      <c r="C4813" s="14"/>
      <c r="D4813" s="14"/>
      <c r="E4813" s="14"/>
      <c r="F4813" s="14"/>
      <c r="G4813" s="16"/>
    </row>
    <row r="4814" spans="2:7" x14ac:dyDescent="0.25">
      <c r="B4814" s="38"/>
      <c r="C4814" s="14"/>
      <c r="D4814" s="14"/>
      <c r="E4814" s="14"/>
      <c r="F4814" s="14"/>
      <c r="G4814" s="16"/>
    </row>
    <row r="4815" spans="2:7" x14ac:dyDescent="0.25">
      <c r="B4815" s="38"/>
      <c r="C4815" s="14"/>
      <c r="D4815" s="14"/>
      <c r="E4815" s="14"/>
      <c r="F4815" s="14"/>
      <c r="G4815" s="16"/>
    </row>
    <row r="4816" spans="2:7" x14ac:dyDescent="0.25">
      <c r="B4816" s="38"/>
      <c r="C4816" s="14"/>
      <c r="D4816" s="14"/>
      <c r="E4816" s="14"/>
      <c r="F4816" s="14"/>
      <c r="G4816" s="16"/>
    </row>
    <row r="4817" spans="2:7" x14ac:dyDescent="0.25">
      <c r="B4817" s="38"/>
      <c r="C4817" s="14"/>
      <c r="D4817" s="14"/>
      <c r="E4817" s="14"/>
      <c r="F4817" s="14"/>
      <c r="G4817" s="16"/>
    </row>
    <row r="4818" spans="2:7" x14ac:dyDescent="0.25">
      <c r="B4818" s="38"/>
      <c r="C4818" s="14"/>
      <c r="D4818" s="14"/>
      <c r="E4818" s="14"/>
      <c r="F4818" s="14"/>
      <c r="G4818" s="16"/>
    </row>
    <row r="4819" spans="2:7" x14ac:dyDescent="0.25">
      <c r="B4819" s="38"/>
      <c r="C4819" s="14"/>
      <c r="D4819" s="14"/>
      <c r="E4819" s="14"/>
      <c r="F4819" s="14"/>
      <c r="G4819" s="16"/>
    </row>
    <row r="4820" spans="2:7" x14ac:dyDescent="0.25">
      <c r="B4820" s="38"/>
      <c r="C4820" s="14"/>
      <c r="D4820" s="14"/>
      <c r="E4820" s="14"/>
      <c r="F4820" s="14"/>
      <c r="G4820" s="16"/>
    </row>
    <row r="4821" spans="2:7" x14ac:dyDescent="0.25">
      <c r="B4821" s="38"/>
      <c r="C4821" s="14"/>
      <c r="D4821" s="14"/>
      <c r="E4821" s="14"/>
      <c r="F4821" s="14"/>
      <c r="G4821" s="16"/>
    </row>
    <row r="4822" spans="2:7" x14ac:dyDescent="0.25">
      <c r="B4822" s="38"/>
      <c r="C4822" s="14"/>
      <c r="D4822" s="14"/>
      <c r="E4822" s="14"/>
      <c r="F4822" s="14"/>
      <c r="G4822" s="16"/>
    </row>
    <row r="4823" spans="2:7" x14ac:dyDescent="0.25">
      <c r="B4823" s="38"/>
      <c r="C4823" s="14"/>
      <c r="D4823" s="14"/>
      <c r="E4823" s="14"/>
      <c r="F4823" s="14"/>
      <c r="G4823" s="16"/>
    </row>
    <row r="4824" spans="2:7" x14ac:dyDescent="0.25">
      <c r="B4824" s="38"/>
      <c r="C4824" s="14"/>
      <c r="D4824" s="14"/>
      <c r="E4824" s="14"/>
      <c r="F4824" s="14"/>
      <c r="G4824" s="16"/>
    </row>
    <row r="4825" spans="2:7" x14ac:dyDescent="0.25">
      <c r="B4825" s="38"/>
      <c r="C4825" s="14"/>
      <c r="D4825" s="14"/>
      <c r="E4825" s="14"/>
      <c r="F4825" s="14"/>
      <c r="G4825" s="16"/>
    </row>
    <row r="4826" spans="2:7" x14ac:dyDescent="0.25">
      <c r="B4826" s="38"/>
      <c r="C4826" s="14"/>
      <c r="D4826" s="14"/>
      <c r="E4826" s="14"/>
      <c r="F4826" s="14"/>
      <c r="G4826" s="16"/>
    </row>
    <row r="4827" spans="2:7" x14ac:dyDescent="0.25">
      <c r="B4827" s="38"/>
      <c r="C4827" s="14"/>
      <c r="D4827" s="14"/>
      <c r="E4827" s="14"/>
      <c r="F4827" s="14"/>
      <c r="G4827" s="16"/>
    </row>
    <row r="4828" spans="2:7" x14ac:dyDescent="0.25">
      <c r="B4828" s="38"/>
      <c r="C4828" s="14"/>
      <c r="D4828" s="14"/>
      <c r="E4828" s="14"/>
      <c r="F4828" s="14"/>
      <c r="G4828" s="16"/>
    </row>
    <row r="4829" spans="2:7" x14ac:dyDescent="0.25">
      <c r="B4829" s="38"/>
      <c r="C4829" s="14"/>
      <c r="D4829" s="14"/>
      <c r="E4829" s="14"/>
      <c r="F4829" s="14"/>
      <c r="G4829" s="16"/>
    </row>
    <row r="4830" spans="2:7" x14ac:dyDescent="0.25">
      <c r="B4830" s="38"/>
      <c r="C4830" s="14"/>
      <c r="D4830" s="14"/>
      <c r="E4830" s="14"/>
      <c r="F4830" s="14"/>
      <c r="G4830" s="16"/>
    </row>
    <row r="4831" spans="2:7" x14ac:dyDescent="0.25">
      <c r="B4831" s="38"/>
      <c r="C4831" s="14"/>
      <c r="D4831" s="14"/>
      <c r="E4831" s="14"/>
      <c r="F4831" s="14"/>
      <c r="G4831" s="16"/>
    </row>
    <row r="4832" spans="2:7" x14ac:dyDescent="0.25">
      <c r="B4832" s="38"/>
      <c r="C4832" s="14"/>
      <c r="D4832" s="14"/>
      <c r="E4832" s="14"/>
      <c r="F4832" s="14"/>
      <c r="G4832" s="16"/>
    </row>
    <row r="4833" spans="2:7" x14ac:dyDescent="0.25">
      <c r="B4833" s="38"/>
      <c r="C4833" s="14"/>
      <c r="D4833" s="14"/>
      <c r="E4833" s="14"/>
      <c r="F4833" s="14"/>
      <c r="G4833" s="16"/>
    </row>
    <row r="4834" spans="2:7" x14ac:dyDescent="0.25">
      <c r="B4834" s="38"/>
      <c r="C4834" s="14"/>
      <c r="D4834" s="14"/>
      <c r="E4834" s="14"/>
      <c r="F4834" s="14"/>
      <c r="G4834" s="16"/>
    </row>
    <row r="4835" spans="2:7" x14ac:dyDescent="0.25">
      <c r="B4835" s="38"/>
      <c r="C4835" s="14"/>
      <c r="D4835" s="14"/>
      <c r="E4835" s="14"/>
      <c r="F4835" s="14"/>
      <c r="G4835" s="16"/>
    </row>
    <row r="4836" spans="2:7" x14ac:dyDescent="0.25">
      <c r="B4836" s="38"/>
      <c r="C4836" s="14"/>
      <c r="D4836" s="14"/>
      <c r="E4836" s="14"/>
      <c r="F4836" s="14"/>
      <c r="G4836" s="16"/>
    </row>
    <row r="4837" spans="2:7" x14ac:dyDescent="0.25">
      <c r="B4837" s="38"/>
      <c r="C4837" s="14"/>
      <c r="D4837" s="14"/>
      <c r="E4837" s="14"/>
      <c r="F4837" s="14"/>
      <c r="G4837" s="16"/>
    </row>
    <row r="4838" spans="2:7" x14ac:dyDescent="0.25">
      <c r="B4838" s="38"/>
      <c r="C4838" s="14"/>
      <c r="D4838" s="14"/>
      <c r="E4838" s="14"/>
      <c r="F4838" s="14"/>
      <c r="G4838" s="16"/>
    </row>
    <row r="4839" spans="2:7" x14ac:dyDescent="0.25">
      <c r="B4839" s="38"/>
      <c r="C4839" s="14"/>
      <c r="D4839" s="14"/>
      <c r="E4839" s="14"/>
      <c r="F4839" s="14"/>
      <c r="G4839" s="16"/>
    </row>
    <row r="4840" spans="2:7" x14ac:dyDescent="0.25">
      <c r="B4840" s="38"/>
      <c r="C4840" s="14"/>
      <c r="D4840" s="14"/>
      <c r="E4840" s="14"/>
      <c r="F4840" s="14"/>
      <c r="G4840" s="16"/>
    </row>
    <row r="4841" spans="2:7" x14ac:dyDescent="0.25">
      <c r="B4841" s="38"/>
      <c r="C4841" s="14"/>
      <c r="D4841" s="14"/>
      <c r="E4841" s="14"/>
      <c r="F4841" s="14"/>
      <c r="G4841" s="16"/>
    </row>
    <row r="4842" spans="2:7" x14ac:dyDescent="0.25">
      <c r="B4842" s="38"/>
      <c r="C4842" s="14"/>
      <c r="D4842" s="14"/>
      <c r="E4842" s="14"/>
      <c r="F4842" s="14"/>
      <c r="G4842" s="16"/>
    </row>
    <row r="4843" spans="2:7" x14ac:dyDescent="0.25">
      <c r="B4843" s="38"/>
      <c r="C4843" s="14"/>
      <c r="D4843" s="14"/>
      <c r="E4843" s="14"/>
      <c r="F4843" s="14"/>
      <c r="G4843" s="16"/>
    </row>
    <row r="4844" spans="2:7" x14ac:dyDescent="0.25">
      <c r="B4844" s="38"/>
      <c r="C4844" s="14"/>
      <c r="D4844" s="14"/>
      <c r="E4844" s="14"/>
      <c r="F4844" s="14"/>
      <c r="G4844" s="16"/>
    </row>
    <row r="4845" spans="2:7" x14ac:dyDescent="0.25">
      <c r="B4845" s="38"/>
      <c r="C4845" s="14"/>
      <c r="D4845" s="14"/>
      <c r="E4845" s="14"/>
      <c r="F4845" s="14"/>
      <c r="G4845" s="16"/>
    </row>
    <row r="4846" spans="2:7" x14ac:dyDescent="0.25">
      <c r="B4846" s="38"/>
      <c r="C4846" s="14"/>
      <c r="D4846" s="14"/>
      <c r="E4846" s="14"/>
      <c r="F4846" s="14"/>
      <c r="G4846" s="16"/>
    </row>
    <row r="4847" spans="2:7" x14ac:dyDescent="0.25">
      <c r="B4847" s="38"/>
      <c r="C4847" s="14"/>
      <c r="D4847" s="14"/>
      <c r="E4847" s="14"/>
      <c r="F4847" s="14"/>
      <c r="G4847" s="16"/>
    </row>
    <row r="4848" spans="2:7" x14ac:dyDescent="0.25">
      <c r="B4848" s="38"/>
      <c r="C4848" s="14"/>
      <c r="D4848" s="14"/>
      <c r="E4848" s="14"/>
      <c r="F4848" s="14"/>
      <c r="G4848" s="16"/>
    </row>
    <row r="4849" spans="2:7" x14ac:dyDescent="0.25">
      <c r="B4849" s="38"/>
      <c r="C4849" s="14"/>
      <c r="D4849" s="14"/>
      <c r="E4849" s="14"/>
      <c r="F4849" s="14"/>
      <c r="G4849" s="16"/>
    </row>
    <row r="4850" spans="2:7" x14ac:dyDescent="0.25">
      <c r="B4850" s="38"/>
      <c r="C4850" s="14"/>
      <c r="D4850" s="14"/>
      <c r="E4850" s="14"/>
      <c r="F4850" s="14"/>
      <c r="G4850" s="16"/>
    </row>
    <row r="4851" spans="2:7" x14ac:dyDescent="0.25">
      <c r="B4851" s="38"/>
      <c r="C4851" s="14"/>
      <c r="D4851" s="14"/>
      <c r="E4851" s="14"/>
      <c r="F4851" s="14"/>
      <c r="G4851" s="16"/>
    </row>
    <row r="4852" spans="2:7" x14ac:dyDescent="0.25">
      <c r="B4852" s="38"/>
      <c r="C4852" s="14"/>
      <c r="D4852" s="14"/>
      <c r="E4852" s="14"/>
      <c r="F4852" s="14"/>
      <c r="G4852" s="16"/>
    </row>
    <row r="4853" spans="2:7" x14ac:dyDescent="0.25">
      <c r="B4853" s="38"/>
      <c r="C4853" s="14"/>
      <c r="D4853" s="14"/>
      <c r="E4853" s="14"/>
      <c r="F4853" s="14"/>
      <c r="G4853" s="16"/>
    </row>
    <row r="4854" spans="2:7" x14ac:dyDescent="0.25">
      <c r="B4854" s="38"/>
      <c r="C4854" s="14"/>
      <c r="D4854" s="14"/>
      <c r="E4854" s="14"/>
      <c r="F4854" s="14"/>
      <c r="G4854" s="16"/>
    </row>
    <row r="4855" spans="2:7" x14ac:dyDescent="0.25">
      <c r="B4855" s="38"/>
      <c r="C4855" s="14"/>
      <c r="D4855" s="14"/>
      <c r="E4855" s="14"/>
      <c r="F4855" s="14"/>
      <c r="G4855" s="16"/>
    </row>
    <row r="4856" spans="2:7" x14ac:dyDescent="0.25">
      <c r="B4856" s="38"/>
      <c r="C4856" s="14"/>
      <c r="D4856" s="14"/>
      <c r="E4856" s="14"/>
      <c r="F4856" s="14"/>
      <c r="G4856" s="16"/>
    </row>
    <row r="4857" spans="2:7" x14ac:dyDescent="0.25">
      <c r="B4857" s="38"/>
      <c r="C4857" s="14"/>
      <c r="D4857" s="14"/>
      <c r="E4857" s="14"/>
      <c r="F4857" s="14"/>
      <c r="G4857" s="16"/>
    </row>
    <row r="4858" spans="2:7" x14ac:dyDescent="0.25">
      <c r="B4858" s="38"/>
      <c r="C4858" s="14"/>
      <c r="D4858" s="14"/>
      <c r="E4858" s="14"/>
      <c r="F4858" s="14"/>
      <c r="G4858" s="16"/>
    </row>
    <row r="4859" spans="2:7" x14ac:dyDescent="0.25">
      <c r="B4859" s="38"/>
      <c r="C4859" s="14"/>
      <c r="D4859" s="14"/>
      <c r="E4859" s="14"/>
      <c r="F4859" s="14"/>
      <c r="G4859" s="16"/>
    </row>
    <row r="4860" spans="2:7" x14ac:dyDescent="0.25">
      <c r="B4860" s="38"/>
      <c r="C4860" s="14"/>
      <c r="D4860" s="14"/>
      <c r="E4860" s="14"/>
      <c r="F4860" s="14"/>
      <c r="G4860" s="16"/>
    </row>
    <row r="4861" spans="2:7" x14ac:dyDescent="0.25">
      <c r="B4861" s="38"/>
      <c r="C4861" s="14"/>
      <c r="D4861" s="14"/>
      <c r="E4861" s="14"/>
      <c r="F4861" s="14"/>
      <c r="G4861" s="16"/>
    </row>
    <row r="4862" spans="2:7" x14ac:dyDescent="0.25">
      <c r="B4862" s="38"/>
      <c r="C4862" s="14"/>
      <c r="D4862" s="14"/>
      <c r="E4862" s="14"/>
      <c r="F4862" s="14"/>
      <c r="G4862" s="16"/>
    </row>
    <row r="4863" spans="2:7" x14ac:dyDescent="0.25">
      <c r="B4863" s="38"/>
      <c r="C4863" s="14"/>
      <c r="D4863" s="14"/>
      <c r="E4863" s="14"/>
      <c r="F4863" s="14"/>
      <c r="G4863" s="16"/>
    </row>
    <row r="4864" spans="2:7" x14ac:dyDescent="0.25">
      <c r="B4864" s="38"/>
      <c r="C4864" s="14"/>
      <c r="D4864" s="14"/>
      <c r="E4864" s="14"/>
      <c r="F4864" s="14"/>
      <c r="G4864" s="16"/>
    </row>
    <row r="4865" spans="2:7" x14ac:dyDescent="0.25">
      <c r="B4865" s="38"/>
      <c r="C4865" s="14"/>
      <c r="D4865" s="14"/>
      <c r="E4865" s="14"/>
      <c r="F4865" s="14"/>
      <c r="G4865" s="16"/>
    </row>
    <row r="4866" spans="2:7" x14ac:dyDescent="0.25">
      <c r="B4866" s="38"/>
      <c r="C4866" s="14"/>
      <c r="D4866" s="14"/>
      <c r="E4866" s="14"/>
      <c r="F4866" s="14"/>
      <c r="G4866" s="16"/>
    </row>
    <row r="4867" spans="2:7" x14ac:dyDescent="0.25">
      <c r="B4867" s="38"/>
      <c r="C4867" s="14"/>
      <c r="D4867" s="14"/>
      <c r="E4867" s="14"/>
      <c r="F4867" s="14"/>
      <c r="G4867" s="16"/>
    </row>
    <row r="4868" spans="2:7" x14ac:dyDescent="0.25">
      <c r="B4868" s="38"/>
      <c r="C4868" s="14"/>
      <c r="D4868" s="14"/>
      <c r="E4868" s="14"/>
      <c r="F4868" s="14"/>
      <c r="G4868" s="16"/>
    </row>
    <row r="4869" spans="2:7" x14ac:dyDescent="0.25">
      <c r="B4869" s="38"/>
      <c r="C4869" s="14"/>
      <c r="D4869" s="14"/>
      <c r="E4869" s="14"/>
      <c r="F4869" s="14"/>
      <c r="G4869" s="16"/>
    </row>
    <row r="4870" spans="2:7" x14ac:dyDescent="0.25">
      <c r="B4870" s="38"/>
      <c r="C4870" s="14"/>
      <c r="D4870" s="14"/>
      <c r="E4870" s="14"/>
      <c r="F4870" s="14"/>
      <c r="G4870" s="16"/>
    </row>
    <row r="4871" spans="2:7" x14ac:dyDescent="0.25">
      <c r="B4871" s="38"/>
      <c r="C4871" s="14"/>
      <c r="D4871" s="14"/>
      <c r="E4871" s="14"/>
      <c r="F4871" s="14"/>
      <c r="G4871" s="16"/>
    </row>
    <row r="4872" spans="2:7" x14ac:dyDescent="0.25">
      <c r="B4872" s="38"/>
      <c r="C4872" s="14"/>
      <c r="D4872" s="14"/>
      <c r="E4872" s="14"/>
      <c r="F4872" s="14"/>
      <c r="G4872" s="16"/>
    </row>
    <row r="4873" spans="2:7" x14ac:dyDescent="0.25">
      <c r="B4873" s="38"/>
      <c r="C4873" s="14"/>
      <c r="D4873" s="14"/>
      <c r="E4873" s="14"/>
      <c r="F4873" s="14"/>
      <c r="G4873" s="16"/>
    </row>
    <row r="4874" spans="2:7" x14ac:dyDescent="0.25">
      <c r="B4874" s="38"/>
      <c r="C4874" s="14"/>
      <c r="D4874" s="14"/>
      <c r="E4874" s="14"/>
      <c r="F4874" s="14"/>
      <c r="G4874" s="16"/>
    </row>
    <row r="4875" spans="2:7" x14ac:dyDescent="0.25">
      <c r="B4875" s="38"/>
      <c r="C4875" s="14"/>
      <c r="D4875" s="14"/>
      <c r="E4875" s="14"/>
      <c r="F4875" s="14"/>
      <c r="G4875" s="16"/>
    </row>
    <row r="4876" spans="2:7" x14ac:dyDescent="0.25">
      <c r="B4876" s="38"/>
      <c r="C4876" s="14"/>
      <c r="D4876" s="14"/>
      <c r="E4876" s="14"/>
      <c r="F4876" s="14"/>
      <c r="G4876" s="16"/>
    </row>
    <row r="4877" spans="2:7" x14ac:dyDescent="0.25">
      <c r="B4877" s="38"/>
      <c r="C4877" s="14"/>
      <c r="D4877" s="14"/>
      <c r="E4877" s="14"/>
      <c r="F4877" s="14"/>
      <c r="G4877" s="16"/>
    </row>
    <row r="4878" spans="2:7" x14ac:dyDescent="0.25">
      <c r="B4878" s="38"/>
      <c r="C4878" s="14"/>
      <c r="D4878" s="14"/>
      <c r="E4878" s="14"/>
      <c r="F4878" s="14"/>
      <c r="G4878" s="16"/>
    </row>
    <row r="4879" spans="2:7" x14ac:dyDescent="0.25">
      <c r="B4879" s="38"/>
      <c r="C4879" s="14"/>
      <c r="D4879" s="14"/>
      <c r="E4879" s="14"/>
      <c r="F4879" s="14"/>
      <c r="G4879" s="16"/>
    </row>
    <row r="4880" spans="2:7" x14ac:dyDescent="0.25">
      <c r="B4880" s="38"/>
      <c r="C4880" s="14"/>
      <c r="D4880" s="14"/>
      <c r="E4880" s="14"/>
      <c r="F4880" s="14"/>
      <c r="G4880" s="16"/>
    </row>
    <row r="4881" spans="2:7" x14ac:dyDescent="0.25">
      <c r="B4881" s="38"/>
      <c r="C4881" s="14"/>
      <c r="D4881" s="14"/>
      <c r="E4881" s="14"/>
      <c r="F4881" s="14"/>
      <c r="G4881" s="16"/>
    </row>
    <row r="4882" spans="2:7" x14ac:dyDescent="0.25">
      <c r="B4882" s="38"/>
      <c r="C4882" s="14"/>
      <c r="D4882" s="14"/>
      <c r="E4882" s="14"/>
      <c r="F4882" s="14"/>
      <c r="G4882" s="16"/>
    </row>
    <row r="4883" spans="2:7" x14ac:dyDescent="0.25">
      <c r="B4883" s="38"/>
      <c r="C4883" s="14"/>
      <c r="D4883" s="14"/>
      <c r="E4883" s="14"/>
      <c r="F4883" s="14"/>
      <c r="G4883" s="16"/>
    </row>
    <row r="4884" spans="2:7" x14ac:dyDescent="0.25">
      <c r="B4884" s="38"/>
      <c r="C4884" s="14"/>
      <c r="D4884" s="14"/>
      <c r="E4884" s="14"/>
      <c r="F4884" s="14"/>
      <c r="G4884" s="16"/>
    </row>
    <row r="4885" spans="2:7" x14ac:dyDescent="0.25">
      <c r="B4885" s="38"/>
      <c r="C4885" s="14"/>
      <c r="D4885" s="14"/>
      <c r="E4885" s="14"/>
      <c r="F4885" s="14"/>
      <c r="G4885" s="16"/>
    </row>
    <row r="4886" spans="2:7" x14ac:dyDescent="0.25">
      <c r="B4886" s="38"/>
      <c r="C4886" s="14"/>
      <c r="D4886" s="14"/>
      <c r="E4886" s="14"/>
      <c r="F4886" s="14"/>
      <c r="G4886" s="16"/>
    </row>
    <row r="4887" spans="2:7" x14ac:dyDescent="0.25">
      <c r="B4887" s="38"/>
      <c r="C4887" s="14"/>
      <c r="D4887" s="14"/>
      <c r="E4887" s="14"/>
      <c r="F4887" s="14"/>
      <c r="G4887" s="16"/>
    </row>
    <row r="4888" spans="2:7" x14ac:dyDescent="0.25">
      <c r="B4888" s="38"/>
      <c r="C4888" s="14"/>
      <c r="D4888" s="14"/>
      <c r="E4888" s="14"/>
      <c r="F4888" s="14"/>
      <c r="G4888" s="16"/>
    </row>
    <row r="4889" spans="2:7" x14ac:dyDescent="0.25">
      <c r="B4889" s="38"/>
      <c r="C4889" s="14"/>
      <c r="D4889" s="14"/>
      <c r="E4889" s="14"/>
      <c r="F4889" s="14"/>
      <c r="G4889" s="16"/>
    </row>
    <row r="4890" spans="2:7" x14ac:dyDescent="0.25">
      <c r="B4890" s="38"/>
      <c r="C4890" s="14"/>
      <c r="D4890" s="14"/>
      <c r="E4890" s="14"/>
      <c r="F4890" s="14"/>
      <c r="G4890" s="16"/>
    </row>
    <row r="4891" spans="2:7" x14ac:dyDescent="0.25">
      <c r="B4891" s="38"/>
      <c r="C4891" s="14"/>
      <c r="D4891" s="14"/>
      <c r="E4891" s="14"/>
      <c r="F4891" s="14"/>
      <c r="G4891" s="16"/>
    </row>
    <row r="4892" spans="2:7" x14ac:dyDescent="0.25">
      <c r="B4892" s="38"/>
      <c r="C4892" s="14"/>
      <c r="D4892" s="14"/>
      <c r="E4892" s="14"/>
      <c r="F4892" s="14"/>
      <c r="G4892" s="16"/>
    </row>
    <row r="4893" spans="2:7" x14ac:dyDescent="0.25">
      <c r="B4893" s="38"/>
      <c r="C4893" s="14"/>
      <c r="D4893" s="14"/>
      <c r="E4893" s="14"/>
      <c r="F4893" s="14"/>
      <c r="G4893" s="16"/>
    </row>
    <row r="4894" spans="2:7" x14ac:dyDescent="0.25">
      <c r="B4894" s="38"/>
      <c r="C4894" s="14"/>
      <c r="D4894" s="14"/>
      <c r="E4894" s="14"/>
      <c r="F4894" s="14"/>
      <c r="G4894" s="16"/>
    </row>
    <row r="4895" spans="2:7" x14ac:dyDescent="0.25">
      <c r="B4895" s="38"/>
      <c r="C4895" s="14"/>
      <c r="D4895" s="14"/>
      <c r="E4895" s="14"/>
      <c r="F4895" s="14"/>
      <c r="G4895" s="16"/>
    </row>
    <row r="4896" spans="2:7" x14ac:dyDescent="0.25">
      <c r="B4896" s="38"/>
      <c r="C4896" s="14"/>
      <c r="D4896" s="14"/>
      <c r="E4896" s="14"/>
      <c r="F4896" s="14"/>
      <c r="G4896" s="16"/>
    </row>
    <row r="4897" spans="2:7" x14ac:dyDescent="0.25">
      <c r="B4897" s="38"/>
      <c r="C4897" s="14"/>
      <c r="D4897" s="14"/>
      <c r="E4897" s="14"/>
      <c r="F4897" s="14"/>
      <c r="G4897" s="16"/>
    </row>
    <row r="4898" spans="2:7" x14ac:dyDescent="0.25">
      <c r="B4898" s="38"/>
      <c r="C4898" s="14"/>
      <c r="D4898" s="14"/>
      <c r="E4898" s="14"/>
      <c r="F4898" s="14"/>
      <c r="G4898" s="16"/>
    </row>
    <row r="4899" spans="2:7" x14ac:dyDescent="0.25">
      <c r="B4899" s="38"/>
      <c r="C4899" s="14"/>
      <c r="D4899" s="14"/>
      <c r="E4899" s="14"/>
      <c r="F4899" s="14"/>
      <c r="G4899" s="16"/>
    </row>
    <row r="4900" spans="2:7" x14ac:dyDescent="0.25">
      <c r="B4900" s="38"/>
      <c r="C4900" s="14"/>
      <c r="D4900" s="14"/>
      <c r="E4900" s="14"/>
      <c r="F4900" s="14"/>
      <c r="G4900" s="16"/>
    </row>
    <row r="4901" spans="2:7" x14ac:dyDescent="0.25">
      <c r="B4901" s="38"/>
      <c r="C4901" s="14"/>
      <c r="D4901" s="14"/>
      <c r="E4901" s="14"/>
      <c r="F4901" s="14"/>
      <c r="G4901" s="16"/>
    </row>
    <row r="4902" spans="2:7" x14ac:dyDescent="0.25">
      <c r="B4902" s="38"/>
      <c r="C4902" s="14"/>
      <c r="D4902" s="14"/>
      <c r="E4902" s="14"/>
      <c r="F4902" s="14"/>
      <c r="G4902" s="16"/>
    </row>
    <row r="4903" spans="2:7" x14ac:dyDescent="0.25">
      <c r="B4903" s="38"/>
      <c r="C4903" s="14"/>
      <c r="D4903" s="14"/>
      <c r="E4903" s="14"/>
      <c r="F4903" s="14"/>
      <c r="G4903" s="16"/>
    </row>
    <row r="4904" spans="2:7" x14ac:dyDescent="0.25">
      <c r="B4904" s="38"/>
      <c r="C4904" s="14"/>
      <c r="D4904" s="14"/>
      <c r="E4904" s="14"/>
      <c r="F4904" s="14"/>
      <c r="G4904" s="16"/>
    </row>
    <row r="4905" spans="2:7" x14ac:dyDescent="0.25">
      <c r="B4905" s="38"/>
      <c r="C4905" s="14"/>
      <c r="D4905" s="14"/>
      <c r="E4905" s="14"/>
      <c r="F4905" s="14"/>
      <c r="G4905" s="16"/>
    </row>
    <row r="4906" spans="2:7" x14ac:dyDescent="0.25">
      <c r="B4906" s="38"/>
      <c r="C4906" s="14"/>
      <c r="D4906" s="14"/>
      <c r="E4906" s="14"/>
      <c r="F4906" s="14"/>
      <c r="G4906" s="16"/>
    </row>
    <row r="4907" spans="2:7" x14ac:dyDescent="0.25">
      <c r="B4907" s="38"/>
      <c r="C4907" s="14"/>
      <c r="D4907" s="14"/>
      <c r="E4907" s="14"/>
      <c r="F4907" s="14"/>
      <c r="G4907" s="16"/>
    </row>
    <row r="4908" spans="2:7" x14ac:dyDescent="0.25">
      <c r="B4908" s="38"/>
      <c r="C4908" s="14"/>
      <c r="D4908" s="14"/>
      <c r="E4908" s="14"/>
      <c r="F4908" s="14"/>
      <c r="G4908" s="16"/>
    </row>
    <row r="4909" spans="2:7" x14ac:dyDescent="0.25">
      <c r="B4909" s="38"/>
      <c r="C4909" s="14"/>
      <c r="D4909" s="14"/>
      <c r="E4909" s="14"/>
      <c r="F4909" s="14"/>
      <c r="G4909" s="16"/>
    </row>
    <row r="4910" spans="2:7" x14ac:dyDescent="0.25">
      <c r="B4910" s="38"/>
      <c r="C4910" s="14"/>
      <c r="D4910" s="14"/>
      <c r="E4910" s="14"/>
      <c r="F4910" s="14"/>
      <c r="G4910" s="16"/>
    </row>
    <row r="4911" spans="2:7" x14ac:dyDescent="0.25">
      <c r="B4911" s="38"/>
      <c r="C4911" s="14"/>
      <c r="D4911" s="14"/>
      <c r="E4911" s="14"/>
      <c r="F4911" s="14"/>
      <c r="G4911" s="16"/>
    </row>
    <row r="4912" spans="2:7" x14ac:dyDescent="0.25">
      <c r="B4912" s="38"/>
      <c r="C4912" s="14"/>
      <c r="D4912" s="14"/>
      <c r="E4912" s="14"/>
      <c r="F4912" s="14"/>
      <c r="G4912" s="16"/>
    </row>
    <row r="4913" spans="2:7" x14ac:dyDescent="0.25">
      <c r="B4913" s="38"/>
      <c r="C4913" s="14"/>
      <c r="D4913" s="14"/>
      <c r="E4913" s="14"/>
      <c r="F4913" s="14"/>
      <c r="G4913" s="16"/>
    </row>
    <row r="4914" spans="2:7" x14ac:dyDescent="0.25">
      <c r="B4914" s="38"/>
      <c r="C4914" s="14"/>
      <c r="D4914" s="14"/>
      <c r="E4914" s="14"/>
      <c r="F4914" s="14"/>
      <c r="G4914" s="16"/>
    </row>
    <row r="4915" spans="2:7" x14ac:dyDescent="0.25">
      <c r="B4915" s="38"/>
      <c r="C4915" s="14"/>
      <c r="D4915" s="14"/>
      <c r="E4915" s="14"/>
      <c r="F4915" s="14"/>
      <c r="G4915" s="16"/>
    </row>
    <row r="4916" spans="2:7" x14ac:dyDescent="0.25">
      <c r="B4916" s="38"/>
      <c r="C4916" s="14"/>
      <c r="D4916" s="14"/>
      <c r="E4916" s="14"/>
      <c r="F4916" s="14"/>
      <c r="G4916" s="16"/>
    </row>
    <row r="4917" spans="2:7" x14ac:dyDescent="0.25">
      <c r="B4917" s="38"/>
      <c r="C4917" s="14"/>
      <c r="D4917" s="14"/>
      <c r="E4917" s="14"/>
      <c r="F4917" s="14"/>
      <c r="G4917" s="16"/>
    </row>
    <row r="4918" spans="2:7" x14ac:dyDescent="0.25">
      <c r="B4918" s="38"/>
      <c r="C4918" s="14"/>
      <c r="D4918" s="14"/>
      <c r="E4918" s="14"/>
      <c r="F4918" s="14"/>
      <c r="G4918" s="16"/>
    </row>
    <row r="4919" spans="2:7" x14ac:dyDescent="0.25">
      <c r="B4919" s="38"/>
      <c r="C4919" s="14"/>
      <c r="D4919" s="14"/>
      <c r="E4919" s="14"/>
      <c r="F4919" s="14"/>
      <c r="G4919" s="16"/>
    </row>
    <row r="4920" spans="2:7" x14ac:dyDescent="0.25">
      <c r="B4920" s="38"/>
      <c r="C4920" s="14"/>
      <c r="D4920" s="14"/>
      <c r="E4920" s="14"/>
      <c r="F4920" s="14"/>
      <c r="G4920" s="16"/>
    </row>
    <row r="4921" spans="2:7" x14ac:dyDescent="0.25">
      <c r="B4921" s="38"/>
      <c r="C4921" s="14"/>
      <c r="D4921" s="14"/>
      <c r="E4921" s="14"/>
      <c r="F4921" s="14"/>
      <c r="G4921" s="16"/>
    </row>
    <row r="4922" spans="2:7" x14ac:dyDescent="0.25">
      <c r="B4922" s="38"/>
      <c r="C4922" s="14"/>
      <c r="D4922" s="14"/>
      <c r="E4922" s="14"/>
      <c r="F4922" s="14"/>
      <c r="G4922" s="16"/>
    </row>
    <row r="4923" spans="2:7" x14ac:dyDescent="0.25">
      <c r="B4923" s="38"/>
      <c r="C4923" s="14"/>
      <c r="D4923" s="14"/>
      <c r="E4923" s="14"/>
      <c r="F4923" s="14"/>
      <c r="G4923" s="16"/>
    </row>
    <row r="4924" spans="2:7" x14ac:dyDescent="0.25">
      <c r="B4924" s="38"/>
      <c r="C4924" s="14"/>
      <c r="D4924" s="14"/>
      <c r="E4924" s="14"/>
      <c r="F4924" s="14"/>
      <c r="G4924" s="16"/>
    </row>
    <row r="4925" spans="2:7" x14ac:dyDescent="0.25">
      <c r="B4925" s="38"/>
      <c r="C4925" s="14"/>
      <c r="D4925" s="14"/>
      <c r="E4925" s="14"/>
      <c r="F4925" s="14"/>
      <c r="G4925" s="16"/>
    </row>
    <row r="4926" spans="2:7" x14ac:dyDescent="0.25">
      <c r="B4926" s="38"/>
      <c r="C4926" s="14"/>
      <c r="D4926" s="14"/>
      <c r="E4926" s="14"/>
      <c r="F4926" s="14"/>
      <c r="G4926" s="16"/>
    </row>
    <row r="4927" spans="2:7" x14ac:dyDescent="0.25">
      <c r="B4927" s="38"/>
      <c r="C4927" s="14"/>
      <c r="D4927" s="14"/>
      <c r="E4927" s="14"/>
      <c r="F4927" s="14"/>
      <c r="G4927" s="16"/>
    </row>
    <row r="4928" spans="2:7" x14ac:dyDescent="0.25">
      <c r="B4928" s="38"/>
      <c r="C4928" s="14"/>
      <c r="D4928" s="14"/>
      <c r="E4928" s="14"/>
      <c r="F4928" s="14"/>
      <c r="G4928" s="16"/>
    </row>
    <row r="4929" spans="2:7" x14ac:dyDescent="0.25">
      <c r="B4929" s="38"/>
      <c r="C4929" s="14"/>
      <c r="D4929" s="14"/>
      <c r="E4929" s="14"/>
      <c r="F4929" s="14"/>
      <c r="G4929" s="16"/>
    </row>
    <row r="4930" spans="2:7" x14ac:dyDescent="0.25">
      <c r="B4930" s="38"/>
      <c r="C4930" s="14"/>
      <c r="D4930" s="14"/>
      <c r="E4930" s="14"/>
      <c r="F4930" s="14"/>
      <c r="G4930" s="16"/>
    </row>
    <row r="4931" spans="2:7" x14ac:dyDescent="0.25">
      <c r="B4931" s="38"/>
      <c r="C4931" s="14"/>
      <c r="D4931" s="14"/>
      <c r="E4931" s="14"/>
      <c r="F4931" s="14"/>
      <c r="G4931" s="16"/>
    </row>
    <row r="4932" spans="2:7" x14ac:dyDescent="0.25">
      <c r="B4932" s="38"/>
      <c r="C4932" s="14"/>
      <c r="D4932" s="14"/>
      <c r="E4932" s="14"/>
      <c r="F4932" s="14"/>
      <c r="G4932" s="16"/>
    </row>
    <row r="4933" spans="2:7" x14ac:dyDescent="0.25">
      <c r="B4933" s="38"/>
      <c r="C4933" s="14"/>
      <c r="D4933" s="14"/>
      <c r="E4933" s="14"/>
      <c r="F4933" s="14"/>
      <c r="G4933" s="16"/>
    </row>
    <row r="4934" spans="2:7" x14ac:dyDescent="0.25">
      <c r="B4934" s="38"/>
      <c r="C4934" s="14"/>
      <c r="D4934" s="14"/>
      <c r="E4934" s="14"/>
      <c r="F4934" s="14"/>
      <c r="G4934" s="16"/>
    </row>
    <row r="4935" spans="2:7" x14ac:dyDescent="0.25">
      <c r="B4935" s="38"/>
      <c r="C4935" s="14"/>
      <c r="D4935" s="14"/>
      <c r="E4935" s="14"/>
      <c r="F4935" s="14"/>
      <c r="G4935" s="16"/>
    </row>
    <row r="4936" spans="2:7" x14ac:dyDescent="0.25">
      <c r="B4936" s="38"/>
      <c r="C4936" s="14"/>
      <c r="D4936" s="14"/>
      <c r="E4936" s="14"/>
      <c r="F4936" s="14"/>
      <c r="G4936" s="16"/>
    </row>
    <row r="4937" spans="2:7" x14ac:dyDescent="0.25">
      <c r="B4937" s="38"/>
      <c r="C4937" s="14"/>
      <c r="D4937" s="14"/>
      <c r="E4937" s="14"/>
      <c r="F4937" s="14"/>
      <c r="G4937" s="16"/>
    </row>
    <row r="4938" spans="2:7" x14ac:dyDescent="0.25">
      <c r="B4938" s="38"/>
      <c r="C4938" s="14"/>
      <c r="D4938" s="14"/>
      <c r="E4938" s="14"/>
      <c r="F4938" s="14"/>
      <c r="G4938" s="16"/>
    </row>
    <row r="4939" spans="2:7" x14ac:dyDescent="0.25">
      <c r="B4939" s="38"/>
      <c r="C4939" s="14"/>
      <c r="D4939" s="14"/>
      <c r="E4939" s="14"/>
      <c r="F4939" s="14"/>
      <c r="G4939" s="16"/>
    </row>
    <row r="4940" spans="2:7" x14ac:dyDescent="0.25">
      <c r="B4940" s="38"/>
      <c r="C4940" s="14"/>
      <c r="D4940" s="14"/>
      <c r="E4940" s="14"/>
      <c r="F4940" s="14"/>
      <c r="G4940" s="16"/>
    </row>
    <row r="4941" spans="2:7" x14ac:dyDescent="0.25">
      <c r="B4941" s="38"/>
      <c r="C4941" s="14"/>
      <c r="D4941" s="14"/>
      <c r="E4941" s="14"/>
      <c r="F4941" s="14"/>
      <c r="G4941" s="16"/>
    </row>
    <row r="4942" spans="2:7" x14ac:dyDescent="0.25">
      <c r="B4942" s="38"/>
      <c r="C4942" s="14"/>
      <c r="D4942" s="14"/>
      <c r="E4942" s="14"/>
      <c r="F4942" s="14"/>
      <c r="G4942" s="16"/>
    </row>
    <row r="4943" spans="2:7" x14ac:dyDescent="0.25">
      <c r="B4943" s="38"/>
      <c r="C4943" s="14"/>
      <c r="D4943" s="14"/>
      <c r="E4943" s="14"/>
      <c r="F4943" s="14"/>
      <c r="G4943" s="16"/>
    </row>
    <row r="4944" spans="2:7" x14ac:dyDescent="0.25">
      <c r="B4944" s="38"/>
      <c r="C4944" s="14"/>
      <c r="D4944" s="14"/>
      <c r="E4944" s="14"/>
      <c r="F4944" s="14"/>
      <c r="G4944" s="16"/>
    </row>
    <row r="4945" spans="2:7" x14ac:dyDescent="0.25">
      <c r="B4945" s="38"/>
      <c r="C4945" s="14"/>
      <c r="D4945" s="14"/>
      <c r="E4945" s="14"/>
      <c r="F4945" s="14"/>
      <c r="G4945" s="16"/>
    </row>
    <row r="4946" spans="2:7" x14ac:dyDescent="0.25">
      <c r="B4946" s="38"/>
      <c r="C4946" s="14"/>
      <c r="D4946" s="14"/>
      <c r="E4946" s="14"/>
      <c r="F4946" s="14"/>
      <c r="G4946" s="16"/>
    </row>
    <row r="4947" spans="2:7" x14ac:dyDescent="0.25">
      <c r="B4947" s="38"/>
      <c r="C4947" s="14"/>
      <c r="D4947" s="14"/>
      <c r="E4947" s="14"/>
      <c r="F4947" s="14"/>
      <c r="G4947" s="16"/>
    </row>
    <row r="4948" spans="2:7" x14ac:dyDescent="0.25">
      <c r="B4948" s="38"/>
      <c r="C4948" s="14"/>
      <c r="D4948" s="14"/>
      <c r="E4948" s="14"/>
      <c r="F4948" s="14"/>
      <c r="G4948" s="16"/>
    </row>
    <row r="4949" spans="2:7" x14ac:dyDescent="0.25">
      <c r="B4949" s="38"/>
      <c r="C4949" s="14"/>
      <c r="D4949" s="14"/>
      <c r="E4949" s="14"/>
      <c r="F4949" s="14"/>
      <c r="G4949" s="16"/>
    </row>
    <row r="4950" spans="2:7" x14ac:dyDescent="0.25">
      <c r="B4950" s="38"/>
      <c r="C4950" s="14"/>
      <c r="D4950" s="14"/>
      <c r="E4950" s="14"/>
      <c r="F4950" s="14"/>
      <c r="G4950" s="16"/>
    </row>
    <row r="4951" spans="2:7" x14ac:dyDescent="0.25">
      <c r="B4951" s="38"/>
      <c r="C4951" s="14"/>
      <c r="D4951" s="14"/>
      <c r="E4951" s="14"/>
      <c r="F4951" s="14"/>
      <c r="G4951" s="16"/>
    </row>
    <row r="4952" spans="2:7" x14ac:dyDescent="0.25">
      <c r="B4952" s="38"/>
      <c r="C4952" s="14"/>
      <c r="D4952" s="14"/>
      <c r="E4952" s="14"/>
      <c r="F4952" s="14"/>
      <c r="G4952" s="16"/>
    </row>
    <row r="4953" spans="2:7" x14ac:dyDescent="0.25">
      <c r="B4953" s="38"/>
      <c r="C4953" s="14"/>
      <c r="D4953" s="14"/>
      <c r="E4953" s="14"/>
      <c r="F4953" s="14"/>
      <c r="G4953" s="16"/>
    </row>
    <row r="4954" spans="2:7" x14ac:dyDescent="0.25">
      <c r="B4954" s="38"/>
      <c r="C4954" s="14"/>
      <c r="D4954" s="14"/>
      <c r="E4954" s="14"/>
      <c r="F4954" s="14"/>
      <c r="G4954" s="16"/>
    </row>
    <row r="4955" spans="2:7" x14ac:dyDescent="0.25">
      <c r="B4955" s="38"/>
      <c r="C4955" s="14"/>
      <c r="D4955" s="14"/>
      <c r="E4955" s="14"/>
      <c r="F4955" s="14"/>
      <c r="G4955" s="16"/>
    </row>
    <row r="4956" spans="2:7" x14ac:dyDescent="0.25">
      <c r="B4956" s="38"/>
      <c r="C4956" s="14"/>
      <c r="D4956" s="14"/>
      <c r="E4956" s="14"/>
      <c r="F4956" s="14"/>
      <c r="G4956" s="16"/>
    </row>
    <row r="4957" spans="2:7" x14ac:dyDescent="0.25">
      <c r="B4957" s="38"/>
      <c r="C4957" s="14"/>
      <c r="D4957" s="14"/>
      <c r="E4957" s="14"/>
      <c r="F4957" s="14"/>
      <c r="G4957" s="16"/>
    </row>
    <row r="4958" spans="2:7" x14ac:dyDescent="0.25">
      <c r="B4958" s="38"/>
      <c r="C4958" s="14"/>
      <c r="D4958" s="14"/>
      <c r="E4958" s="14"/>
      <c r="F4958" s="14"/>
      <c r="G4958" s="16"/>
    </row>
    <row r="4959" spans="2:7" x14ac:dyDescent="0.25">
      <c r="B4959" s="38"/>
      <c r="C4959" s="14"/>
      <c r="D4959" s="14"/>
      <c r="E4959" s="14"/>
      <c r="F4959" s="14"/>
      <c r="G4959" s="16"/>
    </row>
    <row r="4960" spans="2:7" x14ac:dyDescent="0.25">
      <c r="B4960" s="38"/>
      <c r="C4960" s="14"/>
      <c r="D4960" s="14"/>
      <c r="E4960" s="14"/>
      <c r="F4960" s="14"/>
      <c r="G4960" s="16"/>
    </row>
    <row r="4961" spans="2:7" x14ac:dyDescent="0.25">
      <c r="B4961" s="38"/>
      <c r="C4961" s="14"/>
      <c r="D4961" s="14"/>
      <c r="E4961" s="14"/>
      <c r="F4961" s="14"/>
      <c r="G4961" s="16"/>
    </row>
    <row r="4962" spans="2:7" x14ac:dyDescent="0.25">
      <c r="B4962" s="38"/>
      <c r="C4962" s="14"/>
      <c r="D4962" s="14"/>
      <c r="E4962" s="14"/>
      <c r="F4962" s="14"/>
      <c r="G4962" s="16"/>
    </row>
    <row r="4963" spans="2:7" x14ac:dyDescent="0.25">
      <c r="B4963" s="38"/>
      <c r="C4963" s="14"/>
      <c r="D4963" s="14"/>
      <c r="E4963" s="14"/>
      <c r="F4963" s="14"/>
      <c r="G4963" s="16"/>
    </row>
    <row r="4964" spans="2:7" x14ac:dyDescent="0.25">
      <c r="B4964" s="38"/>
      <c r="C4964" s="14"/>
      <c r="D4964" s="14"/>
      <c r="E4964" s="14"/>
      <c r="F4964" s="14"/>
      <c r="G4964" s="16"/>
    </row>
    <row r="4965" spans="2:7" x14ac:dyDescent="0.25">
      <c r="B4965" s="38"/>
      <c r="C4965" s="14"/>
      <c r="D4965" s="14"/>
      <c r="E4965" s="14"/>
      <c r="F4965" s="14"/>
      <c r="G4965" s="16"/>
    </row>
    <row r="4966" spans="2:7" x14ac:dyDescent="0.25">
      <c r="B4966" s="38"/>
      <c r="C4966" s="14"/>
      <c r="D4966" s="14"/>
      <c r="E4966" s="14"/>
      <c r="F4966" s="14"/>
      <c r="G4966" s="16"/>
    </row>
    <row r="4967" spans="2:7" x14ac:dyDescent="0.25">
      <c r="B4967" s="38"/>
      <c r="C4967" s="14"/>
      <c r="D4967" s="14"/>
      <c r="E4967" s="14"/>
      <c r="F4967" s="14"/>
      <c r="G4967" s="16"/>
    </row>
    <row r="4968" spans="2:7" x14ac:dyDescent="0.25">
      <c r="B4968" s="38"/>
      <c r="C4968" s="14"/>
      <c r="D4968" s="14"/>
      <c r="E4968" s="14"/>
      <c r="F4968" s="14"/>
      <c r="G4968" s="16"/>
    </row>
    <row r="4969" spans="2:7" x14ac:dyDescent="0.25">
      <c r="B4969" s="38"/>
      <c r="C4969" s="14"/>
      <c r="D4969" s="14"/>
      <c r="E4969" s="14"/>
      <c r="F4969" s="14"/>
      <c r="G4969" s="16"/>
    </row>
    <row r="4970" spans="2:7" x14ac:dyDescent="0.25">
      <c r="B4970" s="38"/>
      <c r="C4970" s="14"/>
      <c r="D4970" s="14"/>
      <c r="E4970" s="14"/>
      <c r="F4970" s="14"/>
      <c r="G4970" s="16"/>
    </row>
    <row r="4971" spans="2:7" x14ac:dyDescent="0.25">
      <c r="B4971" s="38"/>
      <c r="C4971" s="14"/>
      <c r="D4971" s="14"/>
      <c r="E4971" s="14"/>
      <c r="F4971" s="14"/>
      <c r="G4971" s="16"/>
    </row>
    <row r="4972" spans="2:7" x14ac:dyDescent="0.25">
      <c r="B4972" s="38"/>
      <c r="C4972" s="14"/>
      <c r="D4972" s="14"/>
      <c r="E4972" s="14"/>
      <c r="F4972" s="14"/>
      <c r="G4972" s="16"/>
    </row>
    <row r="4973" spans="2:7" x14ac:dyDescent="0.25">
      <c r="B4973" s="38"/>
      <c r="C4973" s="14"/>
      <c r="D4973" s="14"/>
      <c r="E4973" s="14"/>
      <c r="F4973" s="14"/>
      <c r="G4973" s="16"/>
    </row>
    <row r="4974" spans="2:7" x14ac:dyDescent="0.25">
      <c r="B4974" s="38"/>
      <c r="C4974" s="14"/>
      <c r="D4974" s="14"/>
      <c r="E4974" s="14"/>
      <c r="F4974" s="14"/>
      <c r="G4974" s="16"/>
    </row>
    <row r="4975" spans="2:7" x14ac:dyDescent="0.25">
      <c r="B4975" s="38"/>
      <c r="C4975" s="14"/>
      <c r="D4975" s="14"/>
      <c r="E4975" s="14"/>
      <c r="F4975" s="14"/>
      <c r="G4975" s="16"/>
    </row>
    <row r="4976" spans="2:7" x14ac:dyDescent="0.25">
      <c r="B4976" s="38"/>
      <c r="C4976" s="14"/>
      <c r="D4976" s="14"/>
      <c r="E4976" s="14"/>
      <c r="F4976" s="14"/>
      <c r="G4976" s="16"/>
    </row>
    <row r="4977" spans="2:7" x14ac:dyDescent="0.25">
      <c r="B4977" s="38"/>
      <c r="C4977" s="14"/>
      <c r="D4977" s="14"/>
      <c r="E4977" s="14"/>
      <c r="F4977" s="14"/>
      <c r="G4977" s="16"/>
    </row>
    <row r="4978" spans="2:7" x14ac:dyDescent="0.25">
      <c r="B4978" s="38"/>
      <c r="C4978" s="14"/>
      <c r="D4978" s="14"/>
      <c r="E4978" s="14"/>
      <c r="F4978" s="14"/>
      <c r="G4978" s="16"/>
    </row>
    <row r="4979" spans="2:7" x14ac:dyDescent="0.25">
      <c r="B4979" s="38"/>
      <c r="C4979" s="14"/>
      <c r="D4979" s="14"/>
      <c r="E4979" s="14"/>
      <c r="F4979" s="14"/>
      <c r="G4979" s="16"/>
    </row>
    <row r="4980" spans="2:7" x14ac:dyDescent="0.25">
      <c r="B4980" s="38"/>
      <c r="C4980" s="14"/>
      <c r="D4980" s="14"/>
      <c r="E4980" s="14"/>
      <c r="F4980" s="14"/>
      <c r="G4980" s="16"/>
    </row>
    <row r="4981" spans="2:7" x14ac:dyDescent="0.25">
      <c r="B4981" s="38"/>
      <c r="C4981" s="14"/>
      <c r="D4981" s="14"/>
      <c r="E4981" s="14"/>
      <c r="F4981" s="14"/>
      <c r="G4981" s="16"/>
    </row>
    <row r="4982" spans="2:7" x14ac:dyDescent="0.25">
      <c r="B4982" s="38"/>
      <c r="C4982" s="14"/>
      <c r="D4982" s="14"/>
      <c r="E4982" s="14"/>
      <c r="F4982" s="14"/>
      <c r="G4982" s="16"/>
    </row>
    <row r="4983" spans="2:7" x14ac:dyDescent="0.25">
      <c r="B4983" s="38"/>
      <c r="C4983" s="14"/>
      <c r="D4983" s="14"/>
      <c r="E4983" s="14"/>
      <c r="F4983" s="14"/>
      <c r="G4983" s="16"/>
    </row>
    <row r="4984" spans="2:7" x14ac:dyDescent="0.25">
      <c r="B4984" s="38"/>
      <c r="C4984" s="14"/>
      <c r="D4984" s="14"/>
      <c r="E4984" s="14"/>
      <c r="F4984" s="14"/>
      <c r="G4984" s="16"/>
    </row>
    <row r="4985" spans="2:7" x14ac:dyDescent="0.25">
      <c r="B4985" s="38"/>
      <c r="C4985" s="14"/>
      <c r="D4985" s="14"/>
      <c r="E4985" s="14"/>
      <c r="F4985" s="14"/>
      <c r="G4985" s="16"/>
    </row>
    <row r="4986" spans="2:7" x14ac:dyDescent="0.25">
      <c r="B4986" s="38"/>
      <c r="C4986" s="14"/>
      <c r="D4986" s="14"/>
      <c r="E4986" s="14"/>
      <c r="F4986" s="14"/>
      <c r="G4986" s="16"/>
    </row>
    <row r="4987" spans="2:7" x14ac:dyDescent="0.25">
      <c r="B4987" s="38"/>
      <c r="C4987" s="14"/>
      <c r="D4987" s="14"/>
      <c r="E4987" s="14"/>
      <c r="F4987" s="14"/>
      <c r="G4987" s="16"/>
    </row>
    <row r="4988" spans="2:7" x14ac:dyDescent="0.25">
      <c r="B4988" s="38"/>
      <c r="C4988" s="14"/>
      <c r="D4988" s="14"/>
      <c r="E4988" s="14"/>
      <c r="F4988" s="14"/>
      <c r="G4988" s="16"/>
    </row>
    <row r="4989" spans="2:7" x14ac:dyDescent="0.25">
      <c r="B4989" s="38"/>
      <c r="C4989" s="14"/>
      <c r="D4989" s="14"/>
      <c r="E4989" s="14"/>
      <c r="F4989" s="14"/>
      <c r="G4989" s="16"/>
    </row>
    <row r="4990" spans="2:7" x14ac:dyDescent="0.25">
      <c r="B4990" s="38"/>
      <c r="C4990" s="14"/>
      <c r="D4990" s="14"/>
      <c r="E4990" s="14"/>
      <c r="F4990" s="14"/>
      <c r="G4990" s="16"/>
    </row>
    <row r="4991" spans="2:7" x14ac:dyDescent="0.25">
      <c r="B4991" s="38"/>
      <c r="C4991" s="14"/>
      <c r="D4991" s="14"/>
      <c r="E4991" s="14"/>
      <c r="F4991" s="14"/>
      <c r="G4991" s="16"/>
    </row>
    <row r="4992" spans="2:7" x14ac:dyDescent="0.25">
      <c r="B4992" s="38"/>
      <c r="C4992" s="14"/>
      <c r="D4992" s="14"/>
      <c r="E4992" s="14"/>
      <c r="F4992" s="14"/>
      <c r="G4992" s="16"/>
    </row>
    <row r="4993" spans="2:7" x14ac:dyDescent="0.25">
      <c r="B4993" s="38"/>
      <c r="C4993" s="14"/>
      <c r="D4993" s="14"/>
      <c r="E4993" s="14"/>
      <c r="F4993" s="14"/>
      <c r="G4993" s="16"/>
    </row>
    <row r="4994" spans="2:7" x14ac:dyDescent="0.25">
      <c r="B4994" s="38"/>
      <c r="C4994" s="14"/>
      <c r="D4994" s="14"/>
      <c r="E4994" s="14"/>
      <c r="F4994" s="14"/>
      <c r="G4994" s="16"/>
    </row>
    <row r="4995" spans="2:7" x14ac:dyDescent="0.25">
      <c r="B4995" s="38"/>
      <c r="C4995" s="14"/>
      <c r="D4995" s="14"/>
      <c r="E4995" s="14"/>
      <c r="F4995" s="14"/>
      <c r="G4995" s="16"/>
    </row>
    <row r="4996" spans="2:7" x14ac:dyDescent="0.25">
      <c r="B4996" s="38"/>
      <c r="C4996" s="14"/>
      <c r="D4996" s="14"/>
      <c r="E4996" s="14"/>
      <c r="F4996" s="14"/>
      <c r="G4996" s="16"/>
    </row>
    <row r="4997" spans="2:7" x14ac:dyDescent="0.25">
      <c r="B4997" s="38"/>
      <c r="C4997" s="14"/>
      <c r="D4997" s="14"/>
      <c r="E4997" s="14"/>
      <c r="F4997" s="14"/>
      <c r="G4997" s="16"/>
    </row>
    <row r="4998" spans="2:7" x14ac:dyDescent="0.25">
      <c r="B4998" s="38"/>
      <c r="C4998" s="14"/>
      <c r="D4998" s="14"/>
      <c r="E4998" s="14"/>
      <c r="F4998" s="14"/>
      <c r="G4998" s="16"/>
    </row>
    <row r="4999" spans="2:7" x14ac:dyDescent="0.25">
      <c r="B4999" s="38"/>
      <c r="C4999" s="14"/>
      <c r="D4999" s="14"/>
      <c r="E4999" s="14"/>
      <c r="F4999" s="14"/>
      <c r="G4999" s="16"/>
    </row>
    <row r="5000" spans="2:7" x14ac:dyDescent="0.25">
      <c r="B5000" s="38"/>
      <c r="C5000" s="14"/>
      <c r="D5000" s="14"/>
      <c r="E5000" s="14"/>
      <c r="F5000" s="14"/>
      <c r="G5000" s="16"/>
    </row>
    <row r="5001" spans="2:7" x14ac:dyDescent="0.25">
      <c r="B5001" s="38"/>
      <c r="C5001" s="14"/>
      <c r="D5001" s="14"/>
      <c r="E5001" s="14"/>
      <c r="F5001" s="14"/>
      <c r="G5001" s="16"/>
    </row>
    <row r="5002" spans="2:7" x14ac:dyDescent="0.25">
      <c r="B5002" s="38"/>
      <c r="C5002" s="14"/>
      <c r="D5002" s="14"/>
      <c r="E5002" s="14"/>
      <c r="F5002" s="14"/>
      <c r="G5002" s="16"/>
    </row>
    <row r="5003" spans="2:7" x14ac:dyDescent="0.25">
      <c r="B5003" s="38"/>
      <c r="C5003" s="14"/>
      <c r="D5003" s="14"/>
      <c r="E5003" s="14"/>
      <c r="F5003" s="14"/>
      <c r="G5003" s="16"/>
    </row>
    <row r="5004" spans="2:7" x14ac:dyDescent="0.25">
      <c r="B5004" s="38"/>
      <c r="C5004" s="14"/>
      <c r="D5004" s="14"/>
      <c r="E5004" s="14"/>
      <c r="F5004" s="14"/>
      <c r="G5004" s="16"/>
    </row>
    <row r="5005" spans="2:7" x14ac:dyDescent="0.25">
      <c r="B5005" s="38"/>
      <c r="C5005" s="14"/>
      <c r="D5005" s="14"/>
      <c r="E5005" s="14"/>
      <c r="F5005" s="14"/>
      <c r="G5005" s="16"/>
    </row>
    <row r="5006" spans="2:7" x14ac:dyDescent="0.25">
      <c r="B5006" s="38"/>
      <c r="C5006" s="14"/>
      <c r="D5006" s="14"/>
      <c r="E5006" s="14"/>
      <c r="F5006" s="14"/>
      <c r="G5006" s="16"/>
    </row>
    <row r="5007" spans="2:7" x14ac:dyDescent="0.25">
      <c r="B5007" s="38"/>
      <c r="C5007" s="14"/>
      <c r="D5007" s="14"/>
      <c r="E5007" s="14"/>
      <c r="F5007" s="14"/>
      <c r="G5007" s="16"/>
    </row>
    <row r="5008" spans="2:7" x14ac:dyDescent="0.25">
      <c r="B5008" s="38"/>
      <c r="C5008" s="14"/>
      <c r="D5008" s="14"/>
      <c r="E5008" s="14"/>
      <c r="F5008" s="14"/>
      <c r="G5008" s="16"/>
    </row>
    <row r="5009" spans="2:7" x14ac:dyDescent="0.25">
      <c r="B5009" s="38"/>
      <c r="C5009" s="14"/>
      <c r="D5009" s="14"/>
      <c r="E5009" s="14"/>
      <c r="F5009" s="14"/>
      <c r="G5009" s="16"/>
    </row>
    <row r="5010" spans="2:7" x14ac:dyDescent="0.25">
      <c r="B5010" s="38"/>
      <c r="C5010" s="14"/>
      <c r="D5010" s="14"/>
      <c r="E5010" s="14"/>
      <c r="F5010" s="14"/>
      <c r="G5010" s="16"/>
    </row>
    <row r="5011" spans="2:7" x14ac:dyDescent="0.25">
      <c r="B5011" s="38"/>
      <c r="C5011" s="14"/>
      <c r="D5011" s="14"/>
      <c r="E5011" s="14"/>
      <c r="F5011" s="14"/>
      <c r="G5011" s="16"/>
    </row>
    <row r="5012" spans="2:7" x14ac:dyDescent="0.25">
      <c r="B5012" s="38"/>
      <c r="C5012" s="14"/>
      <c r="D5012" s="14"/>
      <c r="E5012" s="14"/>
      <c r="F5012" s="14"/>
      <c r="G5012" s="16"/>
    </row>
    <row r="5013" spans="2:7" x14ac:dyDescent="0.25">
      <c r="B5013" s="38"/>
      <c r="C5013" s="14"/>
      <c r="D5013" s="14"/>
      <c r="E5013" s="14"/>
      <c r="F5013" s="14"/>
      <c r="G5013" s="16"/>
    </row>
    <row r="5014" spans="2:7" x14ac:dyDescent="0.25">
      <c r="B5014" s="38"/>
      <c r="C5014" s="14"/>
      <c r="D5014" s="14"/>
      <c r="E5014" s="14"/>
      <c r="F5014" s="14"/>
      <c r="G5014" s="16"/>
    </row>
    <row r="5015" spans="2:7" x14ac:dyDescent="0.25">
      <c r="B5015" s="38"/>
      <c r="C5015" s="14"/>
      <c r="D5015" s="14"/>
      <c r="E5015" s="14"/>
      <c r="F5015" s="14"/>
      <c r="G5015" s="16"/>
    </row>
    <row r="5016" spans="2:7" x14ac:dyDescent="0.25">
      <c r="B5016" s="38"/>
      <c r="C5016" s="14"/>
      <c r="D5016" s="14"/>
      <c r="E5016" s="14"/>
      <c r="F5016" s="14"/>
      <c r="G5016" s="16"/>
    </row>
    <row r="5017" spans="2:7" x14ac:dyDescent="0.25">
      <c r="B5017" s="38"/>
      <c r="C5017" s="14"/>
      <c r="D5017" s="14"/>
      <c r="E5017" s="14"/>
      <c r="F5017" s="14"/>
      <c r="G5017" s="16"/>
    </row>
    <row r="5018" spans="2:7" x14ac:dyDescent="0.25">
      <c r="B5018" s="38"/>
      <c r="C5018" s="14"/>
      <c r="D5018" s="14"/>
      <c r="E5018" s="14"/>
      <c r="F5018" s="14"/>
      <c r="G5018" s="16"/>
    </row>
    <row r="5019" spans="2:7" x14ac:dyDescent="0.25">
      <c r="B5019" s="38"/>
      <c r="C5019" s="14"/>
      <c r="D5019" s="14"/>
      <c r="E5019" s="14"/>
      <c r="F5019" s="14"/>
      <c r="G5019" s="16"/>
    </row>
    <row r="5020" spans="2:7" x14ac:dyDescent="0.25">
      <c r="B5020" s="38"/>
      <c r="C5020" s="14"/>
      <c r="D5020" s="14"/>
      <c r="E5020" s="14"/>
      <c r="F5020" s="14"/>
      <c r="G5020" s="16"/>
    </row>
    <row r="5021" spans="2:7" x14ac:dyDescent="0.25">
      <c r="B5021" s="38"/>
      <c r="C5021" s="14"/>
      <c r="D5021" s="14"/>
      <c r="E5021" s="14"/>
      <c r="F5021" s="14"/>
      <c r="G5021" s="16"/>
    </row>
    <row r="5022" spans="2:7" x14ac:dyDescent="0.25">
      <c r="B5022" s="38"/>
      <c r="C5022" s="14"/>
      <c r="D5022" s="14"/>
      <c r="E5022" s="14"/>
      <c r="F5022" s="14"/>
      <c r="G5022" s="16"/>
    </row>
    <row r="5023" spans="2:7" x14ac:dyDescent="0.25">
      <c r="B5023" s="38"/>
      <c r="C5023" s="14"/>
      <c r="D5023" s="14"/>
      <c r="E5023" s="14"/>
      <c r="F5023" s="14"/>
      <c r="G5023" s="16"/>
    </row>
    <row r="5024" spans="2:7" x14ac:dyDescent="0.25">
      <c r="B5024" s="38"/>
      <c r="C5024" s="14"/>
      <c r="D5024" s="14"/>
      <c r="E5024" s="14"/>
      <c r="F5024" s="14"/>
      <c r="G5024" s="16"/>
    </row>
    <row r="5025" spans="2:7" x14ac:dyDescent="0.25">
      <c r="B5025" s="38"/>
      <c r="C5025" s="14"/>
      <c r="D5025" s="14"/>
      <c r="E5025" s="14"/>
      <c r="F5025" s="14"/>
      <c r="G5025" s="16"/>
    </row>
    <row r="5026" spans="2:7" x14ac:dyDescent="0.25">
      <c r="B5026" s="38"/>
      <c r="C5026" s="14"/>
      <c r="D5026" s="14"/>
      <c r="E5026" s="14"/>
      <c r="F5026" s="14"/>
      <c r="G5026" s="16"/>
    </row>
    <row r="5027" spans="2:7" x14ac:dyDescent="0.25">
      <c r="B5027" s="38"/>
      <c r="C5027" s="14"/>
      <c r="D5027" s="14"/>
      <c r="E5027" s="14"/>
      <c r="F5027" s="14"/>
      <c r="G5027" s="16"/>
    </row>
    <row r="5028" spans="2:7" x14ac:dyDescent="0.25">
      <c r="B5028" s="38"/>
      <c r="C5028" s="14"/>
      <c r="D5028" s="14"/>
      <c r="E5028" s="14"/>
      <c r="F5028" s="14"/>
      <c r="G5028" s="16"/>
    </row>
    <row r="5029" spans="2:7" x14ac:dyDescent="0.25">
      <c r="B5029" s="38"/>
      <c r="C5029" s="14"/>
      <c r="D5029" s="14"/>
      <c r="E5029" s="14"/>
      <c r="F5029" s="14"/>
      <c r="G5029" s="16"/>
    </row>
    <row r="5030" spans="2:7" x14ac:dyDescent="0.25">
      <c r="B5030" s="38"/>
      <c r="C5030" s="14"/>
      <c r="D5030" s="14"/>
      <c r="E5030" s="14"/>
      <c r="F5030" s="14"/>
      <c r="G5030" s="16"/>
    </row>
    <row r="5031" spans="2:7" x14ac:dyDescent="0.25">
      <c r="B5031" s="38"/>
      <c r="C5031" s="14"/>
      <c r="D5031" s="14"/>
      <c r="E5031" s="14"/>
      <c r="F5031" s="14"/>
      <c r="G5031" s="16"/>
    </row>
    <row r="5032" spans="2:7" x14ac:dyDescent="0.25">
      <c r="B5032" s="38"/>
      <c r="C5032" s="14"/>
      <c r="D5032" s="14"/>
      <c r="E5032" s="14"/>
      <c r="F5032" s="14"/>
      <c r="G5032" s="16"/>
    </row>
    <row r="5033" spans="2:7" x14ac:dyDescent="0.25">
      <c r="B5033" s="38"/>
      <c r="C5033" s="14"/>
      <c r="D5033" s="14"/>
      <c r="E5033" s="14"/>
      <c r="F5033" s="14"/>
      <c r="G5033" s="16"/>
    </row>
    <row r="5034" spans="2:7" x14ac:dyDescent="0.25">
      <c r="B5034" s="38"/>
      <c r="C5034" s="14"/>
      <c r="D5034" s="14"/>
      <c r="E5034" s="14"/>
      <c r="F5034" s="14"/>
      <c r="G5034" s="16"/>
    </row>
    <row r="5035" spans="2:7" x14ac:dyDescent="0.25">
      <c r="B5035" s="38"/>
      <c r="C5035" s="14"/>
      <c r="D5035" s="14"/>
      <c r="E5035" s="14"/>
      <c r="F5035" s="14"/>
      <c r="G5035" s="16"/>
    </row>
    <row r="5036" spans="2:7" x14ac:dyDescent="0.25">
      <c r="B5036" s="38"/>
      <c r="C5036" s="14"/>
      <c r="D5036" s="14"/>
      <c r="E5036" s="14"/>
      <c r="F5036" s="14"/>
      <c r="G5036" s="16"/>
    </row>
    <row r="5037" spans="2:7" x14ac:dyDescent="0.25">
      <c r="B5037" s="38"/>
      <c r="C5037" s="14"/>
      <c r="D5037" s="14"/>
      <c r="E5037" s="14"/>
      <c r="F5037" s="14"/>
      <c r="G5037" s="16"/>
    </row>
    <row r="5038" spans="2:7" x14ac:dyDescent="0.25">
      <c r="B5038" s="38"/>
      <c r="C5038" s="14"/>
      <c r="D5038" s="14"/>
      <c r="E5038" s="14"/>
      <c r="F5038" s="14"/>
      <c r="G5038" s="16"/>
    </row>
    <row r="5039" spans="2:7" x14ac:dyDescent="0.25">
      <c r="B5039" s="38"/>
      <c r="C5039" s="14"/>
      <c r="D5039" s="14"/>
      <c r="E5039" s="14"/>
      <c r="F5039" s="14"/>
      <c r="G5039" s="16"/>
    </row>
    <row r="5040" spans="2:7" x14ac:dyDescent="0.25">
      <c r="B5040" s="38"/>
      <c r="C5040" s="14"/>
      <c r="D5040" s="14"/>
      <c r="E5040" s="14"/>
      <c r="F5040" s="14"/>
      <c r="G5040" s="16"/>
    </row>
    <row r="5041" spans="2:7" x14ac:dyDescent="0.25">
      <c r="B5041" s="38"/>
      <c r="C5041" s="14"/>
      <c r="D5041" s="14"/>
      <c r="E5041" s="14"/>
      <c r="F5041" s="14"/>
      <c r="G5041" s="16"/>
    </row>
    <row r="5042" spans="2:7" x14ac:dyDescent="0.25">
      <c r="B5042" s="38"/>
      <c r="C5042" s="14"/>
      <c r="D5042" s="14"/>
      <c r="E5042" s="14"/>
      <c r="F5042" s="14"/>
      <c r="G5042" s="16"/>
    </row>
    <row r="5043" spans="2:7" x14ac:dyDescent="0.25">
      <c r="B5043" s="38"/>
      <c r="C5043" s="14"/>
      <c r="D5043" s="14"/>
      <c r="E5043" s="14"/>
      <c r="F5043" s="14"/>
      <c r="G5043" s="16"/>
    </row>
    <row r="5044" spans="2:7" x14ac:dyDescent="0.25">
      <c r="B5044" s="38"/>
      <c r="C5044" s="14"/>
      <c r="D5044" s="14"/>
      <c r="E5044" s="14"/>
      <c r="F5044" s="14"/>
      <c r="G5044" s="16"/>
    </row>
    <row r="5045" spans="2:7" x14ac:dyDescent="0.25">
      <c r="B5045" s="38"/>
      <c r="C5045" s="14"/>
      <c r="D5045" s="14"/>
      <c r="E5045" s="14"/>
      <c r="F5045" s="14"/>
      <c r="G5045" s="16"/>
    </row>
    <row r="5046" spans="2:7" x14ac:dyDescent="0.25">
      <c r="B5046" s="38"/>
      <c r="C5046" s="14"/>
      <c r="D5046" s="14"/>
      <c r="E5046" s="14"/>
      <c r="F5046" s="14"/>
      <c r="G5046" s="16"/>
    </row>
    <row r="5047" spans="2:7" x14ac:dyDescent="0.25">
      <c r="B5047" s="38"/>
      <c r="C5047" s="14"/>
      <c r="D5047" s="14"/>
      <c r="E5047" s="14"/>
      <c r="F5047" s="14"/>
      <c r="G5047" s="16"/>
    </row>
    <row r="5048" spans="2:7" x14ac:dyDescent="0.25">
      <c r="B5048" s="38"/>
      <c r="C5048" s="14"/>
      <c r="D5048" s="14"/>
      <c r="E5048" s="14"/>
      <c r="F5048" s="14"/>
      <c r="G5048" s="16"/>
    </row>
    <row r="5049" spans="2:7" x14ac:dyDescent="0.25">
      <c r="B5049" s="38"/>
      <c r="C5049" s="14"/>
      <c r="D5049" s="14"/>
      <c r="E5049" s="14"/>
      <c r="F5049" s="14"/>
      <c r="G5049" s="16"/>
    </row>
    <row r="5050" spans="2:7" x14ac:dyDescent="0.25">
      <c r="B5050" s="38"/>
      <c r="C5050" s="14"/>
      <c r="D5050" s="14"/>
      <c r="E5050" s="14"/>
      <c r="F5050" s="14"/>
      <c r="G5050" s="16"/>
    </row>
    <row r="5051" spans="2:7" x14ac:dyDescent="0.25">
      <c r="B5051" s="38"/>
      <c r="C5051" s="14"/>
      <c r="D5051" s="14"/>
      <c r="E5051" s="14"/>
      <c r="F5051" s="14"/>
      <c r="G5051" s="16"/>
    </row>
    <row r="5052" spans="2:7" x14ac:dyDescent="0.25">
      <c r="B5052" s="38"/>
      <c r="C5052" s="14"/>
      <c r="D5052" s="14"/>
      <c r="E5052" s="14"/>
      <c r="F5052" s="14"/>
      <c r="G5052" s="16"/>
    </row>
    <row r="5053" spans="2:7" x14ac:dyDescent="0.25">
      <c r="B5053" s="38"/>
      <c r="C5053" s="14"/>
      <c r="D5053" s="14"/>
      <c r="E5053" s="14"/>
      <c r="F5053" s="14"/>
      <c r="G5053" s="16"/>
    </row>
    <row r="5054" spans="2:7" x14ac:dyDescent="0.25">
      <c r="B5054" s="38"/>
      <c r="C5054" s="14"/>
      <c r="D5054" s="14"/>
      <c r="E5054" s="14"/>
      <c r="F5054" s="14"/>
      <c r="G5054" s="16"/>
    </row>
    <row r="5055" spans="2:7" x14ac:dyDescent="0.25">
      <c r="B5055" s="38"/>
      <c r="C5055" s="14"/>
      <c r="D5055" s="14"/>
      <c r="E5055" s="14"/>
      <c r="F5055" s="14"/>
      <c r="G5055" s="16"/>
    </row>
    <row r="5056" spans="2:7" x14ac:dyDescent="0.25">
      <c r="B5056" s="38"/>
      <c r="C5056" s="14"/>
      <c r="D5056" s="14"/>
      <c r="E5056" s="14"/>
      <c r="F5056" s="14"/>
      <c r="G5056" s="16"/>
    </row>
    <row r="5057" spans="2:7" x14ac:dyDescent="0.25">
      <c r="B5057" s="38"/>
      <c r="C5057" s="14"/>
      <c r="D5057" s="14"/>
      <c r="E5057" s="14"/>
      <c r="F5057" s="14"/>
      <c r="G5057" s="16"/>
    </row>
    <row r="5058" spans="2:7" x14ac:dyDescent="0.25">
      <c r="B5058" s="38"/>
      <c r="C5058" s="14"/>
      <c r="D5058" s="14"/>
      <c r="E5058" s="14"/>
      <c r="F5058" s="14"/>
      <c r="G5058" s="16"/>
    </row>
    <row r="5059" spans="2:7" x14ac:dyDescent="0.25">
      <c r="B5059" s="38"/>
      <c r="C5059" s="14"/>
      <c r="D5059" s="14"/>
      <c r="E5059" s="14"/>
      <c r="F5059" s="14"/>
      <c r="G5059" s="16"/>
    </row>
    <row r="5060" spans="2:7" x14ac:dyDescent="0.25">
      <c r="B5060" s="38"/>
      <c r="C5060" s="14"/>
      <c r="D5060" s="14"/>
      <c r="E5060" s="14"/>
      <c r="F5060" s="14"/>
      <c r="G5060" s="16"/>
    </row>
    <row r="5061" spans="2:7" x14ac:dyDescent="0.25">
      <c r="B5061" s="38"/>
      <c r="C5061" s="14"/>
      <c r="D5061" s="14"/>
      <c r="E5061" s="14"/>
      <c r="F5061" s="14"/>
      <c r="G5061" s="16"/>
    </row>
    <row r="5062" spans="2:7" x14ac:dyDescent="0.25">
      <c r="B5062" s="38"/>
      <c r="C5062" s="14"/>
      <c r="D5062" s="14"/>
      <c r="E5062" s="14"/>
      <c r="F5062" s="14"/>
      <c r="G5062" s="16"/>
    </row>
    <row r="5063" spans="2:7" x14ac:dyDescent="0.25">
      <c r="B5063" s="38"/>
      <c r="C5063" s="14"/>
      <c r="D5063" s="14"/>
      <c r="E5063" s="14"/>
      <c r="F5063" s="14"/>
      <c r="G5063" s="16"/>
    </row>
    <row r="5064" spans="2:7" x14ac:dyDescent="0.25">
      <c r="B5064" s="38"/>
      <c r="C5064" s="14"/>
      <c r="D5064" s="14"/>
      <c r="E5064" s="14"/>
      <c r="F5064" s="14"/>
      <c r="G5064" s="16"/>
    </row>
    <row r="5065" spans="2:7" x14ac:dyDescent="0.25">
      <c r="B5065" s="38"/>
      <c r="C5065" s="14"/>
      <c r="D5065" s="14"/>
      <c r="E5065" s="14"/>
      <c r="F5065" s="14"/>
      <c r="G5065" s="16"/>
    </row>
    <row r="5066" spans="2:7" x14ac:dyDescent="0.25">
      <c r="B5066" s="38"/>
      <c r="C5066" s="14"/>
      <c r="D5066" s="14"/>
      <c r="E5066" s="14"/>
      <c r="F5066" s="14"/>
      <c r="G5066" s="16"/>
    </row>
    <row r="5067" spans="2:7" x14ac:dyDescent="0.25">
      <c r="B5067" s="38"/>
      <c r="C5067" s="14"/>
      <c r="D5067" s="14"/>
      <c r="E5067" s="14"/>
      <c r="F5067" s="14"/>
      <c r="G5067" s="16"/>
    </row>
    <row r="5068" spans="2:7" x14ac:dyDescent="0.25">
      <c r="B5068" s="38"/>
      <c r="C5068" s="14"/>
      <c r="D5068" s="14"/>
      <c r="E5068" s="14"/>
      <c r="F5068" s="14"/>
      <c r="G5068" s="16"/>
    </row>
    <row r="5069" spans="2:7" x14ac:dyDescent="0.25">
      <c r="B5069" s="38"/>
      <c r="C5069" s="14"/>
      <c r="D5069" s="14"/>
      <c r="E5069" s="14"/>
      <c r="F5069" s="14"/>
      <c r="G5069" s="16"/>
    </row>
    <row r="5070" spans="2:7" x14ac:dyDescent="0.25">
      <c r="B5070" s="38"/>
      <c r="C5070" s="14"/>
      <c r="D5070" s="14"/>
      <c r="E5070" s="14"/>
      <c r="F5070" s="14"/>
      <c r="G5070" s="16"/>
    </row>
    <row r="5071" spans="2:7" x14ac:dyDescent="0.25">
      <c r="B5071" s="38"/>
      <c r="C5071" s="14"/>
      <c r="D5071" s="14"/>
      <c r="E5071" s="14"/>
      <c r="F5071" s="14"/>
      <c r="G5071" s="16"/>
    </row>
    <row r="5072" spans="2:7" x14ac:dyDescent="0.25">
      <c r="B5072" s="38"/>
      <c r="C5072" s="14"/>
      <c r="D5072" s="14"/>
      <c r="E5072" s="14"/>
      <c r="F5072" s="14"/>
      <c r="G5072" s="16"/>
    </row>
    <row r="5073" spans="2:7" x14ac:dyDescent="0.25">
      <c r="B5073" s="38"/>
      <c r="C5073" s="14"/>
      <c r="D5073" s="14"/>
      <c r="E5073" s="14"/>
      <c r="F5073" s="14"/>
      <c r="G5073" s="16"/>
    </row>
    <row r="5074" spans="2:7" x14ac:dyDescent="0.25">
      <c r="B5074" s="38"/>
      <c r="C5074" s="14"/>
      <c r="D5074" s="14"/>
      <c r="E5074" s="14"/>
      <c r="F5074" s="14"/>
      <c r="G5074" s="16"/>
    </row>
    <row r="5075" spans="2:7" x14ac:dyDescent="0.25">
      <c r="B5075" s="38"/>
      <c r="C5075" s="14"/>
      <c r="D5075" s="14"/>
      <c r="E5075" s="14"/>
      <c r="F5075" s="14"/>
      <c r="G5075" s="16"/>
    </row>
    <row r="5076" spans="2:7" x14ac:dyDescent="0.25">
      <c r="B5076" s="38"/>
      <c r="C5076" s="14"/>
      <c r="D5076" s="14"/>
      <c r="E5076" s="14"/>
      <c r="F5076" s="14"/>
      <c r="G5076" s="16"/>
    </row>
    <row r="5077" spans="2:7" x14ac:dyDescent="0.25">
      <c r="B5077" s="38"/>
      <c r="C5077" s="14"/>
      <c r="D5077" s="14"/>
      <c r="E5077" s="14"/>
      <c r="F5077" s="14"/>
      <c r="G5077" s="16"/>
    </row>
    <row r="5078" spans="2:7" x14ac:dyDescent="0.25">
      <c r="B5078" s="38"/>
      <c r="C5078" s="14"/>
      <c r="D5078" s="14"/>
      <c r="E5078" s="14"/>
      <c r="F5078" s="14"/>
      <c r="G5078" s="16"/>
    </row>
    <row r="5079" spans="2:7" x14ac:dyDescent="0.25">
      <c r="B5079" s="38"/>
      <c r="C5079" s="14"/>
      <c r="D5079" s="14"/>
      <c r="E5079" s="14"/>
      <c r="F5079" s="14"/>
      <c r="G5079" s="16"/>
    </row>
    <row r="5080" spans="2:7" x14ac:dyDescent="0.25">
      <c r="B5080" s="38"/>
      <c r="C5080" s="14"/>
      <c r="D5080" s="14"/>
      <c r="E5080" s="14"/>
      <c r="F5080" s="14"/>
      <c r="G5080" s="16"/>
    </row>
    <row r="5081" spans="2:7" x14ac:dyDescent="0.25">
      <c r="B5081" s="38"/>
      <c r="C5081" s="14"/>
      <c r="D5081" s="14"/>
      <c r="E5081" s="14"/>
      <c r="F5081" s="14"/>
      <c r="G5081" s="16"/>
    </row>
    <row r="5082" spans="2:7" x14ac:dyDescent="0.25">
      <c r="B5082" s="38"/>
      <c r="C5082" s="14"/>
      <c r="D5082" s="14"/>
      <c r="E5082" s="14"/>
      <c r="F5082" s="14"/>
      <c r="G5082" s="16"/>
    </row>
    <row r="5083" spans="2:7" x14ac:dyDescent="0.25">
      <c r="B5083" s="38"/>
      <c r="C5083" s="14"/>
      <c r="D5083" s="14"/>
      <c r="E5083" s="14"/>
      <c r="F5083" s="14"/>
      <c r="G5083" s="16"/>
    </row>
    <row r="5084" spans="2:7" x14ac:dyDescent="0.25">
      <c r="B5084" s="38"/>
      <c r="C5084" s="14"/>
      <c r="D5084" s="14"/>
      <c r="E5084" s="14"/>
      <c r="F5084" s="14"/>
      <c r="G5084" s="16"/>
    </row>
    <row r="5085" spans="2:7" x14ac:dyDescent="0.25">
      <c r="B5085" s="38"/>
      <c r="C5085" s="14"/>
      <c r="D5085" s="14"/>
      <c r="E5085" s="14"/>
      <c r="F5085" s="14"/>
      <c r="G5085" s="16"/>
    </row>
    <row r="5086" spans="2:7" x14ac:dyDescent="0.25">
      <c r="B5086" s="38"/>
      <c r="C5086" s="14"/>
      <c r="D5086" s="14"/>
      <c r="E5086" s="14"/>
      <c r="F5086" s="14"/>
      <c r="G5086" s="16"/>
    </row>
    <row r="5087" spans="2:7" x14ac:dyDescent="0.25">
      <c r="B5087" s="38"/>
      <c r="C5087" s="14"/>
      <c r="D5087" s="14"/>
      <c r="E5087" s="14"/>
      <c r="F5087" s="14"/>
      <c r="G5087" s="16"/>
    </row>
    <row r="5088" spans="2:7" x14ac:dyDescent="0.25">
      <c r="B5088" s="38"/>
      <c r="C5088" s="14"/>
      <c r="D5088" s="14"/>
      <c r="E5088" s="14"/>
      <c r="F5088" s="14"/>
      <c r="G5088" s="16"/>
    </row>
    <row r="5089" spans="2:7" x14ac:dyDescent="0.25">
      <c r="B5089" s="38"/>
      <c r="C5089" s="14"/>
      <c r="D5089" s="14"/>
      <c r="E5089" s="14"/>
      <c r="F5089" s="14"/>
      <c r="G5089" s="16"/>
    </row>
    <row r="5090" spans="2:7" x14ac:dyDescent="0.25">
      <c r="B5090" s="38"/>
      <c r="C5090" s="14"/>
      <c r="D5090" s="14"/>
      <c r="E5090" s="14"/>
      <c r="F5090" s="14"/>
      <c r="G5090" s="16"/>
    </row>
    <row r="5091" spans="2:7" x14ac:dyDescent="0.25">
      <c r="B5091" s="38"/>
      <c r="C5091" s="14"/>
      <c r="D5091" s="14"/>
      <c r="E5091" s="14"/>
      <c r="F5091" s="14"/>
      <c r="G5091" s="16"/>
    </row>
    <row r="5092" spans="2:7" x14ac:dyDescent="0.25">
      <c r="B5092" s="38"/>
      <c r="C5092" s="14"/>
      <c r="D5092" s="14"/>
      <c r="E5092" s="14"/>
      <c r="F5092" s="14"/>
      <c r="G5092" s="16"/>
    </row>
    <row r="5093" spans="2:7" x14ac:dyDescent="0.25">
      <c r="B5093" s="38"/>
      <c r="C5093" s="14"/>
      <c r="D5093" s="14"/>
      <c r="E5093" s="14"/>
      <c r="F5093" s="14"/>
      <c r="G5093" s="16"/>
    </row>
    <row r="5094" spans="2:7" x14ac:dyDescent="0.25">
      <c r="B5094" s="38"/>
      <c r="C5094" s="14"/>
      <c r="D5094" s="14"/>
      <c r="E5094" s="14"/>
      <c r="F5094" s="14"/>
      <c r="G5094" s="16"/>
    </row>
    <row r="5095" spans="2:7" x14ac:dyDescent="0.25">
      <c r="B5095" s="38"/>
      <c r="C5095" s="14"/>
      <c r="D5095" s="14"/>
      <c r="E5095" s="14"/>
      <c r="F5095" s="14"/>
      <c r="G5095" s="16"/>
    </row>
    <row r="5096" spans="2:7" x14ac:dyDescent="0.25">
      <c r="B5096" s="38"/>
      <c r="C5096" s="14"/>
      <c r="D5096" s="14"/>
      <c r="E5096" s="14"/>
      <c r="F5096" s="14"/>
      <c r="G5096" s="16"/>
    </row>
    <row r="5097" spans="2:7" x14ac:dyDescent="0.25">
      <c r="B5097" s="38"/>
      <c r="C5097" s="14"/>
      <c r="D5097" s="14"/>
      <c r="E5097" s="14"/>
      <c r="F5097" s="14"/>
      <c r="G5097" s="16"/>
    </row>
    <row r="5098" spans="2:7" x14ac:dyDescent="0.25">
      <c r="B5098" s="38"/>
      <c r="C5098" s="14"/>
      <c r="D5098" s="14"/>
      <c r="E5098" s="14"/>
      <c r="F5098" s="14"/>
      <c r="G5098" s="16"/>
    </row>
    <row r="5099" spans="2:7" x14ac:dyDescent="0.25">
      <c r="B5099" s="38"/>
      <c r="C5099" s="14"/>
      <c r="D5099" s="14"/>
      <c r="E5099" s="14"/>
      <c r="F5099" s="14"/>
      <c r="G5099" s="16"/>
    </row>
    <row r="5100" spans="2:7" x14ac:dyDescent="0.25">
      <c r="B5100" s="38"/>
      <c r="C5100" s="14"/>
      <c r="D5100" s="14"/>
      <c r="E5100" s="14"/>
      <c r="F5100" s="14"/>
      <c r="G5100" s="16"/>
    </row>
    <row r="5101" spans="2:7" x14ac:dyDescent="0.25">
      <c r="B5101" s="38"/>
      <c r="C5101" s="14"/>
      <c r="D5101" s="14"/>
      <c r="E5101" s="14"/>
      <c r="F5101" s="14"/>
      <c r="G5101" s="16"/>
    </row>
    <row r="5102" spans="2:7" x14ac:dyDescent="0.25">
      <c r="B5102" s="38"/>
      <c r="C5102" s="14"/>
      <c r="D5102" s="14"/>
      <c r="E5102" s="14"/>
      <c r="F5102" s="14"/>
      <c r="G5102" s="16"/>
    </row>
    <row r="5103" spans="2:7" x14ac:dyDescent="0.25">
      <c r="B5103" s="38"/>
      <c r="C5103" s="14"/>
      <c r="D5103" s="14"/>
      <c r="E5103" s="14"/>
      <c r="F5103" s="14"/>
      <c r="G5103" s="16"/>
    </row>
    <row r="5104" spans="2:7" x14ac:dyDescent="0.25">
      <c r="B5104" s="38"/>
      <c r="C5104" s="14"/>
      <c r="D5104" s="14"/>
      <c r="E5104" s="14"/>
      <c r="F5104" s="14"/>
      <c r="G5104" s="16"/>
    </row>
    <row r="5105" spans="2:7" x14ac:dyDescent="0.25">
      <c r="B5105" s="38"/>
      <c r="C5105" s="14"/>
      <c r="D5105" s="14"/>
      <c r="E5105" s="14"/>
      <c r="F5105" s="14"/>
      <c r="G5105" s="16"/>
    </row>
    <row r="5106" spans="2:7" x14ac:dyDescent="0.25">
      <c r="B5106" s="38"/>
      <c r="C5106" s="14"/>
      <c r="D5106" s="14"/>
      <c r="E5106" s="14"/>
      <c r="F5106" s="14"/>
      <c r="G5106" s="16"/>
    </row>
    <row r="5107" spans="2:7" x14ac:dyDescent="0.25">
      <c r="B5107" s="38"/>
      <c r="C5107" s="14"/>
      <c r="D5107" s="14"/>
      <c r="E5107" s="14"/>
      <c r="F5107" s="14"/>
      <c r="G5107" s="16"/>
    </row>
    <row r="5108" spans="2:7" x14ac:dyDescent="0.25">
      <c r="B5108" s="38"/>
      <c r="C5108" s="14"/>
      <c r="D5108" s="14"/>
      <c r="E5108" s="14"/>
      <c r="F5108" s="14"/>
      <c r="G5108" s="16"/>
    </row>
    <row r="5109" spans="2:7" x14ac:dyDescent="0.25">
      <c r="B5109" s="38"/>
      <c r="C5109" s="14"/>
      <c r="D5109" s="14"/>
      <c r="E5109" s="14"/>
      <c r="F5109" s="14"/>
      <c r="G5109" s="16"/>
    </row>
    <row r="5110" spans="2:7" x14ac:dyDescent="0.25">
      <c r="B5110" s="38"/>
      <c r="C5110" s="14"/>
      <c r="D5110" s="14"/>
      <c r="E5110" s="14"/>
      <c r="F5110" s="14"/>
      <c r="G5110" s="16"/>
    </row>
    <row r="5111" spans="2:7" x14ac:dyDescent="0.25">
      <c r="B5111" s="38"/>
      <c r="C5111" s="14"/>
      <c r="D5111" s="14"/>
      <c r="E5111" s="14"/>
      <c r="F5111" s="14"/>
      <c r="G5111" s="16"/>
    </row>
    <row r="5112" spans="2:7" x14ac:dyDescent="0.25">
      <c r="B5112" s="38"/>
      <c r="C5112" s="14"/>
      <c r="D5112" s="14"/>
      <c r="E5112" s="14"/>
      <c r="F5112" s="14"/>
      <c r="G5112" s="16"/>
    </row>
    <row r="5113" spans="2:7" x14ac:dyDescent="0.25">
      <c r="B5113" s="38"/>
      <c r="C5113" s="14"/>
      <c r="D5113" s="14"/>
      <c r="E5113" s="14"/>
      <c r="F5113" s="14"/>
      <c r="G5113" s="16"/>
    </row>
    <row r="5114" spans="2:7" x14ac:dyDescent="0.25">
      <c r="B5114" s="38"/>
      <c r="C5114" s="14"/>
      <c r="D5114" s="14"/>
      <c r="E5114" s="14"/>
      <c r="F5114" s="14"/>
      <c r="G5114" s="16"/>
    </row>
    <row r="5115" spans="2:7" x14ac:dyDescent="0.25">
      <c r="B5115" s="38"/>
      <c r="C5115" s="14"/>
      <c r="D5115" s="14"/>
      <c r="E5115" s="14"/>
      <c r="F5115" s="14"/>
      <c r="G5115" s="16"/>
    </row>
    <row r="5116" spans="2:7" x14ac:dyDescent="0.25">
      <c r="B5116" s="38"/>
      <c r="C5116" s="14"/>
      <c r="D5116" s="14"/>
      <c r="E5116" s="14"/>
      <c r="F5116" s="14"/>
      <c r="G5116" s="16"/>
    </row>
    <row r="5117" spans="2:7" x14ac:dyDescent="0.25">
      <c r="B5117" s="38"/>
      <c r="C5117" s="14"/>
      <c r="D5117" s="14"/>
      <c r="E5117" s="14"/>
      <c r="F5117" s="14"/>
      <c r="G5117" s="16"/>
    </row>
    <row r="5118" spans="2:7" x14ac:dyDescent="0.25">
      <c r="B5118" s="38"/>
      <c r="C5118" s="14"/>
      <c r="D5118" s="14"/>
      <c r="E5118" s="14"/>
      <c r="F5118" s="14"/>
      <c r="G5118" s="16"/>
    </row>
    <row r="5119" spans="2:7" x14ac:dyDescent="0.25">
      <c r="B5119" s="38"/>
      <c r="C5119" s="14"/>
      <c r="D5119" s="14"/>
      <c r="E5119" s="14"/>
      <c r="F5119" s="14"/>
      <c r="G5119" s="16"/>
    </row>
    <row r="5120" spans="2:7" x14ac:dyDescent="0.25">
      <c r="B5120" s="38"/>
      <c r="C5120" s="14"/>
      <c r="D5120" s="14"/>
      <c r="E5120" s="14"/>
      <c r="F5120" s="14"/>
      <c r="G5120" s="16"/>
    </row>
    <row r="5121" spans="2:7" x14ac:dyDescent="0.25">
      <c r="B5121" s="38"/>
      <c r="C5121" s="14"/>
      <c r="D5121" s="14"/>
      <c r="E5121" s="14"/>
      <c r="F5121" s="14"/>
      <c r="G5121" s="16"/>
    </row>
    <row r="5122" spans="2:7" x14ac:dyDescent="0.25">
      <c r="B5122" s="38"/>
      <c r="C5122" s="14"/>
      <c r="D5122" s="14"/>
      <c r="E5122" s="14"/>
      <c r="F5122" s="14"/>
      <c r="G5122" s="16"/>
    </row>
    <row r="5123" spans="2:7" x14ac:dyDescent="0.25">
      <c r="B5123" s="38"/>
      <c r="C5123" s="14"/>
      <c r="D5123" s="14"/>
      <c r="E5123" s="14"/>
      <c r="F5123" s="14"/>
      <c r="G5123" s="16"/>
    </row>
    <row r="5124" spans="2:7" x14ac:dyDescent="0.25">
      <c r="B5124" s="38"/>
      <c r="C5124" s="14"/>
      <c r="D5124" s="14"/>
      <c r="E5124" s="14"/>
      <c r="F5124" s="14"/>
      <c r="G5124" s="16"/>
    </row>
    <row r="5125" spans="2:7" x14ac:dyDescent="0.25">
      <c r="B5125" s="38"/>
      <c r="C5125" s="14"/>
      <c r="D5125" s="14"/>
      <c r="E5125" s="14"/>
      <c r="F5125" s="14"/>
      <c r="G5125" s="16"/>
    </row>
    <row r="5126" spans="2:7" x14ac:dyDescent="0.25">
      <c r="B5126" s="38"/>
      <c r="C5126" s="14"/>
      <c r="D5126" s="14"/>
      <c r="E5126" s="14"/>
      <c r="F5126" s="14"/>
      <c r="G5126" s="16"/>
    </row>
    <row r="5127" spans="2:7" x14ac:dyDescent="0.25">
      <c r="B5127" s="38"/>
      <c r="C5127" s="14"/>
      <c r="D5127" s="14"/>
      <c r="E5127" s="14"/>
      <c r="F5127" s="14"/>
      <c r="G5127" s="16"/>
    </row>
    <row r="5128" spans="2:7" x14ac:dyDescent="0.25">
      <c r="B5128" s="38"/>
      <c r="C5128" s="14"/>
      <c r="D5128" s="14"/>
      <c r="E5128" s="14"/>
      <c r="F5128" s="14"/>
      <c r="G5128" s="16"/>
    </row>
    <row r="5129" spans="2:7" x14ac:dyDescent="0.25">
      <c r="B5129" s="38"/>
      <c r="C5129" s="14"/>
      <c r="D5129" s="14"/>
      <c r="E5129" s="14"/>
      <c r="F5129" s="14"/>
      <c r="G5129" s="16"/>
    </row>
    <row r="5130" spans="2:7" x14ac:dyDescent="0.25">
      <c r="B5130" s="38"/>
      <c r="C5130" s="14"/>
      <c r="D5130" s="14"/>
      <c r="E5130" s="14"/>
      <c r="F5130" s="14"/>
      <c r="G5130" s="16"/>
    </row>
    <row r="5131" spans="2:7" x14ac:dyDescent="0.25">
      <c r="B5131" s="38"/>
      <c r="C5131" s="14"/>
      <c r="D5131" s="14"/>
      <c r="E5131" s="14"/>
      <c r="F5131" s="14"/>
      <c r="G5131" s="16"/>
    </row>
    <row r="5132" spans="2:7" x14ac:dyDescent="0.25">
      <c r="B5132" s="38"/>
      <c r="C5132" s="14"/>
      <c r="D5132" s="14"/>
      <c r="E5132" s="14"/>
      <c r="F5132" s="14"/>
      <c r="G5132" s="16"/>
    </row>
    <row r="5133" spans="2:7" x14ac:dyDescent="0.25">
      <c r="B5133" s="38"/>
      <c r="C5133" s="14"/>
      <c r="D5133" s="14"/>
      <c r="E5133" s="14"/>
      <c r="F5133" s="14"/>
      <c r="G5133" s="16"/>
    </row>
    <row r="5134" spans="2:7" x14ac:dyDescent="0.25">
      <c r="B5134" s="38"/>
      <c r="C5134" s="14"/>
      <c r="D5134" s="14"/>
      <c r="E5134" s="14"/>
      <c r="F5134" s="14"/>
      <c r="G5134" s="16"/>
    </row>
    <row r="5135" spans="2:7" x14ac:dyDescent="0.25">
      <c r="B5135" s="38"/>
      <c r="C5135" s="14"/>
      <c r="D5135" s="14"/>
      <c r="E5135" s="14"/>
      <c r="F5135" s="14"/>
      <c r="G5135" s="16"/>
    </row>
    <row r="5136" spans="2:7" x14ac:dyDescent="0.25">
      <c r="B5136" s="38"/>
      <c r="C5136" s="14"/>
      <c r="D5136" s="14"/>
      <c r="E5136" s="14"/>
      <c r="F5136" s="14"/>
      <c r="G5136" s="16"/>
    </row>
    <row r="5137" spans="2:7" x14ac:dyDescent="0.25">
      <c r="B5137" s="38"/>
      <c r="C5137" s="14"/>
      <c r="D5137" s="14"/>
      <c r="E5137" s="14"/>
      <c r="F5137" s="14"/>
      <c r="G5137" s="16"/>
    </row>
    <row r="5138" spans="2:7" x14ac:dyDescent="0.25">
      <c r="B5138" s="38"/>
      <c r="C5138" s="14"/>
      <c r="D5138" s="14"/>
      <c r="E5138" s="14"/>
      <c r="F5138" s="14"/>
      <c r="G5138" s="16"/>
    </row>
    <row r="5139" spans="2:7" x14ac:dyDescent="0.25">
      <c r="B5139" s="38"/>
      <c r="C5139" s="14"/>
      <c r="D5139" s="14"/>
      <c r="E5139" s="14"/>
      <c r="F5139" s="14"/>
      <c r="G5139" s="16"/>
    </row>
    <row r="5140" spans="2:7" x14ac:dyDescent="0.25">
      <c r="B5140" s="38"/>
      <c r="C5140" s="14"/>
      <c r="D5140" s="14"/>
      <c r="E5140" s="14"/>
      <c r="F5140" s="14"/>
      <c r="G5140" s="16"/>
    </row>
    <row r="5141" spans="2:7" x14ac:dyDescent="0.25">
      <c r="B5141" s="38"/>
      <c r="C5141" s="14"/>
      <c r="D5141" s="14"/>
      <c r="E5141" s="14"/>
      <c r="F5141" s="14"/>
      <c r="G5141" s="16"/>
    </row>
    <row r="5142" spans="2:7" x14ac:dyDescent="0.25">
      <c r="B5142" s="38"/>
      <c r="C5142" s="14"/>
      <c r="D5142" s="14"/>
      <c r="E5142" s="14"/>
      <c r="F5142" s="14"/>
      <c r="G5142" s="16"/>
    </row>
    <row r="5143" spans="2:7" x14ac:dyDescent="0.25">
      <c r="B5143" s="38"/>
      <c r="C5143" s="14"/>
      <c r="D5143" s="14"/>
      <c r="E5143" s="14"/>
      <c r="F5143" s="14"/>
      <c r="G5143" s="16"/>
    </row>
    <row r="5144" spans="2:7" x14ac:dyDescent="0.25">
      <c r="B5144" s="38"/>
      <c r="C5144" s="14"/>
      <c r="D5144" s="14"/>
      <c r="E5144" s="14"/>
      <c r="F5144" s="14"/>
      <c r="G5144" s="16"/>
    </row>
    <row r="5145" spans="2:7" x14ac:dyDescent="0.25">
      <c r="B5145" s="38"/>
      <c r="C5145" s="14"/>
      <c r="D5145" s="14"/>
      <c r="E5145" s="14"/>
      <c r="F5145" s="14"/>
      <c r="G5145" s="16"/>
    </row>
    <row r="5146" spans="2:7" x14ac:dyDescent="0.25">
      <c r="B5146" s="38"/>
      <c r="C5146" s="14"/>
      <c r="D5146" s="14"/>
      <c r="E5146" s="14"/>
      <c r="F5146" s="14"/>
      <c r="G5146" s="16"/>
    </row>
    <row r="5147" spans="2:7" x14ac:dyDescent="0.25">
      <c r="B5147" s="38"/>
      <c r="C5147" s="14"/>
      <c r="D5147" s="14"/>
      <c r="E5147" s="14"/>
      <c r="F5147" s="14"/>
      <c r="G5147" s="16"/>
    </row>
    <row r="5148" spans="2:7" x14ac:dyDescent="0.25">
      <c r="B5148" s="38"/>
      <c r="C5148" s="14"/>
      <c r="D5148" s="14"/>
      <c r="E5148" s="14"/>
      <c r="F5148" s="14"/>
      <c r="G5148" s="16"/>
    </row>
    <row r="5149" spans="2:7" x14ac:dyDescent="0.25">
      <c r="B5149" s="38"/>
      <c r="C5149" s="14"/>
      <c r="D5149" s="14"/>
      <c r="E5149" s="14"/>
      <c r="F5149" s="14"/>
      <c r="G5149" s="16"/>
    </row>
    <row r="5150" spans="2:7" x14ac:dyDescent="0.25">
      <c r="B5150" s="38"/>
      <c r="C5150" s="14"/>
      <c r="D5150" s="14"/>
      <c r="E5150" s="14"/>
      <c r="F5150" s="14"/>
      <c r="G5150" s="16"/>
    </row>
    <row r="5151" spans="2:7" x14ac:dyDescent="0.25">
      <c r="B5151" s="38"/>
      <c r="C5151" s="14"/>
      <c r="D5151" s="14"/>
      <c r="E5151" s="14"/>
      <c r="F5151" s="14"/>
      <c r="G5151" s="16"/>
    </row>
    <row r="5152" spans="2:7" x14ac:dyDescent="0.25">
      <c r="B5152" s="38"/>
      <c r="C5152" s="14"/>
      <c r="D5152" s="14"/>
      <c r="E5152" s="14"/>
      <c r="F5152" s="14"/>
      <c r="G5152" s="16"/>
    </row>
    <row r="5153" spans="2:7" x14ac:dyDescent="0.25">
      <c r="B5153" s="38"/>
      <c r="C5153" s="14"/>
      <c r="D5153" s="14"/>
      <c r="E5153" s="14"/>
      <c r="F5153" s="14"/>
      <c r="G5153" s="16"/>
    </row>
    <row r="5154" spans="2:7" x14ac:dyDescent="0.25">
      <c r="B5154" s="38"/>
      <c r="C5154" s="14"/>
      <c r="D5154" s="14"/>
      <c r="E5154" s="14"/>
      <c r="F5154" s="14"/>
      <c r="G5154" s="16"/>
    </row>
    <row r="5155" spans="2:7" x14ac:dyDescent="0.25">
      <c r="B5155" s="38"/>
      <c r="C5155" s="14"/>
      <c r="D5155" s="14"/>
      <c r="E5155" s="14"/>
      <c r="F5155" s="14"/>
      <c r="G5155" s="16"/>
    </row>
    <row r="5156" spans="2:7" x14ac:dyDescent="0.25">
      <c r="B5156" s="38"/>
      <c r="C5156" s="14"/>
      <c r="D5156" s="14"/>
      <c r="E5156" s="14"/>
      <c r="F5156" s="14"/>
      <c r="G5156" s="16"/>
    </row>
    <row r="5157" spans="2:7" x14ac:dyDescent="0.25">
      <c r="B5157" s="38"/>
      <c r="C5157" s="14"/>
      <c r="D5157" s="14"/>
      <c r="E5157" s="14"/>
      <c r="F5157" s="14"/>
      <c r="G5157" s="16"/>
    </row>
    <row r="5158" spans="2:7" x14ac:dyDescent="0.25">
      <c r="B5158" s="38"/>
      <c r="C5158" s="14"/>
      <c r="D5158" s="14"/>
      <c r="E5158" s="14"/>
      <c r="F5158" s="14"/>
      <c r="G5158" s="16"/>
    </row>
    <row r="5159" spans="2:7" x14ac:dyDescent="0.25">
      <c r="B5159" s="38"/>
      <c r="C5159" s="14"/>
      <c r="D5159" s="14"/>
      <c r="E5159" s="14"/>
      <c r="F5159" s="14"/>
      <c r="G5159" s="16"/>
    </row>
    <row r="5160" spans="2:7" x14ac:dyDescent="0.25">
      <c r="B5160" s="38"/>
      <c r="C5160" s="14"/>
      <c r="D5160" s="14"/>
      <c r="E5160" s="14"/>
      <c r="F5160" s="14"/>
      <c r="G5160" s="16"/>
    </row>
    <row r="5161" spans="2:7" x14ac:dyDescent="0.25">
      <c r="B5161" s="38"/>
      <c r="C5161" s="14"/>
      <c r="D5161" s="14"/>
      <c r="E5161" s="14"/>
      <c r="F5161" s="14"/>
      <c r="G5161" s="16"/>
    </row>
    <row r="5162" spans="2:7" x14ac:dyDescent="0.25">
      <c r="B5162" s="38"/>
      <c r="C5162" s="14"/>
      <c r="D5162" s="14"/>
      <c r="E5162" s="14"/>
      <c r="F5162" s="14"/>
      <c r="G5162" s="16"/>
    </row>
    <row r="5163" spans="2:7" x14ac:dyDescent="0.25">
      <c r="B5163" s="38"/>
      <c r="C5163" s="14"/>
      <c r="D5163" s="14"/>
      <c r="E5163" s="14"/>
      <c r="F5163" s="14"/>
      <c r="G5163" s="16"/>
    </row>
    <row r="5164" spans="2:7" x14ac:dyDescent="0.25">
      <c r="B5164" s="38"/>
      <c r="C5164" s="14"/>
      <c r="D5164" s="14"/>
      <c r="E5164" s="14"/>
      <c r="F5164" s="14"/>
      <c r="G5164" s="16"/>
    </row>
    <row r="5165" spans="2:7" x14ac:dyDescent="0.25">
      <c r="B5165" s="38"/>
      <c r="C5165" s="14"/>
      <c r="D5165" s="14"/>
      <c r="E5165" s="14"/>
      <c r="F5165" s="14"/>
      <c r="G5165" s="16"/>
    </row>
    <row r="5166" spans="2:7" x14ac:dyDescent="0.25">
      <c r="B5166" s="38"/>
      <c r="C5166" s="14"/>
      <c r="D5166" s="14"/>
      <c r="E5166" s="14"/>
      <c r="F5166" s="14"/>
      <c r="G5166" s="16"/>
    </row>
    <row r="5167" spans="2:7" x14ac:dyDescent="0.25">
      <c r="B5167" s="38"/>
      <c r="C5167" s="14"/>
      <c r="D5167" s="14"/>
      <c r="E5167" s="14"/>
      <c r="F5167" s="14"/>
      <c r="G5167" s="16"/>
    </row>
    <row r="5168" spans="2:7" x14ac:dyDescent="0.25">
      <c r="B5168" s="38"/>
      <c r="C5168" s="14"/>
      <c r="D5168" s="14"/>
      <c r="E5168" s="14"/>
      <c r="F5168" s="14"/>
      <c r="G5168" s="16"/>
    </row>
    <row r="5169" spans="2:7" x14ac:dyDescent="0.25">
      <c r="B5169" s="38"/>
      <c r="C5169" s="14"/>
      <c r="D5169" s="14"/>
      <c r="E5169" s="14"/>
      <c r="F5169" s="14"/>
      <c r="G5169" s="16"/>
    </row>
    <row r="5170" spans="2:7" x14ac:dyDescent="0.25">
      <c r="B5170" s="38"/>
      <c r="C5170" s="14"/>
      <c r="D5170" s="14"/>
      <c r="E5170" s="14"/>
      <c r="F5170" s="14"/>
      <c r="G5170" s="16"/>
    </row>
    <row r="5171" spans="2:7" x14ac:dyDescent="0.25">
      <c r="B5171" s="38"/>
      <c r="C5171" s="14"/>
      <c r="D5171" s="14"/>
      <c r="E5171" s="14"/>
      <c r="F5171" s="14"/>
      <c r="G5171" s="16"/>
    </row>
    <row r="5172" spans="2:7" x14ac:dyDescent="0.25">
      <c r="B5172" s="38"/>
      <c r="C5172" s="14"/>
      <c r="D5172" s="14"/>
      <c r="E5172" s="14"/>
      <c r="F5172" s="14"/>
      <c r="G5172" s="16"/>
    </row>
    <row r="5173" spans="2:7" x14ac:dyDescent="0.25">
      <c r="B5173" s="38"/>
      <c r="C5173" s="14"/>
      <c r="D5173" s="14"/>
      <c r="E5173" s="14"/>
      <c r="F5173" s="14"/>
      <c r="G5173" s="16"/>
    </row>
    <row r="5174" spans="2:7" x14ac:dyDescent="0.25">
      <c r="B5174" s="38"/>
      <c r="C5174" s="14"/>
      <c r="D5174" s="14"/>
      <c r="E5174" s="14"/>
      <c r="F5174" s="14"/>
      <c r="G5174" s="16"/>
    </row>
    <row r="5175" spans="2:7" x14ac:dyDescent="0.25">
      <c r="B5175" s="38"/>
      <c r="C5175" s="14"/>
      <c r="D5175" s="14"/>
      <c r="E5175" s="14"/>
      <c r="F5175" s="14"/>
      <c r="G5175" s="16"/>
    </row>
    <row r="5176" spans="2:7" x14ac:dyDescent="0.25">
      <c r="B5176" s="38"/>
      <c r="C5176" s="14"/>
      <c r="D5176" s="14"/>
      <c r="E5176" s="14"/>
      <c r="F5176" s="14"/>
      <c r="G5176" s="16"/>
    </row>
    <row r="5177" spans="2:7" x14ac:dyDescent="0.25">
      <c r="B5177" s="38"/>
      <c r="C5177" s="14"/>
      <c r="D5177" s="14"/>
      <c r="E5177" s="14"/>
      <c r="F5177" s="14"/>
      <c r="G5177" s="16"/>
    </row>
    <row r="5178" spans="2:7" x14ac:dyDescent="0.25">
      <c r="B5178" s="38"/>
      <c r="C5178" s="14"/>
      <c r="D5178" s="14"/>
      <c r="E5178" s="14"/>
      <c r="F5178" s="14"/>
      <c r="G5178" s="16"/>
    </row>
    <row r="5179" spans="2:7" x14ac:dyDescent="0.25">
      <c r="B5179" s="38"/>
      <c r="C5179" s="14"/>
      <c r="D5179" s="14"/>
      <c r="E5179" s="14"/>
      <c r="F5179" s="14"/>
      <c r="G5179" s="16"/>
    </row>
    <row r="5180" spans="2:7" x14ac:dyDescent="0.25">
      <c r="B5180" s="38"/>
      <c r="C5180" s="14"/>
      <c r="D5180" s="14"/>
      <c r="E5180" s="14"/>
      <c r="F5180" s="14"/>
      <c r="G5180" s="16"/>
    </row>
    <row r="5181" spans="2:7" x14ac:dyDescent="0.25">
      <c r="B5181" s="38"/>
      <c r="C5181" s="14"/>
      <c r="D5181" s="14"/>
      <c r="E5181" s="14"/>
      <c r="F5181" s="14"/>
      <c r="G5181" s="16"/>
    </row>
    <row r="5182" spans="2:7" x14ac:dyDescent="0.25">
      <c r="B5182" s="38"/>
      <c r="C5182" s="14"/>
      <c r="D5182" s="14"/>
      <c r="E5182" s="14"/>
      <c r="F5182" s="14"/>
      <c r="G5182" s="16"/>
    </row>
    <row r="5183" spans="2:7" x14ac:dyDescent="0.25">
      <c r="B5183" s="38"/>
      <c r="C5183" s="14"/>
      <c r="D5183" s="14"/>
      <c r="E5183" s="14"/>
      <c r="F5183" s="14"/>
      <c r="G5183" s="16"/>
    </row>
    <row r="5184" spans="2:7" x14ac:dyDescent="0.25">
      <c r="B5184" s="38"/>
      <c r="C5184" s="14"/>
      <c r="D5184" s="14"/>
      <c r="E5184" s="14"/>
      <c r="F5184" s="14"/>
      <c r="G5184" s="16"/>
    </row>
    <row r="5185" spans="2:7" x14ac:dyDescent="0.25">
      <c r="B5185" s="38"/>
      <c r="C5185" s="14"/>
      <c r="D5185" s="14"/>
      <c r="E5185" s="14"/>
      <c r="F5185" s="14"/>
      <c r="G5185" s="16"/>
    </row>
    <row r="5186" spans="2:7" x14ac:dyDescent="0.25">
      <c r="B5186" s="38"/>
      <c r="C5186" s="14"/>
      <c r="D5186" s="14"/>
      <c r="E5186" s="14"/>
      <c r="F5186" s="14"/>
      <c r="G5186" s="16"/>
    </row>
    <row r="5187" spans="2:7" x14ac:dyDescent="0.25">
      <c r="B5187" s="38"/>
      <c r="C5187" s="14"/>
      <c r="D5187" s="14"/>
      <c r="E5187" s="14"/>
      <c r="F5187" s="14"/>
      <c r="G5187" s="16"/>
    </row>
    <row r="5188" spans="2:7" x14ac:dyDescent="0.25">
      <c r="B5188" s="38"/>
      <c r="C5188" s="14"/>
      <c r="D5188" s="14"/>
      <c r="E5188" s="14"/>
      <c r="F5188" s="14"/>
      <c r="G5188" s="16"/>
    </row>
    <row r="5189" spans="2:7" x14ac:dyDescent="0.25">
      <c r="B5189" s="38"/>
      <c r="C5189" s="14"/>
      <c r="D5189" s="14"/>
      <c r="E5189" s="14"/>
      <c r="F5189" s="14"/>
      <c r="G5189" s="16"/>
    </row>
    <row r="5190" spans="2:7" x14ac:dyDescent="0.25">
      <c r="B5190" s="38"/>
      <c r="C5190" s="14"/>
      <c r="D5190" s="14"/>
      <c r="E5190" s="14"/>
      <c r="F5190" s="14"/>
      <c r="G5190" s="16"/>
    </row>
    <row r="5191" spans="2:7" x14ac:dyDescent="0.25">
      <c r="B5191" s="38"/>
      <c r="C5191" s="14"/>
      <c r="D5191" s="14"/>
      <c r="E5191" s="14"/>
      <c r="F5191" s="14"/>
      <c r="G5191" s="16"/>
    </row>
    <row r="5192" spans="2:7" x14ac:dyDescent="0.25">
      <c r="B5192" s="38"/>
      <c r="C5192" s="14"/>
      <c r="D5192" s="14"/>
      <c r="E5192" s="14"/>
      <c r="F5192" s="14"/>
      <c r="G5192" s="16"/>
    </row>
    <row r="5193" spans="2:7" x14ac:dyDescent="0.25">
      <c r="B5193" s="38"/>
      <c r="C5193" s="14"/>
      <c r="D5193" s="14"/>
      <c r="E5193" s="14"/>
      <c r="F5193" s="14"/>
      <c r="G5193" s="16"/>
    </row>
    <row r="5194" spans="2:7" x14ac:dyDescent="0.25">
      <c r="B5194" s="38"/>
      <c r="C5194" s="14"/>
      <c r="D5194" s="14"/>
      <c r="E5194" s="14"/>
      <c r="F5194" s="14"/>
      <c r="G5194" s="16"/>
    </row>
    <row r="5195" spans="2:7" x14ac:dyDescent="0.25">
      <c r="B5195" s="38"/>
      <c r="C5195" s="14"/>
      <c r="D5195" s="14"/>
      <c r="E5195" s="14"/>
      <c r="F5195" s="14"/>
      <c r="G5195" s="16"/>
    </row>
    <row r="5196" spans="2:7" x14ac:dyDescent="0.25">
      <c r="B5196" s="38"/>
      <c r="C5196" s="14"/>
      <c r="D5196" s="14"/>
      <c r="E5196" s="14"/>
      <c r="F5196" s="14"/>
      <c r="G5196" s="16"/>
    </row>
    <row r="5197" spans="2:7" x14ac:dyDescent="0.25">
      <c r="B5197" s="38"/>
      <c r="C5197" s="14"/>
      <c r="D5197" s="14"/>
      <c r="E5197" s="14"/>
      <c r="F5197" s="14"/>
      <c r="G5197" s="16"/>
    </row>
    <row r="5198" spans="2:7" x14ac:dyDescent="0.25">
      <c r="B5198" s="38"/>
      <c r="C5198" s="14"/>
      <c r="D5198" s="14"/>
      <c r="E5198" s="14"/>
      <c r="F5198" s="14"/>
      <c r="G5198" s="16"/>
    </row>
    <row r="5199" spans="2:7" x14ac:dyDescent="0.25">
      <c r="B5199" s="38"/>
      <c r="C5199" s="14"/>
      <c r="D5199" s="14"/>
      <c r="E5199" s="14"/>
      <c r="F5199" s="14"/>
      <c r="G5199" s="16"/>
    </row>
    <row r="5200" spans="2:7" x14ac:dyDescent="0.25">
      <c r="B5200" s="38"/>
      <c r="C5200" s="14"/>
      <c r="D5200" s="14"/>
      <c r="E5200" s="14"/>
      <c r="F5200" s="14"/>
      <c r="G5200" s="16"/>
    </row>
    <row r="5201" spans="2:7" x14ac:dyDescent="0.25">
      <c r="B5201" s="38"/>
      <c r="C5201" s="14"/>
      <c r="D5201" s="14"/>
      <c r="E5201" s="14"/>
      <c r="F5201" s="14"/>
      <c r="G5201" s="16"/>
    </row>
    <row r="5202" spans="2:7" x14ac:dyDescent="0.25">
      <c r="B5202" s="38"/>
      <c r="C5202" s="14"/>
      <c r="D5202" s="14"/>
      <c r="E5202" s="14"/>
      <c r="F5202" s="14"/>
      <c r="G5202" s="16"/>
    </row>
    <row r="5203" spans="2:7" x14ac:dyDescent="0.25">
      <c r="B5203" s="38"/>
      <c r="C5203" s="14"/>
      <c r="D5203" s="14"/>
      <c r="E5203" s="14"/>
      <c r="F5203" s="14"/>
      <c r="G5203" s="16"/>
    </row>
    <row r="5204" spans="2:7" x14ac:dyDescent="0.25">
      <c r="B5204" s="38"/>
      <c r="C5204" s="14"/>
      <c r="D5204" s="14"/>
      <c r="E5204" s="14"/>
      <c r="F5204" s="14"/>
      <c r="G5204" s="16"/>
    </row>
    <row r="5205" spans="2:7" x14ac:dyDescent="0.25">
      <c r="B5205" s="38"/>
      <c r="C5205" s="14"/>
      <c r="D5205" s="14"/>
      <c r="E5205" s="14"/>
      <c r="F5205" s="14"/>
      <c r="G5205" s="16"/>
    </row>
    <row r="5206" spans="2:7" x14ac:dyDescent="0.25">
      <c r="B5206" s="38"/>
      <c r="C5206" s="14"/>
      <c r="D5206" s="14"/>
      <c r="E5206" s="14"/>
      <c r="F5206" s="14"/>
      <c r="G5206" s="16"/>
    </row>
    <row r="5207" spans="2:7" x14ac:dyDescent="0.25">
      <c r="B5207" s="38"/>
      <c r="C5207" s="14"/>
      <c r="D5207" s="14"/>
      <c r="E5207" s="14"/>
      <c r="F5207" s="14"/>
      <c r="G5207" s="16"/>
    </row>
    <row r="5208" spans="2:7" x14ac:dyDescent="0.25">
      <c r="B5208" s="38"/>
      <c r="C5208" s="14"/>
      <c r="D5208" s="14"/>
      <c r="E5208" s="14"/>
      <c r="F5208" s="14"/>
      <c r="G5208" s="16"/>
    </row>
    <row r="5209" spans="2:7" x14ac:dyDescent="0.25">
      <c r="B5209" s="38"/>
      <c r="C5209" s="14"/>
      <c r="D5209" s="14"/>
      <c r="E5209" s="14"/>
      <c r="F5209" s="14"/>
      <c r="G5209" s="16"/>
    </row>
    <row r="5210" spans="2:7" x14ac:dyDescent="0.25">
      <c r="B5210" s="38"/>
      <c r="C5210" s="14"/>
      <c r="D5210" s="14"/>
      <c r="E5210" s="14"/>
      <c r="F5210" s="14"/>
      <c r="G5210" s="16"/>
    </row>
    <row r="5211" spans="2:7" x14ac:dyDescent="0.25">
      <c r="B5211" s="38"/>
      <c r="C5211" s="14"/>
      <c r="D5211" s="14"/>
      <c r="E5211" s="14"/>
      <c r="F5211" s="14"/>
      <c r="G5211" s="16"/>
    </row>
    <row r="5212" spans="2:7" x14ac:dyDescent="0.25">
      <c r="B5212" s="38"/>
      <c r="C5212" s="14"/>
      <c r="D5212" s="14"/>
      <c r="E5212" s="14"/>
      <c r="F5212" s="14"/>
      <c r="G5212" s="16"/>
    </row>
    <row r="5213" spans="2:7" x14ac:dyDescent="0.25">
      <c r="B5213" s="38"/>
      <c r="C5213" s="14"/>
      <c r="D5213" s="14"/>
      <c r="E5213" s="14"/>
      <c r="F5213" s="14"/>
      <c r="G5213" s="16"/>
    </row>
    <row r="5214" spans="2:7" x14ac:dyDescent="0.25">
      <c r="B5214" s="38"/>
      <c r="C5214" s="14"/>
      <c r="D5214" s="14"/>
      <c r="E5214" s="14"/>
      <c r="F5214" s="14"/>
      <c r="G5214" s="16"/>
    </row>
    <row r="5215" spans="2:7" x14ac:dyDescent="0.25">
      <c r="B5215" s="38"/>
      <c r="C5215" s="14"/>
      <c r="D5215" s="14"/>
      <c r="E5215" s="14"/>
      <c r="F5215" s="14"/>
      <c r="G5215" s="16"/>
    </row>
    <row r="5216" spans="2:7" x14ac:dyDescent="0.25">
      <c r="B5216" s="38"/>
      <c r="C5216" s="14"/>
      <c r="D5216" s="14"/>
      <c r="E5216" s="14"/>
      <c r="F5216" s="14"/>
      <c r="G5216" s="16"/>
    </row>
    <row r="5217" spans="2:7" x14ac:dyDescent="0.25">
      <c r="B5217" s="38"/>
      <c r="C5217" s="14"/>
      <c r="D5217" s="14"/>
      <c r="E5217" s="14"/>
      <c r="F5217" s="14"/>
      <c r="G5217" s="16"/>
    </row>
    <row r="5218" spans="2:7" x14ac:dyDescent="0.25">
      <c r="B5218" s="38"/>
      <c r="C5218" s="14"/>
      <c r="D5218" s="14"/>
      <c r="E5218" s="14"/>
      <c r="F5218" s="14"/>
      <c r="G5218" s="16"/>
    </row>
    <row r="5219" spans="2:7" x14ac:dyDescent="0.25">
      <c r="B5219" s="38"/>
      <c r="C5219" s="14"/>
      <c r="D5219" s="14"/>
      <c r="E5219" s="14"/>
      <c r="F5219" s="14"/>
      <c r="G5219" s="16"/>
    </row>
    <row r="5220" spans="2:7" x14ac:dyDescent="0.25">
      <c r="B5220" s="38"/>
      <c r="C5220" s="14"/>
      <c r="D5220" s="14"/>
      <c r="E5220" s="14"/>
      <c r="F5220" s="14"/>
      <c r="G5220" s="16"/>
    </row>
    <row r="5221" spans="2:7" x14ac:dyDescent="0.25">
      <c r="B5221" s="38"/>
      <c r="C5221" s="14"/>
      <c r="D5221" s="14"/>
      <c r="E5221" s="14"/>
      <c r="F5221" s="14"/>
      <c r="G5221" s="16"/>
    </row>
    <row r="5222" spans="2:7" x14ac:dyDescent="0.25">
      <c r="B5222" s="38"/>
      <c r="C5222" s="14"/>
      <c r="D5222" s="14"/>
      <c r="E5222" s="14"/>
      <c r="F5222" s="14"/>
      <c r="G5222" s="16"/>
    </row>
    <row r="5223" spans="2:7" x14ac:dyDescent="0.25">
      <c r="B5223" s="38"/>
      <c r="C5223" s="14"/>
      <c r="D5223" s="14"/>
      <c r="E5223" s="14"/>
      <c r="F5223" s="14"/>
      <c r="G5223" s="16"/>
    </row>
    <row r="5224" spans="2:7" x14ac:dyDescent="0.25">
      <c r="B5224" s="38"/>
      <c r="C5224" s="14"/>
      <c r="D5224" s="14"/>
      <c r="E5224" s="14"/>
      <c r="F5224" s="14"/>
      <c r="G5224" s="16"/>
    </row>
    <row r="5225" spans="2:7" x14ac:dyDescent="0.25">
      <c r="B5225" s="38"/>
      <c r="C5225" s="14"/>
      <c r="D5225" s="14"/>
      <c r="E5225" s="14"/>
      <c r="F5225" s="14"/>
      <c r="G5225" s="16"/>
    </row>
    <row r="5226" spans="2:7" x14ac:dyDescent="0.25">
      <c r="B5226" s="38"/>
      <c r="C5226" s="14"/>
      <c r="D5226" s="14"/>
      <c r="E5226" s="14"/>
      <c r="F5226" s="14"/>
      <c r="G5226" s="16"/>
    </row>
    <row r="5227" spans="2:7" x14ac:dyDescent="0.25">
      <c r="B5227" s="38"/>
      <c r="C5227" s="14"/>
      <c r="D5227" s="14"/>
      <c r="E5227" s="14"/>
      <c r="F5227" s="14"/>
      <c r="G5227" s="16"/>
    </row>
    <row r="5228" spans="2:7" x14ac:dyDescent="0.25">
      <c r="B5228" s="38"/>
      <c r="C5228" s="14"/>
      <c r="D5228" s="14"/>
      <c r="E5228" s="14"/>
      <c r="F5228" s="14"/>
      <c r="G5228" s="16"/>
    </row>
    <row r="5229" spans="2:7" x14ac:dyDescent="0.25">
      <c r="B5229" s="38"/>
      <c r="C5229" s="14"/>
      <c r="D5229" s="14"/>
      <c r="E5229" s="14"/>
      <c r="F5229" s="14"/>
      <c r="G5229" s="16"/>
    </row>
    <row r="5230" spans="2:7" x14ac:dyDescent="0.25">
      <c r="B5230" s="38"/>
      <c r="C5230" s="14"/>
      <c r="D5230" s="14"/>
      <c r="E5230" s="14"/>
      <c r="F5230" s="14"/>
      <c r="G5230" s="16"/>
    </row>
    <row r="5231" spans="2:7" x14ac:dyDescent="0.25">
      <c r="B5231" s="38"/>
      <c r="C5231" s="14"/>
      <c r="D5231" s="14"/>
      <c r="E5231" s="14"/>
      <c r="F5231" s="14"/>
      <c r="G5231" s="16"/>
    </row>
    <row r="5232" spans="2:7" x14ac:dyDescent="0.25">
      <c r="B5232" s="38"/>
      <c r="C5232" s="14"/>
      <c r="D5232" s="14"/>
      <c r="E5232" s="14"/>
      <c r="F5232" s="14"/>
      <c r="G5232" s="16"/>
    </row>
    <row r="5233" spans="2:7" x14ac:dyDescent="0.25">
      <c r="B5233" s="38"/>
      <c r="C5233" s="14"/>
      <c r="D5233" s="14"/>
      <c r="E5233" s="14"/>
      <c r="F5233" s="14"/>
      <c r="G5233" s="16"/>
    </row>
    <row r="5234" spans="2:7" x14ac:dyDescent="0.25">
      <c r="B5234" s="38"/>
      <c r="C5234" s="14"/>
      <c r="D5234" s="14"/>
      <c r="E5234" s="14"/>
      <c r="F5234" s="14"/>
      <c r="G5234" s="16"/>
    </row>
    <row r="5235" spans="2:7" x14ac:dyDescent="0.25">
      <c r="B5235" s="38"/>
      <c r="C5235" s="14"/>
      <c r="D5235" s="14"/>
      <c r="E5235" s="14"/>
      <c r="F5235" s="14"/>
      <c r="G5235" s="16"/>
    </row>
    <row r="5236" spans="2:7" x14ac:dyDescent="0.25">
      <c r="B5236" s="38"/>
      <c r="C5236" s="14"/>
      <c r="D5236" s="14"/>
      <c r="E5236" s="14"/>
      <c r="F5236" s="14"/>
      <c r="G5236" s="16"/>
    </row>
    <row r="5237" spans="2:7" x14ac:dyDescent="0.25">
      <c r="B5237" s="38"/>
      <c r="C5237" s="14"/>
      <c r="D5237" s="14"/>
      <c r="E5237" s="14"/>
      <c r="F5237" s="14"/>
      <c r="G5237" s="16"/>
    </row>
    <row r="5238" spans="2:7" x14ac:dyDescent="0.25">
      <c r="B5238" s="38"/>
      <c r="C5238" s="14"/>
      <c r="D5238" s="14"/>
      <c r="E5238" s="14"/>
      <c r="F5238" s="14"/>
      <c r="G5238" s="16"/>
    </row>
    <row r="5239" spans="2:7" x14ac:dyDescent="0.25">
      <c r="B5239" s="38"/>
      <c r="C5239" s="14"/>
      <c r="D5239" s="14"/>
      <c r="E5239" s="14"/>
      <c r="F5239" s="14"/>
      <c r="G5239" s="16"/>
    </row>
    <row r="5240" spans="2:7" x14ac:dyDescent="0.25">
      <c r="B5240" s="38"/>
      <c r="C5240" s="14"/>
      <c r="D5240" s="14"/>
      <c r="E5240" s="14"/>
      <c r="F5240" s="14"/>
      <c r="G5240" s="16"/>
    </row>
    <row r="5241" spans="2:7" x14ac:dyDescent="0.25">
      <c r="B5241" s="38"/>
      <c r="C5241" s="14"/>
      <c r="D5241" s="14"/>
      <c r="E5241" s="14"/>
      <c r="F5241" s="14"/>
      <c r="G5241" s="16"/>
    </row>
    <row r="5242" spans="2:7" x14ac:dyDescent="0.25">
      <c r="B5242" s="38"/>
      <c r="C5242" s="14"/>
      <c r="D5242" s="14"/>
      <c r="E5242" s="14"/>
      <c r="F5242" s="14"/>
      <c r="G5242" s="16"/>
    </row>
    <row r="5243" spans="2:7" x14ac:dyDescent="0.25">
      <c r="B5243" s="38"/>
      <c r="C5243" s="14"/>
      <c r="D5243" s="14"/>
      <c r="E5243" s="14"/>
      <c r="F5243" s="14"/>
      <c r="G5243" s="16"/>
    </row>
    <row r="5244" spans="2:7" x14ac:dyDescent="0.25">
      <c r="B5244" s="38"/>
      <c r="C5244" s="14"/>
      <c r="D5244" s="14"/>
      <c r="E5244" s="14"/>
      <c r="F5244" s="14"/>
      <c r="G5244" s="16"/>
    </row>
    <row r="5245" spans="2:7" x14ac:dyDescent="0.25">
      <c r="B5245" s="38"/>
      <c r="C5245" s="14"/>
      <c r="D5245" s="14"/>
      <c r="E5245" s="14"/>
      <c r="F5245" s="14"/>
      <c r="G5245" s="16"/>
    </row>
    <row r="5246" spans="2:7" x14ac:dyDescent="0.25">
      <c r="B5246" s="38"/>
      <c r="C5246" s="14"/>
      <c r="D5246" s="14"/>
      <c r="E5246" s="14"/>
      <c r="F5246" s="14"/>
      <c r="G5246" s="16"/>
    </row>
    <row r="5247" spans="2:7" x14ac:dyDescent="0.25">
      <c r="B5247" s="38"/>
      <c r="C5247" s="14"/>
      <c r="D5247" s="14"/>
      <c r="E5247" s="14"/>
      <c r="F5247" s="14"/>
      <c r="G5247" s="16"/>
    </row>
    <row r="5248" spans="2:7" x14ac:dyDescent="0.25">
      <c r="B5248" s="38"/>
      <c r="C5248" s="14"/>
      <c r="D5248" s="14"/>
      <c r="E5248" s="14"/>
      <c r="F5248" s="14"/>
      <c r="G5248" s="16"/>
    </row>
    <row r="5249" spans="2:7" x14ac:dyDescent="0.25">
      <c r="B5249" s="38"/>
      <c r="C5249" s="14"/>
      <c r="D5249" s="14"/>
      <c r="E5249" s="14"/>
      <c r="F5249" s="14"/>
      <c r="G5249" s="16"/>
    </row>
    <row r="5250" spans="2:7" x14ac:dyDescent="0.25">
      <c r="B5250" s="38"/>
      <c r="C5250" s="14"/>
      <c r="D5250" s="14"/>
      <c r="E5250" s="14"/>
      <c r="F5250" s="14"/>
      <c r="G5250" s="16"/>
    </row>
    <row r="5251" spans="2:7" x14ac:dyDescent="0.25">
      <c r="B5251" s="38"/>
      <c r="C5251" s="14"/>
      <c r="D5251" s="14"/>
      <c r="E5251" s="14"/>
      <c r="F5251" s="14"/>
      <c r="G5251" s="16"/>
    </row>
    <row r="5252" spans="2:7" x14ac:dyDescent="0.25">
      <c r="B5252" s="38"/>
      <c r="C5252" s="14"/>
      <c r="D5252" s="14"/>
      <c r="E5252" s="14"/>
      <c r="F5252" s="14"/>
      <c r="G5252" s="16"/>
    </row>
    <row r="5253" spans="2:7" x14ac:dyDescent="0.25">
      <c r="B5253" s="38"/>
      <c r="C5253" s="14"/>
      <c r="D5253" s="14"/>
      <c r="E5253" s="14"/>
      <c r="F5253" s="14"/>
      <c r="G5253" s="16"/>
    </row>
    <row r="5254" spans="2:7" x14ac:dyDescent="0.25">
      <c r="B5254" s="38"/>
      <c r="C5254" s="14"/>
      <c r="D5254" s="14"/>
      <c r="E5254" s="14"/>
      <c r="F5254" s="14"/>
      <c r="G5254" s="16"/>
    </row>
    <row r="5255" spans="2:7" x14ac:dyDescent="0.25">
      <c r="B5255" s="38"/>
      <c r="C5255" s="14"/>
      <c r="D5255" s="14"/>
      <c r="E5255" s="14"/>
      <c r="F5255" s="14"/>
      <c r="G5255" s="16"/>
    </row>
    <row r="5256" spans="2:7" x14ac:dyDescent="0.25">
      <c r="B5256" s="38"/>
      <c r="C5256" s="14"/>
      <c r="D5256" s="14"/>
      <c r="E5256" s="14"/>
      <c r="F5256" s="14"/>
      <c r="G5256" s="16"/>
    </row>
    <row r="5257" spans="2:7" x14ac:dyDescent="0.25">
      <c r="B5257" s="38"/>
      <c r="C5257" s="14"/>
      <c r="D5257" s="14"/>
      <c r="E5257" s="14"/>
      <c r="F5257" s="14"/>
      <c r="G5257" s="16"/>
    </row>
    <row r="5258" spans="2:7" x14ac:dyDescent="0.25">
      <c r="B5258" s="38"/>
      <c r="C5258" s="14"/>
      <c r="D5258" s="14"/>
      <c r="E5258" s="14"/>
      <c r="F5258" s="14"/>
      <c r="G5258" s="16"/>
    </row>
    <row r="5259" spans="2:7" x14ac:dyDescent="0.25">
      <c r="B5259" s="38"/>
      <c r="C5259" s="14"/>
      <c r="D5259" s="14"/>
      <c r="E5259" s="14"/>
      <c r="F5259" s="14"/>
      <c r="G5259" s="16"/>
    </row>
    <row r="5260" spans="2:7" x14ac:dyDescent="0.25">
      <c r="B5260" s="38"/>
      <c r="C5260" s="14"/>
      <c r="D5260" s="14"/>
      <c r="E5260" s="14"/>
      <c r="F5260" s="14"/>
      <c r="G5260" s="16"/>
    </row>
    <row r="5261" spans="2:7" x14ac:dyDescent="0.25">
      <c r="B5261" s="38"/>
      <c r="C5261" s="14"/>
      <c r="D5261" s="14"/>
      <c r="E5261" s="14"/>
      <c r="F5261" s="14"/>
      <c r="G5261" s="16"/>
    </row>
    <row r="5262" spans="2:7" x14ac:dyDescent="0.25">
      <c r="B5262" s="38"/>
      <c r="C5262" s="14"/>
      <c r="D5262" s="14"/>
      <c r="E5262" s="14"/>
      <c r="F5262" s="14"/>
      <c r="G5262" s="16"/>
    </row>
    <row r="5263" spans="2:7" x14ac:dyDescent="0.25">
      <c r="B5263" s="38"/>
      <c r="C5263" s="14"/>
      <c r="D5263" s="14"/>
      <c r="E5263" s="14"/>
      <c r="F5263" s="14"/>
      <c r="G5263" s="16"/>
    </row>
    <row r="5264" spans="2:7" x14ac:dyDescent="0.25">
      <c r="B5264" s="38"/>
      <c r="C5264" s="14"/>
      <c r="D5264" s="14"/>
      <c r="E5264" s="14"/>
      <c r="F5264" s="14"/>
      <c r="G5264" s="16"/>
    </row>
    <row r="5265" spans="2:7" x14ac:dyDescent="0.25">
      <c r="B5265" s="38"/>
      <c r="C5265" s="14"/>
      <c r="D5265" s="14"/>
      <c r="E5265" s="14"/>
      <c r="F5265" s="14"/>
      <c r="G5265" s="16"/>
    </row>
    <row r="5266" spans="2:7" x14ac:dyDescent="0.25">
      <c r="B5266" s="38"/>
      <c r="C5266" s="14"/>
      <c r="D5266" s="14"/>
      <c r="E5266" s="14"/>
      <c r="F5266" s="14"/>
      <c r="G5266" s="16"/>
    </row>
    <row r="5267" spans="2:7" x14ac:dyDescent="0.25">
      <c r="B5267" s="38"/>
      <c r="C5267" s="14"/>
      <c r="D5267" s="14"/>
      <c r="E5267" s="14"/>
      <c r="F5267" s="14"/>
      <c r="G5267" s="16"/>
    </row>
    <row r="5268" spans="2:7" x14ac:dyDescent="0.25">
      <c r="B5268" s="38"/>
      <c r="C5268" s="14"/>
      <c r="D5268" s="14"/>
      <c r="E5268" s="14"/>
      <c r="F5268" s="14"/>
      <c r="G5268" s="16"/>
    </row>
    <row r="5269" spans="2:7" x14ac:dyDescent="0.25">
      <c r="B5269" s="38"/>
      <c r="C5269" s="14"/>
      <c r="D5269" s="14"/>
      <c r="E5269" s="14"/>
      <c r="F5269" s="14"/>
      <c r="G5269" s="16"/>
    </row>
    <row r="5270" spans="2:7" x14ac:dyDescent="0.25">
      <c r="B5270" s="38"/>
      <c r="C5270" s="14"/>
      <c r="D5270" s="14"/>
      <c r="E5270" s="14"/>
      <c r="F5270" s="14"/>
      <c r="G5270" s="16"/>
    </row>
    <row r="5271" spans="2:7" x14ac:dyDescent="0.25">
      <c r="B5271" s="38"/>
      <c r="C5271" s="14"/>
      <c r="D5271" s="14"/>
      <c r="E5271" s="14"/>
      <c r="F5271" s="14"/>
      <c r="G5271" s="16"/>
    </row>
    <row r="5272" spans="2:7" x14ac:dyDescent="0.25">
      <c r="B5272" s="38"/>
      <c r="C5272" s="14"/>
      <c r="D5272" s="14"/>
      <c r="E5272" s="14"/>
      <c r="F5272" s="14"/>
      <c r="G5272" s="16"/>
    </row>
    <row r="5273" spans="2:7" x14ac:dyDescent="0.25">
      <c r="B5273" s="38"/>
      <c r="C5273" s="14"/>
      <c r="D5273" s="14"/>
      <c r="E5273" s="14"/>
      <c r="F5273" s="14"/>
      <c r="G5273" s="16"/>
    </row>
    <row r="5274" spans="2:7" x14ac:dyDescent="0.25">
      <c r="B5274" s="38"/>
      <c r="C5274" s="14"/>
      <c r="D5274" s="14"/>
      <c r="E5274" s="14"/>
      <c r="F5274" s="14"/>
      <c r="G5274" s="16"/>
    </row>
    <row r="5275" spans="2:7" x14ac:dyDescent="0.25">
      <c r="B5275" s="38"/>
      <c r="C5275" s="14"/>
      <c r="D5275" s="14"/>
      <c r="E5275" s="14"/>
      <c r="F5275" s="14"/>
      <c r="G5275" s="16"/>
    </row>
    <row r="5276" spans="2:7" x14ac:dyDescent="0.25">
      <c r="B5276" s="38"/>
      <c r="C5276" s="14"/>
      <c r="D5276" s="14"/>
      <c r="E5276" s="14"/>
      <c r="F5276" s="14"/>
      <c r="G5276" s="16"/>
    </row>
    <row r="5277" spans="2:7" x14ac:dyDescent="0.25">
      <c r="B5277" s="38"/>
      <c r="C5277" s="14"/>
      <c r="D5277" s="14"/>
      <c r="E5277" s="14"/>
      <c r="F5277" s="14"/>
      <c r="G5277" s="16"/>
    </row>
    <row r="5278" spans="2:7" x14ac:dyDescent="0.25">
      <c r="B5278" s="38"/>
      <c r="C5278" s="14"/>
      <c r="D5278" s="14"/>
      <c r="E5278" s="14"/>
      <c r="F5278" s="14"/>
      <c r="G5278" s="16"/>
    </row>
    <row r="5279" spans="2:7" x14ac:dyDescent="0.25">
      <c r="B5279" s="38"/>
      <c r="C5279" s="14"/>
      <c r="D5279" s="14"/>
      <c r="E5279" s="14"/>
      <c r="F5279" s="14"/>
      <c r="G5279" s="16"/>
    </row>
    <row r="5280" spans="2:7" x14ac:dyDescent="0.25">
      <c r="B5280" s="38"/>
      <c r="C5280" s="14"/>
      <c r="D5280" s="14"/>
      <c r="E5280" s="14"/>
      <c r="F5280" s="14"/>
      <c r="G5280" s="16"/>
    </row>
    <row r="5281" spans="2:7" x14ac:dyDescent="0.25">
      <c r="B5281" s="38"/>
      <c r="C5281" s="14"/>
      <c r="D5281" s="14"/>
      <c r="E5281" s="14"/>
      <c r="F5281" s="14"/>
      <c r="G5281" s="16"/>
    </row>
    <row r="5282" spans="2:7" x14ac:dyDescent="0.25">
      <c r="B5282" s="38"/>
      <c r="C5282" s="14"/>
      <c r="D5282" s="14"/>
      <c r="E5282" s="14"/>
      <c r="F5282" s="14"/>
      <c r="G5282" s="16"/>
    </row>
    <row r="5283" spans="2:7" x14ac:dyDescent="0.25">
      <c r="B5283" s="38"/>
      <c r="C5283" s="14"/>
      <c r="D5283" s="14"/>
      <c r="E5283" s="14"/>
      <c r="F5283" s="14"/>
      <c r="G5283" s="16"/>
    </row>
    <row r="5284" spans="2:7" x14ac:dyDescent="0.25">
      <c r="B5284" s="38"/>
      <c r="C5284" s="14"/>
      <c r="D5284" s="14"/>
      <c r="E5284" s="14"/>
      <c r="F5284" s="14"/>
      <c r="G5284" s="16"/>
    </row>
    <row r="5285" spans="2:7" x14ac:dyDescent="0.25">
      <c r="B5285" s="38"/>
      <c r="C5285" s="14"/>
      <c r="D5285" s="14"/>
      <c r="E5285" s="14"/>
      <c r="F5285" s="14"/>
      <c r="G5285" s="16"/>
    </row>
    <row r="5286" spans="2:7" x14ac:dyDescent="0.25">
      <c r="B5286" s="38"/>
      <c r="C5286" s="14"/>
      <c r="D5286" s="14"/>
      <c r="E5286" s="14"/>
      <c r="F5286" s="14"/>
      <c r="G5286" s="16"/>
    </row>
    <row r="5287" spans="2:7" x14ac:dyDescent="0.25">
      <c r="B5287" s="38"/>
      <c r="C5287" s="14"/>
      <c r="D5287" s="14"/>
      <c r="E5287" s="14"/>
      <c r="F5287" s="14"/>
      <c r="G5287" s="16"/>
    </row>
    <row r="5288" spans="2:7" x14ac:dyDescent="0.25">
      <c r="B5288" s="38"/>
      <c r="C5288" s="14"/>
      <c r="D5288" s="14"/>
      <c r="E5288" s="14"/>
      <c r="F5288" s="14"/>
      <c r="G5288" s="16"/>
    </row>
    <row r="5289" spans="2:7" x14ac:dyDescent="0.25">
      <c r="B5289" s="38"/>
      <c r="C5289" s="14"/>
      <c r="D5289" s="14"/>
      <c r="E5289" s="14"/>
      <c r="F5289" s="14"/>
      <c r="G5289" s="16"/>
    </row>
    <row r="5290" spans="2:7" x14ac:dyDescent="0.25">
      <c r="B5290" s="38"/>
      <c r="C5290" s="14"/>
      <c r="D5290" s="14"/>
      <c r="E5290" s="14"/>
      <c r="F5290" s="14"/>
      <c r="G5290" s="16"/>
    </row>
    <row r="5291" spans="2:7" x14ac:dyDescent="0.25">
      <c r="B5291" s="38"/>
      <c r="C5291" s="14"/>
      <c r="D5291" s="14"/>
      <c r="E5291" s="14"/>
      <c r="F5291" s="14"/>
      <c r="G5291" s="16"/>
    </row>
    <row r="5292" spans="2:7" x14ac:dyDescent="0.25">
      <c r="B5292" s="38"/>
      <c r="C5292" s="14"/>
      <c r="D5292" s="14"/>
      <c r="E5292" s="14"/>
      <c r="F5292" s="14"/>
      <c r="G5292" s="16"/>
    </row>
    <row r="5293" spans="2:7" x14ac:dyDescent="0.25">
      <c r="B5293" s="38"/>
      <c r="C5293" s="14"/>
      <c r="D5293" s="14"/>
      <c r="E5293" s="14"/>
      <c r="F5293" s="14"/>
      <c r="G5293" s="16"/>
    </row>
    <row r="5294" spans="2:7" x14ac:dyDescent="0.25">
      <c r="B5294" s="38"/>
      <c r="C5294" s="14"/>
      <c r="D5294" s="14"/>
      <c r="E5294" s="14"/>
      <c r="F5294" s="14"/>
      <c r="G5294" s="16"/>
    </row>
    <row r="5295" spans="2:7" x14ac:dyDescent="0.25">
      <c r="B5295" s="38"/>
      <c r="C5295" s="14"/>
      <c r="D5295" s="14"/>
      <c r="E5295" s="14"/>
      <c r="F5295" s="14"/>
      <c r="G5295" s="16"/>
    </row>
    <row r="5296" spans="2:7" x14ac:dyDescent="0.25">
      <c r="B5296" s="38"/>
      <c r="C5296" s="14"/>
      <c r="D5296" s="14"/>
      <c r="E5296" s="14"/>
      <c r="F5296" s="14"/>
      <c r="G5296" s="16"/>
    </row>
    <row r="5297" spans="2:7" x14ac:dyDescent="0.25">
      <c r="B5297" s="38"/>
      <c r="C5297" s="14"/>
      <c r="D5297" s="14"/>
      <c r="E5297" s="14"/>
      <c r="F5297" s="14"/>
      <c r="G5297" s="16"/>
    </row>
    <row r="5298" spans="2:7" x14ac:dyDescent="0.25">
      <c r="B5298" s="38"/>
      <c r="C5298" s="14"/>
      <c r="D5298" s="14"/>
      <c r="E5298" s="14"/>
      <c r="F5298" s="14"/>
      <c r="G5298" s="16"/>
    </row>
    <row r="5299" spans="2:7" x14ac:dyDescent="0.25">
      <c r="B5299" s="38"/>
      <c r="C5299" s="14"/>
      <c r="D5299" s="14"/>
      <c r="E5299" s="14"/>
      <c r="F5299" s="14"/>
      <c r="G5299" s="16"/>
    </row>
    <row r="5300" spans="2:7" x14ac:dyDescent="0.25">
      <c r="B5300" s="38"/>
      <c r="C5300" s="14"/>
      <c r="D5300" s="14"/>
      <c r="E5300" s="14"/>
      <c r="F5300" s="14"/>
      <c r="G5300" s="16"/>
    </row>
    <row r="5301" spans="2:7" x14ac:dyDescent="0.25">
      <c r="B5301" s="38"/>
      <c r="C5301" s="14"/>
      <c r="D5301" s="14"/>
      <c r="E5301" s="14"/>
      <c r="F5301" s="14"/>
      <c r="G5301" s="16"/>
    </row>
    <row r="5302" spans="2:7" x14ac:dyDescent="0.25">
      <c r="B5302" s="38"/>
      <c r="C5302" s="14"/>
      <c r="D5302" s="14"/>
      <c r="E5302" s="14"/>
      <c r="F5302" s="14"/>
      <c r="G5302" s="16"/>
    </row>
    <row r="5303" spans="2:7" x14ac:dyDescent="0.25">
      <c r="B5303" s="38"/>
      <c r="C5303" s="14"/>
      <c r="D5303" s="14"/>
      <c r="E5303" s="14"/>
      <c r="F5303" s="14"/>
      <c r="G5303" s="16"/>
    </row>
    <row r="5304" spans="2:7" x14ac:dyDescent="0.25">
      <c r="B5304" s="38"/>
      <c r="C5304" s="14"/>
      <c r="D5304" s="14"/>
      <c r="E5304" s="14"/>
      <c r="F5304" s="14"/>
      <c r="G5304" s="16"/>
    </row>
    <row r="5305" spans="2:7" x14ac:dyDescent="0.25">
      <c r="B5305" s="38"/>
      <c r="C5305" s="14"/>
      <c r="D5305" s="14"/>
      <c r="E5305" s="14"/>
      <c r="F5305" s="14"/>
      <c r="G5305" s="16"/>
    </row>
    <row r="5306" spans="2:7" x14ac:dyDescent="0.25">
      <c r="B5306" s="38"/>
      <c r="C5306" s="14"/>
      <c r="D5306" s="14"/>
      <c r="E5306" s="14"/>
      <c r="F5306" s="14"/>
      <c r="G5306" s="16"/>
    </row>
    <row r="5307" spans="2:7" x14ac:dyDescent="0.25">
      <c r="B5307" s="38"/>
      <c r="C5307" s="14"/>
      <c r="D5307" s="14"/>
      <c r="E5307" s="14"/>
      <c r="F5307" s="14"/>
      <c r="G5307" s="16"/>
    </row>
    <row r="5308" spans="2:7" x14ac:dyDescent="0.25">
      <c r="B5308" s="38"/>
      <c r="C5308" s="14"/>
      <c r="D5308" s="14"/>
      <c r="E5308" s="14"/>
      <c r="F5308" s="14"/>
      <c r="G5308" s="16"/>
    </row>
    <row r="5309" spans="2:7" x14ac:dyDescent="0.25">
      <c r="B5309" s="38"/>
      <c r="C5309" s="14"/>
      <c r="D5309" s="14"/>
      <c r="E5309" s="14"/>
      <c r="F5309" s="14"/>
      <c r="G5309" s="16"/>
    </row>
    <row r="5310" spans="2:7" x14ac:dyDescent="0.25">
      <c r="B5310" s="38"/>
      <c r="C5310" s="14"/>
      <c r="D5310" s="14"/>
      <c r="E5310" s="14"/>
      <c r="F5310" s="14"/>
      <c r="G5310" s="16"/>
    </row>
    <row r="5311" spans="2:7" x14ac:dyDescent="0.25">
      <c r="B5311" s="38"/>
      <c r="C5311" s="14"/>
      <c r="D5311" s="14"/>
      <c r="E5311" s="14"/>
      <c r="F5311" s="14"/>
      <c r="G5311" s="16"/>
    </row>
    <row r="5312" spans="2:7" x14ac:dyDescent="0.25">
      <c r="B5312" s="38"/>
      <c r="C5312" s="14"/>
      <c r="D5312" s="14"/>
      <c r="E5312" s="14"/>
      <c r="F5312" s="14"/>
      <c r="G5312" s="16"/>
    </row>
    <row r="5313" spans="2:7" x14ac:dyDescent="0.25">
      <c r="B5313" s="38"/>
      <c r="C5313" s="14"/>
      <c r="D5313" s="14"/>
      <c r="E5313" s="14"/>
      <c r="F5313" s="14"/>
      <c r="G5313" s="16"/>
    </row>
    <row r="5314" spans="2:7" x14ac:dyDescent="0.25">
      <c r="B5314" s="38"/>
      <c r="C5314" s="14"/>
      <c r="D5314" s="14"/>
      <c r="E5314" s="14"/>
      <c r="F5314" s="14"/>
      <c r="G5314" s="16"/>
    </row>
    <row r="5315" spans="2:7" x14ac:dyDescent="0.25">
      <c r="B5315" s="38"/>
      <c r="C5315" s="14"/>
      <c r="D5315" s="14"/>
      <c r="E5315" s="14"/>
      <c r="F5315" s="14"/>
      <c r="G5315" s="16"/>
    </row>
    <row r="5316" spans="2:7" x14ac:dyDescent="0.25">
      <c r="B5316" s="38"/>
      <c r="C5316" s="14"/>
      <c r="D5316" s="14"/>
      <c r="E5316" s="14"/>
      <c r="F5316" s="14"/>
      <c r="G5316" s="16"/>
    </row>
    <row r="5317" spans="2:7" x14ac:dyDescent="0.25">
      <c r="B5317" s="38"/>
      <c r="C5317" s="14"/>
      <c r="D5317" s="14"/>
      <c r="E5317" s="14"/>
      <c r="F5317" s="14"/>
      <c r="G5317" s="16"/>
    </row>
    <row r="5318" spans="2:7" x14ac:dyDescent="0.25">
      <c r="B5318" s="38"/>
      <c r="C5318" s="14"/>
      <c r="D5318" s="14"/>
      <c r="E5318" s="14"/>
      <c r="F5318" s="14"/>
      <c r="G5318" s="16"/>
    </row>
    <row r="5319" spans="2:7" x14ac:dyDescent="0.25">
      <c r="B5319" s="38"/>
      <c r="C5319" s="14"/>
      <c r="D5319" s="14"/>
      <c r="E5319" s="14"/>
      <c r="F5319" s="14"/>
      <c r="G5319" s="16"/>
    </row>
    <row r="5320" spans="2:7" x14ac:dyDescent="0.25">
      <c r="B5320" s="38"/>
      <c r="C5320" s="14"/>
      <c r="D5320" s="14"/>
      <c r="E5320" s="14"/>
      <c r="F5320" s="14"/>
      <c r="G5320" s="16"/>
    </row>
    <row r="5321" spans="2:7" x14ac:dyDescent="0.25">
      <c r="B5321" s="38"/>
      <c r="C5321" s="14"/>
      <c r="D5321" s="14"/>
      <c r="E5321" s="14"/>
      <c r="F5321" s="14"/>
      <c r="G5321" s="16"/>
    </row>
    <row r="5322" spans="2:7" x14ac:dyDescent="0.25">
      <c r="B5322" s="38"/>
      <c r="C5322" s="14"/>
      <c r="D5322" s="14"/>
      <c r="E5322" s="14"/>
      <c r="F5322" s="14"/>
      <c r="G5322" s="16"/>
    </row>
    <row r="5323" spans="2:7" x14ac:dyDescent="0.25">
      <c r="B5323" s="38"/>
      <c r="C5323" s="14"/>
      <c r="D5323" s="14"/>
      <c r="E5323" s="14"/>
      <c r="F5323" s="14"/>
      <c r="G5323" s="16"/>
    </row>
    <row r="5324" spans="2:7" x14ac:dyDescent="0.25">
      <c r="B5324" s="38"/>
      <c r="C5324" s="14"/>
      <c r="D5324" s="14"/>
      <c r="E5324" s="14"/>
      <c r="F5324" s="14"/>
      <c r="G5324" s="16"/>
    </row>
    <row r="5325" spans="2:7" x14ac:dyDescent="0.25">
      <c r="B5325" s="38"/>
      <c r="C5325" s="14"/>
      <c r="D5325" s="14"/>
      <c r="E5325" s="14"/>
      <c r="F5325" s="14"/>
      <c r="G5325" s="16"/>
    </row>
    <row r="5326" spans="2:7" x14ac:dyDescent="0.25">
      <c r="B5326" s="38"/>
      <c r="C5326" s="14"/>
      <c r="D5326" s="14"/>
      <c r="E5326" s="14"/>
      <c r="F5326" s="14"/>
      <c r="G5326" s="16"/>
    </row>
    <row r="5327" spans="2:7" x14ac:dyDescent="0.25">
      <c r="B5327" s="38"/>
      <c r="C5327" s="14"/>
      <c r="D5327" s="14"/>
      <c r="E5327" s="14"/>
      <c r="F5327" s="14"/>
      <c r="G5327" s="16"/>
    </row>
    <row r="5328" spans="2:7" x14ac:dyDescent="0.25">
      <c r="B5328" s="38"/>
      <c r="C5328" s="14"/>
      <c r="D5328" s="14"/>
      <c r="E5328" s="14"/>
      <c r="F5328" s="14"/>
      <c r="G5328" s="16"/>
    </row>
    <row r="5329" spans="2:7" x14ac:dyDescent="0.25">
      <c r="B5329" s="38"/>
      <c r="C5329" s="14"/>
      <c r="D5329" s="14"/>
      <c r="E5329" s="14"/>
      <c r="F5329" s="14"/>
      <c r="G5329" s="16"/>
    </row>
    <row r="5330" spans="2:7" x14ac:dyDescent="0.25">
      <c r="B5330" s="38"/>
      <c r="C5330" s="14"/>
      <c r="D5330" s="14"/>
      <c r="E5330" s="14"/>
      <c r="F5330" s="14"/>
      <c r="G5330" s="16"/>
    </row>
    <row r="5331" spans="2:7" x14ac:dyDescent="0.25">
      <c r="B5331" s="38"/>
      <c r="C5331" s="14"/>
      <c r="D5331" s="14"/>
      <c r="E5331" s="14"/>
      <c r="F5331" s="14"/>
      <c r="G5331" s="16"/>
    </row>
    <row r="5332" spans="2:7" x14ac:dyDescent="0.25">
      <c r="B5332" s="38"/>
      <c r="C5332" s="14"/>
      <c r="D5332" s="14"/>
      <c r="E5332" s="14"/>
      <c r="F5332" s="14"/>
      <c r="G5332" s="16"/>
    </row>
    <row r="5333" spans="2:7" x14ac:dyDescent="0.25">
      <c r="B5333" s="38"/>
      <c r="C5333" s="14"/>
      <c r="D5333" s="14"/>
      <c r="E5333" s="14"/>
      <c r="F5333" s="14"/>
      <c r="G5333" s="16"/>
    </row>
    <row r="5334" spans="2:7" x14ac:dyDescent="0.25">
      <c r="B5334" s="38"/>
      <c r="C5334" s="14"/>
      <c r="D5334" s="14"/>
      <c r="E5334" s="14"/>
      <c r="F5334" s="14"/>
      <c r="G5334" s="16"/>
    </row>
    <row r="5335" spans="2:7" x14ac:dyDescent="0.25">
      <c r="B5335" s="38"/>
      <c r="C5335" s="14"/>
      <c r="D5335" s="14"/>
      <c r="E5335" s="14"/>
      <c r="F5335" s="14"/>
      <c r="G5335" s="16"/>
    </row>
    <row r="5336" spans="2:7" x14ac:dyDescent="0.25">
      <c r="B5336" s="38"/>
      <c r="C5336" s="14"/>
      <c r="D5336" s="14"/>
      <c r="E5336" s="14"/>
      <c r="F5336" s="14"/>
      <c r="G5336" s="16"/>
    </row>
    <row r="5337" spans="2:7" x14ac:dyDescent="0.25">
      <c r="B5337" s="38"/>
      <c r="C5337" s="14"/>
      <c r="D5337" s="14"/>
      <c r="E5337" s="14"/>
      <c r="F5337" s="14"/>
      <c r="G5337" s="16"/>
    </row>
    <row r="5338" spans="2:7" x14ac:dyDescent="0.25">
      <c r="B5338" s="38"/>
      <c r="C5338" s="14"/>
      <c r="D5338" s="14"/>
      <c r="E5338" s="14"/>
      <c r="F5338" s="14"/>
      <c r="G5338" s="16"/>
    </row>
    <row r="5339" spans="2:7" x14ac:dyDescent="0.25">
      <c r="B5339" s="38"/>
      <c r="C5339" s="14"/>
      <c r="D5339" s="14"/>
      <c r="E5339" s="14"/>
      <c r="F5339" s="14"/>
      <c r="G5339" s="16"/>
    </row>
    <row r="5340" spans="2:7" x14ac:dyDescent="0.25">
      <c r="B5340" s="38"/>
      <c r="C5340" s="14"/>
      <c r="D5340" s="14"/>
      <c r="E5340" s="14"/>
      <c r="F5340" s="14"/>
      <c r="G5340" s="16"/>
    </row>
    <row r="5341" spans="2:7" x14ac:dyDescent="0.25">
      <c r="B5341" s="38"/>
      <c r="C5341" s="14"/>
      <c r="D5341" s="14"/>
      <c r="E5341" s="14"/>
      <c r="F5341" s="14"/>
      <c r="G5341" s="16"/>
    </row>
    <row r="5342" spans="2:7" x14ac:dyDescent="0.25">
      <c r="B5342" s="38"/>
      <c r="C5342" s="14"/>
      <c r="D5342" s="14"/>
      <c r="E5342" s="14"/>
      <c r="F5342" s="14"/>
      <c r="G5342" s="16"/>
    </row>
    <row r="5343" spans="2:7" x14ac:dyDescent="0.25">
      <c r="B5343" s="38"/>
      <c r="C5343" s="14"/>
      <c r="D5343" s="14"/>
      <c r="E5343" s="14"/>
      <c r="F5343" s="14"/>
      <c r="G5343" s="16"/>
    </row>
    <row r="5344" spans="2:7" x14ac:dyDescent="0.25">
      <c r="B5344" s="38"/>
      <c r="C5344" s="14"/>
      <c r="D5344" s="14"/>
      <c r="E5344" s="14"/>
      <c r="F5344" s="14"/>
      <c r="G5344" s="16"/>
    </row>
    <row r="5345" spans="2:7" x14ac:dyDescent="0.25">
      <c r="B5345" s="38"/>
      <c r="C5345" s="14"/>
      <c r="D5345" s="14"/>
      <c r="E5345" s="14"/>
      <c r="F5345" s="14"/>
      <c r="G5345" s="16"/>
    </row>
    <row r="5346" spans="2:7" x14ac:dyDescent="0.25">
      <c r="B5346" s="38"/>
      <c r="C5346" s="14"/>
      <c r="D5346" s="14"/>
      <c r="E5346" s="14"/>
      <c r="F5346" s="14"/>
      <c r="G5346" s="16"/>
    </row>
    <row r="5347" spans="2:7" x14ac:dyDescent="0.25">
      <c r="B5347" s="38"/>
      <c r="C5347" s="14"/>
      <c r="D5347" s="14"/>
      <c r="E5347" s="14"/>
      <c r="F5347" s="14"/>
      <c r="G5347" s="16"/>
    </row>
    <row r="5348" spans="2:7" x14ac:dyDescent="0.25">
      <c r="B5348" s="38"/>
      <c r="C5348" s="14"/>
      <c r="D5348" s="14"/>
      <c r="E5348" s="14"/>
      <c r="F5348" s="14"/>
      <c r="G5348" s="16"/>
    </row>
    <row r="5349" spans="2:7" x14ac:dyDescent="0.25">
      <c r="B5349" s="38"/>
      <c r="C5349" s="14"/>
      <c r="D5349" s="14"/>
      <c r="E5349" s="14"/>
      <c r="F5349" s="14"/>
      <c r="G5349" s="16"/>
    </row>
    <row r="5350" spans="2:7" x14ac:dyDescent="0.25">
      <c r="B5350" s="38"/>
      <c r="C5350" s="14"/>
      <c r="D5350" s="14"/>
      <c r="E5350" s="14"/>
      <c r="F5350" s="14"/>
      <c r="G5350" s="16"/>
    </row>
    <row r="5351" spans="2:7" x14ac:dyDescent="0.25">
      <c r="B5351" s="38"/>
      <c r="C5351" s="14"/>
      <c r="D5351" s="14"/>
      <c r="E5351" s="14"/>
      <c r="F5351" s="14"/>
      <c r="G5351" s="16"/>
    </row>
    <row r="5352" spans="2:7" x14ac:dyDescent="0.25">
      <c r="B5352" s="38"/>
      <c r="C5352" s="14"/>
      <c r="D5352" s="14"/>
      <c r="E5352" s="14"/>
      <c r="F5352" s="14"/>
      <c r="G5352" s="16"/>
    </row>
    <row r="5353" spans="2:7" x14ac:dyDescent="0.25">
      <c r="B5353" s="38"/>
      <c r="C5353" s="14"/>
      <c r="D5353" s="14"/>
      <c r="E5353" s="14"/>
      <c r="F5353" s="14"/>
      <c r="G5353" s="16"/>
    </row>
    <row r="5354" spans="2:7" x14ac:dyDescent="0.25">
      <c r="B5354" s="38"/>
      <c r="C5354" s="14"/>
      <c r="D5354" s="14"/>
      <c r="E5354" s="14"/>
      <c r="F5354" s="14"/>
      <c r="G5354" s="16"/>
    </row>
    <row r="5355" spans="2:7" x14ac:dyDescent="0.25">
      <c r="B5355" s="38"/>
      <c r="C5355" s="14"/>
      <c r="D5355" s="14"/>
      <c r="E5355" s="14"/>
      <c r="F5355" s="14"/>
      <c r="G5355" s="16"/>
    </row>
    <row r="5356" spans="2:7" x14ac:dyDescent="0.25">
      <c r="B5356" s="38"/>
      <c r="C5356" s="14"/>
      <c r="D5356" s="14"/>
      <c r="E5356" s="14"/>
      <c r="F5356" s="14"/>
      <c r="G5356" s="16"/>
    </row>
    <row r="5357" spans="2:7" x14ac:dyDescent="0.25">
      <c r="B5357" s="38"/>
      <c r="C5357" s="14"/>
      <c r="D5357" s="14"/>
      <c r="E5357" s="14"/>
      <c r="F5357" s="14"/>
      <c r="G5357" s="16"/>
    </row>
    <row r="5358" spans="2:7" x14ac:dyDescent="0.25">
      <c r="B5358" s="38"/>
      <c r="C5358" s="14"/>
      <c r="D5358" s="14"/>
      <c r="E5358" s="14"/>
      <c r="F5358" s="14"/>
      <c r="G5358" s="16"/>
    </row>
    <row r="5359" spans="2:7" x14ac:dyDescent="0.25">
      <c r="B5359" s="38"/>
      <c r="C5359" s="14"/>
      <c r="D5359" s="14"/>
      <c r="E5359" s="14"/>
      <c r="F5359" s="14"/>
      <c r="G5359" s="16"/>
    </row>
    <row r="5360" spans="2:7" x14ac:dyDescent="0.25">
      <c r="B5360" s="38"/>
      <c r="C5360" s="14"/>
      <c r="D5360" s="14"/>
      <c r="E5360" s="14"/>
      <c r="F5360" s="14"/>
      <c r="G5360" s="16"/>
    </row>
    <row r="5361" spans="2:7" x14ac:dyDescent="0.25">
      <c r="B5361" s="38"/>
      <c r="C5361" s="14"/>
      <c r="D5361" s="14"/>
      <c r="E5361" s="14"/>
      <c r="F5361" s="14"/>
      <c r="G5361" s="16"/>
    </row>
    <row r="5362" spans="2:7" x14ac:dyDescent="0.25">
      <c r="B5362" s="38"/>
      <c r="C5362" s="14"/>
      <c r="D5362" s="14"/>
      <c r="E5362" s="14"/>
      <c r="F5362" s="14"/>
      <c r="G5362" s="16"/>
    </row>
    <row r="5363" spans="2:7" x14ac:dyDescent="0.25">
      <c r="B5363" s="38"/>
      <c r="C5363" s="14"/>
      <c r="D5363" s="14"/>
      <c r="E5363" s="14"/>
      <c r="F5363" s="14"/>
      <c r="G5363" s="16"/>
    </row>
    <row r="5364" spans="2:7" x14ac:dyDescent="0.25">
      <c r="B5364" s="38"/>
      <c r="C5364" s="14"/>
      <c r="D5364" s="14"/>
      <c r="E5364" s="14"/>
      <c r="F5364" s="14"/>
      <c r="G5364" s="16"/>
    </row>
    <row r="5365" spans="2:7" x14ac:dyDescent="0.25">
      <c r="B5365" s="38"/>
      <c r="C5365" s="14"/>
      <c r="D5365" s="14"/>
      <c r="E5365" s="14"/>
      <c r="F5365" s="14"/>
      <c r="G5365" s="16"/>
    </row>
    <row r="5366" spans="2:7" x14ac:dyDescent="0.25">
      <c r="B5366" s="38"/>
      <c r="C5366" s="14"/>
      <c r="D5366" s="14"/>
      <c r="E5366" s="14"/>
      <c r="F5366" s="14"/>
      <c r="G5366" s="16"/>
    </row>
    <row r="5367" spans="2:7" x14ac:dyDescent="0.25">
      <c r="B5367" s="38"/>
      <c r="C5367" s="14"/>
      <c r="D5367" s="14"/>
      <c r="E5367" s="14"/>
      <c r="F5367" s="14"/>
      <c r="G5367" s="16"/>
    </row>
    <row r="5368" spans="2:7" x14ac:dyDescent="0.25">
      <c r="B5368" s="38"/>
      <c r="C5368" s="14"/>
      <c r="D5368" s="14"/>
      <c r="E5368" s="14"/>
      <c r="F5368" s="14"/>
      <c r="G5368" s="16"/>
    </row>
    <row r="5369" spans="2:7" x14ac:dyDescent="0.25">
      <c r="B5369" s="38"/>
      <c r="C5369" s="14"/>
      <c r="D5369" s="14"/>
      <c r="E5369" s="14"/>
      <c r="F5369" s="14"/>
      <c r="G5369" s="16"/>
    </row>
    <row r="5370" spans="2:7" x14ac:dyDescent="0.25">
      <c r="B5370" s="38"/>
      <c r="C5370" s="14"/>
      <c r="D5370" s="14"/>
      <c r="E5370" s="14"/>
      <c r="F5370" s="14"/>
      <c r="G5370" s="16"/>
    </row>
    <row r="5371" spans="2:7" x14ac:dyDescent="0.25">
      <c r="B5371" s="38"/>
      <c r="C5371" s="14"/>
      <c r="D5371" s="14"/>
      <c r="E5371" s="14"/>
      <c r="F5371" s="14"/>
      <c r="G5371" s="16"/>
    </row>
    <row r="5372" spans="2:7" x14ac:dyDescent="0.25">
      <c r="B5372" s="38"/>
      <c r="C5372" s="14"/>
      <c r="D5372" s="14"/>
      <c r="E5372" s="14"/>
      <c r="F5372" s="14"/>
      <c r="G5372" s="16"/>
    </row>
    <row r="5373" spans="2:7" x14ac:dyDescent="0.25">
      <c r="B5373" s="38"/>
      <c r="C5373" s="14"/>
      <c r="D5373" s="14"/>
      <c r="E5373" s="14"/>
      <c r="F5373" s="14"/>
      <c r="G5373" s="16"/>
    </row>
    <row r="5374" spans="2:7" x14ac:dyDescent="0.25">
      <c r="B5374" s="38"/>
      <c r="C5374" s="14"/>
      <c r="D5374" s="14"/>
      <c r="E5374" s="14"/>
      <c r="F5374" s="14"/>
      <c r="G5374" s="16"/>
    </row>
    <row r="5375" spans="2:7" x14ac:dyDescent="0.25">
      <c r="B5375" s="38"/>
      <c r="C5375" s="14"/>
      <c r="D5375" s="14"/>
      <c r="E5375" s="14"/>
      <c r="F5375" s="14"/>
      <c r="G5375" s="16"/>
    </row>
    <row r="5376" spans="2:7" x14ac:dyDescent="0.25">
      <c r="B5376" s="38"/>
      <c r="C5376" s="14"/>
      <c r="D5376" s="14"/>
      <c r="E5376" s="14"/>
      <c r="F5376" s="14"/>
      <c r="G5376" s="16"/>
    </row>
    <row r="5377" spans="2:7" x14ac:dyDescent="0.25">
      <c r="B5377" s="38"/>
      <c r="C5377" s="14"/>
      <c r="D5377" s="14"/>
      <c r="E5377" s="14"/>
      <c r="F5377" s="14"/>
      <c r="G5377" s="16"/>
    </row>
    <row r="5378" spans="2:7" x14ac:dyDescent="0.25">
      <c r="B5378" s="38"/>
      <c r="C5378" s="14"/>
      <c r="D5378" s="14"/>
      <c r="E5378" s="14"/>
      <c r="F5378" s="14"/>
      <c r="G5378" s="16"/>
    </row>
    <row r="5379" spans="2:7" x14ac:dyDescent="0.25">
      <c r="B5379" s="38"/>
      <c r="C5379" s="14"/>
      <c r="D5379" s="14"/>
      <c r="E5379" s="14"/>
      <c r="F5379" s="14"/>
      <c r="G5379" s="16"/>
    </row>
    <row r="5380" spans="2:7" x14ac:dyDescent="0.25">
      <c r="B5380" s="38"/>
      <c r="C5380" s="14"/>
      <c r="D5380" s="14"/>
      <c r="E5380" s="14"/>
      <c r="F5380" s="14"/>
      <c r="G5380" s="16"/>
    </row>
    <row r="5381" spans="2:7" x14ac:dyDescent="0.25">
      <c r="B5381" s="38"/>
      <c r="C5381" s="14"/>
      <c r="D5381" s="14"/>
      <c r="E5381" s="14"/>
      <c r="F5381" s="14"/>
      <c r="G5381" s="16"/>
    </row>
    <row r="5382" spans="2:7" x14ac:dyDescent="0.25">
      <c r="B5382" s="38"/>
      <c r="C5382" s="14"/>
      <c r="D5382" s="14"/>
      <c r="E5382" s="14"/>
      <c r="F5382" s="14"/>
      <c r="G5382" s="16"/>
    </row>
    <row r="5383" spans="2:7" x14ac:dyDescent="0.25">
      <c r="B5383" s="38"/>
      <c r="C5383" s="14"/>
      <c r="D5383" s="14"/>
      <c r="E5383" s="14"/>
      <c r="F5383" s="14"/>
      <c r="G5383" s="16"/>
    </row>
    <row r="5384" spans="2:7" x14ac:dyDescent="0.25">
      <c r="B5384" s="38"/>
      <c r="C5384" s="14"/>
      <c r="D5384" s="14"/>
      <c r="E5384" s="14"/>
      <c r="F5384" s="14"/>
      <c r="G5384" s="16"/>
    </row>
    <row r="5385" spans="2:7" x14ac:dyDescent="0.25">
      <c r="B5385" s="38"/>
      <c r="C5385" s="14"/>
      <c r="D5385" s="14"/>
      <c r="E5385" s="14"/>
      <c r="F5385" s="14"/>
      <c r="G5385" s="16"/>
    </row>
    <row r="5386" spans="2:7" x14ac:dyDescent="0.25">
      <c r="B5386" s="38"/>
      <c r="C5386" s="14"/>
      <c r="D5386" s="14"/>
      <c r="E5386" s="14"/>
      <c r="F5386" s="14"/>
      <c r="G5386" s="16"/>
    </row>
    <row r="5387" spans="2:7" x14ac:dyDescent="0.25">
      <c r="B5387" s="38"/>
      <c r="C5387" s="14"/>
      <c r="D5387" s="14"/>
      <c r="E5387" s="14"/>
      <c r="F5387" s="14"/>
      <c r="G5387" s="16"/>
    </row>
    <row r="5388" spans="2:7" x14ac:dyDescent="0.25">
      <c r="B5388" s="38"/>
      <c r="C5388" s="14"/>
      <c r="D5388" s="14"/>
      <c r="E5388" s="14"/>
      <c r="F5388" s="14"/>
      <c r="G5388" s="16"/>
    </row>
    <row r="5389" spans="2:7" x14ac:dyDescent="0.25">
      <c r="B5389" s="38"/>
      <c r="C5389" s="14"/>
      <c r="D5389" s="14"/>
      <c r="E5389" s="14"/>
      <c r="F5389" s="14"/>
      <c r="G5389" s="16"/>
    </row>
    <row r="5390" spans="2:7" x14ac:dyDescent="0.25">
      <c r="B5390" s="38"/>
      <c r="C5390" s="14"/>
      <c r="D5390" s="14"/>
      <c r="E5390" s="14"/>
      <c r="F5390" s="14"/>
      <c r="G5390" s="16"/>
    </row>
    <row r="5391" spans="2:7" x14ac:dyDescent="0.25">
      <c r="B5391" s="38"/>
      <c r="C5391" s="14"/>
      <c r="D5391" s="14"/>
      <c r="E5391" s="14"/>
      <c r="F5391" s="14"/>
      <c r="G5391" s="16"/>
    </row>
    <row r="5392" spans="2:7" x14ac:dyDescent="0.25">
      <c r="B5392" s="38"/>
      <c r="C5392" s="14"/>
      <c r="D5392" s="14"/>
      <c r="E5392" s="14"/>
      <c r="F5392" s="14"/>
      <c r="G5392" s="16"/>
    </row>
    <row r="5393" spans="2:7" x14ac:dyDescent="0.25">
      <c r="B5393" s="38"/>
      <c r="C5393" s="14"/>
      <c r="D5393" s="14"/>
      <c r="E5393" s="14"/>
      <c r="F5393" s="14"/>
      <c r="G5393" s="16"/>
    </row>
    <row r="5394" spans="2:7" x14ac:dyDescent="0.25">
      <c r="B5394" s="38"/>
      <c r="C5394" s="14"/>
      <c r="D5394" s="14"/>
      <c r="E5394" s="14"/>
      <c r="F5394" s="14"/>
      <c r="G5394" s="16"/>
    </row>
    <row r="5395" spans="2:7" x14ac:dyDescent="0.25">
      <c r="B5395" s="38"/>
      <c r="C5395" s="14"/>
      <c r="D5395" s="14"/>
      <c r="E5395" s="14"/>
      <c r="F5395" s="14"/>
      <c r="G5395" s="16"/>
    </row>
    <row r="5396" spans="2:7" x14ac:dyDescent="0.25">
      <c r="B5396" s="38"/>
      <c r="C5396" s="14"/>
      <c r="D5396" s="14"/>
      <c r="E5396" s="14"/>
      <c r="F5396" s="14"/>
      <c r="G5396" s="16"/>
    </row>
    <row r="5397" spans="2:7" x14ac:dyDescent="0.25">
      <c r="B5397" s="38"/>
      <c r="C5397" s="14"/>
      <c r="D5397" s="14"/>
      <c r="E5397" s="14"/>
      <c r="F5397" s="14"/>
      <c r="G5397" s="16"/>
    </row>
    <row r="5398" spans="2:7" x14ac:dyDescent="0.25">
      <c r="B5398" s="38"/>
      <c r="C5398" s="14"/>
      <c r="D5398" s="14"/>
      <c r="E5398" s="14"/>
      <c r="F5398" s="14"/>
      <c r="G5398" s="16"/>
    </row>
    <row r="5399" spans="2:7" x14ac:dyDescent="0.25">
      <c r="B5399" s="38"/>
      <c r="C5399" s="14"/>
      <c r="D5399" s="14"/>
      <c r="E5399" s="14"/>
      <c r="F5399" s="14"/>
      <c r="G5399" s="16"/>
    </row>
    <row r="5400" spans="2:7" x14ac:dyDescent="0.25">
      <c r="B5400" s="38"/>
      <c r="C5400" s="14"/>
      <c r="D5400" s="14"/>
      <c r="E5400" s="14"/>
      <c r="F5400" s="14"/>
      <c r="G5400" s="16"/>
    </row>
    <row r="5401" spans="2:7" x14ac:dyDescent="0.25">
      <c r="B5401" s="38"/>
      <c r="C5401" s="14"/>
      <c r="D5401" s="14"/>
      <c r="E5401" s="14"/>
      <c r="F5401" s="14"/>
      <c r="G5401" s="16"/>
    </row>
    <row r="5402" spans="2:7" x14ac:dyDescent="0.25">
      <c r="B5402" s="38"/>
      <c r="C5402" s="14"/>
      <c r="D5402" s="14"/>
      <c r="E5402" s="14"/>
      <c r="F5402" s="14"/>
      <c r="G5402" s="16"/>
    </row>
    <row r="5403" spans="2:7" x14ac:dyDescent="0.25">
      <c r="B5403" s="38"/>
      <c r="C5403" s="14"/>
      <c r="D5403" s="14"/>
      <c r="E5403" s="14"/>
      <c r="F5403" s="14"/>
      <c r="G5403" s="16"/>
    </row>
    <row r="5404" spans="2:7" x14ac:dyDescent="0.25">
      <c r="B5404" s="38"/>
      <c r="C5404" s="14"/>
      <c r="D5404" s="14"/>
      <c r="E5404" s="14"/>
      <c r="F5404" s="14"/>
      <c r="G5404" s="16"/>
    </row>
    <row r="5405" spans="2:7" x14ac:dyDescent="0.25">
      <c r="B5405" s="38"/>
      <c r="C5405" s="14"/>
      <c r="D5405" s="14"/>
      <c r="E5405" s="14"/>
      <c r="F5405" s="14"/>
      <c r="G5405" s="16"/>
    </row>
    <row r="5406" spans="2:7" x14ac:dyDescent="0.25">
      <c r="B5406" s="38"/>
      <c r="C5406" s="14"/>
      <c r="D5406" s="14"/>
      <c r="E5406" s="14"/>
      <c r="F5406" s="14"/>
      <c r="G5406" s="16"/>
    </row>
    <row r="5407" spans="2:7" x14ac:dyDescent="0.25">
      <c r="B5407" s="38"/>
      <c r="C5407" s="14"/>
      <c r="D5407" s="14"/>
      <c r="E5407" s="14"/>
      <c r="F5407" s="14"/>
      <c r="G5407" s="16"/>
    </row>
    <row r="5408" spans="2:7" x14ac:dyDescent="0.25">
      <c r="B5408" s="38"/>
      <c r="C5408" s="14"/>
      <c r="D5408" s="14"/>
      <c r="E5408" s="14"/>
      <c r="F5408" s="14"/>
      <c r="G5408" s="16"/>
    </row>
    <row r="5409" spans="2:7" x14ac:dyDescent="0.25">
      <c r="B5409" s="38"/>
      <c r="C5409" s="14"/>
      <c r="D5409" s="14"/>
      <c r="E5409" s="14"/>
      <c r="F5409" s="14"/>
      <c r="G5409" s="16"/>
    </row>
    <row r="5410" spans="2:7" x14ac:dyDescent="0.25">
      <c r="B5410" s="38"/>
      <c r="C5410" s="14"/>
      <c r="D5410" s="14"/>
      <c r="E5410" s="14"/>
      <c r="F5410" s="14"/>
      <c r="G5410" s="16"/>
    </row>
    <row r="5411" spans="2:7" x14ac:dyDescent="0.25">
      <c r="B5411" s="38"/>
      <c r="C5411" s="14"/>
      <c r="D5411" s="14"/>
      <c r="E5411" s="14"/>
      <c r="F5411" s="14"/>
      <c r="G5411" s="16"/>
    </row>
    <row r="5412" spans="2:7" x14ac:dyDescent="0.25">
      <c r="B5412" s="38"/>
      <c r="C5412" s="14"/>
      <c r="D5412" s="14"/>
      <c r="E5412" s="14"/>
      <c r="F5412" s="14"/>
      <c r="G5412" s="16"/>
    </row>
    <row r="5413" spans="2:7" x14ac:dyDescent="0.25">
      <c r="B5413" s="38"/>
      <c r="C5413" s="14"/>
      <c r="D5413" s="14"/>
      <c r="E5413" s="14"/>
      <c r="F5413" s="14"/>
      <c r="G5413" s="16"/>
    </row>
    <row r="5414" spans="2:7" x14ac:dyDescent="0.25">
      <c r="B5414" s="38"/>
      <c r="C5414" s="14"/>
      <c r="D5414" s="14"/>
      <c r="E5414" s="14"/>
      <c r="F5414" s="14"/>
      <c r="G5414" s="16"/>
    </row>
    <row r="5415" spans="2:7" x14ac:dyDescent="0.25">
      <c r="B5415" s="38"/>
      <c r="C5415" s="14"/>
      <c r="D5415" s="14"/>
      <c r="E5415" s="14"/>
      <c r="F5415" s="14"/>
      <c r="G5415" s="16"/>
    </row>
    <row r="5416" spans="2:7" x14ac:dyDescent="0.25">
      <c r="B5416" s="38"/>
      <c r="C5416" s="14"/>
      <c r="D5416" s="14"/>
      <c r="E5416" s="14"/>
      <c r="F5416" s="14"/>
      <c r="G5416" s="16"/>
    </row>
    <row r="5417" spans="2:7" x14ac:dyDescent="0.25">
      <c r="B5417" s="38"/>
      <c r="C5417" s="14"/>
      <c r="D5417" s="14"/>
      <c r="E5417" s="14"/>
      <c r="F5417" s="14"/>
      <c r="G5417" s="16"/>
    </row>
    <row r="5418" spans="2:7" x14ac:dyDescent="0.25">
      <c r="B5418" s="38"/>
      <c r="C5418" s="14"/>
      <c r="D5418" s="14"/>
      <c r="E5418" s="14"/>
      <c r="F5418" s="14"/>
      <c r="G5418" s="16"/>
    </row>
    <row r="5419" spans="2:7" x14ac:dyDescent="0.25">
      <c r="B5419" s="38"/>
      <c r="C5419" s="14"/>
      <c r="D5419" s="14"/>
      <c r="E5419" s="14"/>
      <c r="F5419" s="14"/>
      <c r="G5419" s="16"/>
    </row>
    <row r="5420" spans="2:7" x14ac:dyDescent="0.25">
      <c r="B5420" s="38"/>
      <c r="C5420" s="14"/>
      <c r="D5420" s="14"/>
      <c r="E5420" s="14"/>
      <c r="F5420" s="14"/>
      <c r="G5420" s="16"/>
    </row>
    <row r="5421" spans="2:7" x14ac:dyDescent="0.25">
      <c r="B5421" s="38"/>
      <c r="C5421" s="14"/>
      <c r="D5421" s="14"/>
      <c r="E5421" s="14"/>
      <c r="F5421" s="14"/>
      <c r="G5421" s="16"/>
    </row>
    <row r="5422" spans="2:7" x14ac:dyDescent="0.25">
      <c r="B5422" s="38"/>
      <c r="C5422" s="14"/>
      <c r="D5422" s="14"/>
      <c r="E5422" s="14"/>
      <c r="F5422" s="14"/>
      <c r="G5422" s="16"/>
    </row>
    <row r="5423" spans="2:7" x14ac:dyDescent="0.25">
      <c r="B5423" s="38"/>
      <c r="C5423" s="14"/>
      <c r="D5423" s="14"/>
      <c r="E5423" s="14"/>
      <c r="F5423" s="14"/>
      <c r="G5423" s="16"/>
    </row>
    <row r="5424" spans="2:7" x14ac:dyDescent="0.25">
      <c r="B5424" s="38"/>
      <c r="C5424" s="14"/>
      <c r="D5424" s="14"/>
      <c r="E5424" s="14"/>
      <c r="F5424" s="14"/>
      <c r="G5424" s="16"/>
    </row>
    <row r="5425" spans="2:7" x14ac:dyDescent="0.25">
      <c r="B5425" s="38"/>
      <c r="C5425" s="14"/>
      <c r="D5425" s="14"/>
      <c r="E5425" s="14"/>
      <c r="F5425" s="14"/>
      <c r="G5425" s="16"/>
    </row>
    <row r="5426" spans="2:7" x14ac:dyDescent="0.25">
      <c r="B5426" s="38"/>
      <c r="C5426" s="14"/>
      <c r="D5426" s="14"/>
      <c r="E5426" s="14"/>
      <c r="F5426" s="14"/>
      <c r="G5426" s="16"/>
    </row>
    <row r="5427" spans="2:7" x14ac:dyDescent="0.25">
      <c r="B5427" s="38"/>
      <c r="C5427" s="14"/>
      <c r="D5427" s="14"/>
      <c r="E5427" s="14"/>
      <c r="F5427" s="14"/>
      <c r="G5427" s="16"/>
    </row>
    <row r="5428" spans="2:7" x14ac:dyDescent="0.25">
      <c r="B5428" s="38"/>
      <c r="C5428" s="14"/>
      <c r="D5428" s="14"/>
      <c r="E5428" s="14"/>
      <c r="F5428" s="14"/>
      <c r="G5428" s="16"/>
    </row>
    <row r="5429" spans="2:7" x14ac:dyDescent="0.25">
      <c r="B5429" s="38"/>
      <c r="C5429" s="14"/>
      <c r="D5429" s="14"/>
      <c r="E5429" s="14"/>
      <c r="F5429" s="14"/>
      <c r="G5429" s="16"/>
    </row>
    <row r="5430" spans="2:7" x14ac:dyDescent="0.25">
      <c r="B5430" s="38"/>
      <c r="C5430" s="14"/>
      <c r="D5430" s="14"/>
      <c r="E5430" s="14"/>
      <c r="F5430" s="14"/>
      <c r="G5430" s="16"/>
    </row>
    <row r="5431" spans="2:7" x14ac:dyDescent="0.25">
      <c r="B5431" s="38"/>
      <c r="C5431" s="14"/>
      <c r="D5431" s="14"/>
      <c r="E5431" s="14"/>
      <c r="F5431" s="14"/>
      <c r="G5431" s="16"/>
    </row>
    <row r="5432" spans="2:7" x14ac:dyDescent="0.25">
      <c r="B5432" s="38"/>
      <c r="C5432" s="14"/>
      <c r="D5432" s="14"/>
      <c r="E5432" s="14"/>
      <c r="F5432" s="14"/>
      <c r="G5432" s="16"/>
    </row>
    <row r="5433" spans="2:7" x14ac:dyDescent="0.25">
      <c r="B5433" s="38"/>
      <c r="C5433" s="14"/>
      <c r="D5433" s="14"/>
      <c r="E5433" s="14"/>
      <c r="F5433" s="14"/>
      <c r="G5433" s="16"/>
    </row>
    <row r="5434" spans="2:7" x14ac:dyDescent="0.25">
      <c r="B5434" s="38"/>
      <c r="C5434" s="14"/>
      <c r="D5434" s="14"/>
      <c r="E5434" s="14"/>
      <c r="F5434" s="14"/>
      <c r="G5434" s="16"/>
    </row>
    <row r="5435" spans="2:7" x14ac:dyDescent="0.25">
      <c r="B5435" s="38"/>
      <c r="C5435" s="14"/>
      <c r="D5435" s="14"/>
      <c r="E5435" s="14"/>
      <c r="F5435" s="14"/>
      <c r="G5435" s="16"/>
    </row>
    <row r="5436" spans="2:7" x14ac:dyDescent="0.25">
      <c r="B5436" s="38"/>
      <c r="C5436" s="14"/>
      <c r="D5436" s="14"/>
      <c r="E5436" s="14"/>
      <c r="F5436" s="14"/>
      <c r="G5436" s="16"/>
    </row>
    <row r="5437" spans="2:7" x14ac:dyDescent="0.25">
      <c r="B5437" s="38"/>
      <c r="C5437" s="14"/>
      <c r="D5437" s="14"/>
      <c r="E5437" s="14"/>
      <c r="F5437" s="14"/>
      <c r="G5437" s="16"/>
    </row>
    <row r="5438" spans="2:7" x14ac:dyDescent="0.25">
      <c r="B5438" s="38"/>
      <c r="C5438" s="14"/>
      <c r="D5438" s="14"/>
      <c r="E5438" s="14"/>
      <c r="F5438" s="14"/>
      <c r="G5438" s="16"/>
    </row>
    <row r="5439" spans="2:7" x14ac:dyDescent="0.25">
      <c r="B5439" s="38"/>
      <c r="C5439" s="14"/>
      <c r="D5439" s="14"/>
      <c r="E5439" s="14"/>
      <c r="F5439" s="14"/>
      <c r="G5439" s="16"/>
    </row>
    <row r="5440" spans="2:7" x14ac:dyDescent="0.25">
      <c r="B5440" s="38"/>
      <c r="C5440" s="14"/>
      <c r="D5440" s="14"/>
      <c r="E5440" s="14"/>
      <c r="F5440" s="14"/>
      <c r="G5440" s="16"/>
    </row>
    <row r="5441" spans="2:7" x14ac:dyDescent="0.25">
      <c r="B5441" s="38"/>
      <c r="C5441" s="14"/>
      <c r="D5441" s="14"/>
      <c r="E5441" s="14"/>
      <c r="F5441" s="14"/>
      <c r="G5441" s="16"/>
    </row>
    <row r="5442" spans="2:7" x14ac:dyDescent="0.25">
      <c r="B5442" s="38"/>
      <c r="C5442" s="14"/>
      <c r="D5442" s="14"/>
      <c r="E5442" s="14"/>
      <c r="F5442" s="14"/>
      <c r="G5442" s="16"/>
    </row>
    <row r="5443" spans="2:7" x14ac:dyDescent="0.25">
      <c r="B5443" s="38"/>
      <c r="C5443" s="14"/>
      <c r="D5443" s="14"/>
      <c r="E5443" s="14"/>
      <c r="F5443" s="14"/>
      <c r="G5443" s="16"/>
    </row>
    <row r="5444" spans="2:7" x14ac:dyDescent="0.25">
      <c r="B5444" s="38"/>
      <c r="C5444" s="14"/>
      <c r="D5444" s="14"/>
      <c r="E5444" s="14"/>
      <c r="F5444" s="14"/>
      <c r="G5444" s="16"/>
    </row>
    <row r="5445" spans="2:7" x14ac:dyDescent="0.25">
      <c r="B5445" s="38"/>
      <c r="C5445" s="14"/>
      <c r="D5445" s="14"/>
      <c r="E5445" s="14"/>
      <c r="F5445" s="14"/>
      <c r="G5445" s="16"/>
    </row>
    <row r="5446" spans="2:7" x14ac:dyDescent="0.25">
      <c r="B5446" s="38"/>
      <c r="C5446" s="14"/>
      <c r="D5446" s="14"/>
      <c r="E5446" s="14"/>
      <c r="F5446" s="14"/>
      <c r="G5446" s="16"/>
    </row>
    <row r="5447" spans="2:7" x14ac:dyDescent="0.25">
      <c r="B5447" s="38"/>
      <c r="C5447" s="14"/>
      <c r="D5447" s="14"/>
      <c r="E5447" s="14"/>
      <c r="F5447" s="14"/>
      <c r="G5447" s="16"/>
    </row>
    <row r="5448" spans="2:7" x14ac:dyDescent="0.25">
      <c r="B5448" s="38"/>
      <c r="C5448" s="14"/>
      <c r="D5448" s="14"/>
      <c r="E5448" s="14"/>
      <c r="F5448" s="14"/>
      <c r="G5448" s="16"/>
    </row>
    <row r="5449" spans="2:7" x14ac:dyDescent="0.25">
      <c r="B5449" s="38"/>
      <c r="C5449" s="14"/>
      <c r="D5449" s="14"/>
      <c r="E5449" s="14"/>
      <c r="F5449" s="14"/>
      <c r="G5449" s="16"/>
    </row>
    <row r="5450" spans="2:7" x14ac:dyDescent="0.25">
      <c r="B5450" s="38"/>
      <c r="C5450" s="14"/>
      <c r="D5450" s="14"/>
      <c r="E5450" s="14"/>
      <c r="F5450" s="14"/>
      <c r="G5450" s="16"/>
    </row>
    <row r="5451" spans="2:7" x14ac:dyDescent="0.25">
      <c r="B5451" s="38"/>
      <c r="C5451" s="14"/>
      <c r="D5451" s="14"/>
      <c r="E5451" s="14"/>
      <c r="F5451" s="14"/>
      <c r="G5451" s="16"/>
    </row>
    <row r="5452" spans="2:7" x14ac:dyDescent="0.25">
      <c r="B5452" s="38"/>
      <c r="C5452" s="14"/>
      <c r="D5452" s="14"/>
      <c r="E5452" s="14"/>
      <c r="F5452" s="14"/>
      <c r="G5452" s="16"/>
    </row>
    <row r="5453" spans="2:7" x14ac:dyDescent="0.25">
      <c r="B5453" s="38"/>
      <c r="C5453" s="14"/>
      <c r="D5453" s="14"/>
      <c r="E5453" s="14"/>
      <c r="F5453" s="14"/>
      <c r="G5453" s="16"/>
    </row>
    <row r="5454" spans="2:7" x14ac:dyDescent="0.25">
      <c r="B5454" s="38"/>
      <c r="C5454" s="14"/>
      <c r="D5454" s="14"/>
      <c r="E5454" s="14"/>
      <c r="F5454" s="14"/>
      <c r="G5454" s="16"/>
    </row>
    <row r="5455" spans="2:7" x14ac:dyDescent="0.25">
      <c r="B5455" s="38"/>
      <c r="C5455" s="14"/>
      <c r="D5455" s="14"/>
      <c r="E5455" s="14"/>
      <c r="F5455" s="14"/>
      <c r="G5455" s="16"/>
    </row>
    <row r="5456" spans="2:7" x14ac:dyDescent="0.25">
      <c r="B5456" s="38"/>
      <c r="C5456" s="14"/>
      <c r="D5456" s="14"/>
      <c r="E5456" s="14"/>
      <c r="F5456" s="14"/>
      <c r="G5456" s="16"/>
    </row>
    <row r="5457" spans="2:7" x14ac:dyDescent="0.25">
      <c r="B5457" s="38"/>
      <c r="C5457" s="14"/>
      <c r="D5457" s="14"/>
      <c r="E5457" s="14"/>
      <c r="F5457" s="14"/>
      <c r="G5457" s="16"/>
    </row>
    <row r="5458" spans="2:7" x14ac:dyDescent="0.25">
      <c r="B5458" s="38"/>
      <c r="C5458" s="14"/>
      <c r="D5458" s="14"/>
      <c r="E5458" s="14"/>
      <c r="F5458" s="14"/>
      <c r="G5458" s="16"/>
    </row>
    <row r="5459" spans="2:7" x14ac:dyDescent="0.25">
      <c r="B5459" s="38"/>
      <c r="C5459" s="14"/>
      <c r="D5459" s="14"/>
      <c r="E5459" s="14"/>
      <c r="F5459" s="14"/>
      <c r="G5459" s="16"/>
    </row>
    <row r="5460" spans="2:7" x14ac:dyDescent="0.25">
      <c r="B5460" s="38"/>
      <c r="C5460" s="14"/>
      <c r="D5460" s="14"/>
      <c r="E5460" s="14"/>
      <c r="F5460" s="14"/>
      <c r="G5460" s="16"/>
    </row>
    <row r="5461" spans="2:7" x14ac:dyDescent="0.25">
      <c r="B5461" s="38"/>
      <c r="C5461" s="14"/>
      <c r="D5461" s="14"/>
      <c r="E5461" s="14"/>
      <c r="F5461" s="14"/>
      <c r="G5461" s="16"/>
    </row>
    <row r="5462" spans="2:7" x14ac:dyDescent="0.25">
      <c r="B5462" s="38"/>
      <c r="C5462" s="14"/>
      <c r="D5462" s="14"/>
      <c r="E5462" s="14"/>
      <c r="F5462" s="14"/>
      <c r="G5462" s="16"/>
    </row>
    <row r="5463" spans="2:7" x14ac:dyDescent="0.25">
      <c r="B5463" s="38"/>
      <c r="C5463" s="14"/>
      <c r="D5463" s="14"/>
      <c r="E5463" s="14"/>
      <c r="F5463" s="14"/>
      <c r="G5463" s="16"/>
    </row>
    <row r="5464" spans="2:7" x14ac:dyDescent="0.25">
      <c r="B5464" s="38"/>
      <c r="C5464" s="14"/>
      <c r="D5464" s="14"/>
      <c r="E5464" s="14"/>
      <c r="F5464" s="14"/>
      <c r="G5464" s="16"/>
    </row>
    <row r="5465" spans="2:7" x14ac:dyDescent="0.25">
      <c r="B5465" s="38"/>
      <c r="C5465" s="14"/>
      <c r="D5465" s="14"/>
      <c r="E5465" s="14"/>
      <c r="F5465" s="14"/>
      <c r="G5465" s="16"/>
    </row>
    <row r="5466" spans="2:7" x14ac:dyDescent="0.25">
      <c r="B5466" s="38"/>
      <c r="C5466" s="14"/>
      <c r="D5466" s="14"/>
      <c r="E5466" s="14"/>
      <c r="F5466" s="14"/>
      <c r="G5466" s="16"/>
    </row>
    <row r="5467" spans="2:7" x14ac:dyDescent="0.25">
      <c r="B5467" s="38"/>
      <c r="C5467" s="14"/>
      <c r="D5467" s="14"/>
      <c r="E5467" s="14"/>
      <c r="F5467" s="14"/>
      <c r="G5467" s="16"/>
    </row>
    <row r="5468" spans="2:7" x14ac:dyDescent="0.25">
      <c r="B5468" s="38"/>
      <c r="C5468" s="14"/>
      <c r="D5468" s="14"/>
      <c r="E5468" s="14"/>
      <c r="F5468" s="14"/>
      <c r="G5468" s="16"/>
    </row>
    <row r="5469" spans="2:7" x14ac:dyDescent="0.25">
      <c r="B5469" s="38"/>
      <c r="C5469" s="14"/>
      <c r="D5469" s="14"/>
      <c r="E5469" s="14"/>
      <c r="F5469" s="14"/>
      <c r="G5469" s="16"/>
    </row>
    <row r="5470" spans="2:7" x14ac:dyDescent="0.25">
      <c r="B5470" s="38"/>
      <c r="C5470" s="14"/>
      <c r="D5470" s="14"/>
      <c r="E5470" s="14"/>
      <c r="F5470" s="14"/>
      <c r="G5470" s="16"/>
    </row>
    <row r="5471" spans="2:7" x14ac:dyDescent="0.25">
      <c r="B5471" s="38"/>
      <c r="C5471" s="14"/>
      <c r="D5471" s="14"/>
      <c r="E5471" s="14"/>
      <c r="F5471" s="14"/>
      <c r="G5471" s="16"/>
    </row>
    <row r="5472" spans="2:7" x14ac:dyDescent="0.25">
      <c r="B5472" s="38"/>
      <c r="C5472" s="14"/>
      <c r="D5472" s="14"/>
      <c r="E5472" s="14"/>
      <c r="F5472" s="14"/>
      <c r="G5472" s="16"/>
    </row>
    <row r="5473" spans="2:7" x14ac:dyDescent="0.25">
      <c r="B5473" s="38"/>
      <c r="C5473" s="14"/>
      <c r="D5473" s="14"/>
      <c r="E5473" s="14"/>
      <c r="F5473" s="14"/>
      <c r="G5473" s="16"/>
    </row>
    <row r="5474" spans="2:7" x14ac:dyDescent="0.25">
      <c r="B5474" s="38"/>
      <c r="C5474" s="14"/>
      <c r="D5474" s="14"/>
      <c r="E5474" s="14"/>
      <c r="F5474" s="14"/>
      <c r="G5474" s="16"/>
    </row>
    <row r="5475" spans="2:7" x14ac:dyDescent="0.25">
      <c r="B5475" s="38"/>
      <c r="C5475" s="14"/>
      <c r="D5475" s="14"/>
      <c r="E5475" s="14"/>
      <c r="F5475" s="14"/>
      <c r="G5475" s="16"/>
    </row>
    <row r="5476" spans="2:7" x14ac:dyDescent="0.25">
      <c r="B5476" s="38"/>
      <c r="C5476" s="14"/>
      <c r="D5476" s="14"/>
      <c r="E5476" s="14"/>
      <c r="F5476" s="14"/>
      <c r="G5476" s="16"/>
    </row>
    <row r="5477" spans="2:7" x14ac:dyDescent="0.25">
      <c r="B5477" s="38"/>
      <c r="C5477" s="14"/>
      <c r="D5477" s="14"/>
      <c r="E5477" s="14"/>
      <c r="F5477" s="14"/>
      <c r="G5477" s="16"/>
    </row>
    <row r="5478" spans="2:7" x14ac:dyDescent="0.25">
      <c r="B5478" s="38"/>
      <c r="C5478" s="14"/>
      <c r="D5478" s="14"/>
      <c r="E5478" s="14"/>
      <c r="F5478" s="14"/>
      <c r="G5478" s="16"/>
    </row>
    <row r="5479" spans="2:7" x14ac:dyDescent="0.25">
      <c r="B5479" s="38"/>
      <c r="C5479" s="14"/>
      <c r="D5479" s="14"/>
      <c r="E5479" s="14"/>
      <c r="F5479" s="14"/>
      <c r="G5479" s="16"/>
    </row>
    <row r="5480" spans="2:7" x14ac:dyDescent="0.25">
      <c r="B5480" s="38"/>
      <c r="C5480" s="14"/>
      <c r="D5480" s="14"/>
      <c r="E5480" s="14"/>
      <c r="F5480" s="14"/>
      <c r="G5480" s="16"/>
    </row>
    <row r="5481" spans="2:7" x14ac:dyDescent="0.25">
      <c r="B5481" s="38"/>
      <c r="C5481" s="14"/>
      <c r="D5481" s="14"/>
      <c r="E5481" s="14"/>
      <c r="F5481" s="14"/>
      <c r="G5481" s="16"/>
    </row>
    <row r="5482" spans="2:7" x14ac:dyDescent="0.25">
      <c r="B5482" s="38"/>
      <c r="C5482" s="14"/>
      <c r="D5482" s="14"/>
      <c r="E5482" s="14"/>
      <c r="F5482" s="14"/>
      <c r="G5482" s="16"/>
    </row>
    <row r="5483" spans="2:7" x14ac:dyDescent="0.25">
      <c r="B5483" s="38"/>
      <c r="C5483" s="14"/>
      <c r="D5483" s="14"/>
      <c r="E5483" s="14"/>
      <c r="F5483" s="14"/>
      <c r="G5483" s="16"/>
    </row>
    <row r="5484" spans="2:7" x14ac:dyDescent="0.25">
      <c r="B5484" s="38"/>
      <c r="C5484" s="14"/>
      <c r="D5484" s="14"/>
      <c r="E5484" s="14"/>
      <c r="F5484" s="14"/>
      <c r="G5484" s="16"/>
    </row>
    <row r="5485" spans="2:7" x14ac:dyDescent="0.25">
      <c r="B5485" s="38"/>
      <c r="C5485" s="14"/>
      <c r="D5485" s="14"/>
      <c r="E5485" s="14"/>
      <c r="F5485" s="14"/>
      <c r="G5485" s="16"/>
    </row>
    <row r="5486" spans="2:7" x14ac:dyDescent="0.25">
      <c r="B5486" s="38"/>
      <c r="C5486" s="14"/>
      <c r="D5486" s="14"/>
      <c r="E5486" s="14"/>
      <c r="F5486" s="14"/>
      <c r="G5486" s="16"/>
    </row>
    <row r="5487" spans="2:7" x14ac:dyDescent="0.25">
      <c r="B5487" s="38"/>
      <c r="C5487" s="14"/>
      <c r="D5487" s="14"/>
      <c r="E5487" s="14"/>
      <c r="F5487" s="14"/>
      <c r="G5487" s="16"/>
    </row>
    <row r="5488" spans="2:7" x14ac:dyDescent="0.25">
      <c r="B5488" s="38"/>
      <c r="C5488" s="14"/>
      <c r="D5488" s="14"/>
      <c r="E5488" s="14"/>
      <c r="F5488" s="14"/>
      <c r="G5488" s="16"/>
    </row>
    <row r="5489" spans="2:7" x14ac:dyDescent="0.25">
      <c r="B5489" s="38"/>
      <c r="C5489" s="14"/>
      <c r="D5489" s="14"/>
      <c r="E5489" s="14"/>
      <c r="F5489" s="14"/>
      <c r="G5489" s="16"/>
    </row>
    <row r="5490" spans="2:7" x14ac:dyDescent="0.25">
      <c r="B5490" s="38"/>
      <c r="C5490" s="14"/>
      <c r="D5490" s="14"/>
      <c r="E5490" s="14"/>
      <c r="F5490" s="14"/>
      <c r="G5490" s="16"/>
    </row>
    <row r="5491" spans="2:7" x14ac:dyDescent="0.25">
      <c r="B5491" s="38"/>
      <c r="C5491" s="14"/>
      <c r="D5491" s="14"/>
      <c r="E5491" s="14"/>
      <c r="F5491" s="14"/>
      <c r="G5491" s="16"/>
    </row>
    <row r="5492" spans="2:7" x14ac:dyDescent="0.25">
      <c r="B5492" s="38"/>
      <c r="C5492" s="14"/>
      <c r="D5492" s="14"/>
      <c r="E5492" s="14"/>
      <c r="F5492" s="14"/>
      <c r="G5492" s="16"/>
    </row>
    <row r="5493" spans="2:7" x14ac:dyDescent="0.25">
      <c r="B5493" s="38"/>
      <c r="C5493" s="14"/>
      <c r="D5493" s="14"/>
      <c r="E5493" s="14"/>
      <c r="F5493" s="14"/>
      <c r="G5493" s="16"/>
    </row>
    <row r="5494" spans="2:7" x14ac:dyDescent="0.25">
      <c r="B5494" s="38"/>
      <c r="C5494" s="14"/>
      <c r="D5494" s="14"/>
      <c r="E5494" s="14"/>
      <c r="F5494" s="14"/>
      <c r="G5494" s="16"/>
    </row>
    <row r="5495" spans="2:7" x14ac:dyDescent="0.25">
      <c r="B5495" s="38"/>
      <c r="C5495" s="14"/>
      <c r="D5495" s="14"/>
      <c r="E5495" s="14"/>
      <c r="F5495" s="14"/>
      <c r="G5495" s="16"/>
    </row>
    <row r="5496" spans="2:7" x14ac:dyDescent="0.25">
      <c r="B5496" s="38"/>
      <c r="C5496" s="14"/>
      <c r="D5496" s="14"/>
      <c r="E5496" s="14"/>
      <c r="F5496" s="14"/>
      <c r="G5496" s="16"/>
    </row>
    <row r="5497" spans="2:7" x14ac:dyDescent="0.25">
      <c r="B5497" s="38"/>
      <c r="C5497" s="14"/>
      <c r="D5497" s="14"/>
      <c r="E5497" s="14"/>
      <c r="F5497" s="14"/>
      <c r="G5497" s="16"/>
    </row>
    <row r="5498" spans="2:7" x14ac:dyDescent="0.25">
      <c r="B5498" s="38"/>
      <c r="C5498" s="14"/>
      <c r="D5498" s="14"/>
      <c r="E5498" s="14"/>
      <c r="F5498" s="14"/>
      <c r="G5498" s="16"/>
    </row>
    <row r="5499" spans="2:7" x14ac:dyDescent="0.25">
      <c r="B5499" s="38"/>
      <c r="C5499" s="14"/>
      <c r="D5499" s="14"/>
      <c r="E5499" s="14"/>
      <c r="F5499" s="14"/>
      <c r="G5499" s="16"/>
    </row>
    <row r="5500" spans="2:7" x14ac:dyDescent="0.25">
      <c r="B5500" s="38"/>
      <c r="C5500" s="14"/>
      <c r="D5500" s="14"/>
      <c r="E5500" s="14"/>
      <c r="F5500" s="14"/>
      <c r="G5500" s="16"/>
    </row>
    <row r="5501" spans="2:7" x14ac:dyDescent="0.25">
      <c r="B5501" s="38"/>
      <c r="C5501" s="14"/>
      <c r="D5501" s="14"/>
      <c r="E5501" s="14"/>
      <c r="F5501" s="14"/>
      <c r="G5501" s="16"/>
    </row>
    <row r="5502" spans="2:7" x14ac:dyDescent="0.25">
      <c r="B5502" s="38"/>
      <c r="C5502" s="14"/>
      <c r="D5502" s="14"/>
      <c r="E5502" s="14"/>
      <c r="F5502" s="14"/>
      <c r="G5502" s="16"/>
    </row>
    <row r="5503" spans="2:7" x14ac:dyDescent="0.25">
      <c r="B5503" s="38"/>
      <c r="C5503" s="14"/>
      <c r="D5503" s="14"/>
      <c r="E5503" s="14"/>
      <c r="F5503" s="14"/>
      <c r="G5503" s="16"/>
    </row>
    <row r="5504" spans="2:7" x14ac:dyDescent="0.25">
      <c r="B5504" s="38"/>
      <c r="C5504" s="14"/>
      <c r="D5504" s="14"/>
      <c r="E5504" s="14"/>
      <c r="F5504" s="14"/>
      <c r="G5504" s="16"/>
    </row>
    <row r="5505" spans="2:7" x14ac:dyDescent="0.25">
      <c r="B5505" s="38"/>
      <c r="C5505" s="14"/>
      <c r="D5505" s="14"/>
      <c r="E5505" s="14"/>
      <c r="F5505" s="14"/>
      <c r="G5505" s="16"/>
    </row>
    <row r="5506" spans="2:7" x14ac:dyDescent="0.25">
      <c r="B5506" s="38"/>
      <c r="C5506" s="14"/>
      <c r="D5506" s="14"/>
      <c r="E5506" s="14"/>
      <c r="F5506" s="14"/>
      <c r="G5506" s="16"/>
    </row>
    <row r="5507" spans="2:7" x14ac:dyDescent="0.25">
      <c r="B5507" s="38"/>
      <c r="C5507" s="14"/>
      <c r="D5507" s="14"/>
      <c r="E5507" s="14"/>
      <c r="F5507" s="14"/>
      <c r="G5507" s="16"/>
    </row>
    <row r="5508" spans="2:7" x14ac:dyDescent="0.25">
      <c r="B5508" s="38"/>
      <c r="C5508" s="14"/>
      <c r="D5508" s="14"/>
      <c r="E5508" s="14"/>
      <c r="F5508" s="14"/>
      <c r="G5508" s="16"/>
    </row>
    <row r="5509" spans="2:7" x14ac:dyDescent="0.25">
      <c r="B5509" s="38"/>
      <c r="C5509" s="14"/>
      <c r="D5509" s="14"/>
      <c r="E5509" s="14"/>
      <c r="F5509" s="14"/>
      <c r="G5509" s="16"/>
    </row>
    <row r="5510" spans="2:7" x14ac:dyDescent="0.25">
      <c r="B5510" s="38"/>
      <c r="C5510" s="14"/>
      <c r="D5510" s="14"/>
      <c r="E5510" s="14"/>
      <c r="F5510" s="14"/>
      <c r="G5510" s="16"/>
    </row>
    <row r="5511" spans="2:7" x14ac:dyDescent="0.25">
      <c r="B5511" s="38"/>
      <c r="C5511" s="14"/>
      <c r="D5511" s="14"/>
      <c r="E5511" s="14"/>
      <c r="F5511" s="14"/>
      <c r="G5511" s="16"/>
    </row>
    <row r="5512" spans="2:7" x14ac:dyDescent="0.25">
      <c r="B5512" s="38"/>
      <c r="C5512" s="14"/>
      <c r="D5512" s="14"/>
      <c r="E5512" s="14"/>
      <c r="F5512" s="14"/>
      <c r="G5512" s="16"/>
    </row>
    <row r="5513" spans="2:7" x14ac:dyDescent="0.25">
      <c r="B5513" s="38"/>
      <c r="C5513" s="14"/>
      <c r="D5513" s="14"/>
      <c r="E5513" s="14"/>
      <c r="F5513" s="14"/>
      <c r="G5513" s="16"/>
    </row>
    <row r="5514" spans="2:7" x14ac:dyDescent="0.25">
      <c r="B5514" s="38"/>
      <c r="C5514" s="14"/>
      <c r="D5514" s="14"/>
      <c r="E5514" s="14"/>
      <c r="F5514" s="14"/>
      <c r="G5514" s="16"/>
    </row>
    <row r="5515" spans="2:7" x14ac:dyDescent="0.25">
      <c r="B5515" s="38"/>
      <c r="C5515" s="14"/>
      <c r="D5515" s="14"/>
      <c r="E5515" s="14"/>
      <c r="F5515" s="14"/>
      <c r="G5515" s="16"/>
    </row>
    <row r="5516" spans="2:7" x14ac:dyDescent="0.25">
      <c r="B5516" s="38"/>
      <c r="C5516" s="14"/>
      <c r="D5516" s="14"/>
      <c r="E5516" s="14"/>
      <c r="F5516" s="14"/>
      <c r="G5516" s="16"/>
    </row>
    <row r="5517" spans="2:7" x14ac:dyDescent="0.25">
      <c r="B5517" s="38"/>
      <c r="C5517" s="14"/>
      <c r="D5517" s="14"/>
      <c r="E5517" s="14"/>
      <c r="F5517" s="14"/>
      <c r="G5517" s="16"/>
    </row>
    <row r="5518" spans="2:7" x14ac:dyDescent="0.25">
      <c r="B5518" s="38"/>
      <c r="C5518" s="14"/>
      <c r="D5518" s="14"/>
      <c r="E5518" s="14"/>
      <c r="F5518" s="14"/>
      <c r="G5518" s="16"/>
    </row>
    <row r="5519" spans="2:7" x14ac:dyDescent="0.25">
      <c r="B5519" s="38"/>
      <c r="C5519" s="14"/>
      <c r="D5519" s="14"/>
      <c r="E5519" s="14"/>
      <c r="F5519" s="14"/>
      <c r="G5519" s="16"/>
    </row>
    <row r="5520" spans="2:7" x14ac:dyDescent="0.25">
      <c r="B5520" s="38"/>
      <c r="C5520" s="14"/>
      <c r="D5520" s="14"/>
      <c r="E5520" s="14"/>
      <c r="F5520" s="14"/>
      <c r="G5520" s="16"/>
    </row>
    <row r="5521" spans="2:7" x14ac:dyDescent="0.25">
      <c r="B5521" s="38"/>
      <c r="C5521" s="14"/>
      <c r="D5521" s="14"/>
      <c r="E5521" s="14"/>
      <c r="F5521" s="14"/>
      <c r="G5521" s="16"/>
    </row>
    <row r="5522" spans="2:7" x14ac:dyDescent="0.25">
      <c r="B5522" s="38"/>
      <c r="C5522" s="14"/>
      <c r="D5522" s="14"/>
      <c r="E5522" s="14"/>
      <c r="F5522" s="14"/>
      <c r="G5522" s="16"/>
    </row>
    <row r="5523" spans="2:7" x14ac:dyDescent="0.25">
      <c r="B5523" s="38"/>
      <c r="C5523" s="14"/>
      <c r="D5523" s="14"/>
      <c r="E5523" s="14"/>
      <c r="F5523" s="14"/>
      <c r="G5523" s="16"/>
    </row>
    <row r="5524" spans="2:7" x14ac:dyDescent="0.25">
      <c r="B5524" s="38"/>
      <c r="C5524" s="14"/>
      <c r="D5524" s="14"/>
      <c r="E5524" s="14"/>
      <c r="F5524" s="14"/>
      <c r="G5524" s="16"/>
    </row>
    <row r="5525" spans="2:7" x14ac:dyDescent="0.25">
      <c r="B5525" s="38"/>
      <c r="C5525" s="14"/>
      <c r="D5525" s="14"/>
      <c r="E5525" s="14"/>
      <c r="F5525" s="14"/>
      <c r="G5525" s="16"/>
    </row>
    <row r="5526" spans="2:7" x14ac:dyDescent="0.25">
      <c r="B5526" s="38"/>
      <c r="C5526" s="14"/>
      <c r="D5526" s="14"/>
      <c r="E5526" s="14"/>
      <c r="F5526" s="14"/>
      <c r="G5526" s="16"/>
    </row>
    <row r="5527" spans="2:7" x14ac:dyDescent="0.25">
      <c r="B5527" s="38"/>
      <c r="C5527" s="14"/>
      <c r="D5527" s="14"/>
      <c r="E5527" s="14"/>
      <c r="F5527" s="14"/>
      <c r="G5527" s="16"/>
    </row>
    <row r="5528" spans="2:7" x14ac:dyDescent="0.25">
      <c r="B5528" s="38"/>
      <c r="C5528" s="14"/>
      <c r="D5528" s="14"/>
      <c r="E5528" s="14"/>
      <c r="F5528" s="14"/>
      <c r="G5528" s="16"/>
    </row>
    <row r="5529" spans="2:7" x14ac:dyDescent="0.25">
      <c r="B5529" s="38"/>
      <c r="C5529" s="14"/>
      <c r="D5529" s="14"/>
      <c r="E5529" s="14"/>
      <c r="F5529" s="14"/>
      <c r="G5529" s="16"/>
    </row>
    <row r="5530" spans="2:7" x14ac:dyDescent="0.25">
      <c r="B5530" s="38"/>
      <c r="C5530" s="14"/>
      <c r="D5530" s="14"/>
      <c r="E5530" s="14"/>
      <c r="F5530" s="14"/>
      <c r="G5530" s="16"/>
    </row>
    <row r="5531" spans="2:7" x14ac:dyDescent="0.25">
      <c r="B5531" s="38"/>
      <c r="C5531" s="14"/>
      <c r="D5531" s="14"/>
      <c r="E5531" s="14"/>
      <c r="F5531" s="14"/>
      <c r="G5531" s="16"/>
    </row>
    <row r="5532" spans="2:7" x14ac:dyDescent="0.25">
      <c r="B5532" s="38"/>
      <c r="C5532" s="14"/>
      <c r="D5532" s="14"/>
      <c r="E5532" s="14"/>
      <c r="F5532" s="14"/>
      <c r="G5532" s="16"/>
    </row>
    <row r="5533" spans="2:7" x14ac:dyDescent="0.25">
      <c r="B5533" s="38"/>
      <c r="C5533" s="14"/>
      <c r="D5533" s="14"/>
      <c r="E5533" s="14"/>
      <c r="F5533" s="14"/>
      <c r="G5533" s="16"/>
    </row>
    <row r="5534" spans="2:7" x14ac:dyDescent="0.25">
      <c r="B5534" s="38"/>
      <c r="C5534" s="14"/>
      <c r="D5534" s="14"/>
      <c r="E5534" s="14"/>
      <c r="F5534" s="14"/>
      <c r="G5534" s="16"/>
    </row>
    <row r="5535" spans="2:7" x14ac:dyDescent="0.25">
      <c r="B5535" s="38"/>
      <c r="C5535" s="14"/>
      <c r="D5535" s="14"/>
      <c r="E5535" s="14"/>
      <c r="F5535" s="14"/>
      <c r="G5535" s="16"/>
    </row>
    <row r="5536" spans="2:7" x14ac:dyDescent="0.25">
      <c r="B5536" s="38"/>
      <c r="C5536" s="14"/>
      <c r="D5536" s="14"/>
      <c r="E5536" s="14"/>
      <c r="F5536" s="14"/>
      <c r="G5536" s="16"/>
    </row>
    <row r="5537" spans="2:7" x14ac:dyDescent="0.25">
      <c r="B5537" s="38"/>
      <c r="C5537" s="14"/>
      <c r="D5537" s="14"/>
      <c r="E5537" s="14"/>
      <c r="F5537" s="14"/>
      <c r="G5537" s="16"/>
    </row>
    <row r="5538" spans="2:7" x14ac:dyDescent="0.25">
      <c r="B5538" s="38"/>
      <c r="C5538" s="14"/>
      <c r="D5538" s="14"/>
      <c r="E5538" s="14"/>
      <c r="F5538" s="14"/>
      <c r="G5538" s="16"/>
    </row>
    <row r="5539" spans="2:7" x14ac:dyDescent="0.25">
      <c r="B5539" s="38"/>
      <c r="C5539" s="14"/>
      <c r="D5539" s="14"/>
      <c r="E5539" s="14"/>
      <c r="F5539" s="14"/>
      <c r="G5539" s="16"/>
    </row>
    <row r="5540" spans="2:7" x14ac:dyDescent="0.25">
      <c r="B5540" s="38"/>
      <c r="C5540" s="14"/>
      <c r="D5540" s="14"/>
      <c r="E5540" s="14"/>
      <c r="F5540" s="14"/>
      <c r="G5540" s="16"/>
    </row>
    <row r="5541" spans="2:7" x14ac:dyDescent="0.25">
      <c r="B5541" s="38"/>
      <c r="C5541" s="14"/>
      <c r="D5541" s="14"/>
      <c r="E5541" s="14"/>
      <c r="F5541" s="14"/>
      <c r="G5541" s="16"/>
    </row>
    <row r="5542" spans="2:7" x14ac:dyDescent="0.25">
      <c r="B5542" s="38"/>
      <c r="C5542" s="14"/>
      <c r="D5542" s="14"/>
      <c r="E5542" s="14"/>
      <c r="F5542" s="14"/>
      <c r="G5542" s="16"/>
    </row>
    <row r="5543" spans="2:7" x14ac:dyDescent="0.25">
      <c r="B5543" s="38"/>
      <c r="C5543" s="14"/>
      <c r="D5543" s="14"/>
      <c r="E5543" s="14"/>
      <c r="F5543" s="14"/>
      <c r="G5543" s="16"/>
    </row>
    <row r="5544" spans="2:7" x14ac:dyDescent="0.25">
      <c r="B5544" s="38"/>
      <c r="C5544" s="14"/>
      <c r="D5544" s="14"/>
      <c r="E5544" s="14"/>
      <c r="F5544" s="14"/>
      <c r="G5544" s="16"/>
    </row>
    <row r="5545" spans="2:7" x14ac:dyDescent="0.25">
      <c r="B5545" s="38"/>
      <c r="C5545" s="14"/>
      <c r="D5545" s="14"/>
      <c r="E5545" s="14"/>
      <c r="F5545" s="14"/>
      <c r="G5545" s="16"/>
    </row>
    <row r="5546" spans="2:7" x14ac:dyDescent="0.25">
      <c r="B5546" s="38"/>
      <c r="C5546" s="14"/>
      <c r="D5546" s="14"/>
      <c r="E5546" s="14"/>
      <c r="F5546" s="14"/>
      <c r="G5546" s="16"/>
    </row>
    <row r="5547" spans="2:7" x14ac:dyDescent="0.25">
      <c r="B5547" s="38"/>
      <c r="C5547" s="14"/>
      <c r="D5547" s="14"/>
      <c r="E5547" s="14"/>
      <c r="F5547" s="14"/>
      <c r="G5547" s="16"/>
    </row>
    <row r="5548" spans="2:7" x14ac:dyDescent="0.25">
      <c r="B5548" s="38"/>
      <c r="C5548" s="14"/>
      <c r="D5548" s="14"/>
      <c r="E5548" s="14"/>
      <c r="F5548" s="14"/>
      <c r="G5548" s="16"/>
    </row>
    <row r="5549" spans="2:7" x14ac:dyDescent="0.25">
      <c r="B5549" s="38"/>
      <c r="C5549" s="14"/>
      <c r="D5549" s="14"/>
      <c r="E5549" s="14"/>
      <c r="F5549" s="14"/>
      <c r="G5549" s="16"/>
    </row>
    <row r="5550" spans="2:7" x14ac:dyDescent="0.25">
      <c r="B5550" s="38"/>
      <c r="C5550" s="14"/>
      <c r="D5550" s="14"/>
      <c r="E5550" s="14"/>
      <c r="F5550" s="14"/>
      <c r="G5550" s="16"/>
    </row>
    <row r="5551" spans="2:7" x14ac:dyDescent="0.25">
      <c r="B5551" s="38"/>
      <c r="C5551" s="14"/>
      <c r="D5551" s="14"/>
      <c r="E5551" s="14"/>
      <c r="F5551" s="14"/>
      <c r="G5551" s="16"/>
    </row>
    <row r="5552" spans="2:7" x14ac:dyDescent="0.25">
      <c r="B5552" s="38"/>
      <c r="C5552" s="14"/>
      <c r="D5552" s="14"/>
      <c r="E5552" s="14"/>
      <c r="F5552" s="14"/>
      <c r="G5552" s="16"/>
    </row>
    <row r="5553" spans="2:7" x14ac:dyDescent="0.25">
      <c r="B5553" s="38"/>
      <c r="C5553" s="14"/>
      <c r="D5553" s="14"/>
      <c r="E5553" s="14"/>
      <c r="F5553" s="14"/>
      <c r="G5553" s="16"/>
    </row>
    <row r="5554" spans="2:7" x14ac:dyDescent="0.25">
      <c r="B5554" s="38"/>
      <c r="C5554" s="14"/>
      <c r="D5554" s="14"/>
      <c r="E5554" s="14"/>
      <c r="F5554" s="14"/>
      <c r="G5554" s="16"/>
    </row>
    <row r="5555" spans="2:7" x14ac:dyDescent="0.25">
      <c r="B5555" s="38"/>
      <c r="C5555" s="14"/>
      <c r="D5555" s="14"/>
      <c r="E5555" s="14"/>
      <c r="F5555" s="14"/>
      <c r="G5555" s="16"/>
    </row>
    <row r="5556" spans="2:7" x14ac:dyDescent="0.25">
      <c r="B5556" s="38"/>
      <c r="C5556" s="14"/>
      <c r="D5556" s="14"/>
      <c r="E5556" s="14"/>
      <c r="F5556" s="14"/>
      <c r="G5556" s="16"/>
    </row>
    <row r="5557" spans="2:7" x14ac:dyDescent="0.25">
      <c r="B5557" s="38"/>
      <c r="C5557" s="14"/>
      <c r="D5557" s="14"/>
      <c r="E5557" s="14"/>
      <c r="F5557" s="14"/>
      <c r="G5557" s="16"/>
    </row>
    <row r="5558" spans="2:7" x14ac:dyDescent="0.25">
      <c r="B5558" s="38"/>
      <c r="C5558" s="14"/>
      <c r="D5558" s="14"/>
      <c r="E5558" s="14"/>
      <c r="F5558" s="14"/>
      <c r="G5558" s="16"/>
    </row>
    <row r="5559" spans="2:7" x14ac:dyDescent="0.25">
      <c r="B5559" s="38"/>
      <c r="C5559" s="14"/>
      <c r="D5559" s="14"/>
      <c r="E5559" s="14"/>
      <c r="F5559" s="14"/>
      <c r="G5559" s="16"/>
    </row>
    <row r="5560" spans="2:7" x14ac:dyDescent="0.25">
      <c r="B5560" s="38"/>
      <c r="C5560" s="14"/>
      <c r="D5560" s="14"/>
      <c r="E5560" s="14"/>
      <c r="F5560" s="14"/>
      <c r="G5560" s="16"/>
    </row>
    <row r="5561" spans="2:7" x14ac:dyDescent="0.25">
      <c r="B5561" s="38"/>
      <c r="C5561" s="14"/>
      <c r="D5561" s="14"/>
      <c r="E5561" s="14"/>
      <c r="F5561" s="14"/>
      <c r="G5561" s="16"/>
    </row>
    <row r="5562" spans="2:7" x14ac:dyDescent="0.25">
      <c r="B5562" s="38"/>
      <c r="C5562" s="14"/>
      <c r="D5562" s="14"/>
      <c r="E5562" s="14"/>
      <c r="F5562" s="14"/>
      <c r="G5562" s="16"/>
    </row>
    <row r="5563" spans="2:7" x14ac:dyDescent="0.25">
      <c r="B5563" s="38"/>
      <c r="C5563" s="14"/>
      <c r="D5563" s="14"/>
      <c r="E5563" s="14"/>
      <c r="F5563" s="14"/>
      <c r="G5563" s="16"/>
    </row>
    <row r="5564" spans="2:7" x14ac:dyDescent="0.25">
      <c r="B5564" s="38"/>
      <c r="C5564" s="14"/>
      <c r="D5564" s="14"/>
      <c r="E5564" s="14"/>
      <c r="F5564" s="14"/>
      <c r="G5564" s="16"/>
    </row>
    <row r="5565" spans="2:7" x14ac:dyDescent="0.25">
      <c r="B5565" s="38"/>
      <c r="C5565" s="14"/>
      <c r="D5565" s="14"/>
      <c r="E5565" s="14"/>
      <c r="F5565" s="14"/>
      <c r="G5565" s="16"/>
    </row>
    <row r="5566" spans="2:7" x14ac:dyDescent="0.25">
      <c r="B5566" s="38"/>
      <c r="C5566" s="14"/>
      <c r="D5566" s="14"/>
      <c r="E5566" s="14"/>
      <c r="F5566" s="14"/>
      <c r="G5566" s="16"/>
    </row>
    <row r="5567" spans="2:7" x14ac:dyDescent="0.25">
      <c r="B5567" s="38"/>
      <c r="C5567" s="14"/>
      <c r="D5567" s="14"/>
      <c r="E5567" s="14"/>
      <c r="F5567" s="14"/>
      <c r="G5567" s="16"/>
    </row>
    <row r="5568" spans="2:7" x14ac:dyDescent="0.25">
      <c r="B5568" s="38"/>
      <c r="C5568" s="14"/>
      <c r="D5568" s="14"/>
      <c r="E5568" s="14"/>
      <c r="F5568" s="14"/>
      <c r="G5568" s="16"/>
    </row>
    <row r="5569" spans="2:7" x14ac:dyDescent="0.25">
      <c r="B5569" s="38"/>
      <c r="C5569" s="14"/>
      <c r="D5569" s="14"/>
      <c r="E5569" s="14"/>
      <c r="F5569" s="14"/>
      <c r="G5569" s="16"/>
    </row>
    <row r="5570" spans="2:7" x14ac:dyDescent="0.25">
      <c r="B5570" s="38"/>
      <c r="C5570" s="14"/>
      <c r="D5570" s="14"/>
      <c r="E5570" s="14"/>
      <c r="F5570" s="14"/>
      <c r="G5570" s="16"/>
    </row>
    <row r="5571" spans="2:7" x14ac:dyDescent="0.25">
      <c r="B5571" s="38"/>
      <c r="C5571" s="14"/>
      <c r="D5571" s="14"/>
      <c r="E5571" s="14"/>
      <c r="F5571" s="14"/>
      <c r="G5571" s="16"/>
    </row>
    <row r="5572" spans="2:7" x14ac:dyDescent="0.25">
      <c r="B5572" s="38"/>
      <c r="C5572" s="14"/>
      <c r="D5572" s="14"/>
      <c r="E5572" s="14"/>
      <c r="F5572" s="14"/>
      <c r="G5572" s="16"/>
    </row>
    <row r="5573" spans="2:7" x14ac:dyDescent="0.25">
      <c r="B5573" s="38"/>
      <c r="C5573" s="14"/>
      <c r="D5573" s="14"/>
      <c r="E5573" s="14"/>
      <c r="F5573" s="14"/>
      <c r="G5573" s="16"/>
    </row>
    <row r="5574" spans="2:7" x14ac:dyDescent="0.25">
      <c r="B5574" s="38"/>
      <c r="C5574" s="14"/>
      <c r="D5574" s="14"/>
      <c r="E5574" s="14"/>
      <c r="F5574" s="14"/>
      <c r="G5574" s="16"/>
    </row>
    <row r="5575" spans="2:7" x14ac:dyDescent="0.25">
      <c r="B5575" s="38"/>
      <c r="C5575" s="14"/>
      <c r="D5575" s="14"/>
      <c r="E5575" s="14"/>
      <c r="F5575" s="14"/>
      <c r="G5575" s="16"/>
    </row>
    <row r="5576" spans="2:7" x14ac:dyDescent="0.25">
      <c r="B5576" s="38"/>
      <c r="C5576" s="14"/>
      <c r="D5576" s="14"/>
      <c r="E5576" s="14"/>
      <c r="F5576" s="14"/>
      <c r="G5576" s="16"/>
    </row>
    <row r="5577" spans="2:7" x14ac:dyDescent="0.25">
      <c r="B5577" s="38"/>
      <c r="C5577" s="14"/>
      <c r="D5577" s="14"/>
      <c r="E5577" s="14"/>
      <c r="F5577" s="14"/>
      <c r="G5577" s="16"/>
    </row>
    <row r="5578" spans="2:7" x14ac:dyDescent="0.25">
      <c r="B5578" s="38"/>
      <c r="C5578" s="14"/>
      <c r="D5578" s="14"/>
      <c r="E5578" s="14"/>
      <c r="F5578" s="14"/>
      <c r="G5578" s="16"/>
    </row>
    <row r="5579" spans="2:7" x14ac:dyDescent="0.25">
      <c r="B5579" s="38"/>
      <c r="C5579" s="14"/>
      <c r="D5579" s="14"/>
      <c r="E5579" s="14"/>
      <c r="F5579" s="14"/>
      <c r="G5579" s="16"/>
    </row>
    <row r="5580" spans="2:7" x14ac:dyDescent="0.25">
      <c r="B5580" s="38"/>
      <c r="C5580" s="14"/>
      <c r="D5580" s="14"/>
      <c r="E5580" s="14"/>
      <c r="F5580" s="14"/>
      <c r="G5580" s="16"/>
    </row>
    <row r="5581" spans="2:7" x14ac:dyDescent="0.25">
      <c r="B5581" s="38"/>
      <c r="C5581" s="14"/>
      <c r="D5581" s="14"/>
      <c r="E5581" s="14"/>
      <c r="F5581" s="14"/>
      <c r="G5581" s="16"/>
    </row>
    <row r="5582" spans="2:7" x14ac:dyDescent="0.25">
      <c r="B5582" s="38"/>
      <c r="C5582" s="14"/>
      <c r="D5582" s="14"/>
      <c r="E5582" s="14"/>
      <c r="F5582" s="14"/>
      <c r="G5582" s="16"/>
    </row>
    <row r="5583" spans="2:7" x14ac:dyDescent="0.25">
      <c r="B5583" s="38"/>
      <c r="C5583" s="14"/>
      <c r="D5583" s="14"/>
      <c r="E5583" s="14"/>
      <c r="F5583" s="14"/>
      <c r="G5583" s="16"/>
    </row>
    <row r="5584" spans="2:7" x14ac:dyDescent="0.25">
      <c r="B5584" s="38"/>
      <c r="C5584" s="14"/>
      <c r="D5584" s="14"/>
      <c r="E5584" s="14"/>
      <c r="F5584" s="14"/>
      <c r="G5584" s="16"/>
    </row>
    <row r="5585" spans="2:7" x14ac:dyDescent="0.25">
      <c r="B5585" s="38"/>
      <c r="C5585" s="14"/>
      <c r="D5585" s="14"/>
      <c r="E5585" s="14"/>
      <c r="F5585" s="14"/>
      <c r="G5585" s="16"/>
    </row>
    <row r="5586" spans="2:7" x14ac:dyDescent="0.25">
      <c r="B5586" s="38"/>
      <c r="C5586" s="14"/>
      <c r="D5586" s="14"/>
      <c r="E5586" s="14"/>
      <c r="F5586" s="14"/>
      <c r="G5586" s="16"/>
    </row>
    <row r="5587" spans="2:7" x14ac:dyDescent="0.25">
      <c r="B5587" s="38"/>
      <c r="C5587" s="14"/>
      <c r="D5587" s="14"/>
      <c r="E5587" s="14"/>
      <c r="F5587" s="14"/>
      <c r="G5587" s="16"/>
    </row>
    <row r="5588" spans="2:7" x14ac:dyDescent="0.25">
      <c r="B5588" s="38"/>
      <c r="C5588" s="14"/>
      <c r="D5588" s="14"/>
      <c r="E5588" s="14"/>
      <c r="F5588" s="14"/>
      <c r="G5588" s="16"/>
    </row>
    <row r="5589" spans="2:7" x14ac:dyDescent="0.25">
      <c r="B5589" s="38"/>
      <c r="C5589" s="14"/>
      <c r="D5589" s="14"/>
      <c r="E5589" s="14"/>
      <c r="F5589" s="14"/>
      <c r="G5589" s="16"/>
    </row>
    <row r="5590" spans="2:7" x14ac:dyDescent="0.25">
      <c r="B5590" s="38"/>
      <c r="C5590" s="14"/>
      <c r="D5590" s="14"/>
      <c r="E5590" s="14"/>
      <c r="F5590" s="14"/>
      <c r="G5590" s="16"/>
    </row>
    <row r="5591" spans="2:7" x14ac:dyDescent="0.25">
      <c r="B5591" s="38"/>
      <c r="C5591" s="14"/>
      <c r="D5591" s="14"/>
      <c r="E5591" s="14"/>
      <c r="F5591" s="14"/>
      <c r="G5591" s="16"/>
    </row>
    <row r="5592" spans="2:7" x14ac:dyDescent="0.25">
      <c r="B5592" s="38"/>
      <c r="C5592" s="14"/>
      <c r="D5592" s="14"/>
      <c r="E5592" s="14"/>
      <c r="F5592" s="14"/>
      <c r="G5592" s="16"/>
    </row>
    <row r="5593" spans="2:7" x14ac:dyDescent="0.25">
      <c r="B5593" s="38"/>
      <c r="C5593" s="14"/>
      <c r="D5593" s="14"/>
      <c r="E5593" s="14"/>
      <c r="F5593" s="14"/>
      <c r="G5593" s="16"/>
    </row>
    <row r="5594" spans="2:7" x14ac:dyDescent="0.25">
      <c r="B5594" s="38"/>
      <c r="C5594" s="14"/>
      <c r="D5594" s="14"/>
      <c r="E5594" s="14"/>
      <c r="F5594" s="14"/>
      <c r="G5594" s="16"/>
    </row>
    <row r="5595" spans="2:7" x14ac:dyDescent="0.25">
      <c r="B5595" s="38"/>
      <c r="C5595" s="14"/>
      <c r="D5595" s="14"/>
      <c r="E5595" s="14"/>
      <c r="F5595" s="14"/>
      <c r="G5595" s="16"/>
    </row>
    <row r="5596" spans="2:7" x14ac:dyDescent="0.25">
      <c r="B5596" s="38"/>
      <c r="C5596" s="14"/>
      <c r="D5596" s="14"/>
      <c r="E5596" s="14"/>
      <c r="F5596" s="14"/>
      <c r="G5596" s="16"/>
    </row>
    <row r="5597" spans="2:7" x14ac:dyDescent="0.25">
      <c r="B5597" s="38"/>
      <c r="C5597" s="14"/>
      <c r="D5597" s="14"/>
      <c r="E5597" s="14"/>
      <c r="F5597" s="14"/>
      <c r="G5597" s="16"/>
    </row>
    <row r="5598" spans="2:7" x14ac:dyDescent="0.25">
      <c r="B5598" s="38"/>
      <c r="C5598" s="14"/>
      <c r="D5598" s="14"/>
      <c r="E5598" s="14"/>
      <c r="F5598" s="14"/>
      <c r="G5598" s="16"/>
    </row>
    <row r="5599" spans="2:7" x14ac:dyDescent="0.25">
      <c r="B5599" s="38"/>
      <c r="C5599" s="14"/>
      <c r="D5599" s="14"/>
      <c r="E5599" s="14"/>
      <c r="F5599" s="14"/>
      <c r="G5599" s="16"/>
    </row>
    <row r="5600" spans="2:7" x14ac:dyDescent="0.25">
      <c r="B5600" s="38"/>
      <c r="C5600" s="14"/>
      <c r="D5600" s="14"/>
      <c r="E5600" s="14"/>
      <c r="F5600" s="14"/>
      <c r="G5600" s="16"/>
    </row>
    <row r="5601" spans="2:7" x14ac:dyDescent="0.25">
      <c r="B5601" s="38"/>
      <c r="C5601" s="14"/>
      <c r="D5601" s="14"/>
      <c r="E5601" s="14"/>
      <c r="F5601" s="14"/>
      <c r="G5601" s="16"/>
    </row>
    <row r="5602" spans="2:7" x14ac:dyDescent="0.25">
      <c r="B5602" s="38"/>
      <c r="C5602" s="14"/>
      <c r="D5602" s="14"/>
      <c r="E5602" s="14"/>
      <c r="F5602" s="14"/>
      <c r="G5602" s="16"/>
    </row>
    <row r="5603" spans="2:7" x14ac:dyDescent="0.25">
      <c r="B5603" s="38"/>
      <c r="C5603" s="14"/>
      <c r="D5603" s="14"/>
      <c r="E5603" s="14"/>
      <c r="F5603" s="14"/>
      <c r="G5603" s="16"/>
    </row>
    <row r="5604" spans="2:7" x14ac:dyDescent="0.25">
      <c r="B5604" s="38"/>
      <c r="C5604" s="14"/>
      <c r="D5604" s="14"/>
      <c r="E5604" s="14"/>
      <c r="F5604" s="14"/>
      <c r="G5604" s="16"/>
    </row>
    <row r="5605" spans="2:7" x14ac:dyDescent="0.25">
      <c r="B5605" s="38"/>
      <c r="C5605" s="14"/>
      <c r="D5605" s="14"/>
      <c r="E5605" s="14"/>
      <c r="F5605" s="14"/>
      <c r="G5605" s="16"/>
    </row>
    <row r="5606" spans="2:7" x14ac:dyDescent="0.25">
      <c r="B5606" s="38"/>
      <c r="C5606" s="14"/>
      <c r="D5606" s="14"/>
      <c r="E5606" s="14"/>
      <c r="F5606" s="14"/>
      <c r="G5606" s="16"/>
    </row>
    <row r="5607" spans="2:7" x14ac:dyDescent="0.25">
      <c r="B5607" s="38"/>
      <c r="C5607" s="14"/>
      <c r="D5607" s="14"/>
      <c r="E5607" s="14"/>
      <c r="F5607" s="14"/>
      <c r="G5607" s="16"/>
    </row>
    <row r="5608" spans="2:7" x14ac:dyDescent="0.25">
      <c r="B5608" s="38"/>
      <c r="C5608" s="14"/>
      <c r="D5608" s="14"/>
      <c r="E5608" s="14"/>
      <c r="F5608" s="14"/>
      <c r="G5608" s="16"/>
    </row>
    <row r="5609" spans="2:7" x14ac:dyDescent="0.25">
      <c r="B5609" s="38"/>
      <c r="C5609" s="14"/>
      <c r="D5609" s="14"/>
      <c r="E5609" s="14"/>
      <c r="F5609" s="14"/>
      <c r="G5609" s="16"/>
    </row>
    <row r="5610" spans="2:7" x14ac:dyDescent="0.25">
      <c r="B5610" s="38"/>
      <c r="C5610" s="14"/>
      <c r="D5610" s="14"/>
      <c r="E5610" s="14"/>
      <c r="F5610" s="14"/>
      <c r="G5610" s="16"/>
    </row>
    <row r="5611" spans="2:7" x14ac:dyDescent="0.25">
      <c r="B5611" s="38"/>
      <c r="C5611" s="14"/>
      <c r="D5611" s="14"/>
      <c r="E5611" s="14"/>
      <c r="F5611" s="14"/>
      <c r="G5611" s="16"/>
    </row>
    <row r="5612" spans="2:7" x14ac:dyDescent="0.25">
      <c r="B5612" s="38"/>
      <c r="C5612" s="14"/>
      <c r="D5612" s="14"/>
      <c r="E5612" s="14"/>
      <c r="F5612" s="14"/>
      <c r="G5612" s="16"/>
    </row>
    <row r="5613" spans="2:7" x14ac:dyDescent="0.25">
      <c r="B5613" s="38"/>
      <c r="C5613" s="14"/>
      <c r="D5613" s="14"/>
      <c r="E5613" s="14"/>
      <c r="F5613" s="14"/>
      <c r="G5613" s="16"/>
    </row>
    <row r="5614" spans="2:7" x14ac:dyDescent="0.25">
      <c r="B5614" s="38"/>
      <c r="C5614" s="14"/>
      <c r="D5614" s="14"/>
      <c r="E5614" s="14"/>
      <c r="F5614" s="14"/>
      <c r="G5614" s="16"/>
    </row>
    <row r="5615" spans="2:7" x14ac:dyDescent="0.25">
      <c r="B5615" s="38"/>
      <c r="C5615" s="14"/>
      <c r="D5615" s="14"/>
      <c r="E5615" s="14"/>
      <c r="F5615" s="14"/>
      <c r="G5615" s="16"/>
    </row>
    <row r="5616" spans="2:7" x14ac:dyDescent="0.25">
      <c r="B5616" s="38"/>
      <c r="C5616" s="14"/>
      <c r="D5616" s="14"/>
      <c r="E5616" s="14"/>
      <c r="F5616" s="14"/>
      <c r="G5616" s="16"/>
    </row>
    <row r="5617" spans="2:7" x14ac:dyDescent="0.25">
      <c r="B5617" s="38"/>
      <c r="C5617" s="14"/>
      <c r="D5617" s="14"/>
      <c r="E5617" s="14"/>
      <c r="F5617" s="14"/>
      <c r="G5617" s="16"/>
    </row>
    <row r="5618" spans="2:7" x14ac:dyDescent="0.25">
      <c r="B5618" s="38"/>
      <c r="C5618" s="14"/>
      <c r="D5618" s="14"/>
      <c r="E5618" s="14"/>
      <c r="F5618" s="14"/>
      <c r="G5618" s="16"/>
    </row>
    <row r="5619" spans="2:7" x14ac:dyDescent="0.25">
      <c r="B5619" s="38"/>
      <c r="C5619" s="14"/>
      <c r="D5619" s="14"/>
      <c r="E5619" s="14"/>
      <c r="F5619" s="14"/>
      <c r="G5619" s="16"/>
    </row>
    <row r="5620" spans="2:7" x14ac:dyDescent="0.25">
      <c r="B5620" s="38"/>
      <c r="C5620" s="14"/>
      <c r="D5620" s="14"/>
      <c r="E5620" s="14"/>
      <c r="F5620" s="14"/>
      <c r="G5620" s="16"/>
    </row>
    <row r="5621" spans="2:7" x14ac:dyDescent="0.25">
      <c r="B5621" s="38"/>
      <c r="C5621" s="14"/>
      <c r="D5621" s="14"/>
      <c r="E5621" s="14"/>
      <c r="F5621" s="14"/>
      <c r="G5621" s="16"/>
    </row>
    <row r="5622" spans="2:7" x14ac:dyDescent="0.25">
      <c r="B5622" s="38"/>
      <c r="C5622" s="14"/>
      <c r="D5622" s="14"/>
      <c r="E5622" s="14"/>
      <c r="F5622" s="14"/>
      <c r="G5622" s="16"/>
    </row>
    <row r="5623" spans="2:7" x14ac:dyDescent="0.25">
      <c r="B5623" s="38"/>
      <c r="C5623" s="14"/>
      <c r="D5623" s="14"/>
      <c r="E5623" s="14"/>
      <c r="F5623" s="14"/>
      <c r="G5623" s="16"/>
    </row>
    <row r="5624" spans="2:7" x14ac:dyDescent="0.25">
      <c r="B5624" s="38"/>
      <c r="C5624" s="14"/>
      <c r="D5624" s="14"/>
      <c r="E5624" s="14"/>
      <c r="F5624" s="14"/>
      <c r="G5624" s="16"/>
    </row>
    <row r="5625" spans="2:7" x14ac:dyDescent="0.25">
      <c r="B5625" s="38"/>
      <c r="C5625" s="14"/>
      <c r="D5625" s="14"/>
      <c r="E5625" s="14"/>
      <c r="F5625" s="14"/>
      <c r="G5625" s="16"/>
    </row>
    <row r="5626" spans="2:7" x14ac:dyDescent="0.25">
      <c r="B5626" s="38"/>
      <c r="C5626" s="14"/>
      <c r="D5626" s="14"/>
      <c r="E5626" s="14"/>
      <c r="F5626" s="14"/>
      <c r="G5626" s="16"/>
    </row>
    <row r="5627" spans="2:7" x14ac:dyDescent="0.25">
      <c r="B5627" s="38"/>
      <c r="C5627" s="14"/>
      <c r="D5627" s="14"/>
      <c r="E5627" s="14"/>
      <c r="F5627" s="14"/>
      <c r="G5627" s="16"/>
    </row>
    <row r="5628" spans="2:7" x14ac:dyDescent="0.25">
      <c r="B5628" s="38"/>
      <c r="C5628" s="14"/>
      <c r="D5628" s="14"/>
      <c r="E5628" s="14"/>
      <c r="F5628" s="14"/>
      <c r="G5628" s="16"/>
    </row>
    <row r="5629" spans="2:7" x14ac:dyDescent="0.25">
      <c r="B5629" s="38"/>
      <c r="C5629" s="14"/>
      <c r="D5629" s="14"/>
      <c r="E5629" s="14"/>
      <c r="F5629" s="14"/>
      <c r="G5629" s="16"/>
    </row>
    <row r="5630" spans="2:7" x14ac:dyDescent="0.25">
      <c r="B5630" s="38"/>
      <c r="C5630" s="14"/>
      <c r="D5630" s="14"/>
      <c r="E5630" s="14"/>
      <c r="F5630" s="14"/>
      <c r="G5630" s="16"/>
    </row>
    <row r="5631" spans="2:7" x14ac:dyDescent="0.25">
      <c r="B5631" s="38"/>
      <c r="C5631" s="14"/>
      <c r="D5631" s="14"/>
      <c r="E5631" s="14"/>
      <c r="F5631" s="14"/>
      <c r="G5631" s="16"/>
    </row>
    <row r="5632" spans="2:7" x14ac:dyDescent="0.25">
      <c r="B5632" s="38"/>
      <c r="C5632" s="14"/>
      <c r="D5632" s="14"/>
      <c r="E5632" s="14"/>
      <c r="F5632" s="14"/>
      <c r="G5632" s="16"/>
    </row>
    <row r="5633" spans="2:7" x14ac:dyDescent="0.25">
      <c r="B5633" s="38"/>
      <c r="C5633" s="14"/>
      <c r="D5633" s="14"/>
      <c r="E5633" s="14"/>
      <c r="F5633" s="14"/>
      <c r="G5633" s="16"/>
    </row>
    <row r="5634" spans="2:7" x14ac:dyDescent="0.25">
      <c r="B5634" s="38"/>
      <c r="C5634" s="14"/>
      <c r="D5634" s="14"/>
      <c r="E5634" s="14"/>
      <c r="F5634" s="14"/>
      <c r="G5634" s="16"/>
    </row>
    <row r="5635" spans="2:7" x14ac:dyDescent="0.25">
      <c r="B5635" s="38"/>
      <c r="C5635" s="14"/>
      <c r="D5635" s="14"/>
      <c r="E5635" s="14"/>
      <c r="F5635" s="14"/>
      <c r="G5635" s="16"/>
    </row>
    <row r="5636" spans="2:7" x14ac:dyDescent="0.25">
      <c r="B5636" s="38"/>
      <c r="C5636" s="14"/>
      <c r="D5636" s="14"/>
      <c r="E5636" s="14"/>
      <c r="F5636" s="14"/>
      <c r="G5636" s="16"/>
    </row>
    <row r="5637" spans="2:7" x14ac:dyDescent="0.25">
      <c r="B5637" s="38"/>
      <c r="C5637" s="14"/>
      <c r="D5637" s="14"/>
      <c r="E5637" s="14"/>
      <c r="F5637" s="14"/>
      <c r="G5637" s="16"/>
    </row>
    <row r="5638" spans="2:7" x14ac:dyDescent="0.25">
      <c r="B5638" s="38"/>
      <c r="C5638" s="14"/>
      <c r="D5638" s="14"/>
      <c r="E5638" s="14"/>
      <c r="F5638" s="14"/>
      <c r="G5638" s="16"/>
    </row>
    <row r="5639" spans="2:7" x14ac:dyDescent="0.25">
      <c r="B5639" s="38"/>
      <c r="C5639" s="14"/>
      <c r="D5639" s="14"/>
      <c r="E5639" s="14"/>
      <c r="F5639" s="14"/>
      <c r="G5639" s="16"/>
    </row>
    <row r="5640" spans="2:7" x14ac:dyDescent="0.25">
      <c r="B5640" s="38"/>
      <c r="C5640" s="14"/>
      <c r="D5640" s="14"/>
      <c r="E5640" s="14"/>
      <c r="F5640" s="14"/>
      <c r="G5640" s="16"/>
    </row>
    <row r="5641" spans="2:7" x14ac:dyDescent="0.25">
      <c r="B5641" s="38"/>
      <c r="C5641" s="14"/>
      <c r="D5641" s="14"/>
      <c r="E5641" s="14"/>
      <c r="F5641" s="14"/>
      <c r="G5641" s="16"/>
    </row>
    <row r="5642" spans="2:7" x14ac:dyDescent="0.25">
      <c r="B5642" s="38"/>
      <c r="C5642" s="14"/>
      <c r="D5642" s="14"/>
      <c r="E5642" s="14"/>
      <c r="F5642" s="14"/>
      <c r="G5642" s="16"/>
    </row>
    <row r="5643" spans="2:7" x14ac:dyDescent="0.25">
      <c r="B5643" s="38"/>
      <c r="C5643" s="14"/>
      <c r="D5643" s="14"/>
      <c r="E5643" s="14"/>
      <c r="F5643" s="14"/>
      <c r="G5643" s="16"/>
    </row>
    <row r="5644" spans="2:7" x14ac:dyDescent="0.25">
      <c r="B5644" s="38"/>
      <c r="C5644" s="14"/>
      <c r="D5644" s="14"/>
      <c r="E5644" s="14"/>
      <c r="F5644" s="14"/>
      <c r="G5644" s="16"/>
    </row>
    <row r="5645" spans="2:7" x14ac:dyDescent="0.25">
      <c r="B5645" s="38"/>
      <c r="C5645" s="14"/>
      <c r="D5645" s="14"/>
      <c r="E5645" s="14"/>
      <c r="F5645" s="14"/>
      <c r="G5645" s="16"/>
    </row>
    <row r="5646" spans="2:7" x14ac:dyDescent="0.25">
      <c r="B5646" s="38"/>
      <c r="C5646" s="14"/>
      <c r="D5646" s="14"/>
      <c r="E5646" s="14"/>
      <c r="F5646" s="14"/>
      <c r="G5646" s="16"/>
    </row>
    <row r="5647" spans="2:7" x14ac:dyDescent="0.25">
      <c r="B5647" s="38"/>
      <c r="C5647" s="14"/>
      <c r="D5647" s="14"/>
      <c r="E5647" s="14"/>
      <c r="F5647" s="14"/>
      <c r="G5647" s="16"/>
    </row>
    <row r="5648" spans="2:7" x14ac:dyDescent="0.25">
      <c r="B5648" s="38"/>
      <c r="C5648" s="14"/>
      <c r="D5648" s="14"/>
      <c r="E5648" s="14"/>
      <c r="F5648" s="14"/>
      <c r="G5648" s="16"/>
    </row>
    <row r="5649" spans="2:7" x14ac:dyDescent="0.25">
      <c r="B5649" s="38"/>
      <c r="C5649" s="14"/>
      <c r="D5649" s="14"/>
      <c r="E5649" s="14"/>
      <c r="F5649" s="14"/>
      <c r="G5649" s="16"/>
    </row>
    <row r="5650" spans="2:7" x14ac:dyDescent="0.25">
      <c r="B5650" s="38"/>
      <c r="C5650" s="14"/>
      <c r="D5650" s="14"/>
      <c r="E5650" s="14"/>
      <c r="F5650" s="14"/>
      <c r="G5650" s="16"/>
    </row>
    <row r="5651" spans="2:7" x14ac:dyDescent="0.25">
      <c r="B5651" s="38"/>
      <c r="C5651" s="14"/>
      <c r="D5651" s="14"/>
      <c r="E5651" s="14"/>
      <c r="F5651" s="14"/>
      <c r="G5651" s="16"/>
    </row>
    <row r="5652" spans="2:7" x14ac:dyDescent="0.25">
      <c r="B5652" s="38"/>
      <c r="C5652" s="14"/>
      <c r="D5652" s="14"/>
      <c r="E5652" s="14"/>
      <c r="F5652" s="14"/>
      <c r="G5652" s="16"/>
    </row>
    <row r="5653" spans="2:7" x14ac:dyDescent="0.25">
      <c r="B5653" s="38"/>
      <c r="C5653" s="14"/>
      <c r="D5653" s="14"/>
      <c r="E5653" s="14"/>
      <c r="F5653" s="14"/>
      <c r="G5653" s="16"/>
    </row>
    <row r="5654" spans="2:7" x14ac:dyDescent="0.25">
      <c r="B5654" s="38"/>
      <c r="C5654" s="14"/>
      <c r="D5654" s="14"/>
      <c r="E5654" s="14"/>
      <c r="F5654" s="14"/>
      <c r="G5654" s="16"/>
    </row>
    <row r="5655" spans="2:7" x14ac:dyDescent="0.25">
      <c r="B5655" s="38"/>
      <c r="C5655" s="14"/>
      <c r="D5655" s="14"/>
      <c r="E5655" s="14"/>
      <c r="F5655" s="14"/>
      <c r="G5655" s="16"/>
    </row>
    <row r="5656" spans="2:7" x14ac:dyDescent="0.25">
      <c r="B5656" s="38"/>
      <c r="C5656" s="14"/>
      <c r="D5656" s="14"/>
      <c r="E5656" s="14"/>
      <c r="F5656" s="14"/>
      <c r="G5656" s="16"/>
    </row>
    <row r="5657" spans="2:7" x14ac:dyDescent="0.25">
      <c r="B5657" s="38"/>
      <c r="C5657" s="14"/>
      <c r="D5657" s="14"/>
      <c r="E5657" s="14"/>
      <c r="F5657" s="14"/>
      <c r="G5657" s="16"/>
    </row>
    <row r="5658" spans="2:7" x14ac:dyDescent="0.25">
      <c r="B5658" s="38"/>
      <c r="C5658" s="14"/>
      <c r="D5658" s="14"/>
      <c r="E5658" s="14"/>
      <c r="F5658" s="14"/>
      <c r="G5658" s="16"/>
    </row>
    <row r="5659" spans="2:7" x14ac:dyDescent="0.25">
      <c r="B5659" s="38"/>
      <c r="C5659" s="14"/>
      <c r="D5659" s="14"/>
      <c r="E5659" s="14"/>
      <c r="F5659" s="14"/>
      <c r="G5659" s="16"/>
    </row>
    <row r="5660" spans="2:7" x14ac:dyDescent="0.25">
      <c r="B5660" s="38"/>
      <c r="C5660" s="14"/>
      <c r="D5660" s="14"/>
      <c r="E5660" s="14"/>
      <c r="F5660" s="14"/>
      <c r="G5660" s="16"/>
    </row>
    <row r="5661" spans="2:7" x14ac:dyDescent="0.25">
      <c r="B5661" s="38"/>
      <c r="C5661" s="14"/>
      <c r="D5661" s="14"/>
      <c r="E5661" s="14"/>
      <c r="F5661" s="14"/>
      <c r="G5661" s="16"/>
    </row>
    <row r="5662" spans="2:7" x14ac:dyDescent="0.25">
      <c r="B5662" s="38"/>
      <c r="C5662" s="14"/>
      <c r="D5662" s="14"/>
      <c r="E5662" s="14"/>
      <c r="F5662" s="14"/>
      <c r="G5662" s="16"/>
    </row>
    <row r="5663" spans="2:7" x14ac:dyDescent="0.25">
      <c r="B5663" s="38"/>
      <c r="C5663" s="14"/>
      <c r="D5663" s="14"/>
      <c r="E5663" s="14"/>
      <c r="F5663" s="14"/>
      <c r="G5663" s="16"/>
    </row>
    <row r="5664" spans="2:7" x14ac:dyDescent="0.25">
      <c r="B5664" s="38"/>
      <c r="C5664" s="14"/>
      <c r="D5664" s="14"/>
      <c r="E5664" s="14"/>
      <c r="F5664" s="14"/>
      <c r="G5664" s="16"/>
    </row>
    <row r="5665" spans="2:7" x14ac:dyDescent="0.25">
      <c r="B5665" s="38"/>
      <c r="C5665" s="14"/>
      <c r="D5665" s="14"/>
      <c r="E5665" s="14"/>
      <c r="F5665" s="14"/>
      <c r="G5665" s="16"/>
    </row>
    <row r="5666" spans="2:7" x14ac:dyDescent="0.25">
      <c r="B5666" s="38"/>
      <c r="C5666" s="14"/>
      <c r="D5666" s="14"/>
      <c r="E5666" s="14"/>
      <c r="F5666" s="14"/>
      <c r="G5666" s="16"/>
    </row>
    <row r="5667" spans="2:7" x14ac:dyDescent="0.25">
      <c r="B5667" s="38"/>
      <c r="C5667" s="14"/>
      <c r="D5667" s="14"/>
      <c r="E5667" s="14"/>
      <c r="F5667" s="14"/>
      <c r="G5667" s="16"/>
    </row>
    <row r="5668" spans="2:7" x14ac:dyDescent="0.25">
      <c r="B5668" s="38"/>
      <c r="C5668" s="14"/>
      <c r="D5668" s="14"/>
      <c r="E5668" s="14"/>
      <c r="F5668" s="14"/>
      <c r="G5668" s="16"/>
    </row>
    <row r="5669" spans="2:7" x14ac:dyDescent="0.25">
      <c r="B5669" s="38"/>
      <c r="C5669" s="14"/>
      <c r="D5669" s="14"/>
      <c r="E5669" s="14"/>
      <c r="F5669" s="14"/>
      <c r="G5669" s="16"/>
    </row>
    <row r="5670" spans="2:7" x14ac:dyDescent="0.25">
      <c r="B5670" s="38"/>
      <c r="C5670" s="14"/>
      <c r="D5670" s="14"/>
      <c r="E5670" s="14"/>
      <c r="F5670" s="14"/>
      <c r="G5670" s="16"/>
    </row>
    <row r="5671" spans="2:7" x14ac:dyDescent="0.25">
      <c r="B5671" s="38"/>
      <c r="C5671" s="14"/>
      <c r="D5671" s="14"/>
      <c r="E5671" s="14"/>
      <c r="F5671" s="14"/>
      <c r="G5671" s="16"/>
    </row>
    <row r="5672" spans="2:7" x14ac:dyDescent="0.25">
      <c r="B5672" s="38"/>
      <c r="C5672" s="14"/>
      <c r="D5672" s="14"/>
      <c r="E5672" s="14"/>
      <c r="F5672" s="14"/>
      <c r="G5672" s="16"/>
    </row>
    <row r="5673" spans="2:7" x14ac:dyDescent="0.25">
      <c r="B5673" s="38"/>
      <c r="C5673" s="14"/>
      <c r="D5673" s="14"/>
      <c r="E5673" s="14"/>
      <c r="F5673" s="14"/>
      <c r="G5673" s="16"/>
    </row>
    <row r="5674" spans="2:7" x14ac:dyDescent="0.25">
      <c r="B5674" s="38"/>
      <c r="C5674" s="14"/>
      <c r="D5674" s="14"/>
      <c r="E5674" s="14"/>
      <c r="F5674" s="14"/>
      <c r="G5674" s="16"/>
    </row>
    <row r="5675" spans="2:7" x14ac:dyDescent="0.25">
      <c r="B5675" s="38"/>
      <c r="C5675" s="14"/>
      <c r="D5675" s="14"/>
      <c r="E5675" s="14"/>
      <c r="F5675" s="14"/>
      <c r="G5675" s="16"/>
    </row>
    <row r="5676" spans="2:7" x14ac:dyDescent="0.25">
      <c r="B5676" s="38"/>
      <c r="C5676" s="14"/>
      <c r="D5676" s="14"/>
      <c r="E5676" s="14"/>
      <c r="F5676" s="14"/>
      <c r="G5676" s="16"/>
    </row>
    <row r="5677" spans="2:7" x14ac:dyDescent="0.25">
      <c r="B5677" s="38"/>
      <c r="C5677" s="14"/>
      <c r="D5677" s="14"/>
      <c r="E5677" s="14"/>
      <c r="F5677" s="14"/>
      <c r="G5677" s="16"/>
    </row>
    <row r="5678" spans="2:7" x14ac:dyDescent="0.25">
      <c r="B5678" s="38"/>
      <c r="C5678" s="14"/>
      <c r="D5678" s="14"/>
      <c r="E5678" s="14"/>
      <c r="F5678" s="14"/>
      <c r="G5678" s="16"/>
    </row>
    <row r="5679" spans="2:7" x14ac:dyDescent="0.25">
      <c r="B5679" s="38"/>
      <c r="C5679" s="14"/>
      <c r="D5679" s="14"/>
      <c r="E5679" s="14"/>
      <c r="F5679" s="14"/>
      <c r="G5679" s="16"/>
    </row>
    <row r="5680" spans="2:7" x14ac:dyDescent="0.25">
      <c r="B5680" s="38"/>
      <c r="C5680" s="14"/>
      <c r="D5680" s="14"/>
      <c r="E5680" s="14"/>
      <c r="F5680" s="14"/>
      <c r="G5680" s="16"/>
    </row>
    <row r="5681" spans="2:7" x14ac:dyDescent="0.25">
      <c r="B5681" s="38"/>
      <c r="C5681" s="14"/>
      <c r="D5681" s="14"/>
      <c r="E5681" s="14"/>
      <c r="F5681" s="14"/>
      <c r="G5681" s="16"/>
    </row>
    <row r="5682" spans="2:7" x14ac:dyDescent="0.25">
      <c r="B5682" s="38"/>
      <c r="C5682" s="14"/>
      <c r="D5682" s="14"/>
      <c r="E5682" s="14"/>
      <c r="F5682" s="14"/>
      <c r="G5682" s="16"/>
    </row>
    <row r="5683" spans="2:7" x14ac:dyDescent="0.25">
      <c r="B5683" s="38"/>
      <c r="C5683" s="14"/>
      <c r="D5683" s="14"/>
      <c r="E5683" s="14"/>
      <c r="F5683" s="14"/>
      <c r="G5683" s="16"/>
    </row>
    <row r="5684" spans="2:7" x14ac:dyDescent="0.25">
      <c r="B5684" s="38"/>
      <c r="C5684" s="14"/>
      <c r="D5684" s="14"/>
      <c r="E5684" s="14"/>
      <c r="F5684" s="14"/>
      <c r="G5684" s="16"/>
    </row>
    <row r="5685" spans="2:7" x14ac:dyDescent="0.25">
      <c r="B5685" s="38"/>
      <c r="C5685" s="14"/>
      <c r="D5685" s="14"/>
      <c r="E5685" s="14"/>
      <c r="F5685" s="14"/>
      <c r="G5685" s="16"/>
    </row>
    <row r="5686" spans="2:7" x14ac:dyDescent="0.25">
      <c r="B5686" s="38"/>
      <c r="C5686" s="14"/>
      <c r="D5686" s="14"/>
      <c r="E5686" s="14"/>
      <c r="F5686" s="14"/>
      <c r="G5686" s="16"/>
    </row>
    <row r="5687" spans="2:7" x14ac:dyDescent="0.25">
      <c r="B5687" s="38"/>
      <c r="C5687" s="14"/>
      <c r="D5687" s="14"/>
      <c r="E5687" s="14"/>
      <c r="F5687" s="14"/>
      <c r="G5687" s="16"/>
    </row>
    <row r="5688" spans="2:7" x14ac:dyDescent="0.25">
      <c r="B5688" s="38"/>
      <c r="C5688" s="14"/>
      <c r="D5688" s="14"/>
      <c r="E5688" s="14"/>
      <c r="F5688" s="14"/>
      <c r="G5688" s="16"/>
    </row>
    <row r="5689" spans="2:7" x14ac:dyDescent="0.25">
      <c r="B5689" s="38"/>
      <c r="C5689" s="14"/>
      <c r="D5689" s="14"/>
      <c r="E5689" s="14"/>
      <c r="F5689" s="14"/>
      <c r="G5689" s="16"/>
    </row>
    <row r="5690" spans="2:7" x14ac:dyDescent="0.25">
      <c r="B5690" s="38"/>
      <c r="C5690" s="14"/>
      <c r="D5690" s="14"/>
      <c r="E5690" s="14"/>
      <c r="F5690" s="14"/>
      <c r="G5690" s="16"/>
    </row>
    <row r="5691" spans="2:7" x14ac:dyDescent="0.25">
      <c r="B5691" s="38"/>
      <c r="C5691" s="14"/>
      <c r="D5691" s="14"/>
      <c r="E5691" s="14"/>
      <c r="F5691" s="14"/>
      <c r="G5691" s="16"/>
    </row>
    <row r="5692" spans="2:7" x14ac:dyDescent="0.25">
      <c r="B5692" s="38"/>
      <c r="C5692" s="14"/>
      <c r="D5692" s="14"/>
      <c r="E5692" s="14"/>
      <c r="F5692" s="14"/>
      <c r="G5692" s="16"/>
    </row>
    <row r="5693" spans="2:7" x14ac:dyDescent="0.25">
      <c r="B5693" s="38"/>
      <c r="C5693" s="14"/>
      <c r="D5693" s="14"/>
      <c r="E5693" s="14"/>
      <c r="F5693" s="14"/>
      <c r="G5693" s="16"/>
    </row>
    <row r="5694" spans="2:7" x14ac:dyDescent="0.25">
      <c r="B5694" s="38"/>
      <c r="C5694" s="14"/>
      <c r="D5694" s="14"/>
      <c r="E5694" s="14"/>
      <c r="F5694" s="14"/>
      <c r="G5694" s="16"/>
    </row>
    <row r="5695" spans="2:7" x14ac:dyDescent="0.25">
      <c r="B5695" s="38"/>
      <c r="C5695" s="14"/>
      <c r="D5695" s="14"/>
      <c r="E5695" s="14"/>
      <c r="F5695" s="14"/>
      <c r="G5695" s="16"/>
    </row>
    <row r="5696" spans="2:7" x14ac:dyDescent="0.25">
      <c r="B5696" s="38"/>
      <c r="C5696" s="14"/>
      <c r="D5696" s="14"/>
      <c r="E5696" s="14"/>
      <c r="F5696" s="14"/>
      <c r="G5696" s="16"/>
    </row>
    <row r="5697" spans="2:7" x14ac:dyDescent="0.25">
      <c r="B5697" s="38"/>
      <c r="C5697" s="14"/>
      <c r="D5697" s="14"/>
      <c r="E5697" s="14"/>
      <c r="F5697" s="14"/>
      <c r="G5697" s="16"/>
    </row>
    <row r="5698" spans="2:7" x14ac:dyDescent="0.25">
      <c r="B5698" s="38"/>
      <c r="C5698" s="14"/>
      <c r="D5698" s="14"/>
      <c r="E5698" s="14"/>
      <c r="F5698" s="14"/>
      <c r="G5698" s="16"/>
    </row>
    <row r="5699" spans="2:7" x14ac:dyDescent="0.25">
      <c r="B5699" s="38"/>
      <c r="C5699" s="14"/>
      <c r="D5699" s="14"/>
      <c r="E5699" s="14"/>
      <c r="F5699" s="14"/>
      <c r="G5699" s="16"/>
    </row>
    <row r="5700" spans="2:7" x14ac:dyDescent="0.25">
      <c r="B5700" s="38"/>
      <c r="C5700" s="14"/>
      <c r="D5700" s="14"/>
      <c r="E5700" s="14"/>
      <c r="F5700" s="14"/>
      <c r="G5700" s="16"/>
    </row>
    <row r="5701" spans="2:7" x14ac:dyDescent="0.25">
      <c r="B5701" s="38"/>
      <c r="C5701" s="14"/>
      <c r="D5701" s="14"/>
      <c r="E5701" s="14"/>
      <c r="F5701" s="14"/>
      <c r="G5701" s="16"/>
    </row>
    <row r="5702" spans="2:7" x14ac:dyDescent="0.25">
      <c r="B5702" s="38"/>
      <c r="C5702" s="14"/>
      <c r="D5702" s="14"/>
      <c r="E5702" s="14"/>
      <c r="F5702" s="14"/>
      <c r="G5702" s="16"/>
    </row>
    <row r="5703" spans="2:7" x14ac:dyDescent="0.25">
      <c r="B5703" s="38"/>
      <c r="C5703" s="14"/>
      <c r="D5703" s="14"/>
      <c r="E5703" s="14"/>
      <c r="F5703" s="14"/>
      <c r="G5703" s="16"/>
    </row>
    <row r="5704" spans="2:7" x14ac:dyDescent="0.25">
      <c r="B5704" s="38"/>
      <c r="C5704" s="14"/>
      <c r="D5704" s="14"/>
      <c r="E5704" s="14"/>
      <c r="F5704" s="14"/>
      <c r="G5704" s="16"/>
    </row>
    <row r="5705" spans="2:7" x14ac:dyDescent="0.25">
      <c r="B5705" s="38"/>
      <c r="C5705" s="14"/>
      <c r="D5705" s="14"/>
      <c r="E5705" s="14"/>
      <c r="F5705" s="14"/>
      <c r="G5705" s="16"/>
    </row>
    <row r="5706" spans="2:7" x14ac:dyDescent="0.25">
      <c r="B5706" s="38"/>
      <c r="C5706" s="14"/>
      <c r="D5706" s="14"/>
      <c r="E5706" s="14"/>
      <c r="F5706" s="14"/>
      <c r="G5706" s="16"/>
    </row>
    <row r="5707" spans="2:7" x14ac:dyDescent="0.25">
      <c r="B5707" s="38"/>
      <c r="C5707" s="14"/>
      <c r="D5707" s="14"/>
      <c r="E5707" s="14"/>
      <c r="F5707" s="14"/>
      <c r="G5707" s="16"/>
    </row>
    <row r="5708" spans="2:7" x14ac:dyDescent="0.25">
      <c r="B5708" s="38"/>
      <c r="C5708" s="14"/>
      <c r="D5708" s="14"/>
      <c r="E5708" s="14"/>
      <c r="F5708" s="14"/>
      <c r="G5708" s="16"/>
    </row>
    <row r="5709" spans="2:7" x14ac:dyDescent="0.25">
      <c r="B5709" s="38"/>
      <c r="C5709" s="14"/>
      <c r="D5709" s="14"/>
      <c r="E5709" s="14"/>
      <c r="F5709" s="14"/>
      <c r="G5709" s="16"/>
    </row>
    <row r="5710" spans="2:7" x14ac:dyDescent="0.25">
      <c r="B5710" s="38"/>
      <c r="C5710" s="14"/>
      <c r="D5710" s="14"/>
      <c r="E5710" s="14"/>
      <c r="F5710" s="14"/>
      <c r="G5710" s="16"/>
    </row>
    <row r="5711" spans="2:7" x14ac:dyDescent="0.25">
      <c r="B5711" s="38"/>
      <c r="C5711" s="14"/>
      <c r="D5711" s="14"/>
      <c r="E5711" s="14"/>
      <c r="F5711" s="14"/>
      <c r="G5711" s="16"/>
    </row>
    <row r="5712" spans="2:7" x14ac:dyDescent="0.25">
      <c r="B5712" s="38"/>
      <c r="C5712" s="14"/>
      <c r="D5712" s="14"/>
      <c r="E5712" s="14"/>
      <c r="F5712" s="14"/>
      <c r="G5712" s="16"/>
    </row>
    <row r="5713" spans="2:7" x14ac:dyDescent="0.25">
      <c r="B5713" s="38"/>
      <c r="C5713" s="14"/>
      <c r="D5713" s="14"/>
      <c r="E5713" s="14"/>
      <c r="F5713" s="14"/>
      <c r="G5713" s="16"/>
    </row>
    <row r="5714" spans="2:7" x14ac:dyDescent="0.25">
      <c r="B5714" s="38"/>
      <c r="C5714" s="14"/>
      <c r="D5714" s="14"/>
      <c r="E5714" s="14"/>
      <c r="F5714" s="14"/>
      <c r="G5714" s="16"/>
    </row>
    <row r="5715" spans="2:7" x14ac:dyDescent="0.25">
      <c r="B5715" s="38"/>
      <c r="C5715" s="14"/>
      <c r="D5715" s="14"/>
      <c r="E5715" s="14"/>
      <c r="F5715" s="14"/>
      <c r="G5715" s="16"/>
    </row>
    <row r="5716" spans="2:7" x14ac:dyDescent="0.25">
      <c r="B5716" s="38"/>
      <c r="C5716" s="14"/>
      <c r="D5716" s="14"/>
      <c r="E5716" s="14"/>
      <c r="F5716" s="14"/>
      <c r="G5716" s="16"/>
    </row>
    <row r="5717" spans="2:7" x14ac:dyDescent="0.25">
      <c r="B5717" s="38"/>
      <c r="C5717" s="14"/>
      <c r="D5717" s="14"/>
      <c r="E5717" s="14"/>
      <c r="F5717" s="14"/>
      <c r="G5717" s="16"/>
    </row>
    <row r="5718" spans="2:7" x14ac:dyDescent="0.25">
      <c r="B5718" s="38"/>
      <c r="C5718" s="14"/>
      <c r="D5718" s="14"/>
      <c r="E5718" s="14"/>
      <c r="F5718" s="14"/>
      <c r="G5718" s="16"/>
    </row>
    <row r="5719" spans="2:7" x14ac:dyDescent="0.25">
      <c r="B5719" s="38"/>
      <c r="C5719" s="14"/>
      <c r="D5719" s="14"/>
      <c r="E5719" s="14"/>
      <c r="F5719" s="14"/>
      <c r="G5719" s="16"/>
    </row>
    <row r="5720" spans="2:7" x14ac:dyDescent="0.25">
      <c r="B5720" s="38"/>
      <c r="C5720" s="14"/>
      <c r="D5720" s="14"/>
      <c r="E5720" s="14"/>
      <c r="F5720" s="14"/>
      <c r="G5720" s="16"/>
    </row>
    <row r="5721" spans="2:7" x14ac:dyDescent="0.25">
      <c r="B5721" s="38"/>
      <c r="C5721" s="14"/>
      <c r="D5721" s="14"/>
      <c r="E5721" s="14"/>
      <c r="F5721" s="14"/>
      <c r="G5721" s="16"/>
    </row>
    <row r="5722" spans="2:7" x14ac:dyDescent="0.25">
      <c r="B5722" s="38"/>
      <c r="C5722" s="14"/>
      <c r="D5722" s="14"/>
      <c r="E5722" s="14"/>
      <c r="F5722" s="14"/>
      <c r="G5722" s="16"/>
    </row>
    <row r="5723" spans="2:7" x14ac:dyDescent="0.25">
      <c r="B5723" s="38"/>
      <c r="C5723" s="14"/>
      <c r="D5723" s="14"/>
      <c r="E5723" s="14"/>
      <c r="F5723" s="14"/>
      <c r="G5723" s="16"/>
    </row>
    <row r="5724" spans="2:7" x14ac:dyDescent="0.25">
      <c r="B5724" s="38"/>
      <c r="C5724" s="14"/>
      <c r="D5724" s="14"/>
      <c r="E5724" s="14"/>
      <c r="F5724" s="14"/>
      <c r="G5724" s="16"/>
    </row>
    <row r="5725" spans="2:7" x14ac:dyDescent="0.25">
      <c r="B5725" s="38"/>
      <c r="C5725" s="14"/>
      <c r="D5725" s="14"/>
      <c r="E5725" s="14"/>
      <c r="F5725" s="14"/>
      <c r="G5725" s="16"/>
    </row>
    <row r="5726" spans="2:7" x14ac:dyDescent="0.25">
      <c r="B5726" s="38"/>
      <c r="C5726" s="14"/>
      <c r="D5726" s="14"/>
      <c r="E5726" s="14"/>
      <c r="F5726" s="14"/>
      <c r="G5726" s="16"/>
    </row>
    <row r="5727" spans="2:7" x14ac:dyDescent="0.25">
      <c r="B5727" s="38"/>
      <c r="C5727" s="14"/>
      <c r="D5727" s="14"/>
      <c r="E5727" s="14"/>
      <c r="F5727" s="14"/>
      <c r="G5727" s="16"/>
    </row>
    <row r="5728" spans="2:7" x14ac:dyDescent="0.25">
      <c r="B5728" s="38"/>
      <c r="C5728" s="14"/>
      <c r="D5728" s="14"/>
      <c r="E5728" s="14"/>
      <c r="F5728" s="14"/>
      <c r="G5728" s="16"/>
    </row>
    <row r="5729" spans="2:7" x14ac:dyDescent="0.25">
      <c r="B5729" s="38"/>
      <c r="C5729" s="14"/>
      <c r="D5729" s="14"/>
      <c r="E5729" s="14"/>
      <c r="F5729" s="14"/>
      <c r="G5729" s="16"/>
    </row>
    <row r="5730" spans="2:7" x14ac:dyDescent="0.25">
      <c r="B5730" s="38"/>
      <c r="C5730" s="14"/>
      <c r="D5730" s="14"/>
      <c r="E5730" s="14"/>
      <c r="F5730" s="14"/>
      <c r="G5730" s="16"/>
    </row>
    <row r="5731" spans="2:7" x14ac:dyDescent="0.25">
      <c r="B5731" s="38"/>
      <c r="C5731" s="14"/>
      <c r="D5731" s="14"/>
      <c r="E5731" s="14"/>
      <c r="F5731" s="14"/>
      <c r="G5731" s="16"/>
    </row>
    <row r="5732" spans="2:7" x14ac:dyDescent="0.25">
      <c r="B5732" s="38"/>
      <c r="C5732" s="14"/>
      <c r="D5732" s="14"/>
      <c r="E5732" s="14"/>
      <c r="F5732" s="14"/>
      <c r="G5732" s="16"/>
    </row>
    <row r="5733" spans="2:7" x14ac:dyDescent="0.25">
      <c r="B5733" s="38"/>
      <c r="C5733" s="14"/>
      <c r="D5733" s="14"/>
      <c r="E5733" s="14"/>
      <c r="F5733" s="14"/>
      <c r="G5733" s="16"/>
    </row>
    <row r="5734" spans="2:7" x14ac:dyDescent="0.25">
      <c r="B5734" s="38"/>
      <c r="C5734" s="14"/>
      <c r="D5734" s="14"/>
      <c r="E5734" s="14"/>
      <c r="F5734" s="14"/>
      <c r="G5734" s="16"/>
    </row>
    <row r="5735" spans="2:7" x14ac:dyDescent="0.25">
      <c r="B5735" s="38"/>
      <c r="C5735" s="14"/>
      <c r="D5735" s="14"/>
      <c r="E5735" s="14"/>
      <c r="F5735" s="14"/>
      <c r="G5735" s="16"/>
    </row>
    <row r="5736" spans="2:7" x14ac:dyDescent="0.25">
      <c r="B5736" s="38"/>
      <c r="C5736" s="14"/>
      <c r="D5736" s="14"/>
      <c r="E5736" s="14"/>
      <c r="F5736" s="14"/>
      <c r="G5736" s="16"/>
    </row>
    <row r="5737" spans="2:7" x14ac:dyDescent="0.25">
      <c r="B5737" s="38"/>
      <c r="C5737" s="14"/>
      <c r="D5737" s="14"/>
      <c r="E5737" s="14"/>
      <c r="F5737" s="14"/>
      <c r="G5737" s="16"/>
    </row>
    <row r="5738" spans="2:7" x14ac:dyDescent="0.25">
      <c r="B5738" s="38"/>
      <c r="C5738" s="14"/>
      <c r="D5738" s="14"/>
      <c r="E5738" s="14"/>
      <c r="F5738" s="14"/>
      <c r="G5738" s="16"/>
    </row>
    <row r="5739" spans="2:7" x14ac:dyDescent="0.25">
      <c r="B5739" s="38"/>
      <c r="C5739" s="14"/>
      <c r="D5739" s="14"/>
      <c r="E5739" s="14"/>
      <c r="F5739" s="14"/>
      <c r="G5739" s="16"/>
    </row>
    <row r="5740" spans="2:7" x14ac:dyDescent="0.25">
      <c r="B5740" s="38"/>
      <c r="C5740" s="14"/>
      <c r="D5740" s="14"/>
      <c r="E5740" s="14"/>
      <c r="F5740" s="14"/>
      <c r="G5740" s="16"/>
    </row>
    <row r="5741" spans="2:7" x14ac:dyDescent="0.25">
      <c r="B5741" s="38"/>
      <c r="C5741" s="14"/>
      <c r="D5741" s="14"/>
      <c r="E5741" s="14"/>
      <c r="F5741" s="14"/>
      <c r="G5741" s="16"/>
    </row>
    <row r="5742" spans="2:7" x14ac:dyDescent="0.25">
      <c r="B5742" s="38"/>
      <c r="C5742" s="14"/>
      <c r="D5742" s="14"/>
      <c r="E5742" s="14"/>
      <c r="F5742" s="14"/>
      <c r="G5742" s="16"/>
    </row>
    <row r="5743" spans="2:7" x14ac:dyDescent="0.25">
      <c r="B5743" s="38"/>
      <c r="C5743" s="14"/>
      <c r="D5743" s="14"/>
      <c r="E5743" s="14"/>
      <c r="F5743" s="14"/>
      <c r="G5743" s="16"/>
    </row>
    <row r="5744" spans="2:7" x14ac:dyDescent="0.25">
      <c r="B5744" s="38"/>
      <c r="C5744" s="14"/>
      <c r="D5744" s="14"/>
      <c r="E5744" s="14"/>
      <c r="F5744" s="14"/>
      <c r="G5744" s="16"/>
    </row>
    <row r="5745" spans="2:7" x14ac:dyDescent="0.25">
      <c r="B5745" s="38"/>
      <c r="C5745" s="14"/>
      <c r="D5745" s="14"/>
      <c r="E5745" s="14"/>
      <c r="F5745" s="14"/>
      <c r="G5745" s="16"/>
    </row>
    <row r="5746" spans="2:7" x14ac:dyDescent="0.25">
      <c r="B5746" s="38"/>
      <c r="C5746" s="14"/>
      <c r="D5746" s="14"/>
      <c r="E5746" s="14"/>
      <c r="F5746" s="14"/>
      <c r="G5746" s="16"/>
    </row>
    <row r="5747" spans="2:7" x14ac:dyDescent="0.25">
      <c r="B5747" s="38"/>
      <c r="C5747" s="14"/>
      <c r="D5747" s="14"/>
      <c r="E5747" s="14"/>
      <c r="F5747" s="14"/>
      <c r="G5747" s="16"/>
    </row>
    <row r="5748" spans="2:7" x14ac:dyDescent="0.25">
      <c r="B5748" s="38"/>
      <c r="C5748" s="14"/>
      <c r="D5748" s="14"/>
      <c r="E5748" s="14"/>
      <c r="F5748" s="14"/>
      <c r="G5748" s="16"/>
    </row>
    <row r="5749" spans="2:7" x14ac:dyDescent="0.25">
      <c r="B5749" s="38"/>
      <c r="C5749" s="14"/>
      <c r="D5749" s="14"/>
      <c r="E5749" s="14"/>
      <c r="F5749" s="14"/>
      <c r="G5749" s="16"/>
    </row>
    <row r="5750" spans="2:7" x14ac:dyDescent="0.25">
      <c r="B5750" s="38"/>
      <c r="C5750" s="14"/>
      <c r="D5750" s="14"/>
      <c r="E5750" s="14"/>
      <c r="F5750" s="14"/>
      <c r="G5750" s="16"/>
    </row>
    <row r="5751" spans="2:7" x14ac:dyDescent="0.25">
      <c r="B5751" s="38"/>
      <c r="C5751" s="14"/>
      <c r="D5751" s="14"/>
      <c r="E5751" s="14"/>
      <c r="F5751" s="14"/>
      <c r="G5751" s="16"/>
    </row>
    <row r="5752" spans="2:7" x14ac:dyDescent="0.25">
      <c r="B5752" s="38"/>
      <c r="C5752" s="14"/>
      <c r="D5752" s="14"/>
      <c r="E5752" s="14"/>
      <c r="F5752" s="14"/>
      <c r="G5752" s="16"/>
    </row>
    <row r="5753" spans="2:7" x14ac:dyDescent="0.25">
      <c r="B5753" s="38"/>
      <c r="C5753" s="14"/>
      <c r="D5753" s="14"/>
      <c r="E5753" s="14"/>
      <c r="F5753" s="14"/>
      <c r="G5753" s="16"/>
    </row>
    <row r="5754" spans="2:7" x14ac:dyDescent="0.25">
      <c r="B5754" s="38"/>
      <c r="C5754" s="14"/>
      <c r="D5754" s="14"/>
      <c r="E5754" s="14"/>
      <c r="F5754" s="14"/>
      <c r="G5754" s="16"/>
    </row>
    <row r="5755" spans="2:7" x14ac:dyDescent="0.25">
      <c r="B5755" s="38"/>
      <c r="C5755" s="14"/>
      <c r="D5755" s="14"/>
      <c r="E5755" s="14"/>
      <c r="F5755" s="14"/>
      <c r="G5755" s="16"/>
    </row>
    <row r="5756" spans="2:7" x14ac:dyDescent="0.25">
      <c r="B5756" s="38"/>
      <c r="C5756" s="14"/>
      <c r="D5756" s="14"/>
      <c r="E5756" s="14"/>
      <c r="F5756" s="14"/>
      <c r="G5756" s="16"/>
    </row>
    <row r="5757" spans="2:7" x14ac:dyDescent="0.25">
      <c r="B5757" s="38"/>
      <c r="C5757" s="14"/>
      <c r="D5757" s="14"/>
      <c r="E5757" s="14"/>
      <c r="F5757" s="14"/>
      <c r="G5757" s="16"/>
    </row>
    <row r="5758" spans="2:7" x14ac:dyDescent="0.25">
      <c r="B5758" s="38"/>
      <c r="C5758" s="14"/>
      <c r="D5758" s="14"/>
      <c r="E5758" s="14"/>
      <c r="F5758" s="14"/>
      <c r="G5758" s="16"/>
    </row>
    <row r="5759" spans="2:7" x14ac:dyDescent="0.25">
      <c r="B5759" s="38"/>
      <c r="C5759" s="14"/>
      <c r="D5759" s="14"/>
      <c r="E5759" s="14"/>
      <c r="F5759" s="14"/>
      <c r="G5759" s="16"/>
    </row>
    <row r="5760" spans="2:7" x14ac:dyDescent="0.25">
      <c r="B5760" s="38"/>
      <c r="C5760" s="14"/>
      <c r="D5760" s="14"/>
      <c r="E5760" s="14"/>
      <c r="F5760" s="14"/>
      <c r="G5760" s="16"/>
    </row>
    <row r="5761" spans="2:7" x14ac:dyDescent="0.25">
      <c r="B5761" s="38"/>
      <c r="C5761" s="14"/>
      <c r="D5761" s="14"/>
      <c r="E5761" s="14"/>
      <c r="F5761" s="14"/>
      <c r="G5761" s="16"/>
    </row>
    <row r="5762" spans="2:7" x14ac:dyDescent="0.25">
      <c r="B5762" s="38"/>
      <c r="C5762" s="14"/>
      <c r="D5762" s="14"/>
      <c r="E5762" s="14"/>
      <c r="F5762" s="14"/>
      <c r="G5762" s="16"/>
    </row>
    <row r="5763" spans="2:7" x14ac:dyDescent="0.25">
      <c r="B5763" s="38"/>
      <c r="C5763" s="14"/>
      <c r="D5763" s="14"/>
      <c r="E5763" s="14"/>
      <c r="F5763" s="14"/>
      <c r="G5763" s="16"/>
    </row>
    <row r="5764" spans="2:7" x14ac:dyDescent="0.25">
      <c r="B5764" s="38"/>
      <c r="C5764" s="14"/>
      <c r="D5764" s="14"/>
      <c r="E5764" s="14"/>
      <c r="F5764" s="14"/>
      <c r="G5764" s="16"/>
    </row>
    <row r="5765" spans="2:7" x14ac:dyDescent="0.25">
      <c r="B5765" s="38"/>
      <c r="C5765" s="14"/>
      <c r="D5765" s="14"/>
      <c r="E5765" s="14"/>
      <c r="F5765" s="14"/>
      <c r="G5765" s="16"/>
    </row>
    <row r="5766" spans="2:7" x14ac:dyDescent="0.25">
      <c r="B5766" s="38"/>
      <c r="C5766" s="14"/>
      <c r="D5766" s="14"/>
      <c r="E5766" s="14"/>
      <c r="F5766" s="14"/>
      <c r="G5766" s="16"/>
    </row>
    <row r="5767" spans="2:7" x14ac:dyDescent="0.25">
      <c r="B5767" s="38"/>
      <c r="C5767" s="14"/>
      <c r="D5767" s="14"/>
      <c r="E5767" s="14"/>
      <c r="F5767" s="14"/>
      <c r="G5767" s="16"/>
    </row>
    <row r="5768" spans="2:7" x14ac:dyDescent="0.25">
      <c r="B5768" s="38"/>
      <c r="C5768" s="14"/>
      <c r="D5768" s="14"/>
      <c r="E5768" s="14"/>
      <c r="F5768" s="14"/>
      <c r="G5768" s="16"/>
    </row>
    <row r="5769" spans="2:7" x14ac:dyDescent="0.25">
      <c r="B5769" s="38"/>
      <c r="C5769" s="14"/>
      <c r="D5769" s="14"/>
      <c r="E5769" s="14"/>
      <c r="F5769" s="14"/>
      <c r="G5769" s="16"/>
    </row>
    <row r="5770" spans="2:7" x14ac:dyDescent="0.25">
      <c r="B5770" s="38"/>
      <c r="C5770" s="14"/>
      <c r="D5770" s="14"/>
      <c r="E5770" s="14"/>
      <c r="F5770" s="14"/>
      <c r="G5770" s="16"/>
    </row>
    <row r="5771" spans="2:7" x14ac:dyDescent="0.25">
      <c r="B5771" s="38"/>
      <c r="C5771" s="14"/>
      <c r="D5771" s="14"/>
      <c r="E5771" s="14"/>
      <c r="F5771" s="14"/>
      <c r="G5771" s="16"/>
    </row>
    <row r="5772" spans="2:7" x14ac:dyDescent="0.25">
      <c r="B5772" s="38"/>
      <c r="C5772" s="14"/>
      <c r="D5772" s="14"/>
      <c r="E5772" s="14"/>
      <c r="F5772" s="14"/>
      <c r="G5772" s="16"/>
    </row>
    <row r="5773" spans="2:7" x14ac:dyDescent="0.25">
      <c r="B5773" s="38"/>
      <c r="C5773" s="14"/>
      <c r="D5773" s="14"/>
      <c r="E5773" s="14"/>
      <c r="F5773" s="14"/>
      <c r="G5773" s="16"/>
    </row>
    <row r="5774" spans="2:7" x14ac:dyDescent="0.25">
      <c r="B5774" s="38"/>
      <c r="C5774" s="14"/>
      <c r="D5774" s="14"/>
      <c r="E5774" s="14"/>
      <c r="F5774" s="14"/>
      <c r="G5774" s="16"/>
    </row>
    <row r="5775" spans="2:7" x14ac:dyDescent="0.25">
      <c r="B5775" s="38"/>
      <c r="C5775" s="14"/>
      <c r="D5775" s="14"/>
      <c r="E5775" s="14"/>
      <c r="F5775" s="14"/>
      <c r="G5775" s="16"/>
    </row>
    <row r="5776" spans="2:7" x14ac:dyDescent="0.25">
      <c r="B5776" s="38"/>
      <c r="C5776" s="14"/>
      <c r="D5776" s="14"/>
      <c r="E5776" s="14"/>
      <c r="F5776" s="14"/>
      <c r="G5776" s="16"/>
    </row>
    <row r="5777" spans="2:7" x14ac:dyDescent="0.25">
      <c r="B5777" s="38"/>
      <c r="C5777" s="14"/>
      <c r="D5777" s="14"/>
      <c r="E5777" s="14"/>
      <c r="F5777" s="14"/>
      <c r="G5777" s="16"/>
    </row>
    <row r="5778" spans="2:7" x14ac:dyDescent="0.25">
      <c r="B5778" s="38"/>
      <c r="C5778" s="14"/>
      <c r="D5778" s="14"/>
      <c r="E5778" s="14"/>
      <c r="F5778" s="14"/>
      <c r="G5778" s="16"/>
    </row>
    <row r="5779" spans="2:7" x14ac:dyDescent="0.25">
      <c r="B5779" s="38"/>
      <c r="C5779" s="14"/>
      <c r="D5779" s="14"/>
      <c r="E5779" s="14"/>
      <c r="F5779" s="14"/>
      <c r="G5779" s="16"/>
    </row>
    <row r="5780" spans="2:7" x14ac:dyDescent="0.25">
      <c r="B5780" s="38"/>
      <c r="C5780" s="14"/>
      <c r="D5780" s="14"/>
      <c r="E5780" s="14"/>
      <c r="F5780" s="14"/>
      <c r="G5780" s="16"/>
    </row>
    <row r="5781" spans="2:7" x14ac:dyDescent="0.25">
      <c r="B5781" s="38"/>
      <c r="C5781" s="14"/>
      <c r="D5781" s="14"/>
      <c r="E5781" s="14"/>
      <c r="F5781" s="14"/>
      <c r="G5781" s="16"/>
    </row>
    <row r="5782" spans="2:7" x14ac:dyDescent="0.25">
      <c r="B5782" s="38"/>
      <c r="C5782" s="14"/>
      <c r="D5782" s="14"/>
      <c r="E5782" s="14"/>
      <c r="F5782" s="14"/>
      <c r="G5782" s="16"/>
    </row>
    <row r="5783" spans="2:7" x14ac:dyDescent="0.25">
      <c r="B5783" s="38"/>
      <c r="C5783" s="14"/>
      <c r="D5783" s="14"/>
      <c r="E5783" s="14"/>
      <c r="F5783" s="14"/>
      <c r="G5783" s="16"/>
    </row>
    <row r="5784" spans="2:7" x14ac:dyDescent="0.25">
      <c r="B5784" s="38"/>
      <c r="C5784" s="14"/>
      <c r="D5784" s="14"/>
      <c r="E5784" s="14"/>
      <c r="F5784" s="14"/>
      <c r="G5784" s="16"/>
    </row>
    <row r="5785" spans="2:7" x14ac:dyDescent="0.25">
      <c r="B5785" s="38"/>
      <c r="C5785" s="14"/>
      <c r="D5785" s="14"/>
      <c r="E5785" s="14"/>
      <c r="F5785" s="14"/>
      <c r="G5785" s="16"/>
    </row>
    <row r="5786" spans="2:7" x14ac:dyDescent="0.25">
      <c r="B5786" s="38"/>
      <c r="C5786" s="14"/>
      <c r="D5786" s="14"/>
      <c r="E5786" s="14"/>
      <c r="F5786" s="14"/>
      <c r="G5786" s="16"/>
    </row>
    <row r="5787" spans="2:7" x14ac:dyDescent="0.25">
      <c r="B5787" s="38"/>
      <c r="C5787" s="14"/>
      <c r="D5787" s="14"/>
      <c r="E5787" s="14"/>
      <c r="F5787" s="14"/>
      <c r="G5787" s="16"/>
    </row>
    <row r="5788" spans="2:7" x14ac:dyDescent="0.25">
      <c r="B5788" s="38"/>
      <c r="C5788" s="14"/>
      <c r="D5788" s="14"/>
      <c r="E5788" s="14"/>
      <c r="F5788" s="14"/>
      <c r="G5788" s="16"/>
    </row>
    <row r="5789" spans="2:7" x14ac:dyDescent="0.25">
      <c r="B5789" s="38"/>
      <c r="C5789" s="14"/>
      <c r="D5789" s="14"/>
      <c r="E5789" s="14"/>
      <c r="F5789" s="14"/>
      <c r="G5789" s="16"/>
    </row>
    <row r="5790" spans="2:7" x14ac:dyDescent="0.25">
      <c r="B5790" s="38"/>
      <c r="C5790" s="14"/>
      <c r="D5790" s="14"/>
      <c r="E5790" s="14"/>
      <c r="F5790" s="14"/>
      <c r="G5790" s="16"/>
    </row>
    <row r="5791" spans="2:7" x14ac:dyDescent="0.25">
      <c r="B5791" s="38"/>
      <c r="C5791" s="14"/>
      <c r="D5791" s="14"/>
      <c r="E5791" s="14"/>
      <c r="F5791" s="14"/>
      <c r="G5791" s="16"/>
    </row>
    <row r="5792" spans="2:7" x14ac:dyDescent="0.25">
      <c r="B5792" s="38"/>
      <c r="C5792" s="14"/>
      <c r="D5792" s="14"/>
      <c r="E5792" s="14"/>
      <c r="F5792" s="14"/>
      <c r="G5792" s="16"/>
    </row>
    <row r="5793" spans="2:7" x14ac:dyDescent="0.25">
      <c r="B5793" s="38"/>
      <c r="C5793" s="14"/>
      <c r="D5793" s="14"/>
      <c r="E5793" s="14"/>
      <c r="F5793" s="14"/>
      <c r="G5793" s="16"/>
    </row>
    <row r="5794" spans="2:7" x14ac:dyDescent="0.25">
      <c r="B5794" s="38"/>
      <c r="C5794" s="14"/>
      <c r="D5794" s="14"/>
      <c r="E5794" s="14"/>
      <c r="F5794" s="14"/>
      <c r="G5794" s="16"/>
    </row>
    <row r="5795" spans="2:7" x14ac:dyDescent="0.25">
      <c r="B5795" s="38"/>
      <c r="C5795" s="14"/>
      <c r="D5795" s="14"/>
      <c r="E5795" s="14"/>
      <c r="F5795" s="14"/>
      <c r="G5795" s="16"/>
    </row>
    <row r="5796" spans="2:7" x14ac:dyDescent="0.25">
      <c r="B5796" s="38"/>
      <c r="C5796" s="14"/>
      <c r="D5796" s="14"/>
      <c r="E5796" s="14"/>
      <c r="F5796" s="14"/>
      <c r="G5796" s="16"/>
    </row>
    <row r="5797" spans="2:7" x14ac:dyDescent="0.25">
      <c r="B5797" s="38"/>
      <c r="C5797" s="14"/>
      <c r="D5797" s="14"/>
      <c r="E5797" s="14"/>
      <c r="F5797" s="14"/>
      <c r="G5797" s="16"/>
    </row>
    <row r="5798" spans="2:7" x14ac:dyDescent="0.25">
      <c r="B5798" s="38"/>
      <c r="C5798" s="14"/>
      <c r="D5798" s="14"/>
      <c r="E5798" s="14"/>
      <c r="F5798" s="14"/>
      <c r="G5798" s="16"/>
    </row>
    <row r="5799" spans="2:7" x14ac:dyDescent="0.25">
      <c r="B5799" s="38"/>
      <c r="C5799" s="14"/>
      <c r="D5799" s="14"/>
      <c r="E5799" s="14"/>
      <c r="F5799" s="14"/>
      <c r="G5799" s="16"/>
    </row>
    <row r="5800" spans="2:7" x14ac:dyDescent="0.25">
      <c r="B5800" s="38"/>
      <c r="C5800" s="14"/>
      <c r="D5800" s="14"/>
      <c r="E5800" s="14"/>
      <c r="F5800" s="14"/>
      <c r="G5800" s="16"/>
    </row>
    <row r="5801" spans="2:7" x14ac:dyDescent="0.25">
      <c r="B5801" s="38"/>
      <c r="C5801" s="14"/>
      <c r="D5801" s="14"/>
      <c r="E5801" s="14"/>
      <c r="F5801" s="14"/>
      <c r="G5801" s="16"/>
    </row>
    <row r="5802" spans="2:7" x14ac:dyDescent="0.25">
      <c r="B5802" s="38"/>
      <c r="C5802" s="14"/>
      <c r="D5802" s="14"/>
      <c r="E5802" s="14"/>
      <c r="F5802" s="14"/>
      <c r="G5802" s="16"/>
    </row>
    <row r="5803" spans="2:7" x14ac:dyDescent="0.25">
      <c r="B5803" s="38"/>
      <c r="C5803" s="14"/>
      <c r="D5803" s="14"/>
      <c r="E5803" s="14"/>
      <c r="F5803" s="14"/>
      <c r="G5803" s="16"/>
    </row>
    <row r="5804" spans="2:7" x14ac:dyDescent="0.25">
      <c r="B5804" s="38"/>
      <c r="C5804" s="14"/>
      <c r="D5804" s="14"/>
      <c r="E5804" s="14"/>
      <c r="F5804" s="14"/>
      <c r="G5804" s="16"/>
    </row>
    <row r="5805" spans="2:7" x14ac:dyDescent="0.25">
      <c r="B5805" s="38"/>
      <c r="C5805" s="14"/>
      <c r="D5805" s="14"/>
      <c r="E5805" s="14"/>
      <c r="F5805" s="14"/>
      <c r="G5805" s="16"/>
    </row>
    <row r="5806" spans="2:7" x14ac:dyDescent="0.25">
      <c r="B5806" s="38"/>
      <c r="C5806" s="14"/>
      <c r="D5806" s="14"/>
      <c r="E5806" s="14"/>
      <c r="F5806" s="14"/>
      <c r="G5806" s="16"/>
    </row>
    <row r="5807" spans="2:7" x14ac:dyDescent="0.25">
      <c r="B5807" s="38"/>
      <c r="C5807" s="14"/>
      <c r="D5807" s="14"/>
      <c r="E5807" s="14"/>
      <c r="F5807" s="14"/>
      <c r="G5807" s="16"/>
    </row>
    <row r="5808" spans="2:7" x14ac:dyDescent="0.25">
      <c r="B5808" s="38"/>
      <c r="C5808" s="14"/>
      <c r="D5808" s="14"/>
      <c r="E5808" s="14"/>
      <c r="F5808" s="14"/>
      <c r="G5808" s="16"/>
    </row>
    <row r="5809" spans="2:7" x14ac:dyDescent="0.25">
      <c r="B5809" s="38"/>
      <c r="C5809" s="14"/>
      <c r="D5809" s="14"/>
      <c r="E5809" s="14"/>
      <c r="F5809" s="14"/>
      <c r="G5809" s="16"/>
    </row>
    <row r="5810" spans="2:7" x14ac:dyDescent="0.25">
      <c r="B5810" s="38"/>
      <c r="C5810" s="14"/>
      <c r="D5810" s="14"/>
      <c r="E5810" s="14"/>
      <c r="F5810" s="14"/>
      <c r="G5810" s="16"/>
    </row>
    <row r="5811" spans="2:7" x14ac:dyDescent="0.25">
      <c r="B5811" s="38"/>
      <c r="C5811" s="14"/>
      <c r="D5811" s="14"/>
      <c r="E5811" s="14"/>
      <c r="F5811" s="14"/>
      <c r="G5811" s="16"/>
    </row>
    <row r="5812" spans="2:7" x14ac:dyDescent="0.25">
      <c r="B5812" s="38"/>
      <c r="C5812" s="14"/>
      <c r="D5812" s="14"/>
      <c r="E5812" s="14"/>
      <c r="F5812" s="14"/>
      <c r="G5812" s="16"/>
    </row>
    <row r="5813" spans="2:7" x14ac:dyDescent="0.25">
      <c r="B5813" s="38"/>
      <c r="C5813" s="14"/>
      <c r="D5813" s="14"/>
      <c r="E5813" s="14"/>
      <c r="F5813" s="14"/>
      <c r="G5813" s="16"/>
    </row>
    <row r="5814" spans="2:7" x14ac:dyDescent="0.25">
      <c r="B5814" s="38"/>
      <c r="C5814" s="14"/>
      <c r="D5814" s="14"/>
      <c r="E5814" s="14"/>
      <c r="F5814" s="14"/>
      <c r="G5814" s="16"/>
    </row>
    <row r="5815" spans="2:7" x14ac:dyDescent="0.25">
      <c r="B5815" s="38"/>
      <c r="C5815" s="14"/>
      <c r="D5815" s="14"/>
      <c r="E5815" s="14"/>
      <c r="F5815" s="14"/>
      <c r="G5815" s="16"/>
    </row>
    <row r="5816" spans="2:7" x14ac:dyDescent="0.25">
      <c r="B5816" s="38"/>
      <c r="C5816" s="14"/>
      <c r="D5816" s="14"/>
      <c r="E5816" s="14"/>
      <c r="F5816" s="14"/>
      <c r="G5816" s="16"/>
    </row>
    <row r="5817" spans="2:7" x14ac:dyDescent="0.25">
      <c r="B5817" s="38"/>
      <c r="C5817" s="14"/>
      <c r="D5817" s="14"/>
      <c r="E5817" s="14"/>
      <c r="F5817" s="14"/>
      <c r="G5817" s="16"/>
    </row>
    <row r="5818" spans="2:7" x14ac:dyDescent="0.25">
      <c r="B5818" s="38"/>
      <c r="C5818" s="14"/>
      <c r="D5818" s="14"/>
      <c r="E5818" s="14"/>
      <c r="F5818" s="14"/>
      <c r="G5818" s="16"/>
    </row>
    <row r="5819" spans="2:7" x14ac:dyDescent="0.25">
      <c r="B5819" s="38"/>
      <c r="C5819" s="14"/>
      <c r="D5819" s="14"/>
      <c r="E5819" s="14"/>
      <c r="F5819" s="14"/>
      <c r="G5819" s="16"/>
    </row>
    <row r="5820" spans="2:7" x14ac:dyDescent="0.25">
      <c r="B5820" s="38"/>
      <c r="C5820" s="14"/>
      <c r="D5820" s="14"/>
      <c r="E5820" s="14"/>
      <c r="F5820" s="14"/>
      <c r="G5820" s="16"/>
    </row>
    <row r="5821" spans="2:7" x14ac:dyDescent="0.25">
      <c r="B5821" s="38"/>
      <c r="C5821" s="14"/>
      <c r="D5821" s="14"/>
      <c r="E5821" s="14"/>
      <c r="F5821" s="14"/>
      <c r="G5821" s="16"/>
    </row>
    <row r="5822" spans="2:7" x14ac:dyDescent="0.25">
      <c r="B5822" s="38"/>
      <c r="C5822" s="14"/>
      <c r="D5822" s="14"/>
      <c r="E5822" s="14"/>
      <c r="F5822" s="14"/>
      <c r="G5822" s="16"/>
    </row>
    <row r="5823" spans="2:7" x14ac:dyDescent="0.25">
      <c r="B5823" s="38"/>
      <c r="C5823" s="14"/>
      <c r="D5823" s="14"/>
      <c r="E5823" s="14"/>
      <c r="F5823" s="14"/>
      <c r="G5823" s="16"/>
    </row>
    <row r="5824" spans="2:7" x14ac:dyDescent="0.25">
      <c r="B5824" s="38"/>
      <c r="C5824" s="14"/>
      <c r="D5824" s="14"/>
      <c r="E5824" s="14"/>
      <c r="F5824" s="14"/>
      <c r="G5824" s="16"/>
    </row>
    <row r="5825" spans="2:7" x14ac:dyDescent="0.25">
      <c r="B5825" s="38"/>
      <c r="C5825" s="14"/>
      <c r="D5825" s="14"/>
      <c r="E5825" s="14"/>
      <c r="F5825" s="14"/>
      <c r="G5825" s="16"/>
    </row>
    <row r="5826" spans="2:7" x14ac:dyDescent="0.25">
      <c r="B5826" s="38"/>
      <c r="C5826" s="14"/>
      <c r="D5826" s="14"/>
      <c r="E5826" s="14"/>
      <c r="F5826" s="14"/>
      <c r="G5826" s="16"/>
    </row>
    <row r="5827" spans="2:7" x14ac:dyDescent="0.25">
      <c r="B5827" s="38"/>
      <c r="C5827" s="14"/>
      <c r="D5827" s="14"/>
      <c r="E5827" s="14"/>
      <c r="F5827" s="14"/>
      <c r="G5827" s="16"/>
    </row>
    <row r="5828" spans="2:7" x14ac:dyDescent="0.25">
      <c r="B5828" s="38"/>
      <c r="C5828" s="14"/>
      <c r="D5828" s="14"/>
      <c r="E5828" s="14"/>
      <c r="F5828" s="14"/>
      <c r="G5828" s="16"/>
    </row>
    <row r="5829" spans="2:7" x14ac:dyDescent="0.25">
      <c r="B5829" s="38"/>
      <c r="C5829" s="14"/>
      <c r="D5829" s="14"/>
      <c r="E5829" s="14"/>
      <c r="F5829" s="14"/>
      <c r="G5829" s="16"/>
    </row>
    <row r="5830" spans="2:7" x14ac:dyDescent="0.25">
      <c r="B5830" s="38"/>
      <c r="C5830" s="14"/>
      <c r="D5830" s="14"/>
      <c r="E5830" s="14"/>
      <c r="F5830" s="14"/>
      <c r="G5830" s="16"/>
    </row>
    <row r="5831" spans="2:7" x14ac:dyDescent="0.25">
      <c r="B5831" s="38"/>
      <c r="C5831" s="14"/>
      <c r="D5831" s="14"/>
      <c r="E5831" s="14"/>
      <c r="F5831" s="14"/>
      <c r="G5831" s="16"/>
    </row>
    <row r="5832" spans="2:7" x14ac:dyDescent="0.25">
      <c r="B5832" s="38"/>
      <c r="C5832" s="14"/>
      <c r="D5832" s="14"/>
      <c r="E5832" s="14"/>
      <c r="F5832" s="14"/>
      <c r="G5832" s="16"/>
    </row>
    <row r="5833" spans="2:7" x14ac:dyDescent="0.25">
      <c r="B5833" s="38"/>
      <c r="C5833" s="14"/>
      <c r="D5833" s="14"/>
      <c r="E5833" s="14"/>
      <c r="F5833" s="14"/>
      <c r="G5833" s="16"/>
    </row>
    <row r="5834" spans="2:7" x14ac:dyDescent="0.25">
      <c r="B5834" s="38"/>
      <c r="C5834" s="14"/>
      <c r="D5834" s="14"/>
      <c r="E5834" s="14"/>
      <c r="F5834" s="14"/>
      <c r="G5834" s="16"/>
    </row>
    <row r="5835" spans="2:7" x14ac:dyDescent="0.25">
      <c r="B5835" s="38"/>
      <c r="C5835" s="14"/>
      <c r="D5835" s="14"/>
      <c r="E5835" s="14"/>
      <c r="F5835" s="14"/>
      <c r="G5835" s="16"/>
    </row>
    <row r="5836" spans="2:7" x14ac:dyDescent="0.25">
      <c r="B5836" s="38"/>
      <c r="C5836" s="14"/>
      <c r="D5836" s="14"/>
      <c r="E5836" s="14"/>
      <c r="F5836" s="14"/>
      <c r="G5836" s="16"/>
    </row>
    <row r="5837" spans="2:7" x14ac:dyDescent="0.25">
      <c r="B5837" s="38"/>
      <c r="C5837" s="14"/>
      <c r="D5837" s="14"/>
      <c r="E5837" s="14"/>
      <c r="F5837" s="14"/>
      <c r="G5837" s="16"/>
    </row>
    <row r="5838" spans="2:7" x14ac:dyDescent="0.25">
      <c r="B5838" s="38"/>
      <c r="C5838" s="14"/>
      <c r="D5838" s="14"/>
      <c r="E5838" s="14"/>
      <c r="F5838" s="14"/>
      <c r="G5838" s="16"/>
    </row>
    <row r="5839" spans="2:7" x14ac:dyDescent="0.25">
      <c r="B5839" s="38"/>
      <c r="C5839" s="14"/>
      <c r="D5839" s="14"/>
      <c r="E5839" s="14"/>
      <c r="F5839" s="14"/>
      <c r="G5839" s="16"/>
    </row>
    <row r="5840" spans="2:7" x14ac:dyDescent="0.25">
      <c r="B5840" s="38"/>
      <c r="C5840" s="14"/>
      <c r="D5840" s="14"/>
      <c r="E5840" s="14"/>
      <c r="F5840" s="14"/>
      <c r="G5840" s="16"/>
    </row>
    <row r="5841" spans="2:7" x14ac:dyDescent="0.25">
      <c r="B5841" s="38"/>
      <c r="C5841" s="14"/>
      <c r="D5841" s="14"/>
      <c r="E5841" s="14"/>
      <c r="F5841" s="14"/>
      <c r="G5841" s="16"/>
    </row>
    <row r="5842" spans="2:7" x14ac:dyDescent="0.25">
      <c r="B5842" s="38"/>
      <c r="C5842" s="14"/>
      <c r="D5842" s="14"/>
      <c r="E5842" s="14"/>
      <c r="F5842" s="14"/>
      <c r="G5842" s="16"/>
    </row>
    <row r="5843" spans="2:7" x14ac:dyDescent="0.25">
      <c r="B5843" s="38"/>
      <c r="C5843" s="14"/>
      <c r="D5843" s="14"/>
      <c r="E5843" s="14"/>
      <c r="F5843" s="14"/>
      <c r="G5843" s="16"/>
    </row>
    <row r="5844" spans="2:7" x14ac:dyDescent="0.25">
      <c r="B5844" s="38"/>
      <c r="C5844" s="14"/>
      <c r="D5844" s="14"/>
      <c r="E5844" s="14"/>
      <c r="F5844" s="14"/>
      <c r="G5844" s="16"/>
    </row>
    <row r="5845" spans="2:7" x14ac:dyDescent="0.25">
      <c r="B5845" s="38"/>
      <c r="C5845" s="14"/>
      <c r="D5845" s="14"/>
      <c r="E5845" s="14"/>
      <c r="F5845" s="14"/>
      <c r="G5845" s="16"/>
    </row>
    <row r="5846" spans="2:7" x14ac:dyDescent="0.25">
      <c r="B5846" s="38"/>
      <c r="C5846" s="14"/>
      <c r="D5846" s="14"/>
      <c r="E5846" s="14"/>
      <c r="F5846" s="14"/>
      <c r="G5846" s="16"/>
    </row>
    <row r="5847" spans="2:7" x14ac:dyDescent="0.25">
      <c r="B5847" s="38"/>
      <c r="C5847" s="14"/>
      <c r="D5847" s="14"/>
      <c r="E5847" s="14"/>
      <c r="F5847" s="14"/>
      <c r="G5847" s="16"/>
    </row>
    <row r="5848" spans="2:7" x14ac:dyDescent="0.25">
      <c r="B5848" s="38"/>
      <c r="C5848" s="14"/>
      <c r="D5848" s="14"/>
      <c r="E5848" s="14"/>
      <c r="F5848" s="14"/>
      <c r="G5848" s="16"/>
    </row>
    <row r="5849" spans="2:7" x14ac:dyDescent="0.25">
      <c r="B5849" s="38"/>
      <c r="C5849" s="14"/>
      <c r="D5849" s="14"/>
      <c r="E5849" s="14"/>
      <c r="F5849" s="14"/>
      <c r="G5849" s="16"/>
    </row>
    <row r="5850" spans="2:7" x14ac:dyDescent="0.25">
      <c r="B5850" s="38"/>
      <c r="C5850" s="14"/>
      <c r="D5850" s="14"/>
      <c r="E5850" s="14"/>
      <c r="F5850" s="14"/>
      <c r="G5850" s="16"/>
    </row>
    <row r="5851" spans="2:7" x14ac:dyDescent="0.25">
      <c r="B5851" s="38"/>
      <c r="C5851" s="14"/>
      <c r="D5851" s="14"/>
      <c r="E5851" s="14"/>
      <c r="F5851" s="14"/>
      <c r="G5851" s="16"/>
    </row>
    <row r="5852" spans="2:7" x14ac:dyDescent="0.25">
      <c r="B5852" s="38"/>
      <c r="C5852" s="14"/>
      <c r="D5852" s="14"/>
      <c r="E5852" s="14"/>
      <c r="F5852" s="14"/>
      <c r="G5852" s="16"/>
    </row>
    <row r="5853" spans="2:7" x14ac:dyDescent="0.25">
      <c r="B5853" s="38"/>
      <c r="C5853" s="14"/>
      <c r="D5853" s="14"/>
      <c r="E5853" s="14"/>
      <c r="F5853" s="14"/>
      <c r="G5853" s="16"/>
    </row>
    <row r="5854" spans="2:7" x14ac:dyDescent="0.25">
      <c r="B5854" s="38"/>
      <c r="C5854" s="14"/>
      <c r="D5854" s="14"/>
      <c r="E5854" s="14"/>
      <c r="F5854" s="14"/>
      <c r="G5854" s="16"/>
    </row>
    <row r="5855" spans="2:7" x14ac:dyDescent="0.25">
      <c r="B5855" s="38"/>
      <c r="C5855" s="14"/>
      <c r="D5855" s="14"/>
      <c r="E5855" s="14"/>
      <c r="F5855" s="14"/>
      <c r="G5855" s="16"/>
    </row>
    <row r="5856" spans="2:7" x14ac:dyDescent="0.25">
      <c r="B5856" s="38"/>
      <c r="C5856" s="14"/>
      <c r="D5856" s="14"/>
      <c r="E5856" s="14"/>
      <c r="F5856" s="14"/>
      <c r="G5856" s="16"/>
    </row>
    <row r="5857" spans="2:7" x14ac:dyDescent="0.25">
      <c r="B5857" s="38"/>
      <c r="C5857" s="14"/>
      <c r="D5857" s="14"/>
      <c r="E5857" s="14"/>
      <c r="F5857" s="14"/>
      <c r="G5857" s="16"/>
    </row>
    <row r="5858" spans="2:7" x14ac:dyDescent="0.25">
      <c r="B5858" s="38"/>
      <c r="C5858" s="14"/>
      <c r="D5858" s="14"/>
      <c r="E5858" s="14"/>
      <c r="F5858" s="14"/>
      <c r="G5858" s="16"/>
    </row>
    <row r="5859" spans="2:7" x14ac:dyDescent="0.25">
      <c r="B5859" s="38"/>
      <c r="C5859" s="14"/>
      <c r="D5859" s="14"/>
      <c r="E5859" s="14"/>
      <c r="F5859" s="14"/>
      <c r="G5859" s="16"/>
    </row>
    <row r="5860" spans="2:7" x14ac:dyDescent="0.25">
      <c r="B5860" s="38"/>
      <c r="C5860" s="14"/>
      <c r="D5860" s="14"/>
      <c r="E5860" s="14"/>
      <c r="F5860" s="14"/>
      <c r="G5860" s="16"/>
    </row>
    <row r="5861" spans="2:7" x14ac:dyDescent="0.25">
      <c r="B5861" s="38"/>
      <c r="C5861" s="14"/>
      <c r="D5861" s="14"/>
      <c r="E5861" s="14"/>
      <c r="F5861" s="14"/>
      <c r="G5861" s="16"/>
    </row>
    <row r="5862" spans="2:7" x14ac:dyDescent="0.25">
      <c r="B5862" s="38"/>
      <c r="C5862" s="14"/>
      <c r="D5862" s="14"/>
      <c r="E5862" s="14"/>
      <c r="F5862" s="14"/>
      <c r="G5862" s="16"/>
    </row>
    <row r="5863" spans="2:7" x14ac:dyDescent="0.25">
      <c r="B5863" s="38"/>
      <c r="C5863" s="14"/>
      <c r="D5863" s="14"/>
      <c r="E5863" s="14"/>
      <c r="F5863" s="14"/>
      <c r="G5863" s="16"/>
    </row>
    <row r="5864" spans="2:7" x14ac:dyDescent="0.25">
      <c r="B5864" s="38"/>
      <c r="C5864" s="14"/>
      <c r="D5864" s="14"/>
      <c r="E5864" s="14"/>
      <c r="F5864" s="14"/>
      <c r="G5864" s="16"/>
    </row>
    <row r="5865" spans="2:7" x14ac:dyDescent="0.25">
      <c r="B5865" s="38"/>
      <c r="C5865" s="14"/>
      <c r="D5865" s="14"/>
      <c r="E5865" s="14"/>
      <c r="F5865" s="14"/>
      <c r="G5865" s="16"/>
    </row>
    <row r="5866" spans="2:7" x14ac:dyDescent="0.25">
      <c r="B5866" s="38"/>
      <c r="C5866" s="14"/>
      <c r="D5866" s="14"/>
      <c r="E5866" s="14"/>
      <c r="F5866" s="14"/>
      <c r="G5866" s="16"/>
    </row>
    <row r="5867" spans="2:7" x14ac:dyDescent="0.25">
      <c r="B5867" s="38"/>
      <c r="C5867" s="14"/>
      <c r="D5867" s="14"/>
      <c r="E5867" s="14"/>
      <c r="F5867" s="14"/>
      <c r="G5867" s="16"/>
    </row>
    <row r="5868" spans="2:7" x14ac:dyDescent="0.25">
      <c r="B5868" s="38"/>
      <c r="C5868" s="14"/>
      <c r="D5868" s="14"/>
      <c r="E5868" s="14"/>
      <c r="F5868" s="14"/>
      <c r="G5868" s="16"/>
    </row>
    <row r="5869" spans="2:7" x14ac:dyDescent="0.25">
      <c r="B5869" s="38"/>
      <c r="C5869" s="14"/>
      <c r="D5869" s="14"/>
      <c r="E5869" s="14"/>
      <c r="F5869" s="14"/>
      <c r="G5869" s="16"/>
    </row>
    <row r="5870" spans="2:7" x14ac:dyDescent="0.25">
      <c r="B5870" s="38"/>
      <c r="C5870" s="14"/>
      <c r="D5870" s="14"/>
      <c r="E5870" s="14"/>
      <c r="F5870" s="14"/>
      <c r="G5870" s="16"/>
    </row>
    <row r="5871" spans="2:7" x14ac:dyDescent="0.25">
      <c r="B5871" s="38"/>
      <c r="C5871" s="14"/>
      <c r="D5871" s="14"/>
      <c r="E5871" s="14"/>
      <c r="F5871" s="14"/>
      <c r="G5871" s="16"/>
    </row>
    <row r="5872" spans="2:7" x14ac:dyDescent="0.25">
      <c r="B5872" s="38"/>
      <c r="C5872" s="14"/>
      <c r="D5872" s="14"/>
      <c r="E5872" s="14"/>
      <c r="F5872" s="14"/>
      <c r="G5872" s="16"/>
    </row>
    <row r="5873" spans="2:7" x14ac:dyDescent="0.25">
      <c r="B5873" s="38"/>
      <c r="C5873" s="14"/>
      <c r="D5873" s="14"/>
      <c r="E5873" s="14"/>
      <c r="F5873" s="14"/>
      <c r="G5873" s="16"/>
    </row>
    <row r="5874" spans="2:7" x14ac:dyDescent="0.25">
      <c r="B5874" s="38"/>
      <c r="C5874" s="14"/>
      <c r="D5874" s="14"/>
      <c r="E5874" s="14"/>
      <c r="F5874" s="14"/>
      <c r="G5874" s="16"/>
    </row>
    <row r="5875" spans="2:7" x14ac:dyDescent="0.25">
      <c r="B5875" s="38"/>
      <c r="C5875" s="14"/>
      <c r="D5875" s="14"/>
      <c r="E5875" s="14"/>
      <c r="F5875" s="14"/>
      <c r="G5875" s="16"/>
    </row>
    <row r="5876" spans="2:7" x14ac:dyDescent="0.25">
      <c r="B5876" s="38"/>
      <c r="C5876" s="14"/>
      <c r="D5876" s="14"/>
      <c r="E5876" s="14"/>
      <c r="F5876" s="14"/>
      <c r="G5876" s="16"/>
    </row>
    <row r="5877" spans="2:7" x14ac:dyDescent="0.25">
      <c r="B5877" s="38"/>
      <c r="C5877" s="14"/>
      <c r="D5877" s="14"/>
      <c r="E5877" s="14"/>
      <c r="F5877" s="14"/>
      <c r="G5877" s="16"/>
    </row>
    <row r="5878" spans="2:7" x14ac:dyDescent="0.25">
      <c r="B5878" s="38"/>
      <c r="C5878" s="14"/>
      <c r="D5878" s="14"/>
      <c r="E5878" s="14"/>
      <c r="F5878" s="14"/>
      <c r="G5878" s="16"/>
    </row>
    <row r="5879" spans="2:7" x14ac:dyDescent="0.25">
      <c r="B5879" s="38"/>
      <c r="C5879" s="14"/>
      <c r="D5879" s="14"/>
      <c r="E5879" s="14"/>
      <c r="F5879" s="14"/>
      <c r="G5879" s="16"/>
    </row>
    <row r="5880" spans="2:7" x14ac:dyDescent="0.25">
      <c r="B5880" s="38"/>
      <c r="C5880" s="14"/>
      <c r="D5880" s="14"/>
      <c r="E5880" s="14"/>
      <c r="F5880" s="14"/>
      <c r="G5880" s="16"/>
    </row>
    <row r="5881" spans="2:7" x14ac:dyDescent="0.25">
      <c r="B5881" s="38"/>
      <c r="C5881" s="14"/>
      <c r="D5881" s="14"/>
      <c r="E5881" s="14"/>
      <c r="F5881" s="14"/>
      <c r="G5881" s="16"/>
    </row>
    <row r="5882" spans="2:7" x14ac:dyDescent="0.25">
      <c r="B5882" s="38"/>
      <c r="C5882" s="14"/>
      <c r="D5882" s="14"/>
      <c r="E5882" s="14"/>
      <c r="F5882" s="14"/>
      <c r="G5882" s="16"/>
    </row>
    <row r="5883" spans="2:7" x14ac:dyDescent="0.25">
      <c r="B5883" s="38"/>
      <c r="C5883" s="14"/>
      <c r="D5883" s="14"/>
      <c r="E5883" s="14"/>
      <c r="F5883" s="14"/>
      <c r="G5883" s="16"/>
    </row>
    <row r="5884" spans="2:7" x14ac:dyDescent="0.25">
      <c r="B5884" s="38"/>
      <c r="C5884" s="14"/>
      <c r="D5884" s="14"/>
      <c r="E5884" s="14"/>
      <c r="F5884" s="14"/>
      <c r="G5884" s="16"/>
    </row>
    <row r="5885" spans="2:7" x14ac:dyDescent="0.25">
      <c r="B5885" s="38"/>
      <c r="C5885" s="14"/>
      <c r="D5885" s="14"/>
      <c r="E5885" s="14"/>
      <c r="F5885" s="14"/>
      <c r="G5885" s="16"/>
    </row>
    <row r="5886" spans="2:7" x14ac:dyDescent="0.25">
      <c r="B5886" s="38"/>
      <c r="C5886" s="14"/>
      <c r="D5886" s="14"/>
      <c r="E5886" s="14"/>
      <c r="F5886" s="14"/>
      <c r="G5886" s="16"/>
    </row>
    <row r="5887" spans="2:7" x14ac:dyDescent="0.25">
      <c r="B5887" s="38"/>
      <c r="C5887" s="14"/>
      <c r="D5887" s="14"/>
      <c r="E5887" s="14"/>
      <c r="F5887" s="14"/>
      <c r="G5887" s="16"/>
    </row>
    <row r="5888" spans="2:7" x14ac:dyDescent="0.25">
      <c r="B5888" s="38"/>
      <c r="C5888" s="14"/>
      <c r="D5888" s="14"/>
      <c r="E5888" s="14"/>
      <c r="F5888" s="14"/>
      <c r="G5888" s="16"/>
    </row>
    <row r="5889" spans="2:7" x14ac:dyDescent="0.25">
      <c r="B5889" s="38"/>
      <c r="C5889" s="14"/>
      <c r="D5889" s="14"/>
      <c r="E5889" s="14"/>
      <c r="F5889" s="14"/>
      <c r="G5889" s="16"/>
    </row>
    <row r="5890" spans="2:7" x14ac:dyDescent="0.25">
      <c r="B5890" s="38"/>
      <c r="C5890" s="14"/>
      <c r="D5890" s="14"/>
      <c r="E5890" s="14"/>
      <c r="F5890" s="14"/>
      <c r="G5890" s="16"/>
    </row>
    <row r="5891" spans="2:7" x14ac:dyDescent="0.25">
      <c r="B5891" s="38"/>
      <c r="C5891" s="14"/>
      <c r="D5891" s="14"/>
      <c r="E5891" s="14"/>
      <c r="F5891" s="14"/>
      <c r="G5891" s="16"/>
    </row>
    <row r="5892" spans="2:7" x14ac:dyDescent="0.25">
      <c r="B5892" s="38"/>
      <c r="C5892" s="14"/>
      <c r="D5892" s="14"/>
      <c r="E5892" s="14"/>
      <c r="F5892" s="14"/>
      <c r="G5892" s="16"/>
    </row>
    <row r="5893" spans="2:7" x14ac:dyDescent="0.25">
      <c r="B5893" s="38"/>
      <c r="C5893" s="14"/>
      <c r="D5893" s="14"/>
      <c r="E5893" s="14"/>
      <c r="F5893" s="14"/>
      <c r="G5893" s="16"/>
    </row>
    <row r="5894" spans="2:7" x14ac:dyDescent="0.25">
      <c r="B5894" s="38"/>
      <c r="C5894" s="14"/>
      <c r="D5894" s="14"/>
      <c r="E5894" s="14"/>
      <c r="F5894" s="14"/>
      <c r="G5894" s="16"/>
    </row>
    <row r="5895" spans="2:7" x14ac:dyDescent="0.25">
      <c r="B5895" s="38"/>
      <c r="C5895" s="14"/>
      <c r="D5895" s="14"/>
      <c r="E5895" s="14"/>
      <c r="F5895" s="14"/>
      <c r="G5895" s="16"/>
    </row>
    <row r="5896" spans="2:7" x14ac:dyDescent="0.25">
      <c r="B5896" s="38"/>
      <c r="C5896" s="14"/>
      <c r="D5896" s="14"/>
      <c r="E5896" s="14"/>
      <c r="F5896" s="14"/>
      <c r="G5896" s="16"/>
    </row>
    <row r="5897" spans="2:7" x14ac:dyDescent="0.25">
      <c r="B5897" s="38"/>
      <c r="C5897" s="14"/>
      <c r="D5897" s="14"/>
      <c r="E5897" s="14"/>
      <c r="F5897" s="14"/>
      <c r="G5897" s="16"/>
    </row>
    <row r="5898" spans="2:7" x14ac:dyDescent="0.25">
      <c r="B5898" s="38"/>
      <c r="C5898" s="14"/>
      <c r="D5898" s="14"/>
      <c r="E5898" s="14"/>
      <c r="F5898" s="14"/>
      <c r="G5898" s="16"/>
    </row>
    <row r="5899" spans="2:7" x14ac:dyDescent="0.25">
      <c r="B5899" s="38"/>
      <c r="C5899" s="14"/>
      <c r="D5899" s="14"/>
      <c r="E5899" s="14"/>
      <c r="F5899" s="14"/>
      <c r="G5899" s="16"/>
    </row>
    <row r="5900" spans="2:7" x14ac:dyDescent="0.25">
      <c r="B5900" s="38"/>
      <c r="C5900" s="14"/>
      <c r="D5900" s="14"/>
      <c r="E5900" s="14"/>
      <c r="F5900" s="14"/>
      <c r="G5900" s="16"/>
    </row>
    <row r="5901" spans="2:7" x14ac:dyDescent="0.25">
      <c r="B5901" s="38"/>
      <c r="C5901" s="14"/>
      <c r="D5901" s="14"/>
      <c r="E5901" s="14"/>
      <c r="F5901" s="14"/>
      <c r="G5901" s="16"/>
    </row>
    <row r="5902" spans="2:7" x14ac:dyDescent="0.25">
      <c r="B5902" s="38"/>
      <c r="C5902" s="14"/>
      <c r="D5902" s="14"/>
      <c r="E5902" s="14"/>
      <c r="F5902" s="14"/>
      <c r="G5902" s="16"/>
    </row>
    <row r="5903" spans="2:7" x14ac:dyDescent="0.25">
      <c r="B5903" s="38"/>
      <c r="C5903" s="14"/>
      <c r="D5903" s="14"/>
      <c r="E5903" s="14"/>
      <c r="F5903" s="14"/>
      <c r="G5903" s="16"/>
    </row>
    <row r="5904" spans="2:7" x14ac:dyDescent="0.25">
      <c r="B5904" s="38"/>
      <c r="C5904" s="14"/>
      <c r="D5904" s="14"/>
      <c r="E5904" s="14"/>
      <c r="F5904" s="14"/>
      <c r="G5904" s="16"/>
    </row>
    <row r="5905" spans="2:7" x14ac:dyDescent="0.25">
      <c r="B5905" s="38"/>
      <c r="C5905" s="14"/>
      <c r="D5905" s="14"/>
      <c r="E5905" s="14"/>
      <c r="F5905" s="14"/>
      <c r="G5905" s="16"/>
    </row>
    <row r="5906" spans="2:7" x14ac:dyDescent="0.25">
      <c r="B5906" s="38"/>
      <c r="C5906" s="14"/>
      <c r="D5906" s="14"/>
      <c r="E5906" s="14"/>
      <c r="F5906" s="14"/>
      <c r="G5906" s="16"/>
    </row>
    <row r="5907" spans="2:7" x14ac:dyDescent="0.25">
      <c r="B5907" s="38"/>
      <c r="C5907" s="14"/>
      <c r="D5907" s="14"/>
      <c r="E5907" s="14"/>
      <c r="F5907" s="14"/>
      <c r="G5907" s="16"/>
    </row>
    <row r="5908" spans="2:7" x14ac:dyDescent="0.25">
      <c r="B5908" s="38"/>
      <c r="C5908" s="14"/>
      <c r="D5908" s="14"/>
      <c r="E5908" s="14"/>
      <c r="F5908" s="14"/>
      <c r="G5908" s="16"/>
    </row>
    <row r="5909" spans="2:7" x14ac:dyDescent="0.25">
      <c r="B5909" s="38"/>
      <c r="C5909" s="14"/>
      <c r="D5909" s="14"/>
      <c r="E5909" s="14"/>
      <c r="F5909" s="14"/>
      <c r="G5909" s="16"/>
    </row>
    <row r="5910" spans="2:7" x14ac:dyDescent="0.25">
      <c r="B5910" s="38"/>
      <c r="C5910" s="14"/>
      <c r="D5910" s="14"/>
      <c r="E5910" s="14"/>
      <c r="F5910" s="14"/>
      <c r="G5910" s="16"/>
    </row>
    <row r="5911" spans="2:7" x14ac:dyDescent="0.25">
      <c r="B5911" s="38"/>
      <c r="C5911" s="14"/>
      <c r="D5911" s="14"/>
      <c r="E5911" s="14"/>
      <c r="F5911" s="14"/>
      <c r="G5911" s="16"/>
    </row>
    <row r="5912" spans="2:7" x14ac:dyDescent="0.25">
      <c r="B5912" s="38"/>
      <c r="C5912" s="14"/>
      <c r="D5912" s="14"/>
      <c r="E5912" s="14"/>
      <c r="F5912" s="14"/>
      <c r="G5912" s="16"/>
    </row>
    <row r="5913" spans="2:7" x14ac:dyDescent="0.25">
      <c r="B5913" s="38"/>
      <c r="C5913" s="14"/>
      <c r="D5913" s="14"/>
      <c r="E5913" s="14"/>
      <c r="F5913" s="14"/>
      <c r="G5913" s="16"/>
    </row>
    <row r="5914" spans="2:7" x14ac:dyDescent="0.25">
      <c r="B5914" s="38"/>
      <c r="C5914" s="14"/>
      <c r="D5914" s="14"/>
      <c r="E5914" s="14"/>
      <c r="F5914" s="14"/>
      <c r="G5914" s="16"/>
    </row>
    <row r="5915" spans="2:7" x14ac:dyDescent="0.25">
      <c r="B5915" s="38"/>
      <c r="C5915" s="14"/>
      <c r="D5915" s="14"/>
      <c r="E5915" s="14"/>
      <c r="F5915" s="14"/>
      <c r="G5915" s="16"/>
    </row>
    <row r="5916" spans="2:7" x14ac:dyDescent="0.25">
      <c r="B5916" s="38"/>
      <c r="C5916" s="14"/>
      <c r="D5916" s="14"/>
      <c r="E5916" s="14"/>
      <c r="F5916" s="14"/>
      <c r="G5916" s="16"/>
    </row>
    <row r="5917" spans="2:7" x14ac:dyDescent="0.25">
      <c r="B5917" s="38"/>
      <c r="C5917" s="14"/>
      <c r="D5917" s="14"/>
      <c r="E5917" s="14"/>
      <c r="F5917" s="14"/>
      <c r="G5917" s="16"/>
    </row>
    <row r="5918" spans="2:7" x14ac:dyDescent="0.25">
      <c r="B5918" s="38"/>
      <c r="C5918" s="14"/>
      <c r="D5918" s="14"/>
      <c r="E5918" s="14"/>
      <c r="F5918" s="14"/>
      <c r="G5918" s="16"/>
    </row>
    <row r="5919" spans="2:7" x14ac:dyDescent="0.25">
      <c r="B5919" s="38"/>
      <c r="C5919" s="14"/>
      <c r="D5919" s="14"/>
      <c r="E5919" s="14"/>
      <c r="F5919" s="14"/>
      <c r="G5919" s="16"/>
    </row>
    <row r="5920" spans="2:7" x14ac:dyDescent="0.25">
      <c r="B5920" s="38"/>
      <c r="C5920" s="14"/>
      <c r="D5920" s="14"/>
      <c r="E5920" s="14"/>
      <c r="F5920" s="14"/>
      <c r="G5920" s="16"/>
    </row>
    <row r="5921" spans="2:7" x14ac:dyDescent="0.25">
      <c r="B5921" s="38"/>
      <c r="C5921" s="14"/>
      <c r="D5921" s="14"/>
      <c r="E5921" s="14"/>
      <c r="F5921" s="14"/>
      <c r="G5921" s="16"/>
    </row>
    <row r="5922" spans="2:7" x14ac:dyDescent="0.25">
      <c r="B5922" s="38"/>
      <c r="C5922" s="14"/>
      <c r="D5922" s="14"/>
      <c r="E5922" s="14"/>
      <c r="F5922" s="14"/>
      <c r="G5922" s="16"/>
    </row>
    <row r="5923" spans="2:7" x14ac:dyDescent="0.25">
      <c r="B5923" s="38"/>
      <c r="C5923" s="14"/>
      <c r="D5923" s="14"/>
      <c r="E5923" s="14"/>
      <c r="F5923" s="14"/>
      <c r="G5923" s="16"/>
    </row>
    <row r="5924" spans="2:7" x14ac:dyDescent="0.25">
      <c r="B5924" s="38"/>
      <c r="C5924" s="14"/>
      <c r="D5924" s="14"/>
      <c r="E5924" s="14"/>
      <c r="F5924" s="14"/>
      <c r="G5924" s="16"/>
    </row>
    <row r="5925" spans="2:7" x14ac:dyDescent="0.25">
      <c r="B5925" s="38"/>
      <c r="C5925" s="14"/>
      <c r="D5925" s="14"/>
      <c r="E5925" s="14"/>
      <c r="F5925" s="14"/>
      <c r="G5925" s="16"/>
    </row>
    <row r="5926" spans="2:7" x14ac:dyDescent="0.25">
      <c r="B5926" s="38"/>
      <c r="C5926" s="14"/>
      <c r="D5926" s="14"/>
      <c r="E5926" s="14"/>
      <c r="F5926" s="14"/>
      <c r="G5926" s="16"/>
    </row>
    <row r="5927" spans="2:7" x14ac:dyDescent="0.25">
      <c r="B5927" s="38"/>
      <c r="C5927" s="14"/>
      <c r="D5927" s="14"/>
      <c r="E5927" s="14"/>
      <c r="F5927" s="14"/>
      <c r="G5927" s="16"/>
    </row>
    <row r="5928" spans="2:7" x14ac:dyDescent="0.25">
      <c r="B5928" s="38"/>
      <c r="C5928" s="14"/>
      <c r="D5928" s="14"/>
      <c r="E5928" s="14"/>
      <c r="F5928" s="14"/>
      <c r="G5928" s="16"/>
    </row>
    <row r="5929" spans="2:7" x14ac:dyDescent="0.25">
      <c r="B5929" s="38"/>
      <c r="C5929" s="14"/>
      <c r="D5929" s="14"/>
      <c r="E5929" s="14"/>
      <c r="F5929" s="14"/>
      <c r="G5929" s="16"/>
    </row>
    <row r="5930" spans="2:7" x14ac:dyDescent="0.25">
      <c r="B5930" s="38"/>
      <c r="C5930" s="14"/>
      <c r="D5930" s="14"/>
      <c r="E5930" s="14"/>
      <c r="F5930" s="14"/>
      <c r="G5930" s="16"/>
    </row>
    <row r="5931" spans="2:7" x14ac:dyDescent="0.25">
      <c r="B5931" s="38"/>
      <c r="C5931" s="14"/>
      <c r="D5931" s="14"/>
      <c r="E5931" s="14"/>
      <c r="F5931" s="14"/>
      <c r="G5931" s="16"/>
    </row>
    <row r="5932" spans="2:7" x14ac:dyDescent="0.25">
      <c r="B5932" s="38"/>
      <c r="C5932" s="14"/>
      <c r="D5932" s="14"/>
      <c r="E5932" s="14"/>
      <c r="F5932" s="14"/>
      <c r="G5932" s="16"/>
    </row>
    <row r="5933" spans="2:7" x14ac:dyDescent="0.25">
      <c r="B5933" s="38"/>
      <c r="C5933" s="14"/>
      <c r="D5933" s="14"/>
      <c r="E5933" s="14"/>
      <c r="F5933" s="14"/>
      <c r="G5933" s="16"/>
    </row>
    <row r="5934" spans="2:7" x14ac:dyDescent="0.25">
      <c r="B5934" s="38"/>
      <c r="C5934" s="14"/>
      <c r="D5934" s="14"/>
      <c r="E5934" s="14"/>
      <c r="F5934" s="14"/>
      <c r="G5934" s="16"/>
    </row>
    <row r="5935" spans="2:7" x14ac:dyDescent="0.25">
      <c r="B5935" s="38"/>
      <c r="C5935" s="14"/>
      <c r="D5935" s="14"/>
      <c r="E5935" s="14"/>
      <c r="F5935" s="14"/>
      <c r="G5935" s="16"/>
    </row>
    <row r="5936" spans="2:7" x14ac:dyDescent="0.25">
      <c r="B5936" s="38"/>
      <c r="C5936" s="14"/>
      <c r="D5936" s="14"/>
      <c r="E5936" s="14"/>
      <c r="F5936" s="14"/>
      <c r="G5936" s="16"/>
    </row>
    <row r="5937" spans="2:7" x14ac:dyDescent="0.25">
      <c r="B5937" s="38"/>
      <c r="C5937" s="14"/>
      <c r="D5937" s="14"/>
      <c r="E5937" s="14"/>
      <c r="F5937" s="14"/>
      <c r="G5937" s="16"/>
    </row>
    <row r="5938" spans="2:7" x14ac:dyDescent="0.25">
      <c r="B5938" s="38"/>
      <c r="C5938" s="14"/>
      <c r="D5938" s="14"/>
      <c r="E5938" s="14"/>
      <c r="F5938" s="14"/>
      <c r="G5938" s="16"/>
    </row>
    <row r="5939" spans="2:7" x14ac:dyDescent="0.25">
      <c r="B5939" s="38"/>
      <c r="C5939" s="14"/>
      <c r="D5939" s="14"/>
      <c r="E5939" s="14"/>
      <c r="F5939" s="14"/>
      <c r="G5939" s="16"/>
    </row>
    <row r="5940" spans="2:7" x14ac:dyDescent="0.25">
      <c r="B5940" s="38"/>
      <c r="C5940" s="14"/>
      <c r="D5940" s="14"/>
      <c r="E5940" s="14"/>
      <c r="F5940" s="14"/>
      <c r="G5940" s="16"/>
    </row>
    <row r="5941" spans="2:7" x14ac:dyDescent="0.25">
      <c r="B5941" s="38"/>
      <c r="C5941" s="14"/>
      <c r="D5941" s="14"/>
      <c r="E5941" s="14"/>
      <c r="F5941" s="14"/>
      <c r="G5941" s="16"/>
    </row>
    <row r="5942" spans="2:7" x14ac:dyDescent="0.25">
      <c r="B5942" s="38"/>
      <c r="C5942" s="14"/>
      <c r="D5942" s="14"/>
      <c r="E5942" s="14"/>
      <c r="F5942" s="14"/>
      <c r="G5942" s="16"/>
    </row>
    <row r="5943" spans="2:7" x14ac:dyDescent="0.25">
      <c r="B5943" s="38"/>
      <c r="C5943" s="14"/>
      <c r="D5943" s="14"/>
      <c r="E5943" s="14"/>
      <c r="F5943" s="14"/>
      <c r="G5943" s="16"/>
    </row>
    <row r="5944" spans="2:7" x14ac:dyDescent="0.25">
      <c r="B5944" s="38"/>
      <c r="C5944" s="14"/>
      <c r="D5944" s="14"/>
      <c r="E5944" s="14"/>
      <c r="F5944" s="14"/>
      <c r="G5944" s="16"/>
    </row>
    <row r="5945" spans="2:7" x14ac:dyDescent="0.25">
      <c r="B5945" s="38"/>
      <c r="C5945" s="14"/>
      <c r="D5945" s="14"/>
      <c r="E5945" s="14"/>
      <c r="F5945" s="14"/>
      <c r="G5945" s="16"/>
    </row>
    <row r="5946" spans="2:7" x14ac:dyDescent="0.25">
      <c r="B5946" s="38"/>
      <c r="C5946" s="14"/>
      <c r="D5946" s="14"/>
      <c r="E5946" s="14"/>
      <c r="F5946" s="14"/>
      <c r="G5946" s="16"/>
    </row>
    <row r="5947" spans="2:7" x14ac:dyDescent="0.25">
      <c r="B5947" s="38"/>
      <c r="C5947" s="14"/>
      <c r="D5947" s="14"/>
      <c r="E5947" s="14"/>
      <c r="F5947" s="14"/>
      <c r="G5947" s="16"/>
    </row>
    <row r="5948" spans="2:7" x14ac:dyDescent="0.25">
      <c r="B5948" s="38"/>
      <c r="C5948" s="14"/>
      <c r="D5948" s="14"/>
      <c r="E5948" s="14"/>
      <c r="F5948" s="14"/>
      <c r="G5948" s="16"/>
    </row>
    <row r="5949" spans="2:7" x14ac:dyDescent="0.25">
      <c r="B5949" s="38"/>
      <c r="C5949" s="14"/>
      <c r="D5949" s="14"/>
      <c r="E5949" s="14"/>
      <c r="F5949" s="14"/>
      <c r="G5949" s="16"/>
    </row>
    <row r="5950" spans="2:7" x14ac:dyDescent="0.25">
      <c r="B5950" s="38"/>
      <c r="C5950" s="14"/>
      <c r="D5950" s="14"/>
      <c r="E5950" s="14"/>
      <c r="F5950" s="14"/>
      <c r="G5950" s="16"/>
    </row>
    <row r="5951" spans="2:7" x14ac:dyDescent="0.25">
      <c r="B5951" s="38"/>
      <c r="C5951" s="14"/>
      <c r="D5951" s="14"/>
      <c r="E5951" s="14"/>
      <c r="F5951" s="14"/>
      <c r="G5951" s="16"/>
    </row>
    <row r="5952" spans="2:7" x14ac:dyDescent="0.25">
      <c r="B5952" s="38"/>
      <c r="C5952" s="14"/>
      <c r="D5952" s="14"/>
      <c r="E5952" s="14"/>
      <c r="F5952" s="14"/>
      <c r="G5952" s="16"/>
    </row>
    <row r="5953" spans="2:7" x14ac:dyDescent="0.25">
      <c r="B5953" s="38"/>
      <c r="C5953" s="14"/>
      <c r="D5953" s="14"/>
      <c r="E5953" s="14"/>
      <c r="F5953" s="14"/>
      <c r="G5953" s="16"/>
    </row>
    <row r="5954" spans="2:7" x14ac:dyDescent="0.25">
      <c r="B5954" s="38"/>
      <c r="C5954" s="14"/>
      <c r="D5954" s="14"/>
      <c r="E5954" s="14"/>
      <c r="F5954" s="14"/>
      <c r="G5954" s="16"/>
    </row>
    <row r="5955" spans="2:7" x14ac:dyDescent="0.25">
      <c r="B5955" s="38"/>
      <c r="C5955" s="14"/>
      <c r="D5955" s="14"/>
      <c r="E5955" s="14"/>
      <c r="F5955" s="14"/>
      <c r="G5955" s="16"/>
    </row>
    <row r="5956" spans="2:7" x14ac:dyDescent="0.25">
      <c r="B5956" s="38"/>
      <c r="C5956" s="14"/>
      <c r="D5956" s="14"/>
      <c r="E5956" s="14"/>
      <c r="F5956" s="14"/>
      <c r="G5956" s="16"/>
    </row>
    <row r="5957" spans="2:7" x14ac:dyDescent="0.25">
      <c r="B5957" s="38"/>
      <c r="C5957" s="14"/>
      <c r="D5957" s="14"/>
      <c r="E5957" s="14"/>
      <c r="F5957" s="14"/>
      <c r="G5957" s="16"/>
    </row>
    <row r="5958" spans="2:7" x14ac:dyDescent="0.25">
      <c r="B5958" s="38"/>
      <c r="C5958" s="14"/>
      <c r="D5958" s="14"/>
      <c r="E5958" s="14"/>
      <c r="F5958" s="14"/>
      <c r="G5958" s="16"/>
    </row>
    <row r="5959" spans="2:7" x14ac:dyDescent="0.25">
      <c r="B5959" s="38"/>
      <c r="C5959" s="14"/>
      <c r="D5959" s="14"/>
      <c r="E5959" s="14"/>
      <c r="F5959" s="14"/>
      <c r="G5959" s="16"/>
    </row>
    <row r="5960" spans="2:7" x14ac:dyDescent="0.25">
      <c r="B5960" s="38"/>
      <c r="C5960" s="14"/>
      <c r="D5960" s="14"/>
      <c r="E5960" s="14"/>
      <c r="F5960" s="14"/>
      <c r="G5960" s="16"/>
    </row>
    <row r="5961" spans="2:7" x14ac:dyDescent="0.25">
      <c r="B5961" s="38"/>
      <c r="C5961" s="14"/>
      <c r="D5961" s="14"/>
      <c r="E5961" s="14"/>
      <c r="F5961" s="14"/>
      <c r="G5961" s="16"/>
    </row>
    <row r="5962" spans="2:7" x14ac:dyDescent="0.25">
      <c r="B5962" s="38"/>
      <c r="C5962" s="14"/>
      <c r="D5962" s="14"/>
      <c r="E5962" s="14"/>
      <c r="F5962" s="14"/>
      <c r="G5962" s="16"/>
    </row>
    <row r="5963" spans="2:7" x14ac:dyDescent="0.25">
      <c r="B5963" s="38"/>
      <c r="C5963" s="14"/>
      <c r="D5963" s="14"/>
      <c r="E5963" s="14"/>
      <c r="F5963" s="14"/>
      <c r="G5963" s="16"/>
    </row>
    <row r="5964" spans="2:7" x14ac:dyDescent="0.25">
      <c r="B5964" s="38"/>
      <c r="C5964" s="14"/>
      <c r="D5964" s="14"/>
      <c r="E5964" s="14"/>
      <c r="F5964" s="14"/>
      <c r="G5964" s="16"/>
    </row>
    <row r="5965" spans="2:7" x14ac:dyDescent="0.25">
      <c r="B5965" s="38"/>
      <c r="C5965" s="14"/>
      <c r="D5965" s="14"/>
      <c r="E5965" s="14"/>
      <c r="F5965" s="14"/>
      <c r="G5965" s="16"/>
    </row>
    <row r="5966" spans="2:7" x14ac:dyDescent="0.25">
      <c r="B5966" s="38"/>
      <c r="C5966" s="14"/>
      <c r="D5966" s="14"/>
      <c r="E5966" s="14"/>
      <c r="F5966" s="14"/>
      <c r="G5966" s="16"/>
    </row>
    <row r="5967" spans="2:7" x14ac:dyDescent="0.25">
      <c r="B5967" s="38"/>
      <c r="C5967" s="14"/>
      <c r="D5967" s="14"/>
      <c r="E5967" s="14"/>
      <c r="F5967" s="14"/>
      <c r="G5967" s="16"/>
    </row>
    <row r="5968" spans="2:7" x14ac:dyDescent="0.25">
      <c r="B5968" s="38"/>
      <c r="C5968" s="14"/>
      <c r="D5968" s="14"/>
      <c r="E5968" s="14"/>
      <c r="F5968" s="14"/>
      <c r="G5968" s="16"/>
    </row>
    <row r="5969" spans="2:7" x14ac:dyDescent="0.25">
      <c r="B5969" s="38"/>
      <c r="C5969" s="14"/>
      <c r="D5969" s="14"/>
      <c r="E5969" s="14"/>
      <c r="F5969" s="14"/>
      <c r="G5969" s="16"/>
    </row>
    <row r="5970" spans="2:7" x14ac:dyDescent="0.25">
      <c r="B5970" s="38"/>
      <c r="C5970" s="14"/>
      <c r="D5970" s="14"/>
      <c r="E5970" s="14"/>
      <c r="F5970" s="14"/>
      <c r="G5970" s="16"/>
    </row>
    <row r="5971" spans="2:7" x14ac:dyDescent="0.25">
      <c r="B5971" s="38"/>
      <c r="C5971" s="14"/>
      <c r="D5971" s="14"/>
      <c r="E5971" s="14"/>
      <c r="F5971" s="14"/>
      <c r="G5971" s="16"/>
    </row>
    <row r="5972" spans="2:7" x14ac:dyDescent="0.25">
      <c r="B5972" s="38"/>
      <c r="C5972" s="14"/>
      <c r="D5972" s="14"/>
      <c r="E5972" s="14"/>
      <c r="F5972" s="14"/>
      <c r="G5972" s="16"/>
    </row>
    <row r="5973" spans="2:7" x14ac:dyDescent="0.25">
      <c r="B5973" s="38"/>
      <c r="C5973" s="14"/>
      <c r="D5973" s="14"/>
      <c r="E5973" s="14"/>
      <c r="F5973" s="14"/>
      <c r="G5973" s="16"/>
    </row>
    <row r="5974" spans="2:7" x14ac:dyDescent="0.25">
      <c r="B5974" s="38"/>
      <c r="C5974" s="14"/>
      <c r="D5974" s="14"/>
      <c r="E5974" s="14"/>
      <c r="F5974" s="14"/>
      <c r="G5974" s="16"/>
    </row>
    <row r="5975" spans="2:7" x14ac:dyDescent="0.25">
      <c r="B5975" s="38"/>
      <c r="C5975" s="14"/>
      <c r="D5975" s="14"/>
      <c r="E5975" s="14"/>
      <c r="F5975" s="14"/>
      <c r="G5975" s="16"/>
    </row>
    <row r="5976" spans="2:7" x14ac:dyDescent="0.25">
      <c r="B5976" s="38"/>
      <c r="C5976" s="14"/>
      <c r="D5976" s="14"/>
      <c r="E5976" s="14"/>
      <c r="F5976" s="14"/>
      <c r="G5976" s="16"/>
    </row>
    <row r="5977" spans="2:7" x14ac:dyDescent="0.25">
      <c r="B5977" s="38"/>
      <c r="C5977" s="14"/>
      <c r="D5977" s="14"/>
      <c r="E5977" s="14"/>
      <c r="F5977" s="14"/>
      <c r="G5977" s="16"/>
    </row>
    <row r="5978" spans="2:7" x14ac:dyDescent="0.25">
      <c r="B5978" s="38"/>
      <c r="C5978" s="14"/>
      <c r="D5978" s="14"/>
      <c r="E5978" s="14"/>
      <c r="F5978" s="14"/>
      <c r="G5978" s="16"/>
    </row>
    <row r="5979" spans="2:7" x14ac:dyDescent="0.25">
      <c r="B5979" s="38"/>
      <c r="C5979" s="14"/>
      <c r="D5979" s="14"/>
      <c r="E5979" s="14"/>
      <c r="F5979" s="14"/>
      <c r="G5979" s="16"/>
    </row>
    <row r="5980" spans="2:7" x14ac:dyDescent="0.25">
      <c r="B5980" s="38"/>
      <c r="C5980" s="14"/>
      <c r="D5980" s="14"/>
      <c r="E5980" s="14"/>
      <c r="F5980" s="14"/>
      <c r="G5980" s="16"/>
    </row>
    <row r="5981" spans="2:7" x14ac:dyDescent="0.25">
      <c r="B5981" s="38"/>
      <c r="C5981" s="14"/>
      <c r="D5981" s="14"/>
      <c r="E5981" s="14"/>
      <c r="F5981" s="14"/>
      <c r="G5981" s="16"/>
    </row>
    <row r="5982" spans="2:7" x14ac:dyDescent="0.25">
      <c r="B5982" s="38"/>
      <c r="C5982" s="14"/>
      <c r="D5982" s="14"/>
      <c r="E5982" s="14"/>
      <c r="F5982" s="14"/>
      <c r="G5982" s="16"/>
    </row>
    <row r="5983" spans="2:7" x14ac:dyDescent="0.25">
      <c r="B5983" s="38"/>
      <c r="C5983" s="14"/>
      <c r="D5983" s="14"/>
      <c r="E5983" s="14"/>
      <c r="F5983" s="14"/>
      <c r="G5983" s="16"/>
    </row>
    <row r="5984" spans="2:7" x14ac:dyDescent="0.25">
      <c r="B5984" s="38"/>
      <c r="C5984" s="14"/>
      <c r="D5984" s="14"/>
      <c r="E5984" s="14"/>
      <c r="F5984" s="14"/>
      <c r="G5984" s="16"/>
    </row>
    <row r="5985" spans="2:7" x14ac:dyDescent="0.25">
      <c r="B5985" s="38"/>
      <c r="C5985" s="14"/>
      <c r="D5985" s="14"/>
      <c r="E5985" s="14"/>
      <c r="F5985" s="14"/>
      <c r="G5985" s="16"/>
    </row>
    <row r="5986" spans="2:7" x14ac:dyDescent="0.25">
      <c r="B5986" s="38"/>
      <c r="C5986" s="14"/>
      <c r="D5986" s="14"/>
      <c r="E5986" s="14"/>
      <c r="F5986" s="14"/>
      <c r="G5986" s="16"/>
    </row>
    <row r="5987" spans="2:7" x14ac:dyDescent="0.25">
      <c r="B5987" s="38"/>
      <c r="C5987" s="14"/>
      <c r="D5987" s="14"/>
      <c r="E5987" s="14"/>
      <c r="F5987" s="14"/>
      <c r="G5987" s="16"/>
    </row>
    <row r="5988" spans="2:7" x14ac:dyDescent="0.25">
      <c r="B5988" s="38"/>
      <c r="C5988" s="14"/>
      <c r="D5988" s="14"/>
      <c r="E5988" s="14"/>
      <c r="F5988" s="14"/>
      <c r="G5988" s="16"/>
    </row>
    <row r="5989" spans="2:7" x14ac:dyDescent="0.25">
      <c r="B5989" s="38"/>
      <c r="C5989" s="14"/>
      <c r="D5989" s="14"/>
      <c r="E5989" s="14"/>
      <c r="F5989" s="14"/>
      <c r="G5989" s="16"/>
    </row>
    <row r="5990" spans="2:7" x14ac:dyDescent="0.25">
      <c r="B5990" s="38"/>
      <c r="C5990" s="14"/>
      <c r="D5990" s="14"/>
      <c r="E5990" s="14"/>
      <c r="F5990" s="14"/>
      <c r="G5990" s="16"/>
    </row>
    <row r="5991" spans="2:7" x14ac:dyDescent="0.25">
      <c r="B5991" s="38"/>
      <c r="C5991" s="14"/>
      <c r="D5991" s="14"/>
      <c r="E5991" s="14"/>
      <c r="F5991" s="14"/>
      <c r="G5991" s="16"/>
    </row>
    <row r="5992" spans="2:7" x14ac:dyDescent="0.25">
      <c r="B5992" s="38"/>
      <c r="C5992" s="14"/>
      <c r="D5992" s="14"/>
      <c r="E5992" s="14"/>
      <c r="F5992" s="14"/>
      <c r="G5992" s="16"/>
    </row>
    <row r="5993" spans="2:7" x14ac:dyDescent="0.25">
      <c r="B5993" s="38"/>
      <c r="C5993" s="14"/>
      <c r="D5993" s="14"/>
      <c r="E5993" s="14"/>
      <c r="F5993" s="14"/>
      <c r="G5993" s="16"/>
    </row>
    <row r="5994" spans="2:7" x14ac:dyDescent="0.25">
      <c r="B5994" s="38"/>
      <c r="C5994" s="14"/>
      <c r="D5994" s="14"/>
      <c r="E5994" s="14"/>
      <c r="F5994" s="14"/>
      <c r="G5994" s="16"/>
    </row>
    <row r="5995" spans="2:7" x14ac:dyDescent="0.25">
      <c r="B5995" s="38"/>
      <c r="C5995" s="14"/>
      <c r="D5995" s="14"/>
      <c r="E5995" s="14"/>
      <c r="F5995" s="14"/>
      <c r="G5995" s="16"/>
    </row>
    <row r="5996" spans="2:7" x14ac:dyDescent="0.25">
      <c r="B5996" s="38"/>
      <c r="C5996" s="14"/>
      <c r="D5996" s="14"/>
      <c r="E5996" s="14"/>
      <c r="F5996" s="14"/>
      <c r="G5996" s="16"/>
    </row>
    <row r="5997" spans="2:7" x14ac:dyDescent="0.25">
      <c r="B5997" s="38"/>
      <c r="C5997" s="14"/>
      <c r="D5997" s="14"/>
      <c r="E5997" s="14"/>
      <c r="F5997" s="14"/>
      <c r="G5997" s="16"/>
    </row>
    <row r="5998" spans="2:7" x14ac:dyDescent="0.25">
      <c r="B5998" s="38"/>
      <c r="C5998" s="14"/>
      <c r="D5998" s="14"/>
      <c r="E5998" s="14"/>
      <c r="F5998" s="14"/>
      <c r="G5998" s="16"/>
    </row>
    <row r="5999" spans="2:7" x14ac:dyDescent="0.25">
      <c r="B5999" s="38"/>
      <c r="C5999" s="14"/>
      <c r="D5999" s="14"/>
      <c r="E5999" s="14"/>
      <c r="F5999" s="14"/>
      <c r="G5999" s="16"/>
    </row>
    <row r="6000" spans="2:7" x14ac:dyDescent="0.25">
      <c r="B6000" s="38"/>
      <c r="C6000" s="14"/>
      <c r="D6000" s="14"/>
      <c r="E6000" s="14"/>
      <c r="F6000" s="14"/>
      <c r="G6000" s="16"/>
    </row>
    <row r="6001" spans="2:7" x14ac:dyDescent="0.25">
      <c r="B6001" s="38"/>
      <c r="C6001" s="14"/>
      <c r="D6001" s="14"/>
      <c r="E6001" s="14"/>
      <c r="F6001" s="14"/>
      <c r="G6001" s="16"/>
    </row>
    <row r="6002" spans="2:7" x14ac:dyDescent="0.25">
      <c r="B6002" s="38"/>
      <c r="C6002" s="14"/>
      <c r="D6002" s="14"/>
      <c r="E6002" s="14"/>
      <c r="F6002" s="14"/>
      <c r="G6002" s="16"/>
    </row>
    <row r="6003" spans="2:7" x14ac:dyDescent="0.25">
      <c r="B6003" s="38"/>
      <c r="C6003" s="14"/>
      <c r="D6003" s="14"/>
      <c r="E6003" s="14"/>
      <c r="F6003" s="14"/>
      <c r="G6003" s="16"/>
    </row>
    <row r="6004" spans="2:7" x14ac:dyDescent="0.25">
      <c r="B6004" s="38"/>
      <c r="C6004" s="14"/>
      <c r="D6004" s="14"/>
      <c r="E6004" s="14"/>
      <c r="F6004" s="14"/>
      <c r="G6004" s="16"/>
    </row>
    <row r="6005" spans="2:7" x14ac:dyDescent="0.25">
      <c r="B6005" s="38"/>
      <c r="C6005" s="14"/>
      <c r="D6005" s="14"/>
      <c r="E6005" s="14"/>
      <c r="F6005" s="14"/>
      <c r="G6005" s="16"/>
    </row>
    <row r="6006" spans="2:7" x14ac:dyDescent="0.25">
      <c r="B6006" s="38"/>
      <c r="C6006" s="14"/>
      <c r="D6006" s="14"/>
      <c r="E6006" s="14"/>
      <c r="F6006" s="14"/>
      <c r="G6006" s="16"/>
    </row>
    <row r="6007" spans="2:7" x14ac:dyDescent="0.25">
      <c r="B6007" s="38"/>
      <c r="C6007" s="14"/>
      <c r="D6007" s="14"/>
      <c r="E6007" s="14"/>
      <c r="F6007" s="14"/>
      <c r="G6007" s="16"/>
    </row>
    <row r="6008" spans="2:7" x14ac:dyDescent="0.25">
      <c r="B6008" s="38"/>
      <c r="C6008" s="14"/>
      <c r="D6008" s="14"/>
      <c r="E6008" s="14"/>
      <c r="F6008" s="14"/>
      <c r="G6008" s="16"/>
    </row>
    <row r="6009" spans="2:7" x14ac:dyDescent="0.25">
      <c r="B6009" s="38"/>
      <c r="C6009" s="14"/>
      <c r="D6009" s="14"/>
      <c r="E6009" s="14"/>
      <c r="F6009" s="14"/>
      <c r="G6009" s="16"/>
    </row>
    <row r="6010" spans="2:7" x14ac:dyDescent="0.25">
      <c r="B6010" s="38"/>
      <c r="C6010" s="14"/>
      <c r="D6010" s="14"/>
      <c r="E6010" s="14"/>
      <c r="F6010" s="14"/>
      <c r="G6010" s="16"/>
    </row>
    <row r="6011" spans="2:7" x14ac:dyDescent="0.25">
      <c r="B6011" s="38"/>
      <c r="C6011" s="14"/>
      <c r="D6011" s="14"/>
      <c r="E6011" s="14"/>
      <c r="F6011" s="14"/>
      <c r="G6011" s="16"/>
    </row>
    <row r="6012" spans="2:7" x14ac:dyDescent="0.25">
      <c r="B6012" s="38"/>
      <c r="C6012" s="14"/>
      <c r="D6012" s="14"/>
      <c r="E6012" s="14"/>
      <c r="F6012" s="14"/>
      <c r="G6012" s="16"/>
    </row>
    <row r="6013" spans="2:7" x14ac:dyDescent="0.25">
      <c r="B6013" s="38"/>
      <c r="C6013" s="14"/>
      <c r="D6013" s="14"/>
      <c r="E6013" s="14"/>
      <c r="F6013" s="14"/>
      <c r="G6013" s="16"/>
    </row>
    <row r="6014" spans="2:7" x14ac:dyDescent="0.25">
      <c r="B6014" s="38"/>
      <c r="C6014" s="14"/>
      <c r="D6014" s="14"/>
      <c r="E6014" s="14"/>
      <c r="F6014" s="14"/>
      <c r="G6014" s="16"/>
    </row>
    <row r="6015" spans="2:7" x14ac:dyDescent="0.25">
      <c r="B6015" s="38"/>
      <c r="C6015" s="14"/>
      <c r="D6015" s="14"/>
      <c r="E6015" s="14"/>
      <c r="F6015" s="14"/>
      <c r="G6015" s="16"/>
    </row>
    <row r="6016" spans="2:7" x14ac:dyDescent="0.25">
      <c r="B6016" s="38"/>
      <c r="C6016" s="14"/>
      <c r="D6016" s="14"/>
      <c r="E6016" s="14"/>
      <c r="F6016" s="14"/>
      <c r="G6016" s="16"/>
    </row>
    <row r="6017" spans="2:7" x14ac:dyDescent="0.25">
      <c r="B6017" s="38"/>
      <c r="C6017" s="14"/>
      <c r="D6017" s="14"/>
      <c r="E6017" s="14"/>
      <c r="F6017" s="14"/>
      <c r="G6017" s="16"/>
    </row>
    <row r="6018" spans="2:7" x14ac:dyDescent="0.25">
      <c r="B6018" s="38"/>
      <c r="C6018" s="14"/>
      <c r="D6018" s="14"/>
      <c r="E6018" s="14"/>
      <c r="F6018" s="14"/>
      <c r="G6018" s="16"/>
    </row>
    <row r="6019" spans="2:7" x14ac:dyDescent="0.25">
      <c r="B6019" s="38"/>
      <c r="C6019" s="14"/>
      <c r="D6019" s="14"/>
      <c r="E6019" s="14"/>
      <c r="F6019" s="14"/>
      <c r="G6019" s="16"/>
    </row>
    <row r="6020" spans="2:7" x14ac:dyDescent="0.25">
      <c r="B6020" s="38"/>
      <c r="C6020" s="14"/>
      <c r="D6020" s="14"/>
      <c r="E6020" s="14"/>
      <c r="F6020" s="14"/>
      <c r="G6020" s="16"/>
    </row>
    <row r="6021" spans="2:7" x14ac:dyDescent="0.25">
      <c r="B6021" s="38"/>
      <c r="C6021" s="14"/>
      <c r="D6021" s="14"/>
      <c r="E6021" s="14"/>
      <c r="F6021" s="14"/>
      <c r="G6021" s="16"/>
    </row>
    <row r="6022" spans="2:7" x14ac:dyDescent="0.25">
      <c r="B6022" s="38"/>
      <c r="C6022" s="14"/>
      <c r="D6022" s="14"/>
      <c r="E6022" s="14"/>
      <c r="F6022" s="14"/>
      <c r="G6022" s="16"/>
    </row>
    <row r="6023" spans="2:7" x14ac:dyDescent="0.25">
      <c r="B6023" s="38"/>
      <c r="C6023" s="14"/>
      <c r="D6023" s="14"/>
      <c r="E6023" s="14"/>
      <c r="F6023" s="14"/>
      <c r="G6023" s="16"/>
    </row>
    <row r="6024" spans="2:7" x14ac:dyDescent="0.25">
      <c r="B6024" s="38"/>
      <c r="C6024" s="14"/>
      <c r="D6024" s="14"/>
      <c r="E6024" s="14"/>
      <c r="F6024" s="14"/>
      <c r="G6024" s="16"/>
    </row>
    <row r="6025" spans="2:7" x14ac:dyDescent="0.25">
      <c r="B6025" s="38"/>
      <c r="C6025" s="14"/>
      <c r="D6025" s="14"/>
      <c r="E6025" s="14"/>
      <c r="F6025" s="14"/>
      <c r="G6025" s="16"/>
    </row>
    <row r="6026" spans="2:7" x14ac:dyDescent="0.25">
      <c r="B6026" s="38"/>
      <c r="C6026" s="14"/>
      <c r="D6026" s="14"/>
      <c r="E6026" s="14"/>
      <c r="F6026" s="14"/>
      <c r="G6026" s="16"/>
    </row>
    <row r="6027" spans="2:7" x14ac:dyDescent="0.25">
      <c r="B6027" s="38"/>
      <c r="C6027" s="14"/>
      <c r="D6027" s="14"/>
      <c r="E6027" s="14"/>
      <c r="F6027" s="14"/>
      <c r="G6027" s="16"/>
    </row>
    <row r="6028" spans="2:7" x14ac:dyDescent="0.25">
      <c r="B6028" s="38"/>
      <c r="C6028" s="14"/>
      <c r="D6028" s="14"/>
      <c r="E6028" s="14"/>
      <c r="F6028" s="14"/>
      <c r="G6028" s="16"/>
    </row>
    <row r="6029" spans="2:7" x14ac:dyDescent="0.25">
      <c r="B6029" s="38"/>
      <c r="C6029" s="14"/>
      <c r="D6029" s="14"/>
      <c r="E6029" s="14"/>
      <c r="F6029" s="14"/>
      <c r="G6029" s="16"/>
    </row>
    <row r="6030" spans="2:7" x14ac:dyDescent="0.25">
      <c r="B6030" s="38"/>
      <c r="C6030" s="14"/>
      <c r="D6030" s="14"/>
      <c r="E6030" s="14"/>
      <c r="F6030" s="14"/>
      <c r="G6030" s="16"/>
    </row>
    <row r="6031" spans="2:7" x14ac:dyDescent="0.25">
      <c r="B6031" s="38"/>
      <c r="C6031" s="14"/>
      <c r="D6031" s="14"/>
      <c r="E6031" s="14"/>
      <c r="F6031" s="14"/>
      <c r="G6031" s="16"/>
    </row>
    <row r="6032" spans="2:7" x14ac:dyDescent="0.25">
      <c r="B6032" s="38"/>
      <c r="C6032" s="14"/>
      <c r="D6032" s="14"/>
      <c r="E6032" s="14"/>
      <c r="F6032" s="14"/>
      <c r="G6032" s="16"/>
    </row>
    <row r="6033" spans="2:7" x14ac:dyDescent="0.25">
      <c r="B6033" s="38"/>
      <c r="C6033" s="14"/>
      <c r="D6033" s="14"/>
      <c r="E6033" s="14"/>
      <c r="F6033" s="14"/>
      <c r="G6033" s="16"/>
    </row>
    <row r="6034" spans="2:7" x14ac:dyDescent="0.25">
      <c r="B6034" s="38"/>
      <c r="C6034" s="14"/>
      <c r="D6034" s="14"/>
      <c r="E6034" s="14"/>
      <c r="F6034" s="14"/>
      <c r="G6034" s="16"/>
    </row>
    <row r="6035" spans="2:7" x14ac:dyDescent="0.25">
      <c r="B6035" s="38"/>
      <c r="C6035" s="14"/>
      <c r="D6035" s="14"/>
      <c r="E6035" s="14"/>
      <c r="F6035" s="14"/>
      <c r="G6035" s="16"/>
    </row>
    <row r="6036" spans="2:7" x14ac:dyDescent="0.25">
      <c r="B6036" s="38"/>
      <c r="C6036" s="14"/>
      <c r="D6036" s="14"/>
      <c r="E6036" s="14"/>
      <c r="F6036" s="14"/>
      <c r="G6036" s="16"/>
    </row>
    <row r="6037" spans="2:7" x14ac:dyDescent="0.25">
      <c r="B6037" s="38"/>
      <c r="C6037" s="14"/>
      <c r="D6037" s="14"/>
      <c r="E6037" s="14"/>
      <c r="F6037" s="14"/>
      <c r="G6037" s="16"/>
    </row>
    <row r="6038" spans="2:7" x14ac:dyDescent="0.25">
      <c r="B6038" s="38"/>
      <c r="C6038" s="14"/>
      <c r="D6038" s="14"/>
      <c r="E6038" s="14"/>
      <c r="F6038" s="14"/>
      <c r="G6038" s="16"/>
    </row>
    <row r="6039" spans="2:7" x14ac:dyDescent="0.25">
      <c r="B6039" s="38"/>
      <c r="C6039" s="14"/>
      <c r="D6039" s="14"/>
      <c r="E6039" s="14"/>
      <c r="F6039" s="14"/>
      <c r="G6039" s="16"/>
    </row>
    <row r="6040" spans="2:7" x14ac:dyDescent="0.25">
      <c r="B6040" s="38"/>
      <c r="C6040" s="14"/>
      <c r="D6040" s="14"/>
      <c r="E6040" s="14"/>
      <c r="F6040" s="14"/>
      <c r="G6040" s="16"/>
    </row>
    <row r="6041" spans="2:7" x14ac:dyDescent="0.25">
      <c r="B6041" s="38"/>
      <c r="C6041" s="14"/>
      <c r="D6041" s="14"/>
      <c r="E6041" s="14"/>
      <c r="F6041" s="14"/>
      <c r="G6041" s="16"/>
    </row>
    <row r="6042" spans="2:7" x14ac:dyDescent="0.25">
      <c r="B6042" s="38"/>
      <c r="C6042" s="14"/>
      <c r="D6042" s="14"/>
      <c r="E6042" s="14"/>
      <c r="F6042" s="14"/>
      <c r="G6042" s="16"/>
    </row>
    <row r="6043" spans="2:7" x14ac:dyDescent="0.25">
      <c r="B6043" s="38"/>
      <c r="C6043" s="14"/>
      <c r="D6043" s="14"/>
      <c r="E6043" s="14"/>
      <c r="F6043" s="14"/>
      <c r="G6043" s="16"/>
    </row>
    <row r="6044" spans="2:7" x14ac:dyDescent="0.25">
      <c r="B6044" s="38"/>
      <c r="C6044" s="14"/>
      <c r="D6044" s="14"/>
      <c r="E6044" s="14"/>
      <c r="F6044" s="14"/>
      <c r="G6044" s="16"/>
    </row>
    <row r="6045" spans="2:7" x14ac:dyDescent="0.25">
      <c r="B6045" s="38"/>
      <c r="C6045" s="14"/>
      <c r="D6045" s="14"/>
      <c r="E6045" s="14"/>
      <c r="F6045" s="14"/>
      <c r="G6045" s="16"/>
    </row>
    <row r="6046" spans="2:7" x14ac:dyDescent="0.25">
      <c r="B6046" s="38"/>
      <c r="C6046" s="14"/>
      <c r="D6046" s="14"/>
      <c r="E6046" s="14"/>
      <c r="F6046" s="14"/>
      <c r="G6046" s="16"/>
    </row>
    <row r="6047" spans="2:7" x14ac:dyDescent="0.25">
      <c r="B6047" s="38"/>
      <c r="C6047" s="14"/>
      <c r="D6047" s="14"/>
      <c r="E6047" s="14"/>
      <c r="F6047" s="14"/>
      <c r="G6047" s="16"/>
    </row>
    <row r="6048" spans="2:7" x14ac:dyDescent="0.25">
      <c r="B6048" s="38"/>
      <c r="C6048" s="14"/>
      <c r="D6048" s="14"/>
      <c r="E6048" s="14"/>
      <c r="F6048" s="14"/>
      <c r="G6048" s="16"/>
    </row>
    <row r="6049" spans="2:7" x14ac:dyDescent="0.25">
      <c r="B6049" s="38"/>
      <c r="C6049" s="14"/>
      <c r="D6049" s="14"/>
      <c r="E6049" s="14"/>
      <c r="F6049" s="14"/>
      <c r="G6049" s="16"/>
    </row>
    <row r="6050" spans="2:7" x14ac:dyDescent="0.25">
      <c r="B6050" s="38"/>
      <c r="C6050" s="14"/>
      <c r="D6050" s="14"/>
      <c r="E6050" s="14"/>
      <c r="F6050" s="14"/>
      <c r="G6050" s="16"/>
    </row>
    <row r="6051" spans="2:7" x14ac:dyDescent="0.25">
      <c r="B6051" s="38"/>
      <c r="C6051" s="14"/>
      <c r="D6051" s="14"/>
      <c r="E6051" s="14"/>
      <c r="F6051" s="14"/>
      <c r="G6051" s="16"/>
    </row>
    <row r="6052" spans="2:7" x14ac:dyDescent="0.25">
      <c r="B6052" s="38"/>
      <c r="C6052" s="14"/>
      <c r="D6052" s="14"/>
      <c r="E6052" s="14"/>
      <c r="F6052" s="14"/>
      <c r="G6052" s="16"/>
    </row>
    <row r="6053" spans="2:7" x14ac:dyDescent="0.25">
      <c r="B6053" s="38"/>
      <c r="C6053" s="14"/>
      <c r="D6053" s="14"/>
      <c r="E6053" s="14"/>
      <c r="F6053" s="14"/>
      <c r="G6053" s="16"/>
    </row>
    <row r="6054" spans="2:7" x14ac:dyDescent="0.25">
      <c r="B6054" s="38"/>
      <c r="C6054" s="14"/>
      <c r="D6054" s="14"/>
      <c r="E6054" s="14"/>
      <c r="F6054" s="14"/>
      <c r="G6054" s="16"/>
    </row>
    <row r="6055" spans="2:7" x14ac:dyDescent="0.25">
      <c r="B6055" s="38"/>
      <c r="C6055" s="14"/>
      <c r="D6055" s="14"/>
      <c r="E6055" s="14"/>
      <c r="F6055" s="14"/>
      <c r="G6055" s="16"/>
    </row>
    <row r="6056" spans="2:7" x14ac:dyDescent="0.25">
      <c r="B6056" s="38"/>
      <c r="C6056" s="14"/>
      <c r="D6056" s="14"/>
      <c r="E6056" s="14"/>
      <c r="F6056" s="14"/>
      <c r="G6056" s="16"/>
    </row>
    <row r="6057" spans="2:7" x14ac:dyDescent="0.25">
      <c r="B6057" s="38"/>
      <c r="C6057" s="14"/>
      <c r="D6057" s="14"/>
      <c r="E6057" s="14"/>
      <c r="F6057" s="14"/>
      <c r="G6057"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392B"/>
    <pageSetUpPr fitToPage="1"/>
  </sheetPr>
  <dimension ref="A1:H6055"/>
  <sheetViews>
    <sheetView showGridLines="0" zoomScale="80" zoomScaleNormal="80" workbookViewId="0">
      <pane xSplit="1" ySplit="1" topLeftCell="B2" activePane="bottomRight" state="frozen"/>
      <selection pane="topRight" activeCell="B1" sqref="B1"/>
      <selection pane="bottomLeft" activeCell="A12" sqref="A12"/>
      <selection pane="bottomRight" activeCell="D2" sqref="D2"/>
    </sheetView>
  </sheetViews>
  <sheetFormatPr defaultColWidth="8.5703125" defaultRowHeight="32.25" customHeight="1" x14ac:dyDescent="0.25"/>
  <cols>
    <col min="1" max="1" width="2.42578125" style="54" customWidth="1"/>
    <col min="2" max="2" width="4" style="54" customWidth="1"/>
    <col min="3" max="3" width="26" style="54" customWidth="1"/>
    <col min="4" max="4" width="62" style="54" customWidth="1"/>
    <col min="5" max="5" width="10.5703125" style="54" customWidth="1"/>
    <col min="6" max="6" width="48" style="54" customWidth="1"/>
    <col min="7" max="7" width="26" style="54" customWidth="1"/>
    <col min="8" max="8" width="12.28515625" style="54" customWidth="1"/>
    <col min="9" max="16384" width="8.5703125" style="54"/>
  </cols>
  <sheetData>
    <row r="1" spans="1:8" s="33" customFormat="1" ht="32.25" customHeight="1" thickBot="1" x14ac:dyDescent="0.3">
      <c r="A1" s="33" t="s">
        <v>1169</v>
      </c>
      <c r="B1" s="34" t="s">
        <v>139</v>
      </c>
      <c r="C1" s="34" t="s">
        <v>140</v>
      </c>
      <c r="D1" s="34" t="s">
        <v>141</v>
      </c>
      <c r="E1" s="34" t="s">
        <v>142</v>
      </c>
      <c r="F1" s="34" t="s">
        <v>143</v>
      </c>
      <c r="G1" s="34" t="s">
        <v>144</v>
      </c>
      <c r="H1" s="17" t="s">
        <v>1170</v>
      </c>
    </row>
    <row r="2" spans="1:8" ht="118.5" customHeight="1" x14ac:dyDescent="0.25">
      <c r="A2" s="50"/>
      <c r="B2" s="44">
        <v>1</v>
      </c>
      <c r="C2" s="44" t="s">
        <v>145</v>
      </c>
      <c r="D2" s="44" t="s">
        <v>1159</v>
      </c>
      <c r="E2" s="51" t="s">
        <v>60</v>
      </c>
      <c r="F2" s="44" t="s">
        <v>146</v>
      </c>
      <c r="G2" s="52" t="s">
        <v>147</v>
      </c>
      <c r="H2" s="53" t="s">
        <v>1171</v>
      </c>
    </row>
    <row r="3" spans="1:8" ht="87.75" customHeight="1" x14ac:dyDescent="0.25">
      <c r="A3" s="50"/>
      <c r="B3" s="44">
        <v>2</v>
      </c>
      <c r="C3" s="44" t="s">
        <v>148</v>
      </c>
      <c r="D3" s="44" t="s">
        <v>149</v>
      </c>
      <c r="E3" s="51" t="s">
        <v>60</v>
      </c>
      <c r="F3" s="44" t="s">
        <v>150</v>
      </c>
      <c r="G3" s="52" t="s">
        <v>151</v>
      </c>
      <c r="H3" s="55" t="s">
        <v>1171</v>
      </c>
    </row>
    <row r="4" spans="1:8" ht="148.5" customHeight="1" x14ac:dyDescent="0.25">
      <c r="A4" s="50"/>
      <c r="B4" s="44">
        <v>3</v>
      </c>
      <c r="C4" s="44" t="s">
        <v>152</v>
      </c>
      <c r="D4" s="44" t="s">
        <v>153</v>
      </c>
      <c r="E4" s="51" t="s">
        <v>60</v>
      </c>
      <c r="F4" s="44" t="s">
        <v>154</v>
      </c>
      <c r="G4" s="52" t="s">
        <v>155</v>
      </c>
      <c r="H4" s="55" t="s">
        <v>1171</v>
      </c>
    </row>
    <row r="5" spans="1:8" ht="210" customHeight="1" x14ac:dyDescent="0.25">
      <c r="A5" s="50"/>
      <c r="B5" s="44">
        <v>4</v>
      </c>
      <c r="C5" s="44" t="s">
        <v>156</v>
      </c>
      <c r="D5" s="44" t="s">
        <v>157</v>
      </c>
      <c r="E5" s="51" t="s">
        <v>60</v>
      </c>
      <c r="F5" s="44" t="s">
        <v>158</v>
      </c>
      <c r="G5" s="52" t="s">
        <v>159</v>
      </c>
      <c r="H5" s="55" t="s">
        <v>1171</v>
      </c>
    </row>
    <row r="6" spans="1:8" ht="66.75" customHeight="1" x14ac:dyDescent="0.25">
      <c r="A6" s="50"/>
      <c r="B6" s="44">
        <v>5</v>
      </c>
      <c r="C6" s="44" t="s">
        <v>160</v>
      </c>
      <c r="D6" s="44" t="s">
        <v>161</v>
      </c>
      <c r="E6" s="51" t="s">
        <v>60</v>
      </c>
      <c r="F6" s="44" t="s">
        <v>162</v>
      </c>
      <c r="G6" s="52" t="s">
        <v>163</v>
      </c>
      <c r="H6" s="55" t="s">
        <v>1171</v>
      </c>
    </row>
    <row r="7" spans="1:8" ht="114.75" customHeight="1" x14ac:dyDescent="0.25">
      <c r="A7" s="50"/>
      <c r="B7" s="44">
        <v>6</v>
      </c>
      <c r="C7" s="44" t="s">
        <v>164</v>
      </c>
      <c r="D7" s="44" t="s">
        <v>165</v>
      </c>
      <c r="E7" s="51" t="s">
        <v>60</v>
      </c>
      <c r="F7" s="44" t="s">
        <v>166</v>
      </c>
      <c r="G7" s="52" t="s">
        <v>167</v>
      </c>
      <c r="H7" s="55" t="s">
        <v>1171</v>
      </c>
    </row>
    <row r="8" spans="1:8" ht="88.5" customHeight="1" x14ac:dyDescent="0.25">
      <c r="A8" s="50"/>
      <c r="B8" s="44">
        <v>7</v>
      </c>
      <c r="C8" s="44" t="s">
        <v>168</v>
      </c>
      <c r="D8" s="44" t="s">
        <v>169</v>
      </c>
      <c r="E8" s="51" t="s">
        <v>60</v>
      </c>
      <c r="F8" s="44" t="s">
        <v>170</v>
      </c>
      <c r="G8" s="52" t="s">
        <v>171</v>
      </c>
      <c r="H8" s="55" t="s">
        <v>1171</v>
      </c>
    </row>
    <row r="9" spans="1:8" ht="303" customHeight="1" x14ac:dyDescent="0.25">
      <c r="A9" s="50"/>
      <c r="B9" s="44">
        <v>8</v>
      </c>
      <c r="C9" s="44" t="s">
        <v>172</v>
      </c>
      <c r="D9" s="44" t="s">
        <v>173</v>
      </c>
      <c r="E9" s="51" t="s">
        <v>60</v>
      </c>
      <c r="F9" s="44" t="s">
        <v>174</v>
      </c>
      <c r="G9" s="52" t="s">
        <v>175</v>
      </c>
      <c r="H9" s="55" t="s">
        <v>1171</v>
      </c>
    </row>
    <row r="10" spans="1:8" ht="196.5" customHeight="1" x14ac:dyDescent="0.25">
      <c r="A10" s="50"/>
      <c r="B10" s="44">
        <v>9</v>
      </c>
      <c r="C10" s="44" t="s">
        <v>176</v>
      </c>
      <c r="D10" s="44" t="s">
        <v>177</v>
      </c>
      <c r="E10" s="51" t="s">
        <v>60</v>
      </c>
      <c r="F10" s="44" t="s">
        <v>178</v>
      </c>
      <c r="G10" s="52" t="s">
        <v>179</v>
      </c>
      <c r="H10" s="55" t="s">
        <v>1171</v>
      </c>
    </row>
    <row r="11" spans="1:8" ht="208.5" customHeight="1" x14ac:dyDescent="0.25">
      <c r="A11" s="50"/>
      <c r="B11" s="44">
        <v>10</v>
      </c>
      <c r="C11" s="44" t="s">
        <v>180</v>
      </c>
      <c r="D11" s="44" t="s">
        <v>181</v>
      </c>
      <c r="E11" s="51" t="s">
        <v>60</v>
      </c>
      <c r="F11" s="44" t="s">
        <v>182</v>
      </c>
      <c r="G11" s="52" t="s">
        <v>183</v>
      </c>
      <c r="H11" s="55" t="s">
        <v>1171</v>
      </c>
    </row>
    <row r="12" spans="1:8" ht="132" customHeight="1" x14ac:dyDescent="0.25">
      <c r="A12" s="50"/>
      <c r="B12" s="44">
        <v>11</v>
      </c>
      <c r="C12" s="44" t="s">
        <v>184</v>
      </c>
      <c r="D12" s="56" t="s">
        <v>185</v>
      </c>
      <c r="E12" s="51" t="s">
        <v>60</v>
      </c>
      <c r="F12" s="44" t="s">
        <v>186</v>
      </c>
      <c r="G12" s="52" t="s">
        <v>187</v>
      </c>
      <c r="H12" s="55" t="s">
        <v>1171</v>
      </c>
    </row>
    <row r="13" spans="1:8" ht="294" customHeight="1" x14ac:dyDescent="0.25">
      <c r="A13" s="50"/>
      <c r="B13" s="44">
        <v>12</v>
      </c>
      <c r="C13" s="44" t="s">
        <v>188</v>
      </c>
      <c r="D13" s="44" t="s">
        <v>189</v>
      </c>
      <c r="E13" s="51" t="s">
        <v>60</v>
      </c>
      <c r="F13" s="44" t="s">
        <v>190</v>
      </c>
      <c r="G13" s="52" t="s">
        <v>191</v>
      </c>
      <c r="H13" s="55" t="s">
        <v>1171</v>
      </c>
    </row>
    <row r="14" spans="1:8" ht="153.75" customHeight="1" x14ac:dyDescent="0.25">
      <c r="A14" s="50"/>
      <c r="B14" s="44">
        <v>13</v>
      </c>
      <c r="C14" s="44" t="s">
        <v>192</v>
      </c>
      <c r="D14" s="44" t="s">
        <v>193</v>
      </c>
      <c r="E14" s="51" t="s">
        <v>60</v>
      </c>
      <c r="F14" s="44" t="s">
        <v>194</v>
      </c>
      <c r="G14" s="52" t="s">
        <v>195</v>
      </c>
      <c r="H14" s="55" t="s">
        <v>1171</v>
      </c>
    </row>
    <row r="15" spans="1:8" ht="272.25" customHeight="1" x14ac:dyDescent="0.25">
      <c r="A15" s="50"/>
      <c r="B15" s="44">
        <v>14</v>
      </c>
      <c r="C15" s="44" t="s">
        <v>196</v>
      </c>
      <c r="D15" s="44" t="s">
        <v>197</v>
      </c>
      <c r="E15" s="51" t="s">
        <v>60</v>
      </c>
      <c r="F15" s="44" t="s">
        <v>198</v>
      </c>
      <c r="G15" s="52" t="s">
        <v>199</v>
      </c>
      <c r="H15" s="55" t="s">
        <v>1171</v>
      </c>
    </row>
    <row r="16" spans="1:8" ht="228.75" customHeight="1" x14ac:dyDescent="0.25">
      <c r="A16" s="50"/>
      <c r="B16" s="44">
        <v>15</v>
      </c>
      <c r="C16" s="44" t="s">
        <v>200</v>
      </c>
      <c r="D16" s="44" t="s">
        <v>201</v>
      </c>
      <c r="E16" s="51" t="s">
        <v>60</v>
      </c>
      <c r="F16" s="44" t="s">
        <v>202</v>
      </c>
      <c r="G16" s="52" t="s">
        <v>203</v>
      </c>
      <c r="H16" s="55" t="s">
        <v>1171</v>
      </c>
    </row>
    <row r="17" spans="1:8" ht="227.25" customHeight="1" x14ac:dyDescent="0.25">
      <c r="A17" s="50"/>
      <c r="B17" s="44">
        <v>16</v>
      </c>
      <c r="C17" s="44" t="s">
        <v>204</v>
      </c>
      <c r="D17" s="44" t="s">
        <v>205</v>
      </c>
      <c r="E17" s="51" t="s">
        <v>60</v>
      </c>
      <c r="F17" s="44" t="s">
        <v>206</v>
      </c>
      <c r="G17" s="52" t="s">
        <v>207</v>
      </c>
      <c r="H17" s="55" t="s">
        <v>1171</v>
      </c>
    </row>
    <row r="18" spans="1:8" ht="32.25" customHeight="1" thickBot="1" x14ac:dyDescent="0.3">
      <c r="A18" s="50"/>
      <c r="B18" s="44">
        <v>17</v>
      </c>
      <c r="C18" s="44" t="s">
        <v>208</v>
      </c>
      <c r="D18" s="44" t="s">
        <v>209</v>
      </c>
      <c r="E18" s="51" t="s">
        <v>60</v>
      </c>
      <c r="F18" s="44" t="s">
        <v>210</v>
      </c>
      <c r="G18" s="52" t="s">
        <v>211</v>
      </c>
      <c r="H18" s="55" t="s">
        <v>1171</v>
      </c>
    </row>
    <row r="19" spans="1:8" ht="105" customHeight="1" thickBot="1" x14ac:dyDescent="0.3">
      <c r="A19" s="50"/>
      <c r="B19" s="44">
        <v>18</v>
      </c>
      <c r="C19" s="40" t="s">
        <v>212</v>
      </c>
      <c r="D19" s="41" t="s">
        <v>213</v>
      </c>
      <c r="E19" s="57" t="s">
        <v>137</v>
      </c>
      <c r="F19" s="41" t="s">
        <v>214</v>
      </c>
      <c r="G19" s="43" t="s">
        <v>215</v>
      </c>
      <c r="H19" s="55" t="s">
        <v>1171</v>
      </c>
    </row>
    <row r="20" spans="1:8" ht="116.25" customHeight="1" thickBot="1" x14ac:dyDescent="0.3">
      <c r="A20" s="50"/>
      <c r="B20" s="44">
        <v>19</v>
      </c>
      <c r="C20" s="45" t="s">
        <v>216</v>
      </c>
      <c r="D20" s="46" t="s">
        <v>217</v>
      </c>
      <c r="E20" s="58" t="s">
        <v>137</v>
      </c>
      <c r="F20" s="46" t="s">
        <v>218</v>
      </c>
      <c r="G20" s="47" t="s">
        <v>219</v>
      </c>
      <c r="H20" s="55" t="s">
        <v>1171</v>
      </c>
    </row>
    <row r="21" spans="1:8" ht="151.5" customHeight="1" thickBot="1" x14ac:dyDescent="0.3">
      <c r="A21" s="50"/>
      <c r="B21" s="44">
        <v>20</v>
      </c>
      <c r="C21" s="45" t="s">
        <v>220</v>
      </c>
      <c r="D21" s="46" t="s">
        <v>221</v>
      </c>
      <c r="E21" s="58" t="s">
        <v>137</v>
      </c>
      <c r="F21" s="46" t="s">
        <v>222</v>
      </c>
      <c r="G21" s="47" t="s">
        <v>223</v>
      </c>
      <c r="H21" s="55" t="s">
        <v>1171</v>
      </c>
    </row>
    <row r="22" spans="1:8" ht="117.75" customHeight="1" thickBot="1" x14ac:dyDescent="0.3">
      <c r="A22" s="50"/>
      <c r="B22" s="44">
        <v>21</v>
      </c>
      <c r="C22" s="45" t="s">
        <v>224</v>
      </c>
      <c r="D22" s="46" t="s">
        <v>225</v>
      </c>
      <c r="E22" s="58" t="s">
        <v>137</v>
      </c>
      <c r="F22" s="46" t="s">
        <v>226</v>
      </c>
      <c r="G22" s="47" t="s">
        <v>227</v>
      </c>
      <c r="H22" s="55" t="s">
        <v>1171</v>
      </c>
    </row>
    <row r="23" spans="1:8" ht="99" customHeight="1" thickBot="1" x14ac:dyDescent="0.3">
      <c r="A23" s="50"/>
      <c r="B23" s="44">
        <v>22</v>
      </c>
      <c r="C23" s="45" t="s">
        <v>228</v>
      </c>
      <c r="D23" s="46" t="s">
        <v>229</v>
      </c>
      <c r="E23" s="58" t="s">
        <v>137</v>
      </c>
      <c r="F23" s="46" t="s">
        <v>230</v>
      </c>
      <c r="G23" s="47" t="s">
        <v>231</v>
      </c>
      <c r="H23" s="55" t="s">
        <v>1171</v>
      </c>
    </row>
    <row r="24" spans="1:8" ht="91.5" customHeight="1" thickBot="1" x14ac:dyDescent="0.3">
      <c r="A24" s="50"/>
      <c r="B24" s="44">
        <v>23</v>
      </c>
      <c r="C24" s="45" t="s">
        <v>232</v>
      </c>
      <c r="D24" s="46" t="s">
        <v>233</v>
      </c>
      <c r="E24" s="58" t="s">
        <v>137</v>
      </c>
      <c r="F24" s="46" t="s">
        <v>234</v>
      </c>
      <c r="G24" s="47" t="s">
        <v>235</v>
      </c>
      <c r="H24" s="55" t="s">
        <v>1171</v>
      </c>
    </row>
    <row r="25" spans="1:8" ht="180.75" customHeight="1" thickBot="1" x14ac:dyDescent="0.3">
      <c r="A25" s="50"/>
      <c r="B25" s="44">
        <v>24</v>
      </c>
      <c r="C25" s="45" t="s">
        <v>236</v>
      </c>
      <c r="D25" s="46" t="s">
        <v>237</v>
      </c>
      <c r="E25" s="58" t="s">
        <v>137</v>
      </c>
      <c r="F25" s="46" t="s">
        <v>238</v>
      </c>
      <c r="G25" s="47" t="s">
        <v>239</v>
      </c>
      <c r="H25" s="55" t="s">
        <v>1171</v>
      </c>
    </row>
    <row r="26" spans="1:8" ht="116.25" customHeight="1" thickBot="1" x14ac:dyDescent="0.3">
      <c r="A26" s="50"/>
      <c r="B26" s="44">
        <v>25</v>
      </c>
      <c r="C26" s="45" t="s">
        <v>240</v>
      </c>
      <c r="D26" s="46" t="s">
        <v>241</v>
      </c>
      <c r="E26" s="58" t="s">
        <v>137</v>
      </c>
      <c r="F26" s="46" t="s">
        <v>242</v>
      </c>
      <c r="G26" s="47" t="s">
        <v>243</v>
      </c>
      <c r="H26" s="55" t="s">
        <v>1171</v>
      </c>
    </row>
    <row r="27" spans="1:8" ht="114" customHeight="1" thickBot="1" x14ac:dyDescent="0.3">
      <c r="A27" s="50"/>
      <c r="B27" s="44">
        <v>26</v>
      </c>
      <c r="C27" s="45" t="s">
        <v>244</v>
      </c>
      <c r="D27" s="46" t="s">
        <v>245</v>
      </c>
      <c r="E27" s="58" t="s">
        <v>137</v>
      </c>
      <c r="F27" s="46" t="s">
        <v>246</v>
      </c>
      <c r="G27" s="47" t="s">
        <v>247</v>
      </c>
      <c r="H27" s="55" t="s">
        <v>1171</v>
      </c>
    </row>
    <row r="28" spans="1:8" ht="124.5" customHeight="1" thickBot="1" x14ac:dyDescent="0.3">
      <c r="A28" s="50"/>
      <c r="B28" s="44">
        <v>27</v>
      </c>
      <c r="C28" s="45" t="s">
        <v>248</v>
      </c>
      <c r="D28" s="46" t="s">
        <v>249</v>
      </c>
      <c r="E28" s="58" t="s">
        <v>137</v>
      </c>
      <c r="F28" s="46" t="s">
        <v>250</v>
      </c>
      <c r="G28" s="47" t="s">
        <v>251</v>
      </c>
      <c r="H28" s="55" t="s">
        <v>1171</v>
      </c>
    </row>
    <row r="29" spans="1:8" ht="147" customHeight="1" thickBot="1" x14ac:dyDescent="0.3">
      <c r="A29" s="50"/>
      <c r="B29" s="44">
        <v>28</v>
      </c>
      <c r="C29" s="45" t="s">
        <v>252</v>
      </c>
      <c r="D29" s="46" t="s">
        <v>253</v>
      </c>
      <c r="E29" s="58" t="s">
        <v>137</v>
      </c>
      <c r="F29" s="46" t="s">
        <v>254</v>
      </c>
      <c r="G29" s="47" t="s">
        <v>255</v>
      </c>
      <c r="H29" s="55" t="s">
        <v>1171</v>
      </c>
    </row>
    <row r="30" spans="1:8" ht="115.5" customHeight="1" thickBot="1" x14ac:dyDescent="0.3">
      <c r="A30" s="50"/>
      <c r="B30" s="44">
        <v>29</v>
      </c>
      <c r="C30" s="45" t="s">
        <v>256</v>
      </c>
      <c r="D30" s="46" t="s">
        <v>257</v>
      </c>
      <c r="E30" s="58" t="s">
        <v>137</v>
      </c>
      <c r="F30" s="46" t="s">
        <v>258</v>
      </c>
      <c r="G30" s="47" t="s">
        <v>259</v>
      </c>
      <c r="H30" s="55" t="s">
        <v>1171</v>
      </c>
    </row>
    <row r="31" spans="1:8" ht="177.75" customHeight="1" thickBot="1" x14ac:dyDescent="0.3">
      <c r="A31" s="50"/>
      <c r="B31" s="44">
        <v>30</v>
      </c>
      <c r="C31" s="45" t="s">
        <v>260</v>
      </c>
      <c r="D31" s="46" t="s">
        <v>261</v>
      </c>
      <c r="E31" s="58" t="s">
        <v>137</v>
      </c>
      <c r="F31" s="46" t="s">
        <v>262</v>
      </c>
      <c r="G31" s="47" t="s">
        <v>263</v>
      </c>
      <c r="H31" s="55" t="s">
        <v>1171</v>
      </c>
    </row>
    <row r="32" spans="1:8" ht="180" customHeight="1" thickBot="1" x14ac:dyDescent="0.3">
      <c r="A32" s="50"/>
      <c r="B32" s="44">
        <v>31</v>
      </c>
      <c r="C32" s="45" t="s">
        <v>264</v>
      </c>
      <c r="D32" s="46" t="s">
        <v>265</v>
      </c>
      <c r="E32" s="58" t="s">
        <v>137</v>
      </c>
      <c r="F32" s="46" t="s">
        <v>266</v>
      </c>
      <c r="G32" s="47" t="s">
        <v>267</v>
      </c>
      <c r="H32" s="55" t="s">
        <v>1171</v>
      </c>
    </row>
    <row r="33" spans="1:8" ht="137.25" customHeight="1" thickBot="1" x14ac:dyDescent="0.3">
      <c r="A33" s="50"/>
      <c r="B33" s="44">
        <v>32</v>
      </c>
      <c r="C33" s="45" t="s">
        <v>268</v>
      </c>
      <c r="D33" s="46" t="s">
        <v>269</v>
      </c>
      <c r="E33" s="58" t="s">
        <v>137</v>
      </c>
      <c r="F33" s="46" t="s">
        <v>270</v>
      </c>
      <c r="G33" s="47" t="s">
        <v>271</v>
      </c>
      <c r="H33" s="55" t="s">
        <v>1171</v>
      </c>
    </row>
    <row r="34" spans="1:8" ht="112.5" customHeight="1" thickBot="1" x14ac:dyDescent="0.3">
      <c r="A34" s="50"/>
      <c r="B34" s="44">
        <v>33</v>
      </c>
      <c r="C34" s="45" t="s">
        <v>272</v>
      </c>
      <c r="D34" s="46" t="s">
        <v>273</v>
      </c>
      <c r="E34" s="58" t="s">
        <v>137</v>
      </c>
      <c r="F34" s="46" t="s">
        <v>274</v>
      </c>
      <c r="G34" s="47" t="s">
        <v>275</v>
      </c>
      <c r="H34" s="55" t="s">
        <v>1171</v>
      </c>
    </row>
    <row r="35" spans="1:8" ht="228.75" customHeight="1" thickBot="1" x14ac:dyDescent="0.3">
      <c r="A35" s="50"/>
      <c r="B35" s="44">
        <v>34</v>
      </c>
      <c r="C35" s="45" t="s">
        <v>276</v>
      </c>
      <c r="D35" s="46" t="s">
        <v>277</v>
      </c>
      <c r="E35" s="58" t="s">
        <v>137</v>
      </c>
      <c r="F35" s="46" t="s">
        <v>278</v>
      </c>
      <c r="G35" s="47" t="s">
        <v>279</v>
      </c>
      <c r="H35" s="55" t="s">
        <v>1171</v>
      </c>
    </row>
    <row r="36" spans="1:8" ht="147.75" customHeight="1" thickBot="1" x14ac:dyDescent="0.3">
      <c r="A36" s="50"/>
      <c r="B36" s="44">
        <v>35</v>
      </c>
      <c r="C36" s="45" t="s">
        <v>280</v>
      </c>
      <c r="D36" s="46" t="s">
        <v>281</v>
      </c>
      <c r="E36" s="58" t="s">
        <v>137</v>
      </c>
      <c r="F36" s="46" t="s">
        <v>282</v>
      </c>
      <c r="G36" s="47" t="s">
        <v>283</v>
      </c>
      <c r="H36" s="55" t="s">
        <v>1171</v>
      </c>
    </row>
    <row r="37" spans="1:8" ht="123.75" customHeight="1" thickBot="1" x14ac:dyDescent="0.3">
      <c r="A37" s="50"/>
      <c r="B37" s="44">
        <v>36</v>
      </c>
      <c r="C37" s="45" t="s">
        <v>284</v>
      </c>
      <c r="D37" s="46" t="s">
        <v>285</v>
      </c>
      <c r="E37" s="58" t="s">
        <v>137</v>
      </c>
      <c r="F37" s="46" t="s">
        <v>286</v>
      </c>
      <c r="G37" s="47" t="s">
        <v>287</v>
      </c>
      <c r="H37" s="55" t="s">
        <v>1171</v>
      </c>
    </row>
    <row r="38" spans="1:8" ht="104.25" customHeight="1" thickBot="1" x14ac:dyDescent="0.3">
      <c r="A38" s="50"/>
      <c r="B38" s="44">
        <v>37</v>
      </c>
      <c r="C38" s="45" t="s">
        <v>288</v>
      </c>
      <c r="D38" s="46" t="s">
        <v>289</v>
      </c>
      <c r="E38" s="58" t="s">
        <v>137</v>
      </c>
      <c r="F38" s="46" t="s">
        <v>290</v>
      </c>
      <c r="G38" s="47" t="s">
        <v>291</v>
      </c>
      <c r="H38" s="55" t="s">
        <v>1171</v>
      </c>
    </row>
    <row r="39" spans="1:8" ht="116.25" customHeight="1" thickBot="1" x14ac:dyDescent="0.3">
      <c r="A39" s="50"/>
      <c r="B39" s="44">
        <v>38</v>
      </c>
      <c r="C39" s="45" t="s">
        <v>292</v>
      </c>
      <c r="D39" s="46" t="s">
        <v>293</v>
      </c>
      <c r="E39" s="58" t="s">
        <v>137</v>
      </c>
      <c r="F39" s="46" t="s">
        <v>294</v>
      </c>
      <c r="G39" s="47" t="s">
        <v>295</v>
      </c>
      <c r="H39" s="55" t="s">
        <v>1171</v>
      </c>
    </row>
    <row r="40" spans="1:8" ht="137.25" customHeight="1" thickBot="1" x14ac:dyDescent="0.3">
      <c r="A40" s="50"/>
      <c r="B40" s="44">
        <v>39</v>
      </c>
      <c r="C40" s="45" t="s">
        <v>296</v>
      </c>
      <c r="D40" s="46" t="s">
        <v>297</v>
      </c>
      <c r="E40" s="58" t="s">
        <v>137</v>
      </c>
      <c r="F40" s="46" t="s">
        <v>298</v>
      </c>
      <c r="G40" s="47" t="s">
        <v>299</v>
      </c>
      <c r="H40" s="55" t="s">
        <v>1171</v>
      </c>
    </row>
    <row r="41" spans="1:8" ht="113.25" customHeight="1" thickBot="1" x14ac:dyDescent="0.3">
      <c r="A41" s="50"/>
      <c r="B41" s="44">
        <v>40</v>
      </c>
      <c r="C41" s="45" t="s">
        <v>300</v>
      </c>
      <c r="D41" s="46" t="s">
        <v>301</v>
      </c>
      <c r="E41" s="58" t="s">
        <v>137</v>
      </c>
      <c r="F41" s="46" t="s">
        <v>302</v>
      </c>
      <c r="G41" s="47" t="s">
        <v>303</v>
      </c>
      <c r="H41" s="55" t="s">
        <v>1171</v>
      </c>
    </row>
    <row r="42" spans="1:8" ht="84.75" customHeight="1" thickBot="1" x14ac:dyDescent="0.3">
      <c r="A42" s="50"/>
      <c r="B42" s="44">
        <v>41</v>
      </c>
      <c r="C42" s="45" t="s">
        <v>304</v>
      </c>
      <c r="D42" s="46" t="s">
        <v>305</v>
      </c>
      <c r="E42" s="58" t="s">
        <v>137</v>
      </c>
      <c r="F42" s="46" t="s">
        <v>306</v>
      </c>
      <c r="G42" s="47" t="s">
        <v>307</v>
      </c>
      <c r="H42" s="55" t="s">
        <v>1171</v>
      </c>
    </row>
    <row r="43" spans="1:8" ht="166.5" customHeight="1" thickBot="1" x14ac:dyDescent="0.3">
      <c r="A43" s="50"/>
      <c r="B43" s="44">
        <v>42</v>
      </c>
      <c r="C43" s="45" t="s">
        <v>308</v>
      </c>
      <c r="D43" s="40" t="s">
        <v>1161</v>
      </c>
      <c r="E43" s="58" t="s">
        <v>137</v>
      </c>
      <c r="F43" s="46" t="s">
        <v>309</v>
      </c>
      <c r="G43" s="47" t="s">
        <v>310</v>
      </c>
      <c r="H43" s="55" t="s">
        <v>1171</v>
      </c>
    </row>
    <row r="44" spans="1:8" ht="134.25" customHeight="1" thickBot="1" x14ac:dyDescent="0.3">
      <c r="A44" s="50"/>
      <c r="B44" s="44">
        <v>43</v>
      </c>
      <c r="C44" s="45" t="s">
        <v>311</v>
      </c>
      <c r="D44" s="46" t="s">
        <v>312</v>
      </c>
      <c r="E44" s="58" t="s">
        <v>137</v>
      </c>
      <c r="F44" s="46" t="s">
        <v>313</v>
      </c>
      <c r="G44" s="47" t="s">
        <v>314</v>
      </c>
      <c r="H44" s="55" t="s">
        <v>1171</v>
      </c>
    </row>
    <row r="45" spans="1:8" ht="115.5" customHeight="1" thickBot="1" x14ac:dyDescent="0.3">
      <c r="A45" s="50"/>
      <c r="B45" s="44">
        <v>44</v>
      </c>
      <c r="C45" s="45" t="s">
        <v>315</v>
      </c>
      <c r="D45" s="46" t="s">
        <v>316</v>
      </c>
      <c r="E45" s="58" t="s">
        <v>137</v>
      </c>
      <c r="F45" s="46" t="s">
        <v>317</v>
      </c>
      <c r="G45" s="47" t="s">
        <v>318</v>
      </c>
      <c r="H45" s="55" t="s">
        <v>1171</v>
      </c>
    </row>
    <row r="46" spans="1:8" ht="99" customHeight="1" thickBot="1" x14ac:dyDescent="0.3">
      <c r="A46" s="50"/>
      <c r="B46" s="44">
        <v>45</v>
      </c>
      <c r="C46" s="45" t="s">
        <v>319</v>
      </c>
      <c r="D46" s="46" t="s">
        <v>320</v>
      </c>
      <c r="E46" s="58" t="s">
        <v>137</v>
      </c>
      <c r="F46" s="46" t="s">
        <v>321</v>
      </c>
      <c r="G46" s="47" t="s">
        <v>322</v>
      </c>
      <c r="H46" s="55" t="s">
        <v>1171</v>
      </c>
    </row>
    <row r="47" spans="1:8" ht="101.25" customHeight="1" thickBot="1" x14ac:dyDescent="0.3">
      <c r="A47" s="50"/>
      <c r="B47" s="44">
        <v>46</v>
      </c>
      <c r="C47" s="45" t="s">
        <v>323</v>
      </c>
      <c r="D47" s="46" t="s">
        <v>324</v>
      </c>
      <c r="E47" s="58" t="s">
        <v>137</v>
      </c>
      <c r="F47" s="46" t="s">
        <v>325</v>
      </c>
      <c r="G47" s="47" t="s">
        <v>326</v>
      </c>
      <c r="H47" s="55" t="s">
        <v>1171</v>
      </c>
    </row>
    <row r="48" spans="1:8" ht="130.5" customHeight="1" thickBot="1" x14ac:dyDescent="0.3">
      <c r="A48" s="50"/>
      <c r="B48" s="44">
        <v>47</v>
      </c>
      <c r="C48" s="45" t="s">
        <v>327</v>
      </c>
      <c r="D48" s="46" t="s">
        <v>328</v>
      </c>
      <c r="E48" s="58" t="s">
        <v>137</v>
      </c>
      <c r="F48" s="46" t="s">
        <v>329</v>
      </c>
      <c r="G48" s="47" t="s">
        <v>330</v>
      </c>
      <c r="H48" s="55" t="s">
        <v>1171</v>
      </c>
    </row>
    <row r="49" spans="1:8" ht="110.25" customHeight="1" thickBot="1" x14ac:dyDescent="0.3">
      <c r="A49" s="50"/>
      <c r="B49" s="44">
        <v>48</v>
      </c>
      <c r="C49" s="45" t="s">
        <v>331</v>
      </c>
      <c r="D49" s="46" t="s">
        <v>332</v>
      </c>
      <c r="E49" s="58" t="s">
        <v>137</v>
      </c>
      <c r="F49" s="46" t="s">
        <v>333</v>
      </c>
      <c r="G49" s="47" t="s">
        <v>334</v>
      </c>
      <c r="H49" s="55" t="s">
        <v>1171</v>
      </c>
    </row>
    <row r="50" spans="1:8" ht="118.5" customHeight="1" thickBot="1" x14ac:dyDescent="0.3">
      <c r="A50" s="50"/>
      <c r="B50" s="44">
        <v>49</v>
      </c>
      <c r="C50" s="45" t="s">
        <v>335</v>
      </c>
      <c r="D50" s="46" t="s">
        <v>336</v>
      </c>
      <c r="E50" s="59" t="s">
        <v>137</v>
      </c>
      <c r="F50" s="46" t="s">
        <v>337</v>
      </c>
      <c r="G50" s="47" t="s">
        <v>338</v>
      </c>
      <c r="H50" s="55" t="s">
        <v>1171</v>
      </c>
    </row>
    <row r="51" spans="1:8" ht="205.5" customHeight="1" thickBot="1" x14ac:dyDescent="0.3">
      <c r="A51" s="50"/>
      <c r="B51" s="44">
        <v>50</v>
      </c>
      <c r="C51" s="45" t="s">
        <v>339</v>
      </c>
      <c r="D51" s="60" t="s">
        <v>340</v>
      </c>
      <c r="E51" s="61" t="s">
        <v>137</v>
      </c>
      <c r="F51" s="46" t="s">
        <v>341</v>
      </c>
      <c r="G51" s="47" t="s">
        <v>342</v>
      </c>
      <c r="H51" s="55" t="s">
        <v>1171</v>
      </c>
    </row>
    <row r="52" spans="1:8" ht="261" customHeight="1" thickBot="1" x14ac:dyDescent="0.3">
      <c r="A52" s="50"/>
      <c r="B52" s="44">
        <v>51</v>
      </c>
      <c r="C52" s="45" t="s">
        <v>1160</v>
      </c>
      <c r="D52" s="40" t="s">
        <v>1166</v>
      </c>
      <c r="E52" s="61" t="s">
        <v>137</v>
      </c>
      <c r="F52" s="40" t="s">
        <v>1167</v>
      </c>
      <c r="G52" s="62" t="s">
        <v>1168</v>
      </c>
      <c r="H52" s="55" t="s">
        <v>1171</v>
      </c>
    </row>
    <row r="53" spans="1:8" ht="212.25" customHeight="1" thickBot="1" x14ac:dyDescent="0.3">
      <c r="A53" s="50"/>
      <c r="B53" s="44">
        <v>52</v>
      </c>
      <c r="C53" s="45" t="s">
        <v>343</v>
      </c>
      <c r="D53" s="62" t="s">
        <v>1162</v>
      </c>
      <c r="E53" s="61" t="s">
        <v>137</v>
      </c>
      <c r="F53" s="46" t="s">
        <v>1163</v>
      </c>
      <c r="G53" s="47" t="s">
        <v>344</v>
      </c>
      <c r="H53" s="55" t="s">
        <v>1171</v>
      </c>
    </row>
    <row r="54" spans="1:8" ht="124.5" customHeight="1" thickBot="1" x14ac:dyDescent="0.3">
      <c r="A54" s="50"/>
      <c r="B54" s="44">
        <v>53</v>
      </c>
      <c r="C54" s="45" t="s">
        <v>345</v>
      </c>
      <c r="D54" s="40" t="s">
        <v>346</v>
      </c>
      <c r="E54" s="58" t="s">
        <v>137</v>
      </c>
      <c r="F54" s="46" t="s">
        <v>347</v>
      </c>
      <c r="G54" s="47" t="s">
        <v>348</v>
      </c>
      <c r="H54" s="55" t="s">
        <v>1171</v>
      </c>
    </row>
    <row r="55" spans="1:8" ht="152.25" customHeight="1" thickBot="1" x14ac:dyDescent="0.3">
      <c r="A55" s="50"/>
      <c r="B55" s="44">
        <v>54</v>
      </c>
      <c r="C55" s="45" t="s">
        <v>349</v>
      </c>
      <c r="D55" s="46" t="s">
        <v>350</v>
      </c>
      <c r="E55" s="58" t="s">
        <v>137</v>
      </c>
      <c r="F55" s="46" t="s">
        <v>351</v>
      </c>
      <c r="G55" s="47" t="s">
        <v>352</v>
      </c>
      <c r="H55" s="55" t="s">
        <v>1171</v>
      </c>
    </row>
    <row r="56" spans="1:8" ht="133.5" customHeight="1" thickBot="1" x14ac:dyDescent="0.3">
      <c r="A56" s="50"/>
      <c r="B56" s="44">
        <v>55</v>
      </c>
      <c r="C56" s="45" t="s">
        <v>353</v>
      </c>
      <c r="D56" s="46" t="s">
        <v>354</v>
      </c>
      <c r="E56" s="58" t="s">
        <v>137</v>
      </c>
      <c r="F56" s="46" t="s">
        <v>355</v>
      </c>
      <c r="G56" s="47" t="s">
        <v>356</v>
      </c>
      <c r="H56" s="55" t="s">
        <v>1171</v>
      </c>
    </row>
    <row r="57" spans="1:8" ht="308.25" customHeight="1" thickBot="1" x14ac:dyDescent="0.3">
      <c r="A57" s="50"/>
      <c r="B57" s="44">
        <v>56</v>
      </c>
      <c r="C57" s="45" t="s">
        <v>357</v>
      </c>
      <c r="D57" s="46" t="s">
        <v>358</v>
      </c>
      <c r="E57" s="58" t="s">
        <v>137</v>
      </c>
      <c r="F57" s="46" t="s">
        <v>359</v>
      </c>
      <c r="G57" s="47" t="s">
        <v>360</v>
      </c>
      <c r="H57" s="55" t="s">
        <v>1171</v>
      </c>
    </row>
    <row r="58" spans="1:8" ht="179.25" customHeight="1" thickBot="1" x14ac:dyDescent="0.3">
      <c r="A58" s="50"/>
      <c r="B58" s="44">
        <v>57</v>
      </c>
      <c r="C58" s="45" t="s">
        <v>361</v>
      </c>
      <c r="D58" s="46" t="s">
        <v>362</v>
      </c>
      <c r="E58" s="58" t="s">
        <v>137</v>
      </c>
      <c r="F58" s="46" t="s">
        <v>363</v>
      </c>
      <c r="G58" s="47" t="s">
        <v>364</v>
      </c>
      <c r="H58" s="55" t="s">
        <v>1171</v>
      </c>
    </row>
    <row r="59" spans="1:8" ht="292.5" customHeight="1" thickBot="1" x14ac:dyDescent="0.3">
      <c r="A59" s="50"/>
      <c r="B59" s="44">
        <v>58</v>
      </c>
      <c r="C59" s="45" t="s">
        <v>365</v>
      </c>
      <c r="D59" s="46" t="s">
        <v>366</v>
      </c>
      <c r="E59" s="58" t="s">
        <v>137</v>
      </c>
      <c r="F59" s="46" t="s">
        <v>367</v>
      </c>
      <c r="G59" s="47" t="s">
        <v>368</v>
      </c>
      <c r="H59" s="55" t="s">
        <v>1171</v>
      </c>
    </row>
    <row r="60" spans="1:8" ht="204" customHeight="1" thickBot="1" x14ac:dyDescent="0.3">
      <c r="A60" s="50"/>
      <c r="B60" s="44">
        <v>59</v>
      </c>
      <c r="C60" s="45" t="s">
        <v>369</v>
      </c>
      <c r="D60" s="62" t="s">
        <v>1164</v>
      </c>
      <c r="E60" s="58" t="s">
        <v>137</v>
      </c>
      <c r="F60" s="46" t="s">
        <v>370</v>
      </c>
      <c r="G60" s="47" t="s">
        <v>371</v>
      </c>
      <c r="H60" s="55" t="s">
        <v>1171</v>
      </c>
    </row>
    <row r="61" spans="1:8" ht="147.75" customHeight="1" thickBot="1" x14ac:dyDescent="0.3">
      <c r="A61" s="50"/>
      <c r="B61" s="44">
        <v>60</v>
      </c>
      <c r="C61" s="45" t="s">
        <v>372</v>
      </c>
      <c r="D61" s="46" t="s">
        <v>373</v>
      </c>
      <c r="E61" s="58" t="s">
        <v>137</v>
      </c>
      <c r="F61" s="46" t="s">
        <v>374</v>
      </c>
      <c r="G61" s="47" t="s">
        <v>375</v>
      </c>
      <c r="H61" s="55" t="s">
        <v>1171</v>
      </c>
    </row>
    <row r="62" spans="1:8" ht="308.25" customHeight="1" thickBot="1" x14ac:dyDescent="0.3">
      <c r="A62" s="50"/>
      <c r="B62" s="44">
        <v>61</v>
      </c>
      <c r="C62" s="45" t="s">
        <v>376</v>
      </c>
      <c r="D62" s="46" t="s">
        <v>377</v>
      </c>
      <c r="E62" s="58" t="s">
        <v>137</v>
      </c>
      <c r="F62" s="46" t="s">
        <v>378</v>
      </c>
      <c r="G62" s="47" t="s">
        <v>379</v>
      </c>
      <c r="H62" s="55" t="s">
        <v>1171</v>
      </c>
    </row>
    <row r="63" spans="1:8" ht="238.5" customHeight="1" thickBot="1" x14ac:dyDescent="0.3">
      <c r="A63" s="50"/>
      <c r="B63" s="44">
        <v>62</v>
      </c>
      <c r="C63" s="45" t="s">
        <v>380</v>
      </c>
      <c r="D63" s="62" t="s">
        <v>1165</v>
      </c>
      <c r="E63" s="58" t="s">
        <v>137</v>
      </c>
      <c r="F63" s="46" t="s">
        <v>381</v>
      </c>
      <c r="G63" s="47" t="s">
        <v>382</v>
      </c>
      <c r="H63" s="55" t="s">
        <v>1171</v>
      </c>
    </row>
    <row r="64" spans="1:8" ht="181.5" customHeight="1" thickBot="1" x14ac:dyDescent="0.3">
      <c r="A64" s="50"/>
      <c r="B64" s="44">
        <v>63</v>
      </c>
      <c r="C64" s="45" t="s">
        <v>383</v>
      </c>
      <c r="D64" s="46" t="s">
        <v>384</v>
      </c>
      <c r="E64" s="58" t="s">
        <v>137</v>
      </c>
      <c r="F64" s="46" t="s">
        <v>385</v>
      </c>
      <c r="G64" s="47" t="s">
        <v>386</v>
      </c>
      <c r="H64" s="55" t="s">
        <v>1171</v>
      </c>
    </row>
    <row r="65" spans="1:8" ht="232.5" customHeight="1" thickBot="1" x14ac:dyDescent="0.3">
      <c r="A65" s="50"/>
      <c r="B65" s="44">
        <v>64</v>
      </c>
      <c r="C65" s="45" t="s">
        <v>387</v>
      </c>
      <c r="D65" s="46" t="s">
        <v>388</v>
      </c>
      <c r="E65" s="58" t="s">
        <v>137</v>
      </c>
      <c r="F65" s="46" t="s">
        <v>389</v>
      </c>
      <c r="G65" s="47" t="s">
        <v>390</v>
      </c>
      <c r="H65" s="55" t="s">
        <v>1171</v>
      </c>
    </row>
    <row r="66" spans="1:8" ht="168" customHeight="1" thickBot="1" x14ac:dyDescent="0.3">
      <c r="A66" s="50"/>
      <c r="B66" s="44">
        <v>65</v>
      </c>
      <c r="C66" s="45" t="s">
        <v>391</v>
      </c>
      <c r="D66" s="46" t="s">
        <v>392</v>
      </c>
      <c r="E66" s="58" t="s">
        <v>137</v>
      </c>
      <c r="F66" s="46" t="s">
        <v>393</v>
      </c>
      <c r="G66" s="47" t="s">
        <v>394</v>
      </c>
      <c r="H66" s="55" t="s">
        <v>1171</v>
      </c>
    </row>
    <row r="67" spans="1:8" ht="121.5" customHeight="1" thickBot="1" x14ac:dyDescent="0.3">
      <c r="A67" s="50"/>
      <c r="B67" s="44">
        <v>66</v>
      </c>
      <c r="C67" s="45" t="s">
        <v>395</v>
      </c>
      <c r="D67" s="46" t="s">
        <v>396</v>
      </c>
      <c r="E67" s="58" t="s">
        <v>137</v>
      </c>
      <c r="F67" s="46" t="s">
        <v>397</v>
      </c>
      <c r="G67" s="47" t="s">
        <v>398</v>
      </c>
      <c r="H67" s="55" t="s">
        <v>1171</v>
      </c>
    </row>
    <row r="68" spans="1:8" ht="98.25" customHeight="1" thickBot="1" x14ac:dyDescent="0.3">
      <c r="A68" s="50"/>
      <c r="B68" s="44">
        <v>67</v>
      </c>
      <c r="C68" s="45" t="s">
        <v>399</v>
      </c>
      <c r="D68" s="46" t="s">
        <v>400</v>
      </c>
      <c r="E68" s="58" t="s">
        <v>137</v>
      </c>
      <c r="F68" s="46" t="s">
        <v>401</v>
      </c>
      <c r="G68" s="47" t="s">
        <v>402</v>
      </c>
      <c r="H68" s="55" t="s">
        <v>1171</v>
      </c>
    </row>
    <row r="69" spans="1:8" ht="168" customHeight="1" thickBot="1" x14ac:dyDescent="0.3">
      <c r="A69" s="50"/>
      <c r="B69" s="44">
        <v>68</v>
      </c>
      <c r="C69" s="45" t="s">
        <v>403</v>
      </c>
      <c r="D69" s="46" t="s">
        <v>404</v>
      </c>
      <c r="E69" s="58" t="s">
        <v>137</v>
      </c>
      <c r="F69" s="46" t="s">
        <v>405</v>
      </c>
      <c r="G69" s="47" t="s">
        <v>406</v>
      </c>
      <c r="H69" s="55" t="s">
        <v>1171</v>
      </c>
    </row>
    <row r="70" spans="1:8" ht="194.25" customHeight="1" thickBot="1" x14ac:dyDescent="0.3">
      <c r="A70" s="50"/>
      <c r="B70" s="44">
        <v>69</v>
      </c>
      <c r="C70" s="45" t="s">
        <v>407</v>
      </c>
      <c r="D70" s="46" t="s">
        <v>408</v>
      </c>
      <c r="E70" s="58" t="s">
        <v>137</v>
      </c>
      <c r="F70" s="46" t="s">
        <v>409</v>
      </c>
      <c r="G70" s="47" t="s">
        <v>410</v>
      </c>
      <c r="H70" s="55" t="s">
        <v>1171</v>
      </c>
    </row>
    <row r="71" spans="1:8" ht="116.25" customHeight="1" thickBot="1" x14ac:dyDescent="0.3">
      <c r="A71" s="50"/>
      <c r="B71" s="44">
        <v>70</v>
      </c>
      <c r="C71" s="45" t="s">
        <v>411</v>
      </c>
      <c r="D71" s="46" t="s">
        <v>412</v>
      </c>
      <c r="E71" s="58" t="s">
        <v>137</v>
      </c>
      <c r="F71" s="46" t="s">
        <v>413</v>
      </c>
      <c r="G71" s="47" t="s">
        <v>414</v>
      </c>
      <c r="H71" s="55" t="s">
        <v>1171</v>
      </c>
    </row>
    <row r="72" spans="1:8" ht="118.5" customHeight="1" thickBot="1" x14ac:dyDescent="0.3">
      <c r="A72" s="50"/>
      <c r="B72" s="44">
        <v>71</v>
      </c>
      <c r="C72" s="45" t="s">
        <v>415</v>
      </c>
      <c r="D72" s="46" t="s">
        <v>416</v>
      </c>
      <c r="E72" s="58" t="s">
        <v>137</v>
      </c>
      <c r="F72" s="46" t="s">
        <v>417</v>
      </c>
      <c r="G72" s="47" t="s">
        <v>418</v>
      </c>
      <c r="H72" s="55" t="s">
        <v>1171</v>
      </c>
    </row>
    <row r="73" spans="1:8" ht="108.75" customHeight="1" thickBot="1" x14ac:dyDescent="0.3">
      <c r="A73" s="50"/>
      <c r="B73" s="44">
        <v>72</v>
      </c>
      <c r="C73" s="45" t="s">
        <v>419</v>
      </c>
      <c r="D73" s="46" t="s">
        <v>420</v>
      </c>
      <c r="E73" s="58" t="s">
        <v>137</v>
      </c>
      <c r="F73" s="46" t="s">
        <v>421</v>
      </c>
      <c r="G73" s="47" t="s">
        <v>422</v>
      </c>
      <c r="H73" s="55" t="s">
        <v>1171</v>
      </c>
    </row>
    <row r="74" spans="1:8" ht="95.25" customHeight="1" thickBot="1" x14ac:dyDescent="0.3">
      <c r="A74" s="50"/>
      <c r="B74" s="44">
        <v>73</v>
      </c>
      <c r="C74" s="45" t="s">
        <v>423</v>
      </c>
      <c r="D74" s="46" t="s">
        <v>424</v>
      </c>
      <c r="E74" s="58" t="s">
        <v>137</v>
      </c>
      <c r="F74" s="46" t="s">
        <v>425</v>
      </c>
      <c r="G74" s="47" t="s">
        <v>426</v>
      </c>
      <c r="H74" s="55" t="s">
        <v>1171</v>
      </c>
    </row>
    <row r="75" spans="1:8" ht="95.25" customHeight="1" thickBot="1" x14ac:dyDescent="0.3">
      <c r="A75" s="50"/>
      <c r="B75" s="44">
        <v>74</v>
      </c>
      <c r="C75" s="45" t="s">
        <v>427</v>
      </c>
      <c r="D75" s="46" t="s">
        <v>428</v>
      </c>
      <c r="E75" s="58" t="s">
        <v>137</v>
      </c>
      <c r="F75" s="46" t="s">
        <v>429</v>
      </c>
      <c r="G75" s="47" t="s">
        <v>430</v>
      </c>
      <c r="H75" s="55" t="s">
        <v>1171</v>
      </c>
    </row>
    <row r="76" spans="1:8" ht="120" customHeight="1" thickBot="1" x14ac:dyDescent="0.3">
      <c r="A76" s="50"/>
      <c r="B76" s="44">
        <v>75</v>
      </c>
      <c r="C76" s="45" t="s">
        <v>431</v>
      </c>
      <c r="D76" s="46" t="s">
        <v>432</v>
      </c>
      <c r="E76" s="58" t="s">
        <v>137</v>
      </c>
      <c r="F76" s="46" t="s">
        <v>433</v>
      </c>
      <c r="G76" s="47" t="s">
        <v>434</v>
      </c>
      <c r="H76" s="55" t="s">
        <v>1171</v>
      </c>
    </row>
    <row r="77" spans="1:8" ht="100.5" customHeight="1" thickBot="1" x14ac:dyDescent="0.3">
      <c r="A77" s="50"/>
      <c r="B77" s="44">
        <v>76</v>
      </c>
      <c r="C77" s="45" t="s">
        <v>435</v>
      </c>
      <c r="D77" s="46" t="s">
        <v>436</v>
      </c>
      <c r="E77" s="58" t="s">
        <v>137</v>
      </c>
      <c r="F77" s="46" t="s">
        <v>437</v>
      </c>
      <c r="G77" s="47" t="s">
        <v>438</v>
      </c>
      <c r="H77" s="55" t="s">
        <v>1171</v>
      </c>
    </row>
    <row r="78" spans="1:8" ht="85.5" customHeight="1" thickBot="1" x14ac:dyDescent="0.3">
      <c r="A78" s="50"/>
      <c r="B78" s="44">
        <v>77</v>
      </c>
      <c r="C78" s="45" t="s">
        <v>439</v>
      </c>
      <c r="D78" s="46" t="s">
        <v>440</v>
      </c>
      <c r="E78" s="58" t="s">
        <v>137</v>
      </c>
      <c r="F78" s="46" t="s">
        <v>441</v>
      </c>
      <c r="G78" s="47" t="s">
        <v>442</v>
      </c>
      <c r="H78" s="55" t="s">
        <v>1171</v>
      </c>
    </row>
    <row r="79" spans="1:8" ht="89.25" customHeight="1" thickBot="1" x14ac:dyDescent="0.3">
      <c r="A79" s="50"/>
      <c r="B79" s="44">
        <v>78</v>
      </c>
      <c r="C79" s="45" t="s">
        <v>443</v>
      </c>
      <c r="D79" s="46" t="s">
        <v>444</v>
      </c>
      <c r="E79" s="58" t="s">
        <v>137</v>
      </c>
      <c r="F79" s="46" t="s">
        <v>445</v>
      </c>
      <c r="G79" s="47" t="s">
        <v>446</v>
      </c>
      <c r="H79" s="55" t="s">
        <v>1171</v>
      </c>
    </row>
    <row r="80" spans="1:8" ht="153" customHeight="1" thickBot="1" x14ac:dyDescent="0.3">
      <c r="A80" s="50"/>
      <c r="B80" s="44">
        <v>79</v>
      </c>
      <c r="C80" s="45" t="s">
        <v>447</v>
      </c>
      <c r="D80" s="46" t="s">
        <v>448</v>
      </c>
      <c r="E80" s="58" t="s">
        <v>137</v>
      </c>
      <c r="F80" s="46" t="s">
        <v>449</v>
      </c>
      <c r="G80" s="47" t="s">
        <v>450</v>
      </c>
      <c r="H80" s="55" t="s">
        <v>1171</v>
      </c>
    </row>
    <row r="81" spans="1:8" ht="103.5" customHeight="1" thickBot="1" x14ac:dyDescent="0.3">
      <c r="A81" s="50"/>
      <c r="B81" s="44">
        <v>80</v>
      </c>
      <c r="C81" s="45" t="s">
        <v>451</v>
      </c>
      <c r="D81" s="46" t="s">
        <v>452</v>
      </c>
      <c r="E81" s="58" t="s">
        <v>137</v>
      </c>
      <c r="F81" s="46" t="s">
        <v>453</v>
      </c>
      <c r="G81" s="47" t="s">
        <v>454</v>
      </c>
      <c r="H81" s="55" t="s">
        <v>1171</v>
      </c>
    </row>
    <row r="82" spans="1:8" ht="116.25" customHeight="1" thickBot="1" x14ac:dyDescent="0.3">
      <c r="A82" s="50"/>
      <c r="B82" s="44">
        <v>81</v>
      </c>
      <c r="C82" s="45" t="s">
        <v>455</v>
      </c>
      <c r="D82" s="46" t="s">
        <v>456</v>
      </c>
      <c r="E82" s="58" t="s">
        <v>137</v>
      </c>
      <c r="F82" s="46" t="s">
        <v>457</v>
      </c>
      <c r="G82" s="47" t="s">
        <v>458</v>
      </c>
      <c r="H82" s="55" t="s">
        <v>1171</v>
      </c>
    </row>
    <row r="83" spans="1:8" ht="108.75" customHeight="1" thickBot="1" x14ac:dyDescent="0.3">
      <c r="A83" s="50"/>
      <c r="B83" s="44">
        <v>82</v>
      </c>
      <c r="C83" s="45" t="s">
        <v>459</v>
      </c>
      <c r="D83" s="46" t="s">
        <v>460</v>
      </c>
      <c r="E83" s="58" t="s">
        <v>137</v>
      </c>
      <c r="F83" s="46" t="s">
        <v>461</v>
      </c>
      <c r="G83" s="47" t="s">
        <v>462</v>
      </c>
      <c r="H83" s="55" t="s">
        <v>1171</v>
      </c>
    </row>
    <row r="84" spans="1:8" ht="116.25" customHeight="1" thickBot="1" x14ac:dyDescent="0.3">
      <c r="A84" s="50"/>
      <c r="B84" s="44">
        <v>83</v>
      </c>
      <c r="C84" s="45" t="s">
        <v>463</v>
      </c>
      <c r="D84" s="46" t="s">
        <v>464</v>
      </c>
      <c r="E84" s="58" t="s">
        <v>137</v>
      </c>
      <c r="F84" s="46" t="s">
        <v>465</v>
      </c>
      <c r="G84" s="47" t="s">
        <v>466</v>
      </c>
      <c r="H84" s="55" t="s">
        <v>1171</v>
      </c>
    </row>
    <row r="85" spans="1:8" ht="119.25" customHeight="1" thickBot="1" x14ac:dyDescent="0.3">
      <c r="A85" s="50"/>
      <c r="B85" s="44">
        <v>84</v>
      </c>
      <c r="C85" s="45" t="s">
        <v>467</v>
      </c>
      <c r="D85" s="46" t="s">
        <v>468</v>
      </c>
      <c r="E85" s="58" t="s">
        <v>137</v>
      </c>
      <c r="F85" s="46" t="s">
        <v>469</v>
      </c>
      <c r="G85" s="47" t="s">
        <v>470</v>
      </c>
      <c r="H85" s="55" t="s">
        <v>1171</v>
      </c>
    </row>
    <row r="86" spans="1:8" ht="149.25" customHeight="1" thickBot="1" x14ac:dyDescent="0.3">
      <c r="A86" s="50"/>
      <c r="B86" s="44">
        <v>85</v>
      </c>
      <c r="C86" s="45" t="s">
        <v>471</v>
      </c>
      <c r="D86" s="46" t="s">
        <v>472</v>
      </c>
      <c r="E86" s="58" t="s">
        <v>137</v>
      </c>
      <c r="F86" s="46" t="s">
        <v>473</v>
      </c>
      <c r="G86" s="47" t="s">
        <v>474</v>
      </c>
      <c r="H86" s="55" t="s">
        <v>1171</v>
      </c>
    </row>
    <row r="87" spans="1:8" ht="149.25" customHeight="1" thickBot="1" x14ac:dyDescent="0.3">
      <c r="A87" s="50"/>
      <c r="B87" s="44">
        <v>86</v>
      </c>
      <c r="C87" s="45" t="s">
        <v>475</v>
      </c>
      <c r="D87" s="46" t="s">
        <v>476</v>
      </c>
      <c r="E87" s="58" t="s">
        <v>137</v>
      </c>
      <c r="F87" s="46" t="s">
        <v>477</v>
      </c>
      <c r="G87" s="47" t="s">
        <v>478</v>
      </c>
      <c r="H87" s="55" t="s">
        <v>1171</v>
      </c>
    </row>
    <row r="88" spans="1:8" ht="118.5" customHeight="1" thickBot="1" x14ac:dyDescent="0.3">
      <c r="A88" s="50"/>
      <c r="B88" s="44">
        <v>87</v>
      </c>
      <c r="C88" s="45" t="s">
        <v>479</v>
      </c>
      <c r="D88" s="46" t="s">
        <v>480</v>
      </c>
      <c r="E88" s="58" t="s">
        <v>137</v>
      </c>
      <c r="F88" s="46" t="s">
        <v>481</v>
      </c>
      <c r="G88" s="47" t="s">
        <v>482</v>
      </c>
      <c r="H88" s="55" t="s">
        <v>1171</v>
      </c>
    </row>
    <row r="89" spans="1:8" ht="115.5" customHeight="1" thickBot="1" x14ac:dyDescent="0.3">
      <c r="A89" s="50"/>
      <c r="B89" s="44">
        <v>88</v>
      </c>
      <c r="C89" s="45" t="s">
        <v>483</v>
      </c>
      <c r="D89" s="46" t="s">
        <v>484</v>
      </c>
      <c r="E89" s="58" t="s">
        <v>137</v>
      </c>
      <c r="F89" s="46" t="s">
        <v>485</v>
      </c>
      <c r="G89" s="47" t="s">
        <v>486</v>
      </c>
      <c r="H89" s="55" t="s">
        <v>1171</v>
      </c>
    </row>
    <row r="90" spans="1:8" ht="82.5" customHeight="1" thickBot="1" x14ac:dyDescent="0.3">
      <c r="A90" s="50"/>
      <c r="B90" s="44">
        <v>89</v>
      </c>
      <c r="C90" s="45" t="s">
        <v>487</v>
      </c>
      <c r="D90" s="46" t="s">
        <v>488</v>
      </c>
      <c r="E90" s="58" t="s">
        <v>137</v>
      </c>
      <c r="F90" s="46" t="s">
        <v>489</v>
      </c>
      <c r="G90" s="47" t="s">
        <v>490</v>
      </c>
      <c r="H90" s="55" t="s">
        <v>1171</v>
      </c>
    </row>
    <row r="91" spans="1:8" ht="119.25" customHeight="1" thickBot="1" x14ac:dyDescent="0.3">
      <c r="A91" s="50"/>
      <c r="B91" s="44">
        <v>90</v>
      </c>
      <c r="C91" s="45" t="s">
        <v>491</v>
      </c>
      <c r="D91" s="46" t="s">
        <v>492</v>
      </c>
      <c r="E91" s="58" t="s">
        <v>137</v>
      </c>
      <c r="F91" s="46" t="s">
        <v>493</v>
      </c>
      <c r="G91" s="47" t="s">
        <v>494</v>
      </c>
      <c r="H91" s="55" t="s">
        <v>1171</v>
      </c>
    </row>
    <row r="92" spans="1:8" ht="87.75" customHeight="1" thickBot="1" x14ac:dyDescent="0.3">
      <c r="A92" s="50"/>
      <c r="B92" s="44">
        <v>91</v>
      </c>
      <c r="C92" s="45" t="s">
        <v>495</v>
      </c>
      <c r="D92" s="46" t="s">
        <v>496</v>
      </c>
      <c r="E92" s="58" t="s">
        <v>137</v>
      </c>
      <c r="F92" s="46" t="s">
        <v>497</v>
      </c>
      <c r="G92" s="47" t="s">
        <v>498</v>
      </c>
      <c r="H92" s="55" t="s">
        <v>1171</v>
      </c>
    </row>
    <row r="93" spans="1:8" ht="102.75" customHeight="1" thickBot="1" x14ac:dyDescent="0.3">
      <c r="A93" s="50"/>
      <c r="B93" s="44">
        <v>92</v>
      </c>
      <c r="C93" s="45" t="s">
        <v>499</v>
      </c>
      <c r="D93" s="46" t="s">
        <v>500</v>
      </c>
      <c r="E93" s="58" t="s">
        <v>137</v>
      </c>
      <c r="F93" s="46" t="s">
        <v>501</v>
      </c>
      <c r="G93" s="47" t="s">
        <v>502</v>
      </c>
      <c r="H93" s="55" t="s">
        <v>1171</v>
      </c>
    </row>
    <row r="94" spans="1:8" ht="177" customHeight="1" thickBot="1" x14ac:dyDescent="0.3">
      <c r="A94" s="50"/>
      <c r="B94" s="44">
        <v>93</v>
      </c>
      <c r="C94" s="45" t="s">
        <v>503</v>
      </c>
      <c r="D94" s="46" t="s">
        <v>504</v>
      </c>
      <c r="E94" s="58" t="s">
        <v>137</v>
      </c>
      <c r="F94" s="46" t="s">
        <v>505</v>
      </c>
      <c r="G94" s="47" t="s">
        <v>506</v>
      </c>
      <c r="H94" s="55" t="s">
        <v>1171</v>
      </c>
    </row>
    <row r="95" spans="1:8" ht="84.75" customHeight="1" thickBot="1" x14ac:dyDescent="0.3">
      <c r="A95" s="50"/>
      <c r="B95" s="44">
        <v>94</v>
      </c>
      <c r="C95" s="45" t="s">
        <v>507</v>
      </c>
      <c r="D95" s="46" t="s">
        <v>508</v>
      </c>
      <c r="E95" s="58" t="s">
        <v>137</v>
      </c>
      <c r="F95" s="46" t="s">
        <v>509</v>
      </c>
      <c r="G95" s="47" t="s">
        <v>510</v>
      </c>
      <c r="H95" s="55" t="s">
        <v>1171</v>
      </c>
    </row>
    <row r="96" spans="1:8" ht="130.5" customHeight="1" thickBot="1" x14ac:dyDescent="0.3">
      <c r="A96" s="50"/>
      <c r="B96" s="44">
        <v>95</v>
      </c>
      <c r="C96" s="45" t="s">
        <v>511</v>
      </c>
      <c r="D96" s="46" t="s">
        <v>512</v>
      </c>
      <c r="E96" s="58" t="s">
        <v>137</v>
      </c>
      <c r="F96" s="46" t="s">
        <v>513</v>
      </c>
      <c r="G96" s="47" t="s">
        <v>514</v>
      </c>
      <c r="H96" s="55" t="s">
        <v>1171</v>
      </c>
    </row>
    <row r="97" spans="1:8" ht="132" customHeight="1" thickBot="1" x14ac:dyDescent="0.3">
      <c r="A97" s="50"/>
      <c r="B97" s="44">
        <v>96</v>
      </c>
      <c r="C97" s="45" t="s">
        <v>515</v>
      </c>
      <c r="D97" s="46" t="s">
        <v>516</v>
      </c>
      <c r="E97" s="58" t="s">
        <v>137</v>
      </c>
      <c r="F97" s="46" t="s">
        <v>517</v>
      </c>
      <c r="G97" s="47" t="s">
        <v>518</v>
      </c>
      <c r="H97" s="55" t="s">
        <v>1171</v>
      </c>
    </row>
    <row r="98" spans="1:8" ht="115.5" customHeight="1" thickBot="1" x14ac:dyDescent="0.3">
      <c r="A98" s="50"/>
      <c r="B98" s="44">
        <v>97</v>
      </c>
      <c r="C98" s="45" t="s">
        <v>519</v>
      </c>
      <c r="D98" s="46" t="s">
        <v>520</v>
      </c>
      <c r="E98" s="58" t="s">
        <v>137</v>
      </c>
      <c r="F98" s="46" t="s">
        <v>521</v>
      </c>
      <c r="G98" s="47" t="s">
        <v>522</v>
      </c>
      <c r="H98" s="55" t="s">
        <v>1171</v>
      </c>
    </row>
    <row r="99" spans="1:8" ht="112.5" customHeight="1" thickBot="1" x14ac:dyDescent="0.3">
      <c r="A99" s="50"/>
      <c r="B99" s="44">
        <v>98</v>
      </c>
      <c r="C99" s="45" t="s">
        <v>523</v>
      </c>
      <c r="D99" s="46" t="s">
        <v>524</v>
      </c>
      <c r="E99" s="58" t="s">
        <v>137</v>
      </c>
      <c r="F99" s="46" t="s">
        <v>525</v>
      </c>
      <c r="G99" s="47" t="s">
        <v>526</v>
      </c>
      <c r="H99" s="55" t="s">
        <v>1171</v>
      </c>
    </row>
    <row r="100" spans="1:8" ht="116.25" customHeight="1" thickBot="1" x14ac:dyDescent="0.3">
      <c r="A100" s="50"/>
      <c r="B100" s="44">
        <v>99</v>
      </c>
      <c r="C100" s="45" t="s">
        <v>527</v>
      </c>
      <c r="D100" s="46" t="s">
        <v>528</v>
      </c>
      <c r="E100" s="58" t="s">
        <v>137</v>
      </c>
      <c r="F100" s="46" t="s">
        <v>529</v>
      </c>
      <c r="G100" s="47" t="s">
        <v>530</v>
      </c>
      <c r="H100" s="55" t="s">
        <v>1171</v>
      </c>
    </row>
    <row r="101" spans="1:8" ht="101.25" customHeight="1" thickBot="1" x14ac:dyDescent="0.3">
      <c r="A101" s="50"/>
      <c r="B101" s="44">
        <v>100</v>
      </c>
      <c r="C101" s="45" t="s">
        <v>531</v>
      </c>
      <c r="D101" s="46" t="s">
        <v>532</v>
      </c>
      <c r="E101" s="58" t="s">
        <v>137</v>
      </c>
      <c r="F101" s="46" t="s">
        <v>533</v>
      </c>
      <c r="G101" s="47" t="s">
        <v>534</v>
      </c>
      <c r="H101" s="55" t="s">
        <v>1171</v>
      </c>
    </row>
    <row r="102" spans="1:8" ht="98.25" customHeight="1" thickBot="1" x14ac:dyDescent="0.3">
      <c r="A102" s="50"/>
      <c r="B102" s="44">
        <v>101</v>
      </c>
      <c r="C102" s="45" t="s">
        <v>535</v>
      </c>
      <c r="D102" s="46" t="s">
        <v>536</v>
      </c>
      <c r="E102" s="58" t="s">
        <v>137</v>
      </c>
      <c r="F102" s="46" t="s">
        <v>537</v>
      </c>
      <c r="G102" s="47" t="s">
        <v>538</v>
      </c>
      <c r="H102" s="55" t="s">
        <v>1171</v>
      </c>
    </row>
    <row r="103" spans="1:8" ht="101.25" customHeight="1" thickBot="1" x14ac:dyDescent="0.3">
      <c r="A103" s="50"/>
      <c r="B103" s="44">
        <v>102</v>
      </c>
      <c r="C103" s="45" t="s">
        <v>539</v>
      </c>
      <c r="D103" s="46" t="s">
        <v>540</v>
      </c>
      <c r="E103" s="58" t="s">
        <v>137</v>
      </c>
      <c r="F103" s="46" t="s">
        <v>541</v>
      </c>
      <c r="G103" s="47" t="s">
        <v>542</v>
      </c>
      <c r="H103" s="55" t="s">
        <v>1171</v>
      </c>
    </row>
    <row r="104" spans="1:8" ht="100.5" customHeight="1" thickBot="1" x14ac:dyDescent="0.3">
      <c r="A104" s="50"/>
      <c r="B104" s="44">
        <v>103</v>
      </c>
      <c r="C104" s="45" t="s">
        <v>543</v>
      </c>
      <c r="D104" s="46" t="s">
        <v>544</v>
      </c>
      <c r="E104" s="58" t="s">
        <v>137</v>
      </c>
      <c r="F104" s="46" t="s">
        <v>545</v>
      </c>
      <c r="G104" s="47" t="s">
        <v>546</v>
      </c>
      <c r="H104" s="55" t="s">
        <v>1171</v>
      </c>
    </row>
    <row r="105" spans="1:8" ht="102.75" customHeight="1" thickBot="1" x14ac:dyDescent="0.3">
      <c r="A105" s="50"/>
      <c r="B105" s="44">
        <v>104</v>
      </c>
      <c r="C105" s="45" t="s">
        <v>547</v>
      </c>
      <c r="D105" s="46" t="s">
        <v>548</v>
      </c>
      <c r="E105" s="58" t="s">
        <v>137</v>
      </c>
      <c r="F105" s="46" t="s">
        <v>549</v>
      </c>
      <c r="G105" s="47" t="s">
        <v>550</v>
      </c>
      <c r="H105" s="55" t="s">
        <v>1171</v>
      </c>
    </row>
    <row r="106" spans="1:8" ht="114.75" customHeight="1" thickBot="1" x14ac:dyDescent="0.3">
      <c r="A106" s="50"/>
      <c r="B106" s="44">
        <v>105</v>
      </c>
      <c r="C106" s="45" t="s">
        <v>551</v>
      </c>
      <c r="D106" s="46" t="s">
        <v>552</v>
      </c>
      <c r="E106" s="58" t="s">
        <v>137</v>
      </c>
      <c r="F106" s="46" t="s">
        <v>553</v>
      </c>
      <c r="G106" s="47" t="s">
        <v>554</v>
      </c>
      <c r="H106" s="55" t="s">
        <v>1171</v>
      </c>
    </row>
    <row r="107" spans="1:8" ht="108" customHeight="1" thickBot="1" x14ac:dyDescent="0.3">
      <c r="A107" s="50"/>
      <c r="B107" s="44">
        <v>106</v>
      </c>
      <c r="C107" s="45" t="s">
        <v>555</v>
      </c>
      <c r="D107" s="46" t="s">
        <v>556</v>
      </c>
      <c r="E107" s="58" t="s">
        <v>137</v>
      </c>
      <c r="F107" s="46" t="s">
        <v>557</v>
      </c>
      <c r="G107" s="47" t="s">
        <v>558</v>
      </c>
      <c r="H107" s="55" t="s">
        <v>1171</v>
      </c>
    </row>
    <row r="108" spans="1:8" ht="155.25" customHeight="1" thickBot="1" x14ac:dyDescent="0.3">
      <c r="A108" s="50"/>
      <c r="B108" s="44">
        <v>107</v>
      </c>
      <c r="C108" s="45" t="s">
        <v>559</v>
      </c>
      <c r="D108" s="46" t="s">
        <v>560</v>
      </c>
      <c r="E108" s="58" t="s">
        <v>137</v>
      </c>
      <c r="F108" s="46" t="s">
        <v>561</v>
      </c>
      <c r="G108" s="47" t="s">
        <v>562</v>
      </c>
      <c r="H108" s="63" t="s">
        <v>1171</v>
      </c>
    </row>
    <row r="109" spans="1:8" ht="32.25" customHeight="1" x14ac:dyDescent="0.25">
      <c r="B109" s="64"/>
      <c r="C109" s="64"/>
      <c r="D109" s="64"/>
      <c r="E109" s="64"/>
      <c r="F109" s="64"/>
      <c r="G109" s="64"/>
    </row>
    <row r="110" spans="1:8" ht="32.25" customHeight="1" x14ac:dyDescent="0.25">
      <c r="B110" s="64"/>
      <c r="C110" s="64"/>
      <c r="D110" s="64"/>
      <c r="E110" s="64"/>
      <c r="F110" s="64"/>
      <c r="G110" s="64"/>
    </row>
    <row r="111" spans="1:8" ht="32.25" customHeight="1" x14ac:dyDescent="0.25">
      <c r="B111" s="64"/>
      <c r="C111" s="64"/>
      <c r="D111" s="64"/>
      <c r="E111" s="64"/>
      <c r="F111" s="64"/>
      <c r="G111" s="64"/>
    </row>
    <row r="112" spans="1:8" ht="32.25" customHeight="1" x14ac:dyDescent="0.25">
      <c r="B112" s="64"/>
      <c r="C112" s="64"/>
      <c r="D112" s="64"/>
      <c r="E112" s="64"/>
      <c r="F112" s="64"/>
      <c r="G112" s="64"/>
    </row>
    <row r="113" spans="2:7" ht="32.25" customHeight="1" x14ac:dyDescent="0.25">
      <c r="B113" s="64"/>
      <c r="C113" s="64"/>
      <c r="D113" s="64"/>
      <c r="E113" s="64"/>
      <c r="F113" s="64"/>
      <c r="G113" s="64"/>
    </row>
    <row r="114" spans="2:7" ht="32.25" customHeight="1" x14ac:dyDescent="0.25">
      <c r="B114" s="64"/>
      <c r="C114" s="64"/>
      <c r="D114" s="64"/>
      <c r="E114" s="64"/>
      <c r="F114" s="64"/>
      <c r="G114" s="64"/>
    </row>
    <row r="115" spans="2:7" ht="32.25" customHeight="1" x14ac:dyDescent="0.25">
      <c r="B115" s="64"/>
      <c r="C115" s="64"/>
      <c r="D115" s="64"/>
      <c r="E115" s="64"/>
      <c r="F115" s="64"/>
      <c r="G115" s="64"/>
    </row>
    <row r="116" spans="2:7" ht="32.25" customHeight="1" x14ac:dyDescent="0.25">
      <c r="B116" s="64"/>
      <c r="C116" s="64"/>
      <c r="D116" s="64"/>
      <c r="E116" s="64"/>
      <c r="F116" s="64"/>
      <c r="G116" s="64"/>
    </row>
    <row r="117" spans="2:7" ht="32.25" customHeight="1" x14ac:dyDescent="0.25">
      <c r="B117" s="64"/>
      <c r="C117" s="64"/>
      <c r="D117" s="64"/>
      <c r="E117" s="64"/>
      <c r="F117" s="64"/>
      <c r="G117" s="64"/>
    </row>
    <row r="118" spans="2:7" ht="32.25" customHeight="1" x14ac:dyDescent="0.25">
      <c r="B118" s="64"/>
      <c r="C118" s="64"/>
      <c r="D118" s="64"/>
      <c r="E118" s="64"/>
      <c r="F118" s="64"/>
      <c r="G118" s="64"/>
    </row>
    <row r="119" spans="2:7" ht="32.25" customHeight="1" x14ac:dyDescent="0.25">
      <c r="B119" s="64"/>
      <c r="C119" s="64"/>
      <c r="D119" s="64"/>
      <c r="E119" s="64"/>
      <c r="F119" s="64"/>
      <c r="G119" s="64"/>
    </row>
    <row r="120" spans="2:7" ht="32.25" customHeight="1" x14ac:dyDescent="0.25">
      <c r="B120" s="64"/>
      <c r="C120" s="64"/>
      <c r="D120" s="64"/>
      <c r="E120" s="64"/>
      <c r="F120" s="64"/>
      <c r="G120" s="64"/>
    </row>
    <row r="121" spans="2:7" ht="32.25" customHeight="1" x14ac:dyDescent="0.25">
      <c r="B121" s="64"/>
      <c r="C121" s="64"/>
      <c r="D121" s="64"/>
      <c r="E121" s="64"/>
      <c r="F121" s="64"/>
      <c r="G121" s="64"/>
    </row>
    <row r="122" spans="2:7" ht="32.25" customHeight="1" x14ac:dyDescent="0.25">
      <c r="B122" s="64"/>
      <c r="C122" s="64"/>
      <c r="D122" s="64"/>
      <c r="E122" s="64"/>
      <c r="F122" s="64"/>
      <c r="G122" s="64"/>
    </row>
    <row r="123" spans="2:7" ht="32.25" customHeight="1" x14ac:dyDescent="0.25">
      <c r="B123" s="64"/>
      <c r="C123" s="64"/>
      <c r="D123" s="64"/>
      <c r="E123" s="64"/>
      <c r="F123" s="64"/>
      <c r="G123" s="64"/>
    </row>
    <row r="124" spans="2:7" ht="32.25" customHeight="1" x14ac:dyDescent="0.25">
      <c r="B124" s="64"/>
      <c r="C124" s="64"/>
      <c r="D124" s="64"/>
      <c r="E124" s="64"/>
      <c r="F124" s="64"/>
      <c r="G124" s="64"/>
    </row>
    <row r="125" spans="2:7" ht="32.25" customHeight="1" x14ac:dyDescent="0.25">
      <c r="B125" s="64"/>
      <c r="C125" s="64"/>
      <c r="D125" s="64"/>
      <c r="E125" s="64"/>
      <c r="F125" s="64"/>
      <c r="G125" s="64"/>
    </row>
    <row r="126" spans="2:7" ht="32.25" customHeight="1" x14ac:dyDescent="0.25">
      <c r="B126" s="64"/>
      <c r="C126" s="64"/>
      <c r="D126" s="64"/>
      <c r="E126" s="64"/>
      <c r="F126" s="64"/>
      <c r="G126" s="64"/>
    </row>
    <row r="127" spans="2:7" ht="32.25" customHeight="1" x14ac:dyDescent="0.25">
      <c r="B127" s="64"/>
      <c r="C127" s="64"/>
      <c r="D127" s="64"/>
      <c r="E127" s="64"/>
      <c r="F127" s="64"/>
      <c r="G127" s="64"/>
    </row>
    <row r="128" spans="2:7" ht="32.25" customHeight="1" x14ac:dyDescent="0.25">
      <c r="B128" s="64"/>
      <c r="C128" s="64"/>
      <c r="D128" s="64"/>
      <c r="E128" s="64"/>
      <c r="F128" s="64"/>
      <c r="G128" s="64"/>
    </row>
    <row r="129" spans="2:7" ht="32.25" customHeight="1" x14ac:dyDescent="0.25">
      <c r="B129" s="64"/>
      <c r="C129" s="64"/>
      <c r="D129" s="64"/>
      <c r="E129" s="64"/>
      <c r="F129" s="64"/>
      <c r="G129" s="64"/>
    </row>
    <row r="130" spans="2:7" ht="32.25" customHeight="1" x14ac:dyDescent="0.25">
      <c r="B130" s="64"/>
      <c r="C130" s="64"/>
      <c r="D130" s="64"/>
      <c r="E130" s="64"/>
      <c r="F130" s="64"/>
      <c r="G130" s="64"/>
    </row>
    <row r="131" spans="2:7" ht="32.25" customHeight="1" x14ac:dyDescent="0.25">
      <c r="B131" s="64"/>
      <c r="C131" s="64"/>
      <c r="D131" s="64"/>
      <c r="E131" s="64"/>
      <c r="F131" s="64"/>
      <c r="G131" s="64"/>
    </row>
    <row r="132" spans="2:7" ht="32.25" customHeight="1" x14ac:dyDescent="0.25">
      <c r="B132" s="64"/>
      <c r="C132" s="64"/>
      <c r="D132" s="64"/>
      <c r="E132" s="64"/>
      <c r="F132" s="64"/>
      <c r="G132" s="64"/>
    </row>
    <row r="133" spans="2:7" ht="32.25" customHeight="1" x14ac:dyDescent="0.25">
      <c r="B133" s="64"/>
      <c r="C133" s="64"/>
      <c r="D133" s="64"/>
      <c r="E133" s="64"/>
      <c r="F133" s="64"/>
      <c r="G133" s="64"/>
    </row>
    <row r="134" spans="2:7" ht="32.25" customHeight="1" x14ac:dyDescent="0.25">
      <c r="B134" s="64"/>
      <c r="C134" s="64"/>
      <c r="D134" s="64"/>
      <c r="E134" s="64"/>
      <c r="F134" s="64"/>
      <c r="G134" s="64"/>
    </row>
    <row r="135" spans="2:7" ht="32.25" customHeight="1" x14ac:dyDescent="0.25">
      <c r="B135" s="64"/>
      <c r="C135" s="64"/>
      <c r="D135" s="64"/>
      <c r="E135" s="64"/>
      <c r="F135" s="64"/>
      <c r="G135" s="64"/>
    </row>
    <row r="136" spans="2:7" ht="32.25" customHeight="1" x14ac:dyDescent="0.25">
      <c r="B136" s="64"/>
      <c r="C136" s="64"/>
      <c r="D136" s="64"/>
      <c r="E136" s="64"/>
      <c r="F136" s="64"/>
      <c r="G136" s="64"/>
    </row>
    <row r="137" spans="2:7" ht="32.25" customHeight="1" x14ac:dyDescent="0.25">
      <c r="B137" s="64"/>
      <c r="C137" s="64"/>
      <c r="D137" s="64"/>
      <c r="E137" s="64"/>
      <c r="F137" s="64"/>
      <c r="G137" s="64"/>
    </row>
    <row r="138" spans="2:7" ht="32.25" customHeight="1" x14ac:dyDescent="0.25">
      <c r="B138" s="64"/>
      <c r="C138" s="64"/>
      <c r="D138" s="64"/>
      <c r="E138" s="64"/>
      <c r="F138" s="64"/>
      <c r="G138" s="64"/>
    </row>
    <row r="139" spans="2:7" ht="32.25" customHeight="1" x14ac:dyDescent="0.25">
      <c r="B139" s="64"/>
      <c r="C139" s="64"/>
      <c r="D139" s="64"/>
      <c r="E139" s="64"/>
      <c r="F139" s="64"/>
      <c r="G139" s="64"/>
    </row>
    <row r="140" spans="2:7" ht="32.25" customHeight="1" x14ac:dyDescent="0.25">
      <c r="B140" s="64"/>
      <c r="C140" s="64"/>
      <c r="D140" s="64"/>
      <c r="E140" s="64"/>
      <c r="F140" s="64"/>
      <c r="G140" s="64"/>
    </row>
    <row r="141" spans="2:7" ht="32.25" customHeight="1" x14ac:dyDescent="0.25">
      <c r="B141" s="64"/>
      <c r="C141" s="64"/>
      <c r="D141" s="64"/>
      <c r="E141" s="64"/>
      <c r="F141" s="64"/>
      <c r="G141" s="64"/>
    </row>
    <row r="142" spans="2:7" ht="32.25" customHeight="1" x14ac:dyDescent="0.25">
      <c r="B142" s="64"/>
      <c r="C142" s="64"/>
      <c r="D142" s="64"/>
      <c r="E142" s="64"/>
      <c r="F142" s="64"/>
      <c r="G142" s="64"/>
    </row>
    <row r="143" spans="2:7" ht="32.25" customHeight="1" x14ac:dyDescent="0.25">
      <c r="B143" s="64"/>
      <c r="C143" s="64"/>
      <c r="D143" s="64"/>
      <c r="E143" s="64"/>
      <c r="F143" s="64"/>
      <c r="G143" s="64"/>
    </row>
    <row r="144" spans="2:7" ht="32.25" customHeight="1" x14ac:dyDescent="0.25">
      <c r="B144" s="64"/>
      <c r="C144" s="64"/>
      <c r="D144" s="64"/>
      <c r="E144" s="64"/>
      <c r="F144" s="64"/>
      <c r="G144" s="64"/>
    </row>
    <row r="145" spans="2:7" ht="32.25" customHeight="1" x14ac:dyDescent="0.25">
      <c r="B145" s="64"/>
      <c r="C145" s="64"/>
      <c r="D145" s="64"/>
      <c r="E145" s="64"/>
      <c r="F145" s="64"/>
      <c r="G145" s="64"/>
    </row>
    <row r="146" spans="2:7" ht="32.25" customHeight="1" x14ac:dyDescent="0.25">
      <c r="B146" s="64"/>
      <c r="C146" s="64"/>
      <c r="D146" s="64"/>
      <c r="E146" s="64"/>
      <c r="F146" s="64"/>
      <c r="G146" s="64"/>
    </row>
    <row r="147" spans="2:7" ht="32.25" customHeight="1" x14ac:dyDescent="0.25">
      <c r="B147" s="64"/>
      <c r="C147" s="64"/>
      <c r="D147" s="64"/>
      <c r="E147" s="64"/>
      <c r="F147" s="64"/>
      <c r="G147" s="64"/>
    </row>
    <row r="148" spans="2:7" ht="32.25" customHeight="1" x14ac:dyDescent="0.25">
      <c r="B148" s="64"/>
      <c r="C148" s="64"/>
      <c r="D148" s="64"/>
      <c r="E148" s="64"/>
      <c r="F148" s="64"/>
      <c r="G148" s="64"/>
    </row>
    <row r="149" spans="2:7" ht="32.25" customHeight="1" x14ac:dyDescent="0.25">
      <c r="B149" s="64"/>
      <c r="C149" s="64"/>
      <c r="D149" s="64"/>
      <c r="E149" s="64"/>
      <c r="F149" s="64"/>
      <c r="G149" s="64"/>
    </row>
    <row r="150" spans="2:7" ht="32.25" customHeight="1" x14ac:dyDescent="0.25">
      <c r="B150" s="64"/>
      <c r="C150" s="64"/>
      <c r="D150" s="64"/>
      <c r="E150" s="64"/>
      <c r="F150" s="64"/>
      <c r="G150" s="64"/>
    </row>
    <row r="151" spans="2:7" ht="32.25" customHeight="1" x14ac:dyDescent="0.25">
      <c r="B151" s="64"/>
      <c r="C151" s="64"/>
      <c r="D151" s="64"/>
      <c r="E151" s="64"/>
      <c r="F151" s="64"/>
      <c r="G151" s="64"/>
    </row>
    <row r="152" spans="2:7" ht="32.25" customHeight="1" x14ac:dyDescent="0.25">
      <c r="B152" s="64"/>
      <c r="C152" s="64"/>
      <c r="D152" s="64"/>
      <c r="E152" s="64"/>
      <c r="F152" s="64"/>
      <c r="G152" s="64"/>
    </row>
    <row r="153" spans="2:7" ht="32.25" customHeight="1" x14ac:dyDescent="0.25">
      <c r="B153" s="64"/>
      <c r="C153" s="64"/>
      <c r="D153" s="64"/>
      <c r="E153" s="64"/>
      <c r="F153" s="64"/>
      <c r="G153" s="64"/>
    </row>
    <row r="154" spans="2:7" ht="32.25" customHeight="1" x14ac:dyDescent="0.25">
      <c r="B154" s="64"/>
      <c r="C154" s="64"/>
      <c r="D154" s="64"/>
      <c r="E154" s="64"/>
      <c r="F154" s="64"/>
      <c r="G154" s="64"/>
    </row>
    <row r="155" spans="2:7" ht="32.25" customHeight="1" x14ac:dyDescent="0.25">
      <c r="B155" s="64"/>
      <c r="C155" s="64"/>
      <c r="D155" s="64"/>
      <c r="E155" s="64"/>
      <c r="F155" s="64"/>
      <c r="G155" s="64"/>
    </row>
    <row r="156" spans="2:7" ht="32.25" customHeight="1" x14ac:dyDescent="0.25">
      <c r="B156" s="64"/>
      <c r="C156" s="64"/>
      <c r="D156" s="64"/>
      <c r="E156" s="64"/>
      <c r="F156" s="64"/>
      <c r="G156" s="64"/>
    </row>
    <row r="157" spans="2:7" ht="32.25" customHeight="1" x14ac:dyDescent="0.25">
      <c r="B157" s="64"/>
      <c r="C157" s="64"/>
      <c r="D157" s="64"/>
      <c r="E157" s="64"/>
      <c r="F157" s="64"/>
      <c r="G157" s="64"/>
    </row>
    <row r="158" spans="2:7" ht="32.25" customHeight="1" x14ac:dyDescent="0.25">
      <c r="B158" s="64"/>
      <c r="C158" s="64"/>
      <c r="D158" s="64"/>
      <c r="E158" s="64"/>
      <c r="F158" s="64"/>
      <c r="G158" s="64"/>
    </row>
    <row r="159" spans="2:7" ht="32.25" customHeight="1" x14ac:dyDescent="0.25">
      <c r="B159" s="64"/>
      <c r="C159" s="64"/>
      <c r="D159" s="64"/>
      <c r="E159" s="64"/>
      <c r="F159" s="64"/>
      <c r="G159" s="64"/>
    </row>
    <row r="160" spans="2:7" ht="32.25" customHeight="1" x14ac:dyDescent="0.25">
      <c r="B160" s="64"/>
      <c r="C160" s="64"/>
      <c r="D160" s="64"/>
      <c r="E160" s="64"/>
      <c r="F160" s="64"/>
      <c r="G160" s="64"/>
    </row>
    <row r="161" spans="2:7" ht="32.25" customHeight="1" x14ac:dyDescent="0.25">
      <c r="B161" s="64"/>
      <c r="C161" s="64"/>
      <c r="D161" s="64"/>
      <c r="E161" s="64"/>
      <c r="F161" s="64"/>
      <c r="G161" s="64"/>
    </row>
    <row r="162" spans="2:7" ht="32.25" customHeight="1" x14ac:dyDescent="0.25">
      <c r="B162" s="64"/>
      <c r="C162" s="64"/>
      <c r="D162" s="64"/>
      <c r="E162" s="64"/>
      <c r="F162" s="64"/>
      <c r="G162" s="64"/>
    </row>
    <row r="163" spans="2:7" ht="32.25" customHeight="1" x14ac:dyDescent="0.25">
      <c r="B163" s="64"/>
      <c r="C163" s="64"/>
      <c r="D163" s="64"/>
      <c r="E163" s="64"/>
      <c r="F163" s="64"/>
      <c r="G163" s="64"/>
    </row>
    <row r="164" spans="2:7" ht="32.25" customHeight="1" x14ac:dyDescent="0.25">
      <c r="B164" s="64"/>
      <c r="C164" s="64"/>
      <c r="D164" s="64"/>
      <c r="E164" s="64"/>
      <c r="F164" s="64"/>
      <c r="G164" s="64"/>
    </row>
    <row r="165" spans="2:7" ht="32.25" customHeight="1" x14ac:dyDescent="0.25">
      <c r="B165" s="64"/>
      <c r="C165" s="64"/>
      <c r="D165" s="64"/>
      <c r="E165" s="64"/>
      <c r="F165" s="64"/>
      <c r="G165" s="64"/>
    </row>
    <row r="166" spans="2:7" ht="32.25" customHeight="1" x14ac:dyDescent="0.25">
      <c r="B166" s="64"/>
      <c r="C166" s="64"/>
      <c r="D166" s="64"/>
      <c r="E166" s="64"/>
      <c r="F166" s="64"/>
      <c r="G166" s="64"/>
    </row>
    <row r="167" spans="2:7" ht="32.25" customHeight="1" x14ac:dyDescent="0.25">
      <c r="B167" s="64"/>
      <c r="C167" s="64"/>
      <c r="D167" s="64"/>
      <c r="E167" s="64"/>
      <c r="F167" s="64"/>
      <c r="G167" s="64"/>
    </row>
    <row r="168" spans="2:7" ht="32.25" customHeight="1" x14ac:dyDescent="0.25">
      <c r="B168" s="64"/>
      <c r="C168" s="64"/>
      <c r="D168" s="64"/>
      <c r="E168" s="64"/>
      <c r="F168" s="64"/>
      <c r="G168" s="64"/>
    </row>
    <row r="169" spans="2:7" ht="32.25" customHeight="1" x14ac:dyDescent="0.25">
      <c r="B169" s="64"/>
      <c r="C169" s="64"/>
      <c r="D169" s="64"/>
      <c r="E169" s="64"/>
      <c r="F169" s="64"/>
      <c r="G169" s="64"/>
    </row>
    <row r="170" spans="2:7" ht="32.25" customHeight="1" x14ac:dyDescent="0.25">
      <c r="B170" s="64"/>
      <c r="C170" s="64"/>
      <c r="D170" s="64"/>
      <c r="E170" s="64"/>
      <c r="F170" s="64"/>
      <c r="G170" s="64"/>
    </row>
    <row r="171" spans="2:7" ht="32.25" customHeight="1" x14ac:dyDescent="0.25">
      <c r="B171" s="64"/>
      <c r="C171" s="64"/>
      <c r="D171" s="64"/>
      <c r="E171" s="64"/>
      <c r="F171" s="64"/>
      <c r="G171" s="64"/>
    </row>
    <row r="172" spans="2:7" ht="32.25" customHeight="1" x14ac:dyDescent="0.25">
      <c r="B172" s="64"/>
      <c r="C172" s="64"/>
      <c r="D172" s="64"/>
      <c r="E172" s="64"/>
      <c r="F172" s="64"/>
      <c r="G172" s="64"/>
    </row>
    <row r="173" spans="2:7" ht="32.25" customHeight="1" x14ac:dyDescent="0.25">
      <c r="B173" s="64"/>
      <c r="C173" s="64"/>
      <c r="D173" s="64"/>
      <c r="E173" s="64"/>
      <c r="F173" s="64"/>
      <c r="G173" s="64"/>
    </row>
    <row r="174" spans="2:7" ht="32.25" customHeight="1" x14ac:dyDescent="0.25">
      <c r="B174" s="64"/>
      <c r="C174" s="64"/>
      <c r="D174" s="64"/>
      <c r="E174" s="64"/>
      <c r="F174" s="64"/>
      <c r="G174" s="64"/>
    </row>
    <row r="175" spans="2:7" ht="32.25" customHeight="1" x14ac:dyDescent="0.25">
      <c r="B175" s="64"/>
      <c r="C175" s="64"/>
      <c r="D175" s="64"/>
      <c r="E175" s="64"/>
      <c r="F175" s="64"/>
      <c r="G175" s="64"/>
    </row>
    <row r="176" spans="2:7" ht="32.25" customHeight="1" x14ac:dyDescent="0.25">
      <c r="B176" s="64"/>
      <c r="C176" s="64"/>
      <c r="D176" s="64"/>
      <c r="E176" s="64"/>
      <c r="F176" s="64"/>
      <c r="G176" s="64"/>
    </row>
    <row r="177" spans="2:7" ht="32.25" customHeight="1" x14ac:dyDescent="0.25">
      <c r="B177" s="64"/>
      <c r="C177" s="64"/>
      <c r="D177" s="64"/>
      <c r="E177" s="64"/>
      <c r="F177" s="64"/>
      <c r="G177" s="64"/>
    </row>
    <row r="178" spans="2:7" ht="32.25" customHeight="1" x14ac:dyDescent="0.25">
      <c r="B178" s="64"/>
      <c r="C178" s="64"/>
      <c r="D178" s="64"/>
      <c r="E178" s="64"/>
      <c r="F178" s="64"/>
      <c r="G178" s="64"/>
    </row>
    <row r="179" spans="2:7" ht="32.25" customHeight="1" x14ac:dyDescent="0.25">
      <c r="B179" s="64"/>
      <c r="C179" s="64"/>
      <c r="D179" s="64"/>
      <c r="E179" s="64"/>
      <c r="F179" s="64"/>
      <c r="G179" s="64"/>
    </row>
    <row r="180" spans="2:7" ht="32.25" customHeight="1" x14ac:dyDescent="0.25">
      <c r="B180" s="64"/>
      <c r="C180" s="64"/>
      <c r="D180" s="64"/>
      <c r="E180" s="64"/>
      <c r="F180" s="64"/>
      <c r="G180" s="64"/>
    </row>
    <row r="181" spans="2:7" ht="32.25" customHeight="1" x14ac:dyDescent="0.25">
      <c r="B181" s="64"/>
      <c r="C181" s="64"/>
      <c r="D181" s="64"/>
      <c r="E181" s="64"/>
      <c r="F181" s="64"/>
      <c r="G181" s="64"/>
    </row>
    <row r="182" spans="2:7" ht="32.25" customHeight="1" x14ac:dyDescent="0.25">
      <c r="B182" s="64"/>
      <c r="C182" s="64"/>
      <c r="D182" s="64"/>
      <c r="E182" s="64"/>
      <c r="F182" s="64"/>
      <c r="G182" s="64"/>
    </row>
    <row r="183" spans="2:7" ht="32.25" customHeight="1" x14ac:dyDescent="0.25">
      <c r="B183" s="64"/>
      <c r="C183" s="64"/>
      <c r="D183" s="64"/>
      <c r="E183" s="64"/>
      <c r="F183" s="64"/>
      <c r="G183" s="64"/>
    </row>
    <row r="184" spans="2:7" ht="32.25" customHeight="1" x14ac:dyDescent="0.25">
      <c r="B184" s="64"/>
      <c r="C184" s="64"/>
      <c r="D184" s="64"/>
      <c r="E184" s="64"/>
      <c r="F184" s="64"/>
      <c r="G184" s="64"/>
    </row>
    <row r="185" spans="2:7" ht="32.25" customHeight="1" x14ac:dyDescent="0.25">
      <c r="B185" s="64"/>
      <c r="C185" s="64"/>
      <c r="D185" s="64"/>
      <c r="E185" s="64"/>
      <c r="F185" s="64"/>
      <c r="G185" s="64"/>
    </row>
    <row r="186" spans="2:7" ht="32.25" customHeight="1" x14ac:dyDescent="0.25">
      <c r="B186" s="64"/>
      <c r="C186" s="64"/>
      <c r="D186" s="64"/>
      <c r="E186" s="64"/>
      <c r="F186" s="64"/>
      <c r="G186" s="64"/>
    </row>
    <row r="187" spans="2:7" ht="32.25" customHeight="1" x14ac:dyDescent="0.25">
      <c r="B187" s="64"/>
      <c r="C187" s="64"/>
      <c r="D187" s="64"/>
      <c r="E187" s="64"/>
      <c r="F187" s="64"/>
      <c r="G187" s="64"/>
    </row>
    <row r="188" spans="2:7" ht="32.25" customHeight="1" x14ac:dyDescent="0.25">
      <c r="B188" s="64"/>
      <c r="C188" s="64"/>
      <c r="D188" s="64"/>
      <c r="E188" s="64"/>
      <c r="F188" s="64"/>
      <c r="G188" s="64"/>
    </row>
    <row r="189" spans="2:7" ht="32.25" customHeight="1" x14ac:dyDescent="0.25">
      <c r="B189" s="64"/>
      <c r="C189" s="64"/>
      <c r="D189" s="64"/>
      <c r="E189" s="64"/>
      <c r="F189" s="64"/>
      <c r="G189" s="64"/>
    </row>
    <row r="190" spans="2:7" ht="32.25" customHeight="1" x14ac:dyDescent="0.25">
      <c r="B190" s="64"/>
      <c r="C190" s="64"/>
      <c r="D190" s="64"/>
      <c r="E190" s="64"/>
      <c r="F190" s="64"/>
      <c r="G190" s="64"/>
    </row>
    <row r="191" spans="2:7" ht="32.25" customHeight="1" x14ac:dyDescent="0.25">
      <c r="B191" s="64"/>
      <c r="C191" s="64"/>
      <c r="D191" s="64"/>
      <c r="E191" s="64"/>
      <c r="F191" s="64"/>
      <c r="G191" s="64"/>
    </row>
    <row r="192" spans="2:7" ht="32.25" customHeight="1" x14ac:dyDescent="0.25">
      <c r="B192" s="64"/>
      <c r="C192" s="64"/>
      <c r="D192" s="64"/>
      <c r="E192" s="64"/>
      <c r="F192" s="64"/>
      <c r="G192" s="64"/>
    </row>
    <row r="193" spans="2:7" ht="32.25" customHeight="1" x14ac:dyDescent="0.25">
      <c r="B193" s="64"/>
      <c r="C193" s="64"/>
      <c r="D193" s="64"/>
      <c r="E193" s="64"/>
      <c r="F193" s="64"/>
      <c r="G193" s="64"/>
    </row>
    <row r="194" spans="2:7" ht="32.25" customHeight="1" x14ac:dyDescent="0.25">
      <c r="B194" s="64"/>
      <c r="C194" s="64"/>
      <c r="D194" s="64"/>
      <c r="E194" s="64"/>
      <c r="F194" s="64"/>
      <c r="G194" s="64"/>
    </row>
    <row r="195" spans="2:7" ht="32.25" customHeight="1" x14ac:dyDescent="0.25">
      <c r="B195" s="64"/>
      <c r="C195" s="64"/>
      <c r="D195" s="64"/>
      <c r="E195" s="64"/>
      <c r="F195" s="64"/>
      <c r="G195" s="64"/>
    </row>
    <row r="196" spans="2:7" ht="32.25" customHeight="1" x14ac:dyDescent="0.25">
      <c r="B196" s="64"/>
      <c r="C196" s="64"/>
      <c r="D196" s="64"/>
      <c r="E196" s="64"/>
      <c r="F196" s="64"/>
      <c r="G196" s="64"/>
    </row>
    <row r="197" spans="2:7" ht="32.25" customHeight="1" x14ac:dyDescent="0.25">
      <c r="B197" s="64"/>
      <c r="C197" s="64"/>
      <c r="D197" s="64"/>
      <c r="E197" s="64"/>
      <c r="F197" s="64"/>
      <c r="G197" s="64"/>
    </row>
    <row r="198" spans="2:7" ht="32.25" customHeight="1" x14ac:dyDescent="0.25">
      <c r="B198" s="64"/>
      <c r="C198" s="64"/>
      <c r="D198" s="64"/>
      <c r="E198" s="64"/>
      <c r="F198" s="64"/>
      <c r="G198" s="64"/>
    </row>
    <row r="199" spans="2:7" ht="32.25" customHeight="1" x14ac:dyDescent="0.25">
      <c r="B199" s="64"/>
      <c r="C199" s="64"/>
      <c r="D199" s="64"/>
      <c r="E199" s="64"/>
      <c r="F199" s="64"/>
      <c r="G199" s="64"/>
    </row>
    <row r="200" spans="2:7" ht="32.25" customHeight="1" x14ac:dyDescent="0.25">
      <c r="B200" s="64"/>
      <c r="C200" s="64"/>
      <c r="D200" s="64"/>
      <c r="E200" s="64"/>
      <c r="F200" s="64"/>
      <c r="G200" s="64"/>
    </row>
    <row r="201" spans="2:7" ht="32.25" customHeight="1" x14ac:dyDescent="0.25">
      <c r="B201" s="64"/>
      <c r="C201" s="64"/>
      <c r="D201" s="64"/>
      <c r="E201" s="64"/>
      <c r="F201" s="64"/>
      <c r="G201" s="64"/>
    </row>
    <row r="202" spans="2:7" ht="32.25" customHeight="1" x14ac:dyDescent="0.25">
      <c r="B202" s="64"/>
      <c r="C202" s="64"/>
      <c r="D202" s="64"/>
      <c r="E202" s="64"/>
      <c r="F202" s="64"/>
      <c r="G202" s="64"/>
    </row>
    <row r="203" spans="2:7" ht="32.25" customHeight="1" x14ac:dyDescent="0.25">
      <c r="B203" s="64"/>
      <c r="C203" s="64"/>
      <c r="D203" s="64"/>
      <c r="E203" s="64"/>
      <c r="F203" s="64"/>
      <c r="G203" s="64"/>
    </row>
    <row r="204" spans="2:7" ht="32.25" customHeight="1" x14ac:dyDescent="0.25">
      <c r="B204" s="64"/>
      <c r="C204" s="64"/>
      <c r="D204" s="64"/>
      <c r="E204" s="64"/>
      <c r="F204" s="64"/>
      <c r="G204" s="64"/>
    </row>
    <row r="205" spans="2:7" ht="32.25" customHeight="1" x14ac:dyDescent="0.25">
      <c r="B205" s="64"/>
      <c r="C205" s="64"/>
      <c r="D205" s="64"/>
      <c r="E205" s="64"/>
      <c r="F205" s="64"/>
      <c r="G205" s="64"/>
    </row>
    <row r="206" spans="2:7" ht="32.25" customHeight="1" x14ac:dyDescent="0.25">
      <c r="B206" s="64"/>
      <c r="C206" s="64"/>
      <c r="D206" s="64"/>
      <c r="E206" s="64"/>
      <c r="F206" s="64"/>
      <c r="G206" s="64"/>
    </row>
    <row r="207" spans="2:7" ht="32.25" customHeight="1" x14ac:dyDescent="0.25">
      <c r="B207" s="64"/>
      <c r="C207" s="64"/>
      <c r="D207" s="64"/>
      <c r="E207" s="64"/>
      <c r="F207" s="64"/>
      <c r="G207" s="64"/>
    </row>
    <row r="208" spans="2:7" ht="32.25" customHeight="1" x14ac:dyDescent="0.25">
      <c r="B208" s="64"/>
      <c r="C208" s="64"/>
      <c r="D208" s="64"/>
      <c r="E208" s="64"/>
      <c r="F208" s="64"/>
      <c r="G208" s="64"/>
    </row>
    <row r="209" spans="2:7" ht="32.25" customHeight="1" x14ac:dyDescent="0.25">
      <c r="B209" s="64"/>
      <c r="C209" s="64"/>
      <c r="D209" s="64"/>
      <c r="E209" s="64"/>
      <c r="F209" s="64"/>
      <c r="G209" s="64"/>
    </row>
    <row r="210" spans="2:7" ht="32.25" customHeight="1" x14ac:dyDescent="0.25">
      <c r="B210" s="64"/>
      <c r="C210" s="64"/>
      <c r="D210" s="64"/>
      <c r="E210" s="64"/>
      <c r="F210" s="64"/>
      <c r="G210" s="64"/>
    </row>
    <row r="211" spans="2:7" ht="32.25" customHeight="1" x14ac:dyDescent="0.25">
      <c r="B211" s="64"/>
      <c r="C211" s="64"/>
      <c r="D211" s="64"/>
      <c r="E211" s="64"/>
      <c r="F211" s="64"/>
      <c r="G211" s="64"/>
    </row>
    <row r="212" spans="2:7" ht="32.25" customHeight="1" x14ac:dyDescent="0.25">
      <c r="B212" s="64"/>
      <c r="C212" s="64"/>
      <c r="D212" s="64"/>
      <c r="E212" s="64"/>
      <c r="F212" s="64"/>
      <c r="G212" s="64"/>
    </row>
    <row r="213" spans="2:7" ht="32.25" customHeight="1" x14ac:dyDescent="0.25">
      <c r="B213" s="64"/>
      <c r="C213" s="64"/>
      <c r="D213" s="64"/>
      <c r="E213" s="64"/>
      <c r="F213" s="64"/>
      <c r="G213" s="64"/>
    </row>
    <row r="214" spans="2:7" ht="32.25" customHeight="1" x14ac:dyDescent="0.25">
      <c r="B214" s="64"/>
      <c r="C214" s="64"/>
      <c r="D214" s="64"/>
      <c r="E214" s="64"/>
      <c r="F214" s="64"/>
      <c r="G214" s="64"/>
    </row>
    <row r="215" spans="2:7" ht="32.25" customHeight="1" x14ac:dyDescent="0.25">
      <c r="B215" s="64"/>
      <c r="C215" s="64"/>
      <c r="D215" s="64"/>
      <c r="E215" s="64"/>
      <c r="F215" s="64"/>
      <c r="G215" s="64"/>
    </row>
    <row r="216" spans="2:7" ht="32.25" customHeight="1" x14ac:dyDescent="0.25">
      <c r="B216" s="64"/>
      <c r="C216" s="64"/>
      <c r="D216" s="64"/>
      <c r="E216" s="64"/>
      <c r="F216" s="64"/>
      <c r="G216" s="64"/>
    </row>
    <row r="217" spans="2:7" ht="32.25" customHeight="1" x14ac:dyDescent="0.25">
      <c r="B217" s="64"/>
      <c r="C217" s="64"/>
      <c r="D217" s="64"/>
      <c r="E217" s="64"/>
      <c r="F217" s="64"/>
      <c r="G217" s="64"/>
    </row>
    <row r="218" spans="2:7" ht="32.25" customHeight="1" x14ac:dyDescent="0.25">
      <c r="B218" s="64"/>
      <c r="C218" s="64"/>
      <c r="D218" s="64"/>
      <c r="E218" s="64"/>
      <c r="F218" s="64"/>
      <c r="G218" s="64"/>
    </row>
    <row r="219" spans="2:7" ht="32.25" customHeight="1" x14ac:dyDescent="0.25">
      <c r="B219" s="64"/>
      <c r="C219" s="64"/>
      <c r="D219" s="64"/>
      <c r="E219" s="64"/>
      <c r="F219" s="64"/>
      <c r="G219" s="64"/>
    </row>
    <row r="220" spans="2:7" ht="32.25" customHeight="1" x14ac:dyDescent="0.25">
      <c r="B220" s="64"/>
      <c r="C220" s="64"/>
      <c r="D220" s="64"/>
      <c r="E220" s="64"/>
      <c r="F220" s="64"/>
      <c r="G220" s="64"/>
    </row>
    <row r="221" spans="2:7" ht="32.25" customHeight="1" x14ac:dyDescent="0.25">
      <c r="B221" s="64"/>
      <c r="C221" s="64"/>
      <c r="D221" s="64"/>
      <c r="E221" s="64"/>
      <c r="F221" s="64"/>
      <c r="G221" s="64"/>
    </row>
    <row r="222" spans="2:7" ht="32.25" customHeight="1" x14ac:dyDescent="0.25">
      <c r="B222" s="64"/>
      <c r="C222" s="64"/>
      <c r="D222" s="64"/>
      <c r="E222" s="64"/>
      <c r="F222" s="64"/>
      <c r="G222" s="64"/>
    </row>
    <row r="223" spans="2:7" ht="32.25" customHeight="1" x14ac:dyDescent="0.25">
      <c r="B223" s="64"/>
      <c r="C223" s="64"/>
      <c r="D223" s="64"/>
      <c r="E223" s="64"/>
      <c r="F223" s="64"/>
      <c r="G223" s="64"/>
    </row>
    <row r="224" spans="2:7" ht="32.25" customHeight="1" x14ac:dyDescent="0.25">
      <c r="B224" s="64"/>
      <c r="C224" s="64"/>
      <c r="D224" s="64"/>
      <c r="E224" s="64"/>
      <c r="F224" s="64"/>
      <c r="G224" s="64"/>
    </row>
    <row r="225" spans="2:7" ht="32.25" customHeight="1" x14ac:dyDescent="0.25">
      <c r="B225" s="64"/>
      <c r="C225" s="64"/>
      <c r="D225" s="64"/>
      <c r="E225" s="64"/>
      <c r="F225" s="64"/>
      <c r="G225" s="64"/>
    </row>
    <row r="226" spans="2:7" ht="32.25" customHeight="1" x14ac:dyDescent="0.25">
      <c r="B226" s="64"/>
      <c r="C226" s="64"/>
      <c r="D226" s="64"/>
      <c r="E226" s="64"/>
      <c r="F226" s="64"/>
      <c r="G226" s="64"/>
    </row>
    <row r="227" spans="2:7" ht="32.25" customHeight="1" x14ac:dyDescent="0.25">
      <c r="B227" s="64"/>
      <c r="C227" s="64"/>
      <c r="D227" s="64"/>
      <c r="E227" s="64"/>
      <c r="F227" s="64"/>
      <c r="G227" s="64"/>
    </row>
    <row r="228" spans="2:7" ht="32.25" customHeight="1" x14ac:dyDescent="0.25">
      <c r="B228" s="64"/>
      <c r="C228" s="64"/>
      <c r="D228" s="64"/>
      <c r="E228" s="64"/>
      <c r="F228" s="64"/>
      <c r="G228" s="64"/>
    </row>
    <row r="229" spans="2:7" ht="32.25" customHeight="1" x14ac:dyDescent="0.25">
      <c r="B229" s="64"/>
      <c r="C229" s="64"/>
      <c r="D229" s="64"/>
      <c r="E229" s="64"/>
      <c r="F229" s="64"/>
      <c r="G229" s="64"/>
    </row>
    <row r="230" spans="2:7" ht="32.25" customHeight="1" x14ac:dyDescent="0.25">
      <c r="B230" s="64"/>
      <c r="C230" s="64"/>
      <c r="D230" s="64"/>
      <c r="E230" s="64"/>
      <c r="F230" s="64"/>
      <c r="G230" s="64"/>
    </row>
    <row r="231" spans="2:7" ht="32.25" customHeight="1" x14ac:dyDescent="0.25">
      <c r="B231" s="64"/>
      <c r="C231" s="64"/>
      <c r="D231" s="64"/>
      <c r="E231" s="64"/>
      <c r="F231" s="64"/>
      <c r="G231" s="64"/>
    </row>
    <row r="232" spans="2:7" ht="32.25" customHeight="1" x14ac:dyDescent="0.25">
      <c r="B232" s="64"/>
      <c r="C232" s="64"/>
      <c r="D232" s="64"/>
      <c r="E232" s="64"/>
      <c r="F232" s="64"/>
      <c r="G232" s="64"/>
    </row>
    <row r="233" spans="2:7" ht="32.25" customHeight="1" x14ac:dyDescent="0.25">
      <c r="B233" s="64"/>
      <c r="C233" s="64"/>
      <c r="D233" s="64"/>
      <c r="E233" s="64"/>
      <c r="F233" s="64"/>
      <c r="G233" s="64"/>
    </row>
    <row r="234" spans="2:7" ht="32.25" customHeight="1" x14ac:dyDescent="0.25">
      <c r="B234" s="64"/>
      <c r="C234" s="64"/>
      <c r="D234" s="64"/>
      <c r="E234" s="64"/>
      <c r="F234" s="64"/>
      <c r="G234" s="64"/>
    </row>
    <row r="235" spans="2:7" ht="32.25" customHeight="1" x14ac:dyDescent="0.25">
      <c r="B235" s="64"/>
      <c r="C235" s="64"/>
      <c r="D235" s="64"/>
      <c r="E235" s="64"/>
      <c r="F235" s="64"/>
      <c r="G235" s="64"/>
    </row>
    <row r="236" spans="2:7" ht="32.25" customHeight="1" x14ac:dyDescent="0.25">
      <c r="B236" s="64"/>
      <c r="C236" s="64"/>
      <c r="D236" s="64"/>
      <c r="E236" s="64"/>
      <c r="F236" s="64"/>
      <c r="G236" s="64"/>
    </row>
    <row r="237" spans="2:7" ht="32.25" customHeight="1" x14ac:dyDescent="0.25">
      <c r="B237" s="64"/>
      <c r="C237" s="64"/>
      <c r="D237" s="64"/>
      <c r="E237" s="64"/>
      <c r="F237" s="64"/>
      <c r="G237" s="64"/>
    </row>
    <row r="238" spans="2:7" ht="32.25" customHeight="1" x14ac:dyDescent="0.25">
      <c r="B238" s="64"/>
      <c r="C238" s="64"/>
      <c r="D238" s="64"/>
      <c r="E238" s="64"/>
      <c r="F238" s="64"/>
      <c r="G238" s="64"/>
    </row>
    <row r="239" spans="2:7" ht="32.25" customHeight="1" x14ac:dyDescent="0.25">
      <c r="B239" s="64"/>
      <c r="C239" s="64"/>
      <c r="D239" s="64"/>
      <c r="E239" s="64"/>
      <c r="F239" s="64"/>
      <c r="G239" s="64"/>
    </row>
    <row r="240" spans="2:7" ht="32.25" customHeight="1" x14ac:dyDescent="0.25">
      <c r="B240" s="64"/>
      <c r="C240" s="64"/>
      <c r="D240" s="64"/>
      <c r="E240" s="64"/>
      <c r="F240" s="64"/>
      <c r="G240" s="64"/>
    </row>
    <row r="241" spans="2:7" ht="32.25" customHeight="1" x14ac:dyDescent="0.25">
      <c r="B241" s="64"/>
      <c r="C241" s="64"/>
      <c r="D241" s="64"/>
      <c r="E241" s="64"/>
      <c r="F241" s="64"/>
      <c r="G241" s="64"/>
    </row>
    <row r="242" spans="2:7" ht="32.25" customHeight="1" x14ac:dyDescent="0.25">
      <c r="B242" s="64"/>
      <c r="C242" s="64"/>
      <c r="D242" s="64"/>
      <c r="E242" s="64"/>
      <c r="F242" s="64"/>
      <c r="G242" s="64"/>
    </row>
    <row r="243" spans="2:7" ht="32.25" customHeight="1" x14ac:dyDescent="0.25">
      <c r="B243" s="64"/>
      <c r="C243" s="64"/>
      <c r="D243" s="64"/>
      <c r="E243" s="64"/>
      <c r="F243" s="64"/>
      <c r="G243" s="64"/>
    </row>
    <row r="244" spans="2:7" ht="32.25" customHeight="1" x14ac:dyDescent="0.25">
      <c r="B244" s="64"/>
      <c r="C244" s="64"/>
      <c r="D244" s="64"/>
      <c r="E244" s="64"/>
      <c r="F244" s="64"/>
      <c r="G244" s="64"/>
    </row>
    <row r="245" spans="2:7" ht="32.25" customHeight="1" x14ac:dyDescent="0.25">
      <c r="B245" s="64"/>
      <c r="C245" s="64"/>
      <c r="D245" s="64"/>
      <c r="E245" s="64"/>
      <c r="F245" s="64"/>
      <c r="G245" s="64"/>
    </row>
    <row r="246" spans="2:7" ht="32.25" customHeight="1" x14ac:dyDescent="0.25">
      <c r="B246" s="64"/>
      <c r="C246" s="64"/>
      <c r="D246" s="64"/>
      <c r="E246" s="64"/>
      <c r="F246" s="64"/>
      <c r="G246" s="64"/>
    </row>
    <row r="247" spans="2:7" ht="32.25" customHeight="1" x14ac:dyDescent="0.25">
      <c r="B247" s="64"/>
      <c r="C247" s="64"/>
      <c r="D247" s="64"/>
      <c r="E247" s="64"/>
      <c r="F247" s="64"/>
      <c r="G247" s="64"/>
    </row>
    <row r="248" spans="2:7" ht="32.25" customHeight="1" x14ac:dyDescent="0.25">
      <c r="B248" s="64"/>
      <c r="C248" s="64"/>
      <c r="D248" s="64"/>
      <c r="E248" s="64"/>
      <c r="F248" s="64"/>
      <c r="G248" s="64"/>
    </row>
    <row r="249" spans="2:7" ht="32.25" customHeight="1" x14ac:dyDescent="0.25">
      <c r="B249" s="64"/>
      <c r="C249" s="64"/>
      <c r="D249" s="64"/>
      <c r="E249" s="64"/>
      <c r="F249" s="64"/>
      <c r="G249" s="64"/>
    </row>
    <row r="250" spans="2:7" ht="32.25" customHeight="1" x14ac:dyDescent="0.25">
      <c r="B250" s="64"/>
      <c r="C250" s="64"/>
      <c r="D250" s="64"/>
      <c r="E250" s="64"/>
      <c r="F250" s="64"/>
      <c r="G250" s="64"/>
    </row>
    <row r="251" spans="2:7" ht="32.25" customHeight="1" x14ac:dyDescent="0.25">
      <c r="B251" s="64"/>
      <c r="C251" s="64"/>
      <c r="D251" s="64"/>
      <c r="E251" s="64"/>
      <c r="F251" s="64"/>
      <c r="G251" s="64"/>
    </row>
    <row r="252" spans="2:7" ht="32.25" customHeight="1" x14ac:dyDescent="0.25">
      <c r="B252" s="64"/>
      <c r="C252" s="64"/>
      <c r="D252" s="64"/>
      <c r="E252" s="64"/>
      <c r="F252" s="64"/>
      <c r="G252" s="64"/>
    </row>
    <row r="253" spans="2:7" ht="32.25" customHeight="1" x14ac:dyDescent="0.25">
      <c r="B253" s="64"/>
      <c r="C253" s="64"/>
      <c r="D253" s="64"/>
      <c r="E253" s="64"/>
      <c r="F253" s="64"/>
      <c r="G253" s="64"/>
    </row>
    <row r="254" spans="2:7" ht="32.25" customHeight="1" x14ac:dyDescent="0.25">
      <c r="B254" s="64"/>
      <c r="C254" s="64"/>
      <c r="D254" s="64"/>
      <c r="E254" s="64"/>
      <c r="F254" s="64"/>
      <c r="G254" s="64"/>
    </row>
    <row r="255" spans="2:7" ht="32.25" customHeight="1" x14ac:dyDescent="0.25">
      <c r="B255" s="64"/>
      <c r="C255" s="64"/>
      <c r="D255" s="64"/>
      <c r="E255" s="64"/>
      <c r="F255" s="64"/>
      <c r="G255" s="64"/>
    </row>
    <row r="256" spans="2:7" ht="32.25" customHeight="1" x14ac:dyDescent="0.25">
      <c r="B256" s="64"/>
      <c r="C256" s="64"/>
      <c r="D256" s="64"/>
      <c r="E256" s="64"/>
      <c r="F256" s="64"/>
      <c r="G256" s="64"/>
    </row>
    <row r="257" spans="2:7" ht="32.25" customHeight="1" x14ac:dyDescent="0.25">
      <c r="B257" s="64"/>
      <c r="C257" s="64"/>
      <c r="D257" s="64"/>
      <c r="E257" s="64"/>
      <c r="F257" s="64"/>
      <c r="G257" s="64"/>
    </row>
    <row r="258" spans="2:7" ht="32.25" customHeight="1" x14ac:dyDescent="0.25">
      <c r="B258" s="64"/>
      <c r="C258" s="64"/>
      <c r="D258" s="64"/>
      <c r="E258" s="64"/>
      <c r="F258" s="64"/>
      <c r="G258" s="64"/>
    </row>
    <row r="259" spans="2:7" ht="32.25" customHeight="1" x14ac:dyDescent="0.25">
      <c r="B259" s="64"/>
      <c r="C259" s="64"/>
      <c r="D259" s="64"/>
      <c r="E259" s="64"/>
      <c r="F259" s="64"/>
      <c r="G259" s="64"/>
    </row>
    <row r="260" spans="2:7" ht="32.25" customHeight="1" x14ac:dyDescent="0.25">
      <c r="B260" s="64"/>
      <c r="C260" s="64"/>
      <c r="D260" s="64"/>
      <c r="E260" s="64"/>
      <c r="F260" s="64"/>
      <c r="G260" s="64"/>
    </row>
    <row r="261" spans="2:7" ht="32.25" customHeight="1" x14ac:dyDescent="0.25">
      <c r="B261" s="64"/>
      <c r="C261" s="64"/>
      <c r="D261" s="64"/>
      <c r="E261" s="64"/>
      <c r="F261" s="64"/>
      <c r="G261" s="64"/>
    </row>
    <row r="262" spans="2:7" ht="32.25" customHeight="1" x14ac:dyDescent="0.25">
      <c r="B262" s="64"/>
      <c r="C262" s="64"/>
      <c r="D262" s="64"/>
      <c r="E262" s="64"/>
      <c r="F262" s="64"/>
      <c r="G262" s="64"/>
    </row>
    <row r="263" spans="2:7" ht="32.25" customHeight="1" x14ac:dyDescent="0.25">
      <c r="B263" s="64"/>
      <c r="C263" s="64"/>
      <c r="D263" s="64"/>
      <c r="E263" s="64"/>
      <c r="F263" s="64"/>
      <c r="G263" s="64"/>
    </row>
    <row r="264" spans="2:7" ht="32.25" customHeight="1" x14ac:dyDescent="0.25">
      <c r="B264" s="64"/>
      <c r="C264" s="64"/>
      <c r="D264" s="64"/>
      <c r="E264" s="64"/>
      <c r="F264" s="64"/>
      <c r="G264" s="64"/>
    </row>
    <row r="265" spans="2:7" ht="32.25" customHeight="1" x14ac:dyDescent="0.25">
      <c r="B265" s="64"/>
      <c r="C265" s="64"/>
      <c r="D265" s="64"/>
      <c r="E265" s="64"/>
      <c r="F265" s="64"/>
      <c r="G265" s="64"/>
    </row>
    <row r="266" spans="2:7" ht="32.25" customHeight="1" x14ac:dyDescent="0.25">
      <c r="B266" s="64"/>
      <c r="C266" s="64"/>
      <c r="D266" s="64"/>
      <c r="E266" s="64"/>
      <c r="F266" s="64"/>
      <c r="G266" s="64"/>
    </row>
    <row r="267" spans="2:7" ht="32.25" customHeight="1" x14ac:dyDescent="0.25">
      <c r="B267" s="64"/>
      <c r="C267" s="64"/>
      <c r="D267" s="64"/>
      <c r="E267" s="64"/>
      <c r="F267" s="64"/>
      <c r="G267" s="64"/>
    </row>
    <row r="268" spans="2:7" ht="32.25" customHeight="1" x14ac:dyDescent="0.25">
      <c r="B268" s="64"/>
      <c r="C268" s="64"/>
      <c r="D268" s="64"/>
      <c r="E268" s="64"/>
      <c r="F268" s="64"/>
      <c r="G268" s="64"/>
    </row>
    <row r="269" spans="2:7" ht="32.25" customHeight="1" x14ac:dyDescent="0.25">
      <c r="B269" s="64"/>
      <c r="C269" s="64"/>
      <c r="D269" s="64"/>
      <c r="E269" s="64"/>
      <c r="F269" s="64"/>
      <c r="G269" s="64"/>
    </row>
    <row r="270" spans="2:7" ht="32.25" customHeight="1" x14ac:dyDescent="0.25">
      <c r="B270" s="64"/>
      <c r="C270" s="64"/>
      <c r="D270" s="64"/>
      <c r="E270" s="64"/>
      <c r="F270" s="64"/>
      <c r="G270" s="64"/>
    </row>
    <row r="271" spans="2:7" ht="32.25" customHeight="1" x14ac:dyDescent="0.25">
      <c r="B271" s="64"/>
      <c r="C271" s="64"/>
      <c r="D271" s="64"/>
      <c r="E271" s="64"/>
      <c r="F271" s="64"/>
      <c r="G271" s="64"/>
    </row>
    <row r="272" spans="2:7" ht="32.25" customHeight="1" x14ac:dyDescent="0.25">
      <c r="B272" s="64"/>
      <c r="C272" s="64"/>
      <c r="D272" s="64"/>
      <c r="E272" s="64"/>
      <c r="F272" s="64"/>
      <c r="G272" s="64"/>
    </row>
    <row r="273" spans="2:7" ht="32.25" customHeight="1" x14ac:dyDescent="0.25">
      <c r="B273" s="64"/>
      <c r="C273" s="64"/>
      <c r="D273" s="64"/>
      <c r="E273" s="64"/>
      <c r="F273" s="64"/>
      <c r="G273" s="64"/>
    </row>
    <row r="274" spans="2:7" ht="32.25" customHeight="1" x14ac:dyDescent="0.25">
      <c r="B274" s="64"/>
      <c r="C274" s="64"/>
      <c r="D274" s="64"/>
      <c r="E274" s="64"/>
      <c r="F274" s="64"/>
      <c r="G274" s="64"/>
    </row>
    <row r="275" spans="2:7" ht="32.25" customHeight="1" x14ac:dyDescent="0.25">
      <c r="B275" s="64"/>
      <c r="C275" s="64"/>
      <c r="D275" s="64"/>
      <c r="E275" s="64"/>
      <c r="F275" s="64"/>
      <c r="G275" s="64"/>
    </row>
    <row r="276" spans="2:7" ht="32.25" customHeight="1" x14ac:dyDescent="0.25">
      <c r="B276" s="64"/>
      <c r="C276" s="64"/>
      <c r="D276" s="64"/>
      <c r="E276" s="64"/>
      <c r="F276" s="64"/>
      <c r="G276" s="64"/>
    </row>
    <row r="277" spans="2:7" ht="32.25" customHeight="1" x14ac:dyDescent="0.25">
      <c r="B277" s="64"/>
      <c r="C277" s="64"/>
      <c r="D277" s="64"/>
      <c r="E277" s="64"/>
      <c r="F277" s="64"/>
      <c r="G277" s="64"/>
    </row>
    <row r="278" spans="2:7" ht="32.25" customHeight="1" x14ac:dyDescent="0.25">
      <c r="B278" s="64"/>
      <c r="C278" s="64"/>
      <c r="D278" s="64"/>
      <c r="E278" s="64"/>
      <c r="F278" s="64"/>
      <c r="G278" s="64"/>
    </row>
    <row r="279" spans="2:7" ht="32.25" customHeight="1" x14ac:dyDescent="0.25">
      <c r="B279" s="64"/>
      <c r="C279" s="64"/>
      <c r="D279" s="64"/>
      <c r="E279" s="64"/>
      <c r="F279" s="64"/>
      <c r="G279" s="64"/>
    </row>
    <row r="280" spans="2:7" ht="32.25" customHeight="1" x14ac:dyDescent="0.25">
      <c r="B280" s="64"/>
      <c r="C280" s="64"/>
      <c r="D280" s="64"/>
      <c r="E280" s="64"/>
      <c r="F280" s="64"/>
      <c r="G280" s="64"/>
    </row>
    <row r="281" spans="2:7" ht="32.25" customHeight="1" x14ac:dyDescent="0.25">
      <c r="B281" s="64"/>
      <c r="C281" s="64"/>
      <c r="D281" s="64"/>
      <c r="E281" s="64"/>
      <c r="F281" s="64"/>
      <c r="G281" s="64"/>
    </row>
    <row r="282" spans="2:7" ht="32.25" customHeight="1" x14ac:dyDescent="0.25">
      <c r="B282" s="64"/>
      <c r="C282" s="64"/>
      <c r="D282" s="64"/>
      <c r="E282" s="64"/>
      <c r="F282" s="64"/>
      <c r="G282" s="64"/>
    </row>
    <row r="283" spans="2:7" ht="32.25" customHeight="1" x14ac:dyDescent="0.25">
      <c r="B283" s="64"/>
      <c r="C283" s="64"/>
      <c r="D283" s="64"/>
      <c r="E283" s="64"/>
      <c r="F283" s="64"/>
      <c r="G283" s="64"/>
    </row>
    <row r="284" spans="2:7" ht="32.25" customHeight="1" x14ac:dyDescent="0.25">
      <c r="B284" s="64"/>
      <c r="C284" s="64"/>
      <c r="D284" s="64"/>
      <c r="E284" s="64"/>
      <c r="F284" s="64"/>
      <c r="G284" s="64"/>
    </row>
    <row r="285" spans="2:7" ht="32.25" customHeight="1" x14ac:dyDescent="0.25">
      <c r="B285" s="64"/>
      <c r="C285" s="64"/>
      <c r="D285" s="64"/>
      <c r="E285" s="64"/>
      <c r="F285" s="64"/>
      <c r="G285" s="64"/>
    </row>
    <row r="286" spans="2:7" ht="32.25" customHeight="1" x14ac:dyDescent="0.25">
      <c r="B286" s="64"/>
      <c r="C286" s="64"/>
      <c r="D286" s="64"/>
      <c r="E286" s="64"/>
      <c r="F286" s="64"/>
      <c r="G286" s="64"/>
    </row>
    <row r="287" spans="2:7" ht="32.25" customHeight="1" x14ac:dyDescent="0.25">
      <c r="B287" s="64"/>
      <c r="C287" s="64"/>
      <c r="D287" s="64"/>
      <c r="E287" s="64"/>
      <c r="F287" s="64"/>
      <c r="G287" s="64"/>
    </row>
    <row r="288" spans="2:7" ht="32.25" customHeight="1" x14ac:dyDescent="0.25">
      <c r="B288" s="64"/>
      <c r="C288" s="64"/>
      <c r="D288" s="64"/>
      <c r="E288" s="64"/>
      <c r="F288" s="64"/>
      <c r="G288" s="64"/>
    </row>
    <row r="289" spans="2:7" ht="32.25" customHeight="1" x14ac:dyDescent="0.25">
      <c r="B289" s="64"/>
      <c r="C289" s="64"/>
      <c r="D289" s="64"/>
      <c r="E289" s="64"/>
      <c r="F289" s="64"/>
      <c r="G289" s="64"/>
    </row>
    <row r="290" spans="2:7" ht="32.25" customHeight="1" x14ac:dyDescent="0.25">
      <c r="B290" s="64"/>
      <c r="C290" s="64"/>
      <c r="D290" s="64"/>
      <c r="E290" s="64"/>
      <c r="F290" s="64"/>
      <c r="G290" s="64"/>
    </row>
    <row r="291" spans="2:7" ht="32.25" customHeight="1" x14ac:dyDescent="0.25">
      <c r="B291" s="64"/>
      <c r="C291" s="64"/>
      <c r="D291" s="64"/>
      <c r="E291" s="64"/>
      <c r="F291" s="64"/>
      <c r="G291" s="64"/>
    </row>
    <row r="292" spans="2:7" ht="32.25" customHeight="1" x14ac:dyDescent="0.25">
      <c r="B292" s="64"/>
      <c r="C292" s="64"/>
      <c r="D292" s="64"/>
      <c r="E292" s="64"/>
      <c r="F292" s="64"/>
      <c r="G292" s="64"/>
    </row>
    <row r="293" spans="2:7" ht="32.25" customHeight="1" x14ac:dyDescent="0.25">
      <c r="B293" s="64"/>
      <c r="C293" s="64"/>
      <c r="D293" s="64"/>
      <c r="E293" s="64"/>
      <c r="F293" s="64"/>
      <c r="G293" s="64"/>
    </row>
    <row r="294" spans="2:7" ht="32.25" customHeight="1" x14ac:dyDescent="0.25">
      <c r="B294" s="64"/>
      <c r="C294" s="64"/>
      <c r="D294" s="64"/>
      <c r="E294" s="64"/>
      <c r="F294" s="64"/>
      <c r="G294" s="64"/>
    </row>
    <row r="295" spans="2:7" ht="32.25" customHeight="1" x14ac:dyDescent="0.25">
      <c r="B295" s="64"/>
      <c r="C295" s="64"/>
      <c r="D295" s="64"/>
      <c r="E295" s="64"/>
      <c r="F295" s="64"/>
      <c r="G295" s="64"/>
    </row>
    <row r="296" spans="2:7" ht="32.25" customHeight="1" x14ac:dyDescent="0.25">
      <c r="B296" s="64"/>
      <c r="C296" s="64"/>
      <c r="D296" s="64"/>
      <c r="E296" s="64"/>
      <c r="F296" s="64"/>
      <c r="G296" s="64"/>
    </row>
    <row r="297" spans="2:7" ht="32.25" customHeight="1" x14ac:dyDescent="0.25">
      <c r="B297" s="64"/>
      <c r="C297" s="64"/>
      <c r="D297" s="64"/>
      <c r="E297" s="64"/>
      <c r="F297" s="64"/>
      <c r="G297" s="64"/>
    </row>
    <row r="298" spans="2:7" ht="32.25" customHeight="1" x14ac:dyDescent="0.25">
      <c r="B298" s="64"/>
      <c r="C298" s="64"/>
      <c r="D298" s="64"/>
      <c r="E298" s="64"/>
      <c r="F298" s="64"/>
      <c r="G298" s="64"/>
    </row>
    <row r="299" spans="2:7" ht="32.25" customHeight="1" x14ac:dyDescent="0.25">
      <c r="B299" s="64"/>
      <c r="C299" s="64"/>
      <c r="D299" s="64"/>
      <c r="E299" s="64"/>
      <c r="F299" s="64"/>
      <c r="G299" s="64"/>
    </row>
    <row r="300" spans="2:7" ht="32.25" customHeight="1" x14ac:dyDescent="0.25">
      <c r="B300" s="64"/>
      <c r="C300" s="64"/>
      <c r="D300" s="64"/>
      <c r="E300" s="64"/>
      <c r="F300" s="64"/>
      <c r="G300" s="64"/>
    </row>
    <row r="301" spans="2:7" ht="32.25" customHeight="1" x14ac:dyDescent="0.25">
      <c r="B301" s="64"/>
      <c r="C301" s="64"/>
      <c r="D301" s="64"/>
      <c r="E301" s="64"/>
      <c r="F301" s="64"/>
      <c r="G301" s="64"/>
    </row>
    <row r="302" spans="2:7" ht="32.25" customHeight="1" x14ac:dyDescent="0.25">
      <c r="B302" s="64"/>
      <c r="C302" s="64"/>
      <c r="D302" s="64"/>
      <c r="E302" s="64"/>
      <c r="F302" s="64"/>
      <c r="G302" s="64"/>
    </row>
    <row r="303" spans="2:7" ht="32.25" customHeight="1" x14ac:dyDescent="0.25">
      <c r="B303" s="64"/>
      <c r="C303" s="64"/>
      <c r="D303" s="64"/>
      <c r="E303" s="64"/>
      <c r="F303" s="64"/>
      <c r="G303" s="64"/>
    </row>
    <row r="304" spans="2:7" ht="32.25" customHeight="1" x14ac:dyDescent="0.25">
      <c r="B304" s="64"/>
      <c r="C304" s="64"/>
      <c r="D304" s="64"/>
      <c r="E304" s="64"/>
      <c r="F304" s="64"/>
      <c r="G304" s="64"/>
    </row>
    <row r="305" spans="2:7" ht="32.25" customHeight="1" x14ac:dyDescent="0.25">
      <c r="B305" s="64"/>
      <c r="C305" s="64"/>
      <c r="D305" s="64"/>
      <c r="E305" s="64"/>
      <c r="F305" s="64"/>
      <c r="G305" s="64"/>
    </row>
    <row r="306" spans="2:7" ht="32.25" customHeight="1" x14ac:dyDescent="0.25">
      <c r="B306" s="64"/>
      <c r="C306" s="64"/>
      <c r="D306" s="64"/>
      <c r="E306" s="64"/>
      <c r="F306" s="64"/>
      <c r="G306" s="64"/>
    </row>
    <row r="307" spans="2:7" ht="32.25" customHeight="1" x14ac:dyDescent="0.25">
      <c r="B307" s="64"/>
      <c r="C307" s="64"/>
      <c r="D307" s="64"/>
      <c r="E307" s="64"/>
      <c r="F307" s="64"/>
      <c r="G307" s="64"/>
    </row>
    <row r="308" spans="2:7" ht="32.25" customHeight="1" x14ac:dyDescent="0.25">
      <c r="B308" s="64"/>
      <c r="C308" s="64"/>
      <c r="D308" s="64"/>
      <c r="E308" s="64"/>
      <c r="F308" s="64"/>
      <c r="G308" s="64"/>
    </row>
    <row r="309" spans="2:7" ht="32.25" customHeight="1" x14ac:dyDescent="0.25">
      <c r="B309" s="64"/>
      <c r="C309" s="64"/>
      <c r="D309" s="64"/>
      <c r="E309" s="64"/>
      <c r="F309" s="64"/>
      <c r="G309" s="64"/>
    </row>
    <row r="310" spans="2:7" ht="32.25" customHeight="1" x14ac:dyDescent="0.25">
      <c r="B310" s="64"/>
      <c r="C310" s="64"/>
      <c r="D310" s="64"/>
      <c r="E310" s="64"/>
      <c r="F310" s="64"/>
      <c r="G310" s="64"/>
    </row>
    <row r="311" spans="2:7" ht="32.25" customHeight="1" x14ac:dyDescent="0.25">
      <c r="B311" s="64"/>
      <c r="C311" s="64"/>
      <c r="D311" s="64"/>
      <c r="E311" s="64"/>
      <c r="F311" s="64"/>
      <c r="G311" s="64"/>
    </row>
    <row r="312" spans="2:7" ht="32.25" customHeight="1" x14ac:dyDescent="0.25">
      <c r="B312" s="64"/>
      <c r="C312" s="64"/>
      <c r="D312" s="64"/>
      <c r="E312" s="64"/>
      <c r="F312" s="64"/>
      <c r="G312" s="64"/>
    </row>
    <row r="313" spans="2:7" ht="32.25" customHeight="1" x14ac:dyDescent="0.25">
      <c r="B313" s="64"/>
      <c r="C313" s="64"/>
      <c r="D313" s="64"/>
      <c r="E313" s="64"/>
      <c r="F313" s="64"/>
      <c r="G313" s="64"/>
    </row>
    <row r="314" spans="2:7" ht="32.25" customHeight="1" x14ac:dyDescent="0.25">
      <c r="B314" s="64"/>
      <c r="C314" s="64"/>
      <c r="D314" s="64"/>
      <c r="E314" s="64"/>
      <c r="F314" s="64"/>
      <c r="G314" s="64"/>
    </row>
    <row r="315" spans="2:7" ht="32.25" customHeight="1" x14ac:dyDescent="0.25">
      <c r="B315" s="64"/>
      <c r="C315" s="64"/>
      <c r="D315" s="64"/>
      <c r="E315" s="64"/>
      <c r="F315" s="64"/>
      <c r="G315" s="64"/>
    </row>
    <row r="316" spans="2:7" ht="32.25" customHeight="1" x14ac:dyDescent="0.25">
      <c r="B316" s="64"/>
      <c r="C316" s="64"/>
      <c r="D316" s="64"/>
      <c r="E316" s="64"/>
      <c r="F316" s="64"/>
      <c r="G316" s="64"/>
    </row>
    <row r="317" spans="2:7" ht="32.25" customHeight="1" x14ac:dyDescent="0.25">
      <c r="B317" s="64"/>
      <c r="C317" s="64"/>
      <c r="D317" s="64"/>
      <c r="E317" s="64"/>
      <c r="F317" s="64"/>
      <c r="G317" s="64"/>
    </row>
    <row r="318" spans="2:7" ht="32.25" customHeight="1" x14ac:dyDescent="0.25">
      <c r="B318" s="64"/>
      <c r="C318" s="64"/>
      <c r="D318" s="64"/>
      <c r="E318" s="64"/>
      <c r="F318" s="64"/>
      <c r="G318" s="64"/>
    </row>
    <row r="319" spans="2:7" ht="32.25" customHeight="1" x14ac:dyDescent="0.25">
      <c r="B319" s="64"/>
      <c r="C319" s="64"/>
      <c r="D319" s="64"/>
      <c r="E319" s="64"/>
      <c r="F319" s="64"/>
      <c r="G319" s="64"/>
    </row>
    <row r="320" spans="2:7" ht="32.25" customHeight="1" x14ac:dyDescent="0.25">
      <c r="B320" s="64"/>
      <c r="C320" s="64"/>
      <c r="D320" s="64"/>
      <c r="E320" s="64"/>
      <c r="F320" s="64"/>
      <c r="G320" s="64"/>
    </row>
    <row r="321" spans="2:7" ht="32.25" customHeight="1" x14ac:dyDescent="0.25">
      <c r="B321" s="64"/>
      <c r="C321" s="64"/>
      <c r="D321" s="64"/>
      <c r="E321" s="64"/>
      <c r="F321" s="64"/>
      <c r="G321" s="64"/>
    </row>
    <row r="322" spans="2:7" ht="32.25" customHeight="1" x14ac:dyDescent="0.25">
      <c r="B322" s="64"/>
      <c r="C322" s="64"/>
      <c r="D322" s="64"/>
      <c r="E322" s="64"/>
      <c r="F322" s="64"/>
      <c r="G322" s="64"/>
    </row>
    <row r="323" spans="2:7" ht="32.25" customHeight="1" x14ac:dyDescent="0.25">
      <c r="B323" s="64"/>
      <c r="C323" s="64"/>
      <c r="D323" s="64"/>
      <c r="E323" s="64"/>
      <c r="F323" s="64"/>
      <c r="G323" s="64"/>
    </row>
    <row r="324" spans="2:7" ht="32.25" customHeight="1" x14ac:dyDescent="0.25">
      <c r="B324" s="64"/>
      <c r="C324" s="64"/>
      <c r="D324" s="64"/>
      <c r="E324" s="64"/>
      <c r="F324" s="64"/>
      <c r="G324" s="64"/>
    </row>
    <row r="325" spans="2:7" ht="32.25" customHeight="1" x14ac:dyDescent="0.25">
      <c r="B325" s="64"/>
      <c r="C325" s="64"/>
      <c r="D325" s="64"/>
      <c r="E325" s="64"/>
      <c r="F325" s="64"/>
      <c r="G325" s="64"/>
    </row>
    <row r="326" spans="2:7" ht="32.25" customHeight="1" x14ac:dyDescent="0.25">
      <c r="B326" s="64"/>
      <c r="C326" s="64"/>
      <c r="D326" s="64"/>
      <c r="E326" s="64"/>
      <c r="F326" s="64"/>
      <c r="G326" s="64"/>
    </row>
    <row r="327" spans="2:7" ht="32.25" customHeight="1" x14ac:dyDescent="0.25">
      <c r="B327" s="64"/>
      <c r="C327" s="64"/>
      <c r="D327" s="64"/>
      <c r="E327" s="64"/>
      <c r="F327" s="64"/>
      <c r="G327" s="64"/>
    </row>
    <row r="328" spans="2:7" ht="32.25" customHeight="1" x14ac:dyDescent="0.25">
      <c r="B328" s="64"/>
      <c r="C328" s="64"/>
      <c r="D328" s="64"/>
      <c r="E328" s="64"/>
      <c r="F328" s="64"/>
      <c r="G328" s="64"/>
    </row>
    <row r="329" spans="2:7" ht="32.25" customHeight="1" x14ac:dyDescent="0.25">
      <c r="B329" s="64"/>
      <c r="C329" s="64"/>
      <c r="D329" s="64"/>
      <c r="E329" s="64"/>
      <c r="F329" s="64"/>
      <c r="G329" s="64"/>
    </row>
    <row r="330" spans="2:7" ht="32.25" customHeight="1" x14ac:dyDescent="0.25">
      <c r="B330" s="64"/>
      <c r="C330" s="64"/>
      <c r="D330" s="64"/>
      <c r="E330" s="64"/>
      <c r="F330" s="64"/>
      <c r="G330" s="64"/>
    </row>
    <row r="331" spans="2:7" ht="32.25" customHeight="1" x14ac:dyDescent="0.25">
      <c r="B331" s="64"/>
      <c r="C331" s="64"/>
      <c r="D331" s="64"/>
      <c r="E331" s="64"/>
      <c r="F331" s="64"/>
      <c r="G331" s="64"/>
    </row>
    <row r="332" spans="2:7" ht="32.25" customHeight="1" x14ac:dyDescent="0.25">
      <c r="B332" s="64"/>
      <c r="C332" s="64"/>
      <c r="D332" s="64"/>
      <c r="E332" s="64"/>
      <c r="F332" s="64"/>
      <c r="G332" s="64"/>
    </row>
    <row r="333" spans="2:7" ht="32.25" customHeight="1" x14ac:dyDescent="0.25">
      <c r="B333" s="64"/>
      <c r="C333" s="64"/>
      <c r="D333" s="64"/>
      <c r="E333" s="64"/>
      <c r="F333" s="64"/>
      <c r="G333" s="64"/>
    </row>
    <row r="334" spans="2:7" ht="32.25" customHeight="1" x14ac:dyDescent="0.25">
      <c r="B334" s="64"/>
      <c r="C334" s="64"/>
      <c r="D334" s="64"/>
      <c r="E334" s="64"/>
      <c r="F334" s="64"/>
      <c r="G334" s="64"/>
    </row>
    <row r="335" spans="2:7" ht="32.25" customHeight="1" x14ac:dyDescent="0.25">
      <c r="B335" s="64"/>
      <c r="C335" s="64"/>
      <c r="D335" s="64"/>
      <c r="E335" s="64"/>
      <c r="F335" s="64"/>
      <c r="G335" s="64"/>
    </row>
    <row r="336" spans="2:7" ht="32.25" customHeight="1" x14ac:dyDescent="0.25">
      <c r="B336" s="64"/>
      <c r="C336" s="64"/>
      <c r="D336" s="64"/>
      <c r="E336" s="64"/>
      <c r="F336" s="64"/>
      <c r="G336" s="64"/>
    </row>
    <row r="337" spans="2:7" ht="32.25" customHeight="1" x14ac:dyDescent="0.25">
      <c r="B337" s="64"/>
      <c r="C337" s="64"/>
      <c r="D337" s="64"/>
      <c r="E337" s="64"/>
      <c r="F337" s="64"/>
      <c r="G337" s="64"/>
    </row>
    <row r="338" spans="2:7" ht="32.25" customHeight="1" x14ac:dyDescent="0.25">
      <c r="B338" s="64"/>
      <c r="C338" s="64"/>
      <c r="D338" s="64"/>
      <c r="E338" s="64"/>
      <c r="F338" s="64"/>
      <c r="G338" s="64"/>
    </row>
    <row r="339" spans="2:7" ht="32.25" customHeight="1" x14ac:dyDescent="0.25">
      <c r="B339" s="64"/>
      <c r="C339" s="64"/>
      <c r="D339" s="64"/>
      <c r="E339" s="64"/>
      <c r="F339" s="64"/>
      <c r="G339" s="64"/>
    </row>
    <row r="340" spans="2:7" ht="32.25" customHeight="1" x14ac:dyDescent="0.25">
      <c r="B340" s="64"/>
      <c r="C340" s="64"/>
      <c r="D340" s="64"/>
      <c r="E340" s="64"/>
      <c r="F340" s="64"/>
      <c r="G340" s="64"/>
    </row>
    <row r="341" spans="2:7" ht="32.25" customHeight="1" x14ac:dyDescent="0.25">
      <c r="B341" s="64"/>
      <c r="C341" s="64"/>
      <c r="D341" s="64"/>
      <c r="E341" s="64"/>
      <c r="F341" s="64"/>
      <c r="G341" s="64"/>
    </row>
    <row r="342" spans="2:7" ht="32.25" customHeight="1" x14ac:dyDescent="0.25">
      <c r="B342" s="64"/>
      <c r="C342" s="64"/>
      <c r="D342" s="64"/>
      <c r="E342" s="64"/>
      <c r="F342" s="64"/>
      <c r="G342" s="64"/>
    </row>
    <row r="343" spans="2:7" ht="32.25" customHeight="1" x14ac:dyDescent="0.25">
      <c r="B343" s="64"/>
      <c r="C343" s="64"/>
      <c r="D343" s="64"/>
      <c r="E343" s="64"/>
      <c r="F343" s="64"/>
      <c r="G343" s="64"/>
    </row>
    <row r="344" spans="2:7" ht="32.25" customHeight="1" x14ac:dyDescent="0.25">
      <c r="B344" s="64"/>
      <c r="C344" s="64"/>
      <c r="D344" s="64"/>
      <c r="E344" s="64"/>
      <c r="F344" s="64"/>
      <c r="G344" s="64"/>
    </row>
    <row r="345" spans="2:7" ht="32.25" customHeight="1" x14ac:dyDescent="0.25">
      <c r="B345" s="64"/>
      <c r="C345" s="64"/>
      <c r="D345" s="64"/>
      <c r="E345" s="64"/>
      <c r="F345" s="64"/>
      <c r="G345" s="64"/>
    </row>
    <row r="346" spans="2:7" ht="32.25" customHeight="1" x14ac:dyDescent="0.25">
      <c r="B346" s="64"/>
      <c r="C346" s="64"/>
      <c r="D346" s="64"/>
      <c r="E346" s="64"/>
      <c r="F346" s="64"/>
      <c r="G346" s="64"/>
    </row>
    <row r="347" spans="2:7" ht="32.25" customHeight="1" x14ac:dyDescent="0.25">
      <c r="B347" s="64"/>
      <c r="C347" s="64"/>
      <c r="D347" s="64"/>
      <c r="E347" s="64"/>
      <c r="F347" s="64"/>
      <c r="G347" s="64"/>
    </row>
    <row r="348" spans="2:7" ht="32.25" customHeight="1" x14ac:dyDescent="0.25">
      <c r="B348" s="64"/>
      <c r="C348" s="64"/>
      <c r="D348" s="64"/>
      <c r="E348" s="64"/>
      <c r="F348" s="64"/>
      <c r="G348" s="64"/>
    </row>
    <row r="349" spans="2:7" ht="32.25" customHeight="1" x14ac:dyDescent="0.25">
      <c r="B349" s="64"/>
      <c r="C349" s="64"/>
      <c r="D349" s="64"/>
      <c r="E349" s="64"/>
      <c r="F349" s="64"/>
      <c r="G349" s="64"/>
    </row>
    <row r="350" spans="2:7" ht="32.25" customHeight="1" x14ac:dyDescent="0.25">
      <c r="B350" s="64"/>
      <c r="C350" s="64"/>
      <c r="D350" s="64"/>
      <c r="E350" s="64"/>
      <c r="F350" s="64"/>
      <c r="G350" s="64"/>
    </row>
    <row r="351" spans="2:7" ht="32.25" customHeight="1" x14ac:dyDescent="0.25">
      <c r="B351" s="64"/>
      <c r="C351" s="64"/>
      <c r="D351" s="64"/>
      <c r="E351" s="64"/>
      <c r="F351" s="64"/>
      <c r="G351" s="64"/>
    </row>
    <row r="352" spans="2:7" ht="32.25" customHeight="1" x14ac:dyDescent="0.25">
      <c r="B352" s="64"/>
      <c r="C352" s="64"/>
      <c r="D352" s="64"/>
      <c r="E352" s="64"/>
      <c r="F352" s="64"/>
      <c r="G352" s="64"/>
    </row>
    <row r="353" spans="2:7" ht="32.25" customHeight="1" x14ac:dyDescent="0.25">
      <c r="B353" s="64"/>
      <c r="C353" s="64"/>
      <c r="D353" s="64"/>
      <c r="E353" s="64"/>
      <c r="F353" s="64"/>
      <c r="G353" s="64"/>
    </row>
    <row r="354" spans="2:7" ht="32.25" customHeight="1" x14ac:dyDescent="0.25">
      <c r="B354" s="64"/>
      <c r="C354" s="64"/>
      <c r="D354" s="64"/>
      <c r="E354" s="64"/>
      <c r="F354" s="64"/>
      <c r="G354" s="64"/>
    </row>
    <row r="355" spans="2:7" ht="32.25" customHeight="1" x14ac:dyDescent="0.25">
      <c r="B355" s="64"/>
      <c r="C355" s="64"/>
      <c r="D355" s="64"/>
      <c r="E355" s="64"/>
      <c r="F355" s="64"/>
      <c r="G355" s="64"/>
    </row>
    <row r="356" spans="2:7" ht="32.25" customHeight="1" x14ac:dyDescent="0.25">
      <c r="B356" s="64"/>
      <c r="C356" s="64"/>
      <c r="D356" s="64"/>
      <c r="E356" s="64"/>
      <c r="F356" s="64"/>
      <c r="G356" s="64"/>
    </row>
    <row r="357" spans="2:7" ht="32.25" customHeight="1" x14ac:dyDescent="0.25">
      <c r="B357" s="64"/>
      <c r="C357" s="64"/>
      <c r="D357" s="64"/>
      <c r="E357" s="64"/>
      <c r="F357" s="64"/>
      <c r="G357" s="64"/>
    </row>
    <row r="358" spans="2:7" ht="32.25" customHeight="1" x14ac:dyDescent="0.25">
      <c r="B358" s="64"/>
      <c r="C358" s="64"/>
      <c r="D358" s="64"/>
      <c r="E358" s="64"/>
      <c r="F358" s="64"/>
      <c r="G358" s="64"/>
    </row>
    <row r="359" spans="2:7" ht="32.25" customHeight="1" x14ac:dyDescent="0.25">
      <c r="B359" s="64"/>
      <c r="C359" s="64"/>
      <c r="D359" s="64"/>
      <c r="E359" s="64"/>
      <c r="F359" s="64"/>
      <c r="G359" s="64"/>
    </row>
    <row r="360" spans="2:7" ht="32.25" customHeight="1" x14ac:dyDescent="0.25">
      <c r="B360" s="64"/>
      <c r="C360" s="64"/>
      <c r="D360" s="64"/>
      <c r="E360" s="64"/>
      <c r="F360" s="64"/>
      <c r="G360" s="64"/>
    </row>
    <row r="361" spans="2:7" ht="32.25" customHeight="1" x14ac:dyDescent="0.25">
      <c r="B361" s="64"/>
      <c r="C361" s="64"/>
      <c r="D361" s="64"/>
      <c r="E361" s="64"/>
      <c r="F361" s="64"/>
      <c r="G361" s="64"/>
    </row>
    <row r="362" spans="2:7" ht="32.25" customHeight="1" x14ac:dyDescent="0.25">
      <c r="B362" s="64"/>
      <c r="C362" s="64"/>
      <c r="D362" s="64"/>
      <c r="E362" s="64"/>
      <c r="F362" s="64"/>
      <c r="G362" s="64"/>
    </row>
    <row r="363" spans="2:7" ht="32.25" customHeight="1" x14ac:dyDescent="0.25">
      <c r="B363" s="64"/>
      <c r="C363" s="64"/>
      <c r="D363" s="64"/>
      <c r="E363" s="64"/>
      <c r="F363" s="64"/>
      <c r="G363" s="64"/>
    </row>
    <row r="364" spans="2:7" ht="32.25" customHeight="1" x14ac:dyDescent="0.25">
      <c r="B364" s="64"/>
      <c r="C364" s="64"/>
      <c r="D364" s="64"/>
      <c r="E364" s="64"/>
      <c r="F364" s="64"/>
      <c r="G364" s="64"/>
    </row>
    <row r="365" spans="2:7" ht="32.25" customHeight="1" x14ac:dyDescent="0.25">
      <c r="B365" s="64"/>
      <c r="C365" s="64"/>
      <c r="D365" s="64"/>
      <c r="E365" s="64"/>
      <c r="F365" s="64"/>
      <c r="G365" s="64"/>
    </row>
    <row r="366" spans="2:7" ht="32.25" customHeight="1" x14ac:dyDescent="0.25">
      <c r="B366" s="64"/>
      <c r="C366" s="64"/>
      <c r="D366" s="64"/>
      <c r="E366" s="64"/>
      <c r="F366" s="64"/>
      <c r="G366" s="64"/>
    </row>
    <row r="367" spans="2:7" ht="32.25" customHeight="1" x14ac:dyDescent="0.25">
      <c r="B367" s="64"/>
      <c r="C367" s="64"/>
      <c r="D367" s="64"/>
      <c r="E367" s="64"/>
      <c r="F367" s="64"/>
      <c r="G367" s="64"/>
    </row>
    <row r="368" spans="2:7" ht="32.25" customHeight="1" x14ac:dyDescent="0.25">
      <c r="B368" s="64"/>
      <c r="C368" s="64"/>
      <c r="D368" s="64"/>
      <c r="E368" s="64"/>
      <c r="F368" s="64"/>
      <c r="G368" s="64"/>
    </row>
    <row r="369" spans="2:7" ht="32.25" customHeight="1" x14ac:dyDescent="0.25">
      <c r="B369" s="64"/>
      <c r="C369" s="64"/>
      <c r="D369" s="64"/>
      <c r="E369" s="64"/>
      <c r="F369" s="64"/>
      <c r="G369" s="64"/>
    </row>
    <row r="370" spans="2:7" ht="32.25" customHeight="1" x14ac:dyDescent="0.25">
      <c r="B370" s="64"/>
      <c r="C370" s="64"/>
      <c r="D370" s="64"/>
      <c r="E370" s="64"/>
      <c r="F370" s="64"/>
      <c r="G370" s="64"/>
    </row>
    <row r="371" spans="2:7" ht="32.25" customHeight="1" x14ac:dyDescent="0.25">
      <c r="B371" s="64"/>
      <c r="C371" s="64"/>
      <c r="D371" s="64"/>
      <c r="E371" s="64"/>
      <c r="F371" s="64"/>
      <c r="G371" s="64"/>
    </row>
    <row r="372" spans="2:7" ht="32.25" customHeight="1" x14ac:dyDescent="0.25">
      <c r="B372" s="64"/>
      <c r="C372" s="64"/>
      <c r="D372" s="64"/>
      <c r="E372" s="64"/>
      <c r="F372" s="64"/>
      <c r="G372" s="64"/>
    </row>
    <row r="373" spans="2:7" ht="32.25" customHeight="1" x14ac:dyDescent="0.25">
      <c r="B373" s="64"/>
      <c r="C373" s="64"/>
      <c r="D373" s="64"/>
      <c r="E373" s="64"/>
      <c r="F373" s="64"/>
      <c r="G373" s="64"/>
    </row>
    <row r="374" spans="2:7" ht="32.25" customHeight="1" x14ac:dyDescent="0.25">
      <c r="B374" s="64"/>
      <c r="C374" s="64"/>
      <c r="D374" s="64"/>
      <c r="E374" s="64"/>
      <c r="F374" s="64"/>
      <c r="G374" s="64"/>
    </row>
    <row r="375" spans="2:7" ht="32.25" customHeight="1" x14ac:dyDescent="0.25">
      <c r="B375" s="64"/>
      <c r="C375" s="64"/>
      <c r="D375" s="64"/>
      <c r="E375" s="64"/>
      <c r="F375" s="64"/>
      <c r="G375" s="64"/>
    </row>
    <row r="376" spans="2:7" ht="32.25" customHeight="1" x14ac:dyDescent="0.25">
      <c r="B376" s="64"/>
      <c r="C376" s="64"/>
      <c r="D376" s="64"/>
      <c r="E376" s="64"/>
      <c r="F376" s="64"/>
      <c r="G376" s="64"/>
    </row>
    <row r="377" spans="2:7" ht="32.25" customHeight="1" x14ac:dyDescent="0.25">
      <c r="B377" s="64"/>
      <c r="C377" s="64"/>
      <c r="D377" s="64"/>
      <c r="E377" s="64"/>
      <c r="F377" s="64"/>
      <c r="G377" s="64"/>
    </row>
    <row r="378" spans="2:7" ht="32.25" customHeight="1" x14ac:dyDescent="0.25">
      <c r="B378" s="64"/>
      <c r="C378" s="64"/>
      <c r="D378" s="64"/>
      <c r="E378" s="64"/>
      <c r="F378" s="64"/>
      <c r="G378" s="64"/>
    </row>
    <row r="379" spans="2:7" ht="32.25" customHeight="1" x14ac:dyDescent="0.25">
      <c r="B379" s="64"/>
      <c r="C379" s="64"/>
      <c r="D379" s="64"/>
      <c r="E379" s="64"/>
      <c r="F379" s="64"/>
      <c r="G379" s="64"/>
    </row>
    <row r="380" spans="2:7" ht="32.25" customHeight="1" x14ac:dyDescent="0.25">
      <c r="B380" s="64"/>
      <c r="C380" s="64"/>
      <c r="D380" s="64"/>
      <c r="E380" s="64"/>
      <c r="F380" s="64"/>
      <c r="G380" s="64"/>
    </row>
    <row r="381" spans="2:7" ht="32.25" customHeight="1" x14ac:dyDescent="0.25">
      <c r="B381" s="64"/>
      <c r="C381" s="64"/>
      <c r="D381" s="64"/>
      <c r="E381" s="64"/>
      <c r="F381" s="64"/>
      <c r="G381" s="64"/>
    </row>
    <row r="382" spans="2:7" ht="32.25" customHeight="1" x14ac:dyDescent="0.25">
      <c r="B382" s="64"/>
      <c r="C382" s="64"/>
      <c r="D382" s="64"/>
      <c r="E382" s="64"/>
      <c r="F382" s="64"/>
      <c r="G382" s="64"/>
    </row>
    <row r="383" spans="2:7" ht="32.25" customHeight="1" x14ac:dyDescent="0.25">
      <c r="B383" s="64"/>
      <c r="C383" s="64"/>
      <c r="D383" s="64"/>
      <c r="E383" s="64"/>
      <c r="F383" s="64"/>
      <c r="G383" s="64"/>
    </row>
    <row r="384" spans="2:7" ht="32.25" customHeight="1" x14ac:dyDescent="0.25">
      <c r="B384" s="64"/>
      <c r="C384" s="64"/>
      <c r="D384" s="64"/>
      <c r="E384" s="64"/>
      <c r="F384" s="64"/>
      <c r="G384" s="64"/>
    </row>
    <row r="385" spans="2:7" ht="32.25" customHeight="1" x14ac:dyDescent="0.25">
      <c r="B385" s="64"/>
      <c r="C385" s="64"/>
      <c r="D385" s="64"/>
      <c r="E385" s="64"/>
      <c r="F385" s="64"/>
      <c r="G385" s="64"/>
    </row>
    <row r="386" spans="2:7" ht="32.25" customHeight="1" x14ac:dyDescent="0.25">
      <c r="B386" s="64"/>
      <c r="C386" s="64"/>
      <c r="D386" s="64"/>
      <c r="E386" s="64"/>
      <c r="F386" s="64"/>
      <c r="G386" s="64"/>
    </row>
    <row r="387" spans="2:7" ht="32.25" customHeight="1" x14ac:dyDescent="0.25">
      <c r="B387" s="64"/>
      <c r="C387" s="64"/>
      <c r="D387" s="64"/>
      <c r="E387" s="64"/>
      <c r="F387" s="64"/>
      <c r="G387" s="64"/>
    </row>
    <row r="388" spans="2:7" ht="32.25" customHeight="1" x14ac:dyDescent="0.25">
      <c r="B388" s="64"/>
      <c r="C388" s="64"/>
      <c r="D388" s="64"/>
      <c r="E388" s="64"/>
      <c r="F388" s="64"/>
      <c r="G388" s="64"/>
    </row>
    <row r="389" spans="2:7" ht="32.25" customHeight="1" x14ac:dyDescent="0.25">
      <c r="B389" s="64"/>
      <c r="C389" s="64"/>
      <c r="D389" s="64"/>
      <c r="E389" s="64"/>
      <c r="F389" s="64"/>
      <c r="G389" s="64"/>
    </row>
    <row r="390" spans="2:7" ht="32.25" customHeight="1" x14ac:dyDescent="0.25">
      <c r="B390" s="64"/>
      <c r="C390" s="64"/>
      <c r="D390" s="64"/>
      <c r="E390" s="64"/>
      <c r="F390" s="64"/>
      <c r="G390" s="64"/>
    </row>
    <row r="391" spans="2:7" ht="32.25" customHeight="1" x14ac:dyDescent="0.25">
      <c r="B391" s="64"/>
      <c r="C391" s="64"/>
      <c r="D391" s="64"/>
      <c r="E391" s="64"/>
      <c r="F391" s="64"/>
      <c r="G391" s="64"/>
    </row>
    <row r="392" spans="2:7" ht="32.25" customHeight="1" x14ac:dyDescent="0.25">
      <c r="B392" s="64"/>
      <c r="C392" s="64"/>
      <c r="D392" s="64"/>
      <c r="E392" s="64"/>
      <c r="F392" s="64"/>
      <c r="G392" s="64"/>
    </row>
    <row r="393" spans="2:7" ht="32.25" customHeight="1" x14ac:dyDescent="0.25">
      <c r="B393" s="64"/>
      <c r="C393" s="64"/>
      <c r="D393" s="64"/>
      <c r="E393" s="64"/>
      <c r="F393" s="64"/>
      <c r="G393" s="64"/>
    </row>
    <row r="394" spans="2:7" ht="32.25" customHeight="1" x14ac:dyDescent="0.25">
      <c r="B394" s="64"/>
      <c r="C394" s="64"/>
      <c r="D394" s="64"/>
      <c r="E394" s="64"/>
      <c r="F394" s="64"/>
      <c r="G394" s="64"/>
    </row>
    <row r="395" spans="2:7" ht="32.25" customHeight="1" x14ac:dyDescent="0.25">
      <c r="B395" s="64"/>
      <c r="C395" s="64"/>
      <c r="D395" s="64"/>
      <c r="E395" s="64"/>
      <c r="F395" s="64"/>
      <c r="G395" s="64"/>
    </row>
    <row r="396" spans="2:7" ht="32.25" customHeight="1" x14ac:dyDescent="0.25">
      <c r="B396" s="64"/>
      <c r="C396" s="64"/>
      <c r="D396" s="64"/>
      <c r="E396" s="64"/>
      <c r="F396" s="64"/>
      <c r="G396" s="64"/>
    </row>
    <row r="397" spans="2:7" ht="32.25" customHeight="1" x14ac:dyDescent="0.25">
      <c r="B397" s="64"/>
      <c r="C397" s="64"/>
      <c r="D397" s="64"/>
      <c r="E397" s="64"/>
      <c r="F397" s="64"/>
      <c r="G397" s="64"/>
    </row>
    <row r="398" spans="2:7" ht="32.25" customHeight="1" x14ac:dyDescent="0.25">
      <c r="B398" s="64"/>
      <c r="C398" s="64"/>
      <c r="D398" s="64"/>
      <c r="E398" s="64"/>
      <c r="F398" s="64"/>
      <c r="G398" s="64"/>
    </row>
    <row r="399" spans="2:7" ht="32.25" customHeight="1" x14ac:dyDescent="0.25">
      <c r="B399" s="64"/>
      <c r="C399" s="64"/>
      <c r="D399" s="64"/>
      <c r="E399" s="64"/>
      <c r="F399" s="64"/>
      <c r="G399" s="64"/>
    </row>
    <row r="400" spans="2:7" ht="32.25" customHeight="1" x14ac:dyDescent="0.25">
      <c r="B400" s="64"/>
      <c r="C400" s="64"/>
      <c r="D400" s="64"/>
      <c r="E400" s="64"/>
      <c r="F400" s="64"/>
      <c r="G400" s="64"/>
    </row>
    <row r="401" spans="2:7" ht="32.25" customHeight="1" x14ac:dyDescent="0.25">
      <c r="B401" s="64"/>
      <c r="C401" s="64"/>
      <c r="D401" s="64"/>
      <c r="E401" s="64"/>
      <c r="F401" s="64"/>
      <c r="G401" s="64"/>
    </row>
    <row r="402" spans="2:7" ht="32.25" customHeight="1" x14ac:dyDescent="0.25">
      <c r="B402" s="64"/>
      <c r="C402" s="64"/>
      <c r="D402" s="64"/>
      <c r="E402" s="64"/>
      <c r="F402" s="64"/>
      <c r="G402" s="64"/>
    </row>
    <row r="403" spans="2:7" ht="32.25" customHeight="1" x14ac:dyDescent="0.25">
      <c r="B403" s="64"/>
      <c r="C403" s="64"/>
      <c r="D403" s="64"/>
      <c r="E403" s="64"/>
      <c r="F403" s="64"/>
      <c r="G403" s="64"/>
    </row>
    <row r="404" spans="2:7" ht="32.25" customHeight="1" x14ac:dyDescent="0.25">
      <c r="B404" s="64"/>
      <c r="C404" s="64"/>
      <c r="D404" s="64"/>
      <c r="E404" s="64"/>
      <c r="F404" s="64"/>
      <c r="G404" s="64"/>
    </row>
    <row r="405" spans="2:7" ht="32.25" customHeight="1" x14ac:dyDescent="0.25">
      <c r="B405" s="64"/>
      <c r="C405" s="64"/>
      <c r="D405" s="64"/>
      <c r="E405" s="64"/>
      <c r="F405" s="64"/>
      <c r="G405" s="64"/>
    </row>
    <row r="406" spans="2:7" ht="32.25" customHeight="1" x14ac:dyDescent="0.25">
      <c r="B406" s="64"/>
      <c r="C406" s="64"/>
      <c r="D406" s="64"/>
      <c r="E406" s="64"/>
      <c r="F406" s="64"/>
      <c r="G406" s="64"/>
    </row>
    <row r="407" spans="2:7" ht="32.25" customHeight="1" x14ac:dyDescent="0.25">
      <c r="B407" s="64"/>
      <c r="C407" s="64"/>
      <c r="D407" s="64"/>
      <c r="E407" s="64"/>
      <c r="F407" s="64"/>
      <c r="G407" s="64"/>
    </row>
    <row r="408" spans="2:7" ht="32.25" customHeight="1" x14ac:dyDescent="0.25">
      <c r="B408" s="64"/>
      <c r="C408" s="64"/>
      <c r="D408" s="64"/>
      <c r="E408" s="64"/>
      <c r="F408" s="64"/>
      <c r="G408" s="64"/>
    </row>
    <row r="409" spans="2:7" ht="32.25" customHeight="1" x14ac:dyDescent="0.25">
      <c r="B409" s="64"/>
      <c r="C409" s="64"/>
      <c r="D409" s="64"/>
      <c r="E409" s="64"/>
      <c r="F409" s="64"/>
      <c r="G409" s="64"/>
    </row>
    <row r="410" spans="2:7" ht="32.25" customHeight="1" x14ac:dyDescent="0.25">
      <c r="B410" s="64"/>
      <c r="C410" s="64"/>
      <c r="D410" s="64"/>
      <c r="E410" s="64"/>
      <c r="F410" s="64"/>
      <c r="G410" s="64"/>
    </row>
    <row r="411" spans="2:7" ht="32.25" customHeight="1" x14ac:dyDescent="0.25">
      <c r="B411" s="64"/>
      <c r="C411" s="64"/>
      <c r="D411" s="64"/>
      <c r="E411" s="64"/>
      <c r="F411" s="64"/>
      <c r="G411" s="64"/>
    </row>
    <row r="412" spans="2:7" ht="32.25" customHeight="1" x14ac:dyDescent="0.25">
      <c r="B412" s="64"/>
      <c r="C412" s="64"/>
      <c r="D412" s="64"/>
      <c r="E412" s="64"/>
      <c r="F412" s="64"/>
      <c r="G412" s="64"/>
    </row>
    <row r="413" spans="2:7" ht="32.25" customHeight="1" x14ac:dyDescent="0.25">
      <c r="B413" s="64"/>
      <c r="C413" s="64"/>
      <c r="D413" s="64"/>
      <c r="E413" s="64"/>
      <c r="F413" s="64"/>
      <c r="G413" s="64"/>
    </row>
    <row r="414" spans="2:7" ht="32.25" customHeight="1" x14ac:dyDescent="0.25">
      <c r="B414" s="64"/>
      <c r="C414" s="64"/>
      <c r="D414" s="64"/>
      <c r="E414" s="64"/>
      <c r="F414" s="64"/>
      <c r="G414" s="64"/>
    </row>
    <row r="415" spans="2:7" ht="32.25" customHeight="1" x14ac:dyDescent="0.25">
      <c r="B415" s="64"/>
      <c r="C415" s="64"/>
      <c r="D415" s="64"/>
      <c r="E415" s="64"/>
      <c r="F415" s="64"/>
      <c r="G415" s="64"/>
    </row>
    <row r="416" spans="2:7" ht="32.25" customHeight="1" x14ac:dyDescent="0.25">
      <c r="B416" s="64"/>
      <c r="C416" s="64"/>
      <c r="D416" s="64"/>
      <c r="E416" s="64"/>
      <c r="F416" s="64"/>
      <c r="G416" s="64"/>
    </row>
    <row r="417" spans="2:7" ht="32.25" customHeight="1" x14ac:dyDescent="0.25">
      <c r="B417" s="64"/>
      <c r="C417" s="64"/>
      <c r="D417" s="64"/>
      <c r="E417" s="64"/>
      <c r="F417" s="64"/>
      <c r="G417" s="64"/>
    </row>
    <row r="418" spans="2:7" ht="32.25" customHeight="1" x14ac:dyDescent="0.25">
      <c r="B418" s="64"/>
      <c r="C418" s="64"/>
      <c r="D418" s="64"/>
      <c r="E418" s="64"/>
      <c r="F418" s="64"/>
      <c r="G418" s="64"/>
    </row>
    <row r="419" spans="2:7" ht="32.25" customHeight="1" x14ac:dyDescent="0.25">
      <c r="B419" s="64"/>
      <c r="C419" s="64"/>
      <c r="D419" s="64"/>
      <c r="E419" s="64"/>
      <c r="F419" s="64"/>
      <c r="G419" s="64"/>
    </row>
    <row r="420" spans="2:7" ht="32.25" customHeight="1" x14ac:dyDescent="0.25">
      <c r="B420" s="64"/>
      <c r="C420" s="64"/>
      <c r="D420" s="64"/>
      <c r="E420" s="64"/>
      <c r="F420" s="64"/>
      <c r="G420" s="64"/>
    </row>
    <row r="421" spans="2:7" ht="32.25" customHeight="1" x14ac:dyDescent="0.25">
      <c r="B421" s="64"/>
      <c r="C421" s="64"/>
      <c r="D421" s="64"/>
      <c r="E421" s="64"/>
      <c r="F421" s="64"/>
      <c r="G421" s="64"/>
    </row>
    <row r="422" spans="2:7" ht="32.25" customHeight="1" x14ac:dyDescent="0.25">
      <c r="B422" s="64"/>
      <c r="C422" s="64"/>
      <c r="D422" s="64"/>
      <c r="E422" s="64"/>
      <c r="F422" s="64"/>
      <c r="G422" s="64"/>
    </row>
    <row r="423" spans="2:7" ht="32.25" customHeight="1" x14ac:dyDescent="0.25">
      <c r="B423" s="64"/>
      <c r="C423" s="64"/>
      <c r="D423" s="64"/>
      <c r="E423" s="64"/>
      <c r="F423" s="64"/>
      <c r="G423" s="64"/>
    </row>
    <row r="424" spans="2:7" ht="32.25" customHeight="1" x14ac:dyDescent="0.25">
      <c r="B424" s="64"/>
      <c r="C424" s="64"/>
      <c r="D424" s="64"/>
      <c r="E424" s="64"/>
      <c r="F424" s="64"/>
      <c r="G424" s="64"/>
    </row>
    <row r="425" spans="2:7" ht="32.25" customHeight="1" x14ac:dyDescent="0.25">
      <c r="B425" s="64"/>
      <c r="C425" s="64"/>
      <c r="D425" s="64"/>
      <c r="E425" s="64"/>
      <c r="F425" s="64"/>
      <c r="G425" s="64"/>
    </row>
    <row r="426" spans="2:7" ht="32.25" customHeight="1" x14ac:dyDescent="0.25">
      <c r="B426" s="64"/>
      <c r="C426" s="64"/>
      <c r="D426" s="64"/>
      <c r="E426" s="64"/>
      <c r="F426" s="64"/>
      <c r="G426" s="64"/>
    </row>
    <row r="427" spans="2:7" ht="32.25" customHeight="1" x14ac:dyDescent="0.25">
      <c r="B427" s="64"/>
      <c r="C427" s="64"/>
      <c r="D427" s="64"/>
      <c r="E427" s="64"/>
      <c r="F427" s="64"/>
      <c r="G427" s="64"/>
    </row>
    <row r="428" spans="2:7" ht="32.25" customHeight="1" x14ac:dyDescent="0.25">
      <c r="B428" s="64"/>
      <c r="C428" s="64"/>
      <c r="D428" s="64"/>
      <c r="E428" s="64"/>
      <c r="F428" s="64"/>
      <c r="G428" s="64"/>
    </row>
    <row r="429" spans="2:7" ht="32.25" customHeight="1" x14ac:dyDescent="0.25">
      <c r="B429" s="64"/>
      <c r="C429" s="64"/>
      <c r="D429" s="64"/>
      <c r="E429" s="64"/>
      <c r="F429" s="64"/>
      <c r="G429" s="64"/>
    </row>
    <row r="430" spans="2:7" ht="32.25" customHeight="1" x14ac:dyDescent="0.25">
      <c r="B430" s="64"/>
      <c r="C430" s="64"/>
      <c r="D430" s="64"/>
      <c r="E430" s="64"/>
      <c r="F430" s="64"/>
      <c r="G430" s="64"/>
    </row>
    <row r="431" spans="2:7" ht="32.25" customHeight="1" x14ac:dyDescent="0.25">
      <c r="B431" s="64"/>
      <c r="C431" s="64"/>
      <c r="D431" s="64"/>
      <c r="E431" s="64"/>
      <c r="F431" s="64"/>
      <c r="G431" s="64"/>
    </row>
    <row r="432" spans="2:7" ht="32.25" customHeight="1" x14ac:dyDescent="0.25">
      <c r="B432" s="64"/>
      <c r="C432" s="64"/>
      <c r="D432" s="64"/>
      <c r="E432" s="64"/>
      <c r="F432" s="64"/>
      <c r="G432" s="64"/>
    </row>
    <row r="433" spans="2:7" ht="32.25" customHeight="1" x14ac:dyDescent="0.25">
      <c r="B433" s="64"/>
      <c r="C433" s="64"/>
      <c r="D433" s="64"/>
      <c r="E433" s="64"/>
      <c r="F433" s="64"/>
      <c r="G433" s="64"/>
    </row>
    <row r="434" spans="2:7" ht="32.25" customHeight="1" x14ac:dyDescent="0.25">
      <c r="B434" s="64"/>
      <c r="C434" s="64"/>
      <c r="D434" s="64"/>
      <c r="E434" s="64"/>
      <c r="F434" s="64"/>
      <c r="G434" s="64"/>
    </row>
    <row r="435" spans="2:7" ht="32.25" customHeight="1" x14ac:dyDescent="0.25">
      <c r="B435" s="64"/>
      <c r="C435" s="64"/>
      <c r="D435" s="64"/>
      <c r="E435" s="64"/>
      <c r="F435" s="64"/>
      <c r="G435" s="64"/>
    </row>
    <row r="436" spans="2:7" ht="32.25" customHeight="1" x14ac:dyDescent="0.25">
      <c r="B436" s="64"/>
      <c r="C436" s="64"/>
      <c r="D436" s="64"/>
      <c r="E436" s="64"/>
      <c r="F436" s="64"/>
      <c r="G436" s="64"/>
    </row>
    <row r="437" spans="2:7" ht="32.25" customHeight="1" x14ac:dyDescent="0.25">
      <c r="B437" s="64"/>
      <c r="C437" s="64"/>
      <c r="D437" s="64"/>
      <c r="E437" s="64"/>
      <c r="F437" s="64"/>
      <c r="G437" s="64"/>
    </row>
    <row r="438" spans="2:7" ht="32.25" customHeight="1" x14ac:dyDescent="0.25">
      <c r="B438" s="64"/>
      <c r="C438" s="64"/>
      <c r="D438" s="64"/>
      <c r="E438" s="64"/>
      <c r="F438" s="64"/>
      <c r="G438" s="64"/>
    </row>
    <row r="439" spans="2:7" ht="32.25" customHeight="1" x14ac:dyDescent="0.25">
      <c r="B439" s="64"/>
      <c r="C439" s="64"/>
      <c r="D439" s="64"/>
      <c r="E439" s="64"/>
      <c r="F439" s="64"/>
      <c r="G439" s="64"/>
    </row>
    <row r="440" spans="2:7" ht="32.25" customHeight="1" x14ac:dyDescent="0.25">
      <c r="B440" s="64"/>
      <c r="C440" s="64"/>
      <c r="D440" s="64"/>
      <c r="E440" s="64"/>
      <c r="F440" s="64"/>
      <c r="G440" s="64"/>
    </row>
    <row r="441" spans="2:7" ht="32.25" customHeight="1" x14ac:dyDescent="0.25">
      <c r="B441" s="64"/>
      <c r="C441" s="64"/>
      <c r="D441" s="64"/>
      <c r="E441" s="64"/>
      <c r="F441" s="64"/>
      <c r="G441" s="64"/>
    </row>
    <row r="442" spans="2:7" ht="32.25" customHeight="1" x14ac:dyDescent="0.25">
      <c r="B442" s="64"/>
      <c r="C442" s="64"/>
      <c r="D442" s="64"/>
      <c r="E442" s="64"/>
      <c r="F442" s="64"/>
      <c r="G442" s="64"/>
    </row>
    <row r="443" spans="2:7" ht="32.25" customHeight="1" x14ac:dyDescent="0.25">
      <c r="B443" s="64"/>
      <c r="C443" s="64"/>
      <c r="D443" s="64"/>
      <c r="E443" s="64"/>
      <c r="F443" s="64"/>
      <c r="G443" s="64"/>
    </row>
    <row r="444" spans="2:7" ht="32.25" customHeight="1" x14ac:dyDescent="0.25">
      <c r="B444" s="64"/>
      <c r="C444" s="64"/>
      <c r="D444" s="64"/>
      <c r="E444" s="64"/>
      <c r="F444" s="64"/>
      <c r="G444" s="64"/>
    </row>
    <row r="445" spans="2:7" ht="32.25" customHeight="1" x14ac:dyDescent="0.25">
      <c r="B445" s="64"/>
      <c r="C445" s="64"/>
      <c r="D445" s="64"/>
      <c r="E445" s="64"/>
      <c r="F445" s="64"/>
      <c r="G445" s="64"/>
    </row>
    <row r="446" spans="2:7" ht="32.25" customHeight="1" x14ac:dyDescent="0.25">
      <c r="B446" s="64"/>
      <c r="C446" s="64"/>
      <c r="D446" s="64"/>
      <c r="E446" s="64"/>
      <c r="F446" s="64"/>
      <c r="G446" s="64"/>
    </row>
    <row r="447" spans="2:7" ht="32.25" customHeight="1" x14ac:dyDescent="0.25">
      <c r="B447" s="64"/>
      <c r="C447" s="64"/>
      <c r="D447" s="64"/>
      <c r="E447" s="64"/>
      <c r="F447" s="64"/>
      <c r="G447" s="64"/>
    </row>
    <row r="448" spans="2:7" ht="32.25" customHeight="1" x14ac:dyDescent="0.25">
      <c r="B448" s="64"/>
      <c r="C448" s="64"/>
      <c r="D448" s="64"/>
      <c r="E448" s="64"/>
      <c r="F448" s="64"/>
      <c r="G448" s="64"/>
    </row>
    <row r="449" spans="2:7" ht="32.25" customHeight="1" x14ac:dyDescent="0.25">
      <c r="B449" s="64"/>
      <c r="C449" s="64"/>
      <c r="D449" s="64"/>
      <c r="E449" s="64"/>
      <c r="F449" s="64"/>
      <c r="G449" s="64"/>
    </row>
    <row r="450" spans="2:7" ht="32.25" customHeight="1" x14ac:dyDescent="0.25">
      <c r="B450" s="64"/>
      <c r="C450" s="64"/>
      <c r="D450" s="64"/>
      <c r="E450" s="64"/>
      <c r="F450" s="64"/>
      <c r="G450" s="64"/>
    </row>
    <row r="451" spans="2:7" ht="32.25" customHeight="1" x14ac:dyDescent="0.25">
      <c r="B451" s="64"/>
      <c r="C451" s="64"/>
      <c r="D451" s="64"/>
      <c r="E451" s="64"/>
      <c r="F451" s="64"/>
      <c r="G451" s="64"/>
    </row>
    <row r="452" spans="2:7" ht="32.25" customHeight="1" x14ac:dyDescent="0.25">
      <c r="B452" s="64"/>
      <c r="C452" s="64"/>
      <c r="D452" s="64"/>
      <c r="E452" s="64"/>
      <c r="F452" s="64"/>
      <c r="G452" s="64"/>
    </row>
    <row r="453" spans="2:7" ht="32.25" customHeight="1" x14ac:dyDescent="0.25">
      <c r="B453" s="64"/>
      <c r="C453" s="64"/>
      <c r="D453" s="64"/>
      <c r="E453" s="64"/>
      <c r="F453" s="64"/>
      <c r="G453" s="64"/>
    </row>
    <row r="454" spans="2:7" ht="32.25" customHeight="1" x14ac:dyDescent="0.25">
      <c r="B454" s="64"/>
      <c r="C454" s="64"/>
      <c r="D454" s="64"/>
      <c r="E454" s="64"/>
      <c r="F454" s="64"/>
      <c r="G454" s="64"/>
    </row>
    <row r="455" spans="2:7" ht="32.25" customHeight="1" x14ac:dyDescent="0.25">
      <c r="B455" s="64"/>
      <c r="C455" s="64"/>
      <c r="D455" s="64"/>
      <c r="E455" s="64"/>
      <c r="F455" s="64"/>
      <c r="G455" s="64"/>
    </row>
    <row r="456" spans="2:7" ht="32.25" customHeight="1" x14ac:dyDescent="0.25">
      <c r="B456" s="64"/>
      <c r="C456" s="64"/>
      <c r="D456" s="64"/>
      <c r="E456" s="64"/>
      <c r="F456" s="64"/>
      <c r="G456" s="64"/>
    </row>
    <row r="457" spans="2:7" ht="32.25" customHeight="1" x14ac:dyDescent="0.25">
      <c r="B457" s="64"/>
      <c r="C457" s="64"/>
      <c r="D457" s="64"/>
      <c r="E457" s="64"/>
      <c r="F457" s="64"/>
      <c r="G457" s="64"/>
    </row>
    <row r="458" spans="2:7" ht="32.25" customHeight="1" x14ac:dyDescent="0.25">
      <c r="B458" s="64"/>
      <c r="C458" s="64"/>
      <c r="D458" s="64"/>
      <c r="E458" s="64"/>
      <c r="F458" s="64"/>
      <c r="G458" s="64"/>
    </row>
    <row r="459" spans="2:7" ht="32.25" customHeight="1" x14ac:dyDescent="0.25">
      <c r="B459" s="64"/>
      <c r="C459" s="64"/>
      <c r="D459" s="64"/>
      <c r="E459" s="64"/>
      <c r="F459" s="64"/>
      <c r="G459" s="64"/>
    </row>
    <row r="460" spans="2:7" ht="32.25" customHeight="1" x14ac:dyDescent="0.25">
      <c r="B460" s="64"/>
      <c r="C460" s="64"/>
      <c r="D460" s="64"/>
      <c r="E460" s="64"/>
      <c r="F460" s="64"/>
      <c r="G460" s="64"/>
    </row>
    <row r="461" spans="2:7" ht="32.25" customHeight="1" x14ac:dyDescent="0.25">
      <c r="B461" s="64"/>
      <c r="C461" s="64"/>
      <c r="D461" s="64"/>
      <c r="E461" s="64"/>
      <c r="F461" s="64"/>
      <c r="G461" s="64"/>
    </row>
    <row r="462" spans="2:7" ht="32.25" customHeight="1" x14ac:dyDescent="0.25">
      <c r="B462" s="64"/>
      <c r="C462" s="64"/>
      <c r="D462" s="64"/>
      <c r="E462" s="64"/>
      <c r="F462" s="64"/>
      <c r="G462" s="64"/>
    </row>
    <row r="463" spans="2:7" ht="32.25" customHeight="1" x14ac:dyDescent="0.25">
      <c r="B463" s="64"/>
      <c r="C463" s="64"/>
      <c r="D463" s="64"/>
      <c r="E463" s="64"/>
      <c r="F463" s="64"/>
      <c r="G463" s="64"/>
    </row>
    <row r="464" spans="2:7" ht="32.25" customHeight="1" x14ac:dyDescent="0.25">
      <c r="B464" s="64"/>
      <c r="C464" s="64"/>
      <c r="D464" s="64"/>
      <c r="E464" s="64"/>
      <c r="F464" s="64"/>
      <c r="G464" s="64"/>
    </row>
    <row r="465" spans="2:7" ht="32.25" customHeight="1" x14ac:dyDescent="0.25">
      <c r="B465" s="64"/>
      <c r="C465" s="64"/>
      <c r="D465" s="64"/>
      <c r="E465" s="64"/>
      <c r="F465" s="64"/>
      <c r="G465" s="64"/>
    </row>
    <row r="466" spans="2:7" ht="32.25" customHeight="1" x14ac:dyDescent="0.25">
      <c r="B466" s="64"/>
      <c r="C466" s="64"/>
      <c r="D466" s="64"/>
      <c r="E466" s="64"/>
      <c r="F466" s="64"/>
      <c r="G466" s="64"/>
    </row>
    <row r="467" spans="2:7" ht="32.25" customHeight="1" x14ac:dyDescent="0.25">
      <c r="B467" s="64"/>
      <c r="C467" s="64"/>
      <c r="D467" s="64"/>
      <c r="E467" s="64"/>
      <c r="F467" s="64"/>
      <c r="G467" s="64"/>
    </row>
    <row r="468" spans="2:7" ht="32.25" customHeight="1" x14ac:dyDescent="0.25">
      <c r="B468" s="64"/>
      <c r="C468" s="64"/>
      <c r="D468" s="64"/>
      <c r="E468" s="64"/>
      <c r="F468" s="64"/>
      <c r="G468" s="64"/>
    </row>
    <row r="469" spans="2:7" ht="32.25" customHeight="1" x14ac:dyDescent="0.25">
      <c r="B469" s="64"/>
      <c r="C469" s="64"/>
      <c r="D469" s="64"/>
      <c r="E469" s="64"/>
      <c r="F469" s="64"/>
      <c r="G469" s="64"/>
    </row>
    <row r="470" spans="2:7" ht="32.25" customHeight="1" x14ac:dyDescent="0.25">
      <c r="B470" s="64"/>
      <c r="C470" s="64"/>
      <c r="D470" s="64"/>
      <c r="E470" s="64"/>
      <c r="F470" s="64"/>
      <c r="G470" s="64"/>
    </row>
    <row r="471" spans="2:7" ht="32.25" customHeight="1" x14ac:dyDescent="0.25">
      <c r="B471" s="64"/>
      <c r="C471" s="64"/>
      <c r="D471" s="64"/>
      <c r="E471" s="64"/>
      <c r="F471" s="64"/>
      <c r="G471" s="64"/>
    </row>
    <row r="472" spans="2:7" ht="32.25" customHeight="1" x14ac:dyDescent="0.25">
      <c r="B472" s="64"/>
      <c r="C472" s="64"/>
      <c r="D472" s="64"/>
      <c r="E472" s="64"/>
      <c r="F472" s="64"/>
      <c r="G472" s="64"/>
    </row>
    <row r="473" spans="2:7" ht="32.25" customHeight="1" x14ac:dyDescent="0.25">
      <c r="B473" s="64"/>
      <c r="C473" s="64"/>
      <c r="D473" s="64"/>
      <c r="E473" s="64"/>
      <c r="F473" s="64"/>
      <c r="G473" s="64"/>
    </row>
    <row r="474" spans="2:7" ht="32.25" customHeight="1" x14ac:dyDescent="0.25">
      <c r="B474" s="64"/>
      <c r="C474" s="64"/>
      <c r="D474" s="64"/>
      <c r="E474" s="64"/>
      <c r="F474" s="64"/>
      <c r="G474" s="64"/>
    </row>
    <row r="475" spans="2:7" ht="32.25" customHeight="1" x14ac:dyDescent="0.25">
      <c r="B475" s="64"/>
      <c r="C475" s="64"/>
      <c r="D475" s="64"/>
      <c r="E475" s="64"/>
      <c r="F475" s="64"/>
      <c r="G475" s="64"/>
    </row>
    <row r="476" spans="2:7" ht="32.25" customHeight="1" x14ac:dyDescent="0.25">
      <c r="B476" s="64"/>
      <c r="C476" s="64"/>
      <c r="D476" s="64"/>
      <c r="E476" s="64"/>
      <c r="F476" s="64"/>
      <c r="G476" s="64"/>
    </row>
    <row r="477" spans="2:7" ht="32.25" customHeight="1" x14ac:dyDescent="0.25">
      <c r="B477" s="64"/>
      <c r="C477" s="64"/>
      <c r="D477" s="64"/>
      <c r="E477" s="64"/>
      <c r="F477" s="64"/>
      <c r="G477" s="64"/>
    </row>
    <row r="478" spans="2:7" ht="32.25" customHeight="1" x14ac:dyDescent="0.25">
      <c r="B478" s="64"/>
      <c r="C478" s="64"/>
      <c r="D478" s="64"/>
      <c r="E478" s="64"/>
      <c r="F478" s="64"/>
      <c r="G478" s="64"/>
    </row>
    <row r="479" spans="2:7" ht="32.25" customHeight="1" x14ac:dyDescent="0.25">
      <c r="B479" s="64"/>
      <c r="C479" s="64"/>
      <c r="D479" s="64"/>
      <c r="E479" s="64"/>
      <c r="F479" s="64"/>
      <c r="G479" s="64"/>
    </row>
    <row r="480" spans="2:7" ht="32.25" customHeight="1" x14ac:dyDescent="0.25">
      <c r="B480" s="64"/>
      <c r="C480" s="64"/>
      <c r="D480" s="64"/>
      <c r="E480" s="64"/>
      <c r="F480" s="64"/>
      <c r="G480" s="64"/>
    </row>
    <row r="481" spans="2:7" ht="32.25" customHeight="1" x14ac:dyDescent="0.25">
      <c r="B481" s="64"/>
      <c r="C481" s="64"/>
      <c r="D481" s="64"/>
      <c r="E481" s="64"/>
      <c r="F481" s="64"/>
      <c r="G481" s="64"/>
    </row>
    <row r="482" spans="2:7" ht="32.25" customHeight="1" x14ac:dyDescent="0.25">
      <c r="B482" s="64"/>
      <c r="C482" s="64"/>
      <c r="D482" s="64"/>
      <c r="E482" s="64"/>
      <c r="F482" s="64"/>
      <c r="G482" s="64"/>
    </row>
    <row r="483" spans="2:7" ht="32.25" customHeight="1" x14ac:dyDescent="0.25">
      <c r="B483" s="64"/>
      <c r="C483" s="64"/>
      <c r="D483" s="64"/>
      <c r="E483" s="64"/>
      <c r="F483" s="64"/>
      <c r="G483" s="64"/>
    </row>
    <row r="484" spans="2:7" ht="32.25" customHeight="1" x14ac:dyDescent="0.25">
      <c r="B484" s="64"/>
      <c r="C484" s="64"/>
      <c r="D484" s="64"/>
      <c r="E484" s="64"/>
      <c r="F484" s="64"/>
      <c r="G484" s="64"/>
    </row>
    <row r="485" spans="2:7" ht="32.25" customHeight="1" x14ac:dyDescent="0.25">
      <c r="B485" s="64"/>
      <c r="C485" s="64"/>
      <c r="D485" s="64"/>
      <c r="E485" s="64"/>
      <c r="F485" s="64"/>
      <c r="G485" s="64"/>
    </row>
    <row r="486" spans="2:7" ht="32.25" customHeight="1" x14ac:dyDescent="0.25">
      <c r="B486" s="64"/>
      <c r="C486" s="64"/>
      <c r="D486" s="64"/>
      <c r="E486" s="64"/>
      <c r="F486" s="64"/>
      <c r="G486" s="64"/>
    </row>
    <row r="487" spans="2:7" ht="32.25" customHeight="1" x14ac:dyDescent="0.25">
      <c r="B487" s="64"/>
      <c r="C487" s="64"/>
      <c r="D487" s="64"/>
      <c r="E487" s="64"/>
      <c r="F487" s="64"/>
      <c r="G487" s="64"/>
    </row>
    <row r="488" spans="2:7" ht="32.25" customHeight="1" x14ac:dyDescent="0.25">
      <c r="B488" s="64"/>
      <c r="C488" s="64"/>
      <c r="D488" s="64"/>
      <c r="E488" s="64"/>
      <c r="F488" s="64"/>
      <c r="G488" s="64"/>
    </row>
    <row r="489" spans="2:7" ht="32.25" customHeight="1" x14ac:dyDescent="0.25">
      <c r="B489" s="64"/>
      <c r="C489" s="64"/>
      <c r="D489" s="64"/>
      <c r="E489" s="64"/>
      <c r="F489" s="64"/>
      <c r="G489" s="64"/>
    </row>
    <row r="490" spans="2:7" ht="32.25" customHeight="1" x14ac:dyDescent="0.25">
      <c r="B490" s="64"/>
      <c r="C490" s="64"/>
      <c r="D490" s="64"/>
      <c r="E490" s="64"/>
      <c r="F490" s="64"/>
      <c r="G490" s="64"/>
    </row>
    <row r="491" spans="2:7" ht="32.25" customHeight="1" x14ac:dyDescent="0.25">
      <c r="B491" s="64"/>
      <c r="C491" s="64"/>
      <c r="D491" s="64"/>
      <c r="E491" s="64"/>
      <c r="F491" s="64"/>
      <c r="G491" s="64"/>
    </row>
    <row r="492" spans="2:7" ht="32.25" customHeight="1" x14ac:dyDescent="0.25">
      <c r="B492" s="64"/>
      <c r="C492" s="64"/>
      <c r="D492" s="64"/>
      <c r="E492" s="64"/>
      <c r="F492" s="64"/>
      <c r="G492" s="64"/>
    </row>
    <row r="493" spans="2:7" ht="32.25" customHeight="1" x14ac:dyDescent="0.25">
      <c r="B493" s="64"/>
      <c r="C493" s="64"/>
      <c r="D493" s="64"/>
      <c r="E493" s="64"/>
      <c r="F493" s="64"/>
      <c r="G493" s="64"/>
    </row>
    <row r="494" spans="2:7" ht="32.25" customHeight="1" x14ac:dyDescent="0.25">
      <c r="B494" s="64"/>
      <c r="C494" s="64"/>
      <c r="D494" s="64"/>
      <c r="E494" s="64"/>
      <c r="F494" s="64"/>
      <c r="G494" s="64"/>
    </row>
    <row r="495" spans="2:7" ht="32.25" customHeight="1" x14ac:dyDescent="0.25">
      <c r="B495" s="64"/>
      <c r="C495" s="64"/>
      <c r="D495" s="64"/>
      <c r="E495" s="64"/>
      <c r="F495" s="64"/>
      <c r="G495" s="64"/>
    </row>
    <row r="496" spans="2:7" ht="32.25" customHeight="1" x14ac:dyDescent="0.25">
      <c r="B496" s="64"/>
      <c r="C496" s="64"/>
      <c r="D496" s="64"/>
      <c r="E496" s="64"/>
      <c r="F496" s="64"/>
      <c r="G496" s="64"/>
    </row>
    <row r="497" spans="2:7" ht="32.25" customHeight="1" x14ac:dyDescent="0.25">
      <c r="B497" s="64"/>
      <c r="C497" s="64"/>
      <c r="D497" s="64"/>
      <c r="E497" s="64"/>
      <c r="F497" s="64"/>
      <c r="G497" s="64"/>
    </row>
    <row r="498" spans="2:7" ht="32.25" customHeight="1" x14ac:dyDescent="0.25">
      <c r="B498" s="64"/>
      <c r="C498" s="64"/>
      <c r="D498" s="64"/>
      <c r="E498" s="64"/>
      <c r="F498" s="64"/>
      <c r="G498" s="64"/>
    </row>
    <row r="499" spans="2:7" ht="32.25" customHeight="1" x14ac:dyDescent="0.25">
      <c r="B499" s="64"/>
      <c r="C499" s="64"/>
      <c r="D499" s="64"/>
      <c r="E499" s="64"/>
      <c r="F499" s="64"/>
      <c r="G499" s="64"/>
    </row>
    <row r="500" spans="2:7" ht="32.25" customHeight="1" x14ac:dyDescent="0.25">
      <c r="B500" s="64"/>
      <c r="C500" s="64"/>
      <c r="D500" s="64"/>
      <c r="E500" s="64"/>
      <c r="F500" s="64"/>
      <c r="G500" s="64"/>
    </row>
    <row r="501" spans="2:7" ht="32.25" customHeight="1" x14ac:dyDescent="0.25">
      <c r="B501" s="64"/>
      <c r="C501" s="64"/>
      <c r="D501" s="64"/>
      <c r="E501" s="64"/>
      <c r="F501" s="64"/>
      <c r="G501" s="64"/>
    </row>
    <row r="502" spans="2:7" ht="32.25" customHeight="1" x14ac:dyDescent="0.25">
      <c r="B502" s="64"/>
      <c r="C502" s="64"/>
      <c r="D502" s="64"/>
      <c r="E502" s="64"/>
      <c r="F502" s="64"/>
      <c r="G502" s="64"/>
    </row>
    <row r="503" spans="2:7" ht="32.25" customHeight="1" x14ac:dyDescent="0.25">
      <c r="B503" s="64"/>
      <c r="C503" s="64"/>
      <c r="D503" s="64"/>
      <c r="E503" s="64"/>
      <c r="F503" s="64"/>
      <c r="G503" s="64"/>
    </row>
    <row r="504" spans="2:7" ht="32.25" customHeight="1" x14ac:dyDescent="0.25">
      <c r="B504" s="64"/>
      <c r="C504" s="64"/>
      <c r="D504" s="64"/>
      <c r="E504" s="64"/>
      <c r="F504" s="64"/>
      <c r="G504" s="64"/>
    </row>
    <row r="505" spans="2:7" ht="32.25" customHeight="1" x14ac:dyDescent="0.25">
      <c r="B505" s="64"/>
      <c r="C505" s="64"/>
      <c r="D505" s="64"/>
      <c r="E505" s="64"/>
      <c r="F505" s="64"/>
      <c r="G505" s="64"/>
    </row>
    <row r="506" spans="2:7" ht="32.25" customHeight="1" x14ac:dyDescent="0.25">
      <c r="B506" s="64"/>
      <c r="C506" s="64"/>
      <c r="D506" s="64"/>
      <c r="E506" s="64"/>
      <c r="F506" s="64"/>
      <c r="G506" s="64"/>
    </row>
    <row r="507" spans="2:7" ht="32.25" customHeight="1" x14ac:dyDescent="0.25">
      <c r="B507" s="64"/>
      <c r="C507" s="64"/>
      <c r="D507" s="64"/>
      <c r="E507" s="64"/>
      <c r="F507" s="64"/>
      <c r="G507" s="64"/>
    </row>
    <row r="508" spans="2:7" ht="32.25" customHeight="1" x14ac:dyDescent="0.25">
      <c r="B508" s="64"/>
      <c r="C508" s="64"/>
      <c r="D508" s="64"/>
      <c r="E508" s="64"/>
      <c r="F508" s="64"/>
      <c r="G508" s="64"/>
    </row>
    <row r="509" spans="2:7" ht="32.25" customHeight="1" x14ac:dyDescent="0.25">
      <c r="B509" s="64"/>
      <c r="C509" s="64"/>
      <c r="D509" s="64"/>
      <c r="E509" s="64"/>
      <c r="F509" s="64"/>
      <c r="G509" s="64"/>
    </row>
    <row r="510" spans="2:7" ht="32.25" customHeight="1" x14ac:dyDescent="0.25">
      <c r="B510" s="64"/>
      <c r="C510" s="64"/>
      <c r="D510" s="64"/>
      <c r="E510" s="64"/>
      <c r="F510" s="64"/>
      <c r="G510" s="64"/>
    </row>
    <row r="511" spans="2:7" ht="32.25" customHeight="1" x14ac:dyDescent="0.25">
      <c r="B511" s="64"/>
      <c r="C511" s="64"/>
      <c r="D511" s="64"/>
      <c r="E511" s="64"/>
      <c r="F511" s="64"/>
      <c r="G511" s="64"/>
    </row>
    <row r="512" spans="2:7" ht="32.25" customHeight="1" x14ac:dyDescent="0.25">
      <c r="B512" s="64"/>
      <c r="C512" s="64"/>
      <c r="D512" s="64"/>
      <c r="E512" s="64"/>
      <c r="F512" s="64"/>
      <c r="G512" s="64"/>
    </row>
    <row r="513" spans="2:7" ht="32.25" customHeight="1" x14ac:dyDescent="0.25">
      <c r="B513" s="64"/>
      <c r="C513" s="64"/>
      <c r="D513" s="64"/>
      <c r="E513" s="64"/>
      <c r="F513" s="64"/>
      <c r="G513" s="64"/>
    </row>
    <row r="514" spans="2:7" ht="32.25" customHeight="1" x14ac:dyDescent="0.25">
      <c r="B514" s="64"/>
      <c r="C514" s="64"/>
      <c r="D514" s="64"/>
      <c r="E514" s="64"/>
      <c r="F514" s="64"/>
      <c r="G514" s="64"/>
    </row>
    <row r="515" spans="2:7" ht="32.25" customHeight="1" x14ac:dyDescent="0.25">
      <c r="B515" s="64"/>
      <c r="C515" s="64"/>
      <c r="D515" s="64"/>
      <c r="E515" s="64"/>
      <c r="F515" s="64"/>
      <c r="G515" s="64"/>
    </row>
    <row r="516" spans="2:7" ht="32.25" customHeight="1" x14ac:dyDescent="0.25">
      <c r="B516" s="64"/>
      <c r="C516" s="64"/>
      <c r="D516" s="64"/>
      <c r="E516" s="64"/>
      <c r="F516" s="64"/>
      <c r="G516" s="64"/>
    </row>
    <row r="517" spans="2:7" ht="32.25" customHeight="1" x14ac:dyDescent="0.25">
      <c r="B517" s="64"/>
      <c r="C517" s="64"/>
      <c r="D517" s="64"/>
      <c r="E517" s="64"/>
      <c r="F517" s="64"/>
      <c r="G517" s="64"/>
    </row>
    <row r="518" spans="2:7" ht="32.25" customHeight="1" x14ac:dyDescent="0.25">
      <c r="B518" s="64"/>
      <c r="C518" s="64"/>
      <c r="D518" s="64"/>
      <c r="E518" s="64"/>
      <c r="F518" s="64"/>
      <c r="G518" s="64"/>
    </row>
    <row r="519" spans="2:7" ht="32.25" customHeight="1" x14ac:dyDescent="0.25">
      <c r="B519" s="64"/>
      <c r="C519" s="64"/>
      <c r="D519" s="64"/>
      <c r="E519" s="64"/>
      <c r="F519" s="64"/>
      <c r="G519" s="64"/>
    </row>
    <row r="520" spans="2:7" ht="32.25" customHeight="1" x14ac:dyDescent="0.25">
      <c r="B520" s="64"/>
      <c r="C520" s="64"/>
      <c r="D520" s="64"/>
      <c r="E520" s="64"/>
      <c r="F520" s="64"/>
      <c r="G520" s="64"/>
    </row>
    <row r="521" spans="2:7" ht="32.25" customHeight="1" x14ac:dyDescent="0.25">
      <c r="B521" s="64"/>
      <c r="C521" s="64"/>
      <c r="D521" s="64"/>
      <c r="E521" s="64"/>
      <c r="F521" s="64"/>
      <c r="G521" s="64"/>
    </row>
    <row r="522" spans="2:7" ht="32.25" customHeight="1" x14ac:dyDescent="0.25">
      <c r="B522" s="64"/>
      <c r="C522" s="64"/>
      <c r="D522" s="64"/>
      <c r="E522" s="64"/>
      <c r="F522" s="64"/>
      <c r="G522" s="64"/>
    </row>
    <row r="523" spans="2:7" ht="32.25" customHeight="1" x14ac:dyDescent="0.25">
      <c r="B523" s="64"/>
      <c r="C523" s="64"/>
      <c r="D523" s="64"/>
      <c r="E523" s="64"/>
      <c r="F523" s="64"/>
      <c r="G523" s="64"/>
    </row>
    <row r="524" spans="2:7" ht="32.25" customHeight="1" x14ac:dyDescent="0.25">
      <c r="B524" s="64"/>
      <c r="C524" s="64"/>
      <c r="D524" s="64"/>
      <c r="E524" s="64"/>
      <c r="F524" s="64"/>
      <c r="G524" s="64"/>
    </row>
    <row r="525" spans="2:7" ht="32.25" customHeight="1" x14ac:dyDescent="0.25">
      <c r="B525" s="64"/>
      <c r="C525" s="64"/>
      <c r="D525" s="64"/>
      <c r="E525" s="64"/>
      <c r="F525" s="64"/>
      <c r="G525" s="64"/>
    </row>
    <row r="526" spans="2:7" ht="32.25" customHeight="1" x14ac:dyDescent="0.25">
      <c r="B526" s="64"/>
      <c r="C526" s="64"/>
      <c r="D526" s="64"/>
      <c r="E526" s="64"/>
      <c r="F526" s="64"/>
      <c r="G526" s="64"/>
    </row>
    <row r="527" spans="2:7" ht="32.25" customHeight="1" x14ac:dyDescent="0.25">
      <c r="B527" s="64"/>
      <c r="C527" s="64"/>
      <c r="D527" s="64"/>
      <c r="E527" s="64"/>
      <c r="F527" s="64"/>
      <c r="G527" s="64"/>
    </row>
    <row r="528" spans="2:7" ht="32.25" customHeight="1" x14ac:dyDescent="0.25">
      <c r="B528" s="64"/>
      <c r="C528" s="64"/>
      <c r="D528" s="64"/>
      <c r="E528" s="64"/>
      <c r="F528" s="64"/>
      <c r="G528" s="64"/>
    </row>
    <row r="529" spans="2:7" ht="32.25" customHeight="1" x14ac:dyDescent="0.25">
      <c r="B529" s="64"/>
      <c r="C529" s="64"/>
      <c r="D529" s="64"/>
      <c r="E529" s="64"/>
      <c r="F529" s="64"/>
      <c r="G529" s="64"/>
    </row>
    <row r="530" spans="2:7" ht="32.25" customHeight="1" x14ac:dyDescent="0.25">
      <c r="B530" s="64"/>
      <c r="C530" s="64"/>
      <c r="D530" s="64"/>
      <c r="E530" s="64"/>
      <c r="F530" s="64"/>
      <c r="G530" s="64"/>
    </row>
    <row r="531" spans="2:7" ht="32.25" customHeight="1" x14ac:dyDescent="0.25">
      <c r="B531" s="64"/>
      <c r="C531" s="64"/>
      <c r="D531" s="64"/>
      <c r="E531" s="64"/>
      <c r="F531" s="64"/>
      <c r="G531" s="64"/>
    </row>
    <row r="532" spans="2:7" ht="32.25" customHeight="1" x14ac:dyDescent="0.25">
      <c r="B532" s="64"/>
      <c r="C532" s="64"/>
      <c r="D532" s="64"/>
      <c r="E532" s="64"/>
      <c r="F532" s="64"/>
      <c r="G532" s="64"/>
    </row>
    <row r="533" spans="2:7" ht="32.25" customHeight="1" x14ac:dyDescent="0.25">
      <c r="B533" s="64"/>
      <c r="C533" s="64"/>
      <c r="D533" s="64"/>
      <c r="E533" s="64"/>
      <c r="F533" s="64"/>
      <c r="G533" s="64"/>
    </row>
    <row r="534" spans="2:7" ht="32.25" customHeight="1" x14ac:dyDescent="0.25">
      <c r="B534" s="64"/>
      <c r="C534" s="64"/>
      <c r="D534" s="64"/>
      <c r="E534" s="64"/>
      <c r="F534" s="64"/>
      <c r="G534" s="64"/>
    </row>
    <row r="535" spans="2:7" ht="32.25" customHeight="1" x14ac:dyDescent="0.25">
      <c r="B535" s="64"/>
      <c r="C535" s="64"/>
      <c r="D535" s="64"/>
      <c r="E535" s="64"/>
      <c r="F535" s="64"/>
      <c r="G535" s="64"/>
    </row>
    <row r="536" spans="2:7" ht="32.25" customHeight="1" x14ac:dyDescent="0.25">
      <c r="B536" s="64"/>
      <c r="C536" s="64"/>
      <c r="D536" s="64"/>
      <c r="E536" s="64"/>
      <c r="F536" s="64"/>
      <c r="G536" s="64"/>
    </row>
    <row r="537" spans="2:7" ht="32.25" customHeight="1" x14ac:dyDescent="0.25">
      <c r="B537" s="64"/>
      <c r="C537" s="64"/>
      <c r="D537" s="64"/>
      <c r="E537" s="64"/>
      <c r="F537" s="64"/>
      <c r="G537" s="64"/>
    </row>
    <row r="538" spans="2:7" ht="32.25" customHeight="1" x14ac:dyDescent="0.25">
      <c r="B538" s="64"/>
      <c r="C538" s="64"/>
      <c r="D538" s="64"/>
      <c r="E538" s="64"/>
      <c r="F538" s="64"/>
      <c r="G538" s="64"/>
    </row>
    <row r="539" spans="2:7" ht="32.25" customHeight="1" x14ac:dyDescent="0.25">
      <c r="B539" s="64"/>
      <c r="C539" s="64"/>
      <c r="D539" s="64"/>
      <c r="E539" s="64"/>
      <c r="F539" s="64"/>
      <c r="G539" s="64"/>
    </row>
    <row r="540" spans="2:7" ht="32.25" customHeight="1" x14ac:dyDescent="0.25">
      <c r="B540" s="64"/>
      <c r="C540" s="64"/>
      <c r="D540" s="64"/>
      <c r="E540" s="64"/>
      <c r="F540" s="64"/>
      <c r="G540" s="64"/>
    </row>
    <row r="541" spans="2:7" ht="32.25" customHeight="1" x14ac:dyDescent="0.25">
      <c r="B541" s="64"/>
      <c r="C541" s="64"/>
      <c r="D541" s="64"/>
      <c r="E541" s="64"/>
      <c r="F541" s="64"/>
      <c r="G541" s="64"/>
    </row>
    <row r="542" spans="2:7" ht="32.25" customHeight="1" x14ac:dyDescent="0.25">
      <c r="B542" s="64"/>
      <c r="C542" s="64"/>
      <c r="D542" s="64"/>
      <c r="E542" s="64"/>
      <c r="F542" s="64"/>
      <c r="G542" s="64"/>
    </row>
    <row r="543" spans="2:7" ht="32.25" customHeight="1" x14ac:dyDescent="0.25">
      <c r="B543" s="64"/>
      <c r="C543" s="64"/>
      <c r="D543" s="64"/>
      <c r="E543" s="64"/>
      <c r="F543" s="64"/>
      <c r="G543" s="64"/>
    </row>
    <row r="544" spans="2:7" ht="32.25" customHeight="1" x14ac:dyDescent="0.25">
      <c r="B544" s="64"/>
      <c r="C544" s="64"/>
      <c r="D544" s="64"/>
      <c r="E544" s="64"/>
      <c r="F544" s="64"/>
      <c r="G544" s="64"/>
    </row>
    <row r="545" spans="2:7" ht="32.25" customHeight="1" x14ac:dyDescent="0.25">
      <c r="B545" s="64"/>
      <c r="C545" s="64"/>
      <c r="D545" s="64"/>
      <c r="E545" s="64"/>
      <c r="F545" s="64"/>
      <c r="G545" s="64"/>
    </row>
    <row r="546" spans="2:7" ht="32.25" customHeight="1" x14ac:dyDescent="0.25">
      <c r="B546" s="64"/>
      <c r="C546" s="64"/>
      <c r="D546" s="64"/>
      <c r="E546" s="64"/>
      <c r="F546" s="64"/>
      <c r="G546" s="64"/>
    </row>
    <row r="547" spans="2:7" ht="32.25" customHeight="1" x14ac:dyDescent="0.25">
      <c r="B547" s="64"/>
      <c r="C547" s="64"/>
      <c r="D547" s="64"/>
      <c r="E547" s="64"/>
      <c r="F547" s="64"/>
      <c r="G547" s="64"/>
    </row>
    <row r="548" spans="2:7" ht="32.25" customHeight="1" x14ac:dyDescent="0.25">
      <c r="B548" s="64"/>
      <c r="C548" s="64"/>
      <c r="D548" s="64"/>
      <c r="E548" s="64"/>
      <c r="F548" s="64"/>
      <c r="G548" s="64"/>
    </row>
    <row r="549" spans="2:7" ht="32.25" customHeight="1" x14ac:dyDescent="0.25">
      <c r="B549" s="64"/>
      <c r="C549" s="64"/>
      <c r="D549" s="64"/>
      <c r="E549" s="64"/>
      <c r="F549" s="64"/>
      <c r="G549" s="64"/>
    </row>
    <row r="550" spans="2:7" ht="32.25" customHeight="1" x14ac:dyDescent="0.25">
      <c r="B550" s="64"/>
      <c r="C550" s="64"/>
      <c r="D550" s="64"/>
      <c r="E550" s="64"/>
      <c r="F550" s="64"/>
      <c r="G550" s="64"/>
    </row>
    <row r="551" spans="2:7" ht="32.25" customHeight="1" x14ac:dyDescent="0.25">
      <c r="B551" s="64"/>
      <c r="C551" s="64"/>
      <c r="D551" s="64"/>
      <c r="E551" s="64"/>
      <c r="F551" s="64"/>
      <c r="G551" s="64"/>
    </row>
    <row r="552" spans="2:7" ht="32.25" customHeight="1" x14ac:dyDescent="0.25">
      <c r="B552" s="64"/>
      <c r="C552" s="64"/>
      <c r="D552" s="64"/>
      <c r="E552" s="64"/>
      <c r="F552" s="64"/>
      <c r="G552" s="64"/>
    </row>
    <row r="553" spans="2:7" ht="32.25" customHeight="1" x14ac:dyDescent="0.25">
      <c r="B553" s="64"/>
      <c r="C553" s="64"/>
      <c r="D553" s="64"/>
      <c r="E553" s="64"/>
      <c r="F553" s="64"/>
      <c r="G553" s="64"/>
    </row>
    <row r="554" spans="2:7" ht="32.25" customHeight="1" x14ac:dyDescent="0.25">
      <c r="B554" s="64"/>
      <c r="C554" s="64"/>
      <c r="D554" s="64"/>
      <c r="E554" s="64"/>
      <c r="F554" s="64"/>
      <c r="G554" s="64"/>
    </row>
    <row r="555" spans="2:7" ht="32.25" customHeight="1" x14ac:dyDescent="0.25">
      <c r="B555" s="64"/>
      <c r="C555" s="64"/>
      <c r="D555" s="64"/>
      <c r="E555" s="64"/>
      <c r="F555" s="64"/>
      <c r="G555" s="64"/>
    </row>
    <row r="556" spans="2:7" ht="32.25" customHeight="1" x14ac:dyDescent="0.25">
      <c r="B556" s="64"/>
      <c r="C556" s="64"/>
      <c r="D556" s="64"/>
      <c r="E556" s="64"/>
      <c r="F556" s="64"/>
      <c r="G556" s="64"/>
    </row>
    <row r="557" spans="2:7" ht="32.25" customHeight="1" x14ac:dyDescent="0.25">
      <c r="B557" s="64"/>
      <c r="C557" s="64"/>
      <c r="D557" s="64"/>
      <c r="E557" s="64"/>
      <c r="F557" s="64"/>
      <c r="G557" s="64"/>
    </row>
    <row r="558" spans="2:7" ht="32.25" customHeight="1" x14ac:dyDescent="0.25">
      <c r="B558" s="64"/>
      <c r="C558" s="64"/>
      <c r="D558" s="64"/>
      <c r="E558" s="64"/>
      <c r="F558" s="64"/>
      <c r="G558" s="64"/>
    </row>
    <row r="559" spans="2:7" ht="32.25" customHeight="1" x14ac:dyDescent="0.25">
      <c r="B559" s="64"/>
      <c r="C559" s="64"/>
      <c r="D559" s="64"/>
      <c r="E559" s="64"/>
      <c r="F559" s="64"/>
      <c r="G559" s="64"/>
    </row>
    <row r="560" spans="2:7" ht="32.25" customHeight="1" x14ac:dyDescent="0.25">
      <c r="B560" s="64"/>
      <c r="C560" s="64"/>
      <c r="D560" s="64"/>
      <c r="E560" s="64"/>
      <c r="F560" s="64"/>
      <c r="G560" s="64"/>
    </row>
    <row r="561" spans="2:7" ht="32.25" customHeight="1" x14ac:dyDescent="0.25">
      <c r="B561" s="64"/>
      <c r="C561" s="64"/>
      <c r="D561" s="64"/>
      <c r="E561" s="64"/>
      <c r="F561" s="64"/>
      <c r="G561" s="64"/>
    </row>
    <row r="562" spans="2:7" ht="32.25" customHeight="1" x14ac:dyDescent="0.25">
      <c r="B562" s="64"/>
      <c r="C562" s="64"/>
      <c r="D562" s="64"/>
      <c r="E562" s="64"/>
      <c r="F562" s="64"/>
      <c r="G562" s="64"/>
    </row>
    <row r="563" spans="2:7" ht="32.25" customHeight="1" x14ac:dyDescent="0.25">
      <c r="B563" s="64"/>
      <c r="C563" s="64"/>
      <c r="D563" s="64"/>
      <c r="E563" s="64"/>
      <c r="F563" s="64"/>
      <c r="G563" s="64"/>
    </row>
    <row r="564" spans="2:7" ht="32.25" customHeight="1" x14ac:dyDescent="0.25">
      <c r="B564" s="64"/>
      <c r="C564" s="64"/>
      <c r="D564" s="64"/>
      <c r="E564" s="64"/>
      <c r="F564" s="64"/>
      <c r="G564" s="64"/>
    </row>
    <row r="565" spans="2:7" ht="32.25" customHeight="1" x14ac:dyDescent="0.25">
      <c r="B565" s="64"/>
      <c r="C565" s="64"/>
      <c r="D565" s="64"/>
      <c r="E565" s="64"/>
      <c r="F565" s="64"/>
      <c r="G565" s="64"/>
    </row>
    <row r="566" spans="2:7" ht="32.25" customHeight="1" x14ac:dyDescent="0.25">
      <c r="B566" s="64"/>
      <c r="C566" s="64"/>
      <c r="D566" s="64"/>
      <c r="E566" s="64"/>
      <c r="F566" s="64"/>
      <c r="G566" s="64"/>
    </row>
    <row r="567" spans="2:7" ht="32.25" customHeight="1" x14ac:dyDescent="0.25">
      <c r="B567" s="64"/>
      <c r="C567" s="64"/>
      <c r="D567" s="64"/>
      <c r="E567" s="64"/>
      <c r="F567" s="64"/>
      <c r="G567" s="64"/>
    </row>
    <row r="568" spans="2:7" ht="32.25" customHeight="1" x14ac:dyDescent="0.25">
      <c r="B568" s="64"/>
      <c r="C568" s="64"/>
      <c r="D568" s="64"/>
      <c r="E568" s="64"/>
      <c r="F568" s="64"/>
      <c r="G568" s="64"/>
    </row>
    <row r="569" spans="2:7" ht="32.25" customHeight="1" x14ac:dyDescent="0.25">
      <c r="B569" s="64"/>
      <c r="C569" s="64"/>
      <c r="D569" s="64"/>
      <c r="E569" s="64"/>
      <c r="F569" s="64"/>
      <c r="G569" s="64"/>
    </row>
    <row r="570" spans="2:7" ht="32.25" customHeight="1" x14ac:dyDescent="0.25">
      <c r="B570" s="64"/>
      <c r="C570" s="64"/>
      <c r="D570" s="64"/>
      <c r="E570" s="64"/>
      <c r="F570" s="64"/>
      <c r="G570" s="64"/>
    </row>
    <row r="571" spans="2:7" ht="32.25" customHeight="1" x14ac:dyDescent="0.25">
      <c r="B571" s="64"/>
      <c r="C571" s="64"/>
      <c r="D571" s="64"/>
      <c r="E571" s="64"/>
      <c r="F571" s="64"/>
      <c r="G571" s="64"/>
    </row>
    <row r="572" spans="2:7" ht="32.25" customHeight="1" x14ac:dyDescent="0.25">
      <c r="B572" s="64"/>
      <c r="C572" s="64"/>
      <c r="D572" s="64"/>
      <c r="E572" s="64"/>
      <c r="F572" s="64"/>
      <c r="G572" s="64"/>
    </row>
    <row r="573" spans="2:7" ht="32.25" customHeight="1" x14ac:dyDescent="0.25">
      <c r="B573" s="64"/>
      <c r="C573" s="64"/>
      <c r="D573" s="64"/>
      <c r="E573" s="64"/>
      <c r="F573" s="64"/>
      <c r="G573" s="64"/>
    </row>
    <row r="574" spans="2:7" ht="32.25" customHeight="1" x14ac:dyDescent="0.25">
      <c r="B574" s="64"/>
      <c r="C574" s="64"/>
      <c r="D574" s="64"/>
      <c r="E574" s="64"/>
      <c r="F574" s="64"/>
      <c r="G574" s="64"/>
    </row>
    <row r="575" spans="2:7" ht="32.25" customHeight="1" x14ac:dyDescent="0.25">
      <c r="B575" s="64"/>
      <c r="C575" s="64"/>
      <c r="D575" s="64"/>
      <c r="E575" s="64"/>
      <c r="F575" s="64"/>
      <c r="G575" s="64"/>
    </row>
    <row r="576" spans="2:7" ht="32.25" customHeight="1" x14ac:dyDescent="0.25">
      <c r="B576" s="64"/>
      <c r="C576" s="64"/>
      <c r="D576" s="64"/>
      <c r="E576" s="64"/>
      <c r="F576" s="64"/>
      <c r="G576" s="64"/>
    </row>
    <row r="577" spans="2:7" ht="32.25" customHeight="1" x14ac:dyDescent="0.25">
      <c r="B577" s="64"/>
      <c r="C577" s="64"/>
      <c r="D577" s="64"/>
      <c r="E577" s="64"/>
      <c r="F577" s="64"/>
      <c r="G577" s="64"/>
    </row>
    <row r="578" spans="2:7" ht="32.25" customHeight="1" x14ac:dyDescent="0.25">
      <c r="B578" s="64"/>
      <c r="C578" s="64"/>
      <c r="D578" s="64"/>
      <c r="E578" s="64"/>
      <c r="F578" s="64"/>
      <c r="G578" s="64"/>
    </row>
    <row r="579" spans="2:7" ht="32.25" customHeight="1" x14ac:dyDescent="0.25">
      <c r="B579" s="64"/>
      <c r="C579" s="64"/>
      <c r="D579" s="64"/>
      <c r="E579" s="64"/>
      <c r="F579" s="64"/>
      <c r="G579" s="64"/>
    </row>
    <row r="580" spans="2:7" ht="32.25" customHeight="1" x14ac:dyDescent="0.25">
      <c r="B580" s="64"/>
      <c r="C580" s="64"/>
      <c r="D580" s="64"/>
      <c r="E580" s="64"/>
      <c r="F580" s="64"/>
      <c r="G580" s="64"/>
    </row>
    <row r="581" spans="2:7" ht="32.25" customHeight="1" x14ac:dyDescent="0.25">
      <c r="B581" s="64"/>
      <c r="C581" s="64"/>
      <c r="D581" s="64"/>
      <c r="E581" s="64"/>
      <c r="F581" s="64"/>
      <c r="G581" s="64"/>
    </row>
    <row r="582" spans="2:7" ht="32.25" customHeight="1" x14ac:dyDescent="0.25">
      <c r="B582" s="64"/>
      <c r="C582" s="64"/>
      <c r="D582" s="64"/>
      <c r="E582" s="64"/>
      <c r="F582" s="64"/>
      <c r="G582" s="64"/>
    </row>
    <row r="583" spans="2:7" ht="32.25" customHeight="1" x14ac:dyDescent="0.25">
      <c r="B583" s="64"/>
      <c r="C583" s="64"/>
      <c r="D583" s="64"/>
      <c r="E583" s="64"/>
      <c r="F583" s="64"/>
      <c r="G583" s="64"/>
    </row>
    <row r="584" spans="2:7" ht="32.25" customHeight="1" x14ac:dyDescent="0.25">
      <c r="B584" s="64"/>
      <c r="C584" s="64"/>
      <c r="D584" s="64"/>
      <c r="E584" s="64"/>
      <c r="F584" s="64"/>
      <c r="G584" s="64"/>
    </row>
    <row r="585" spans="2:7" ht="32.25" customHeight="1" x14ac:dyDescent="0.25">
      <c r="B585" s="64"/>
      <c r="C585" s="64"/>
      <c r="D585" s="64"/>
      <c r="E585" s="64"/>
      <c r="F585" s="64"/>
      <c r="G585" s="64"/>
    </row>
    <row r="586" spans="2:7" ht="32.25" customHeight="1" x14ac:dyDescent="0.25">
      <c r="B586" s="64"/>
      <c r="C586" s="64"/>
      <c r="D586" s="64"/>
      <c r="E586" s="64"/>
      <c r="F586" s="64"/>
      <c r="G586" s="64"/>
    </row>
    <row r="587" spans="2:7" ht="32.25" customHeight="1" x14ac:dyDescent="0.25">
      <c r="B587" s="64"/>
      <c r="C587" s="64"/>
      <c r="D587" s="64"/>
      <c r="E587" s="64"/>
      <c r="F587" s="64"/>
      <c r="G587" s="64"/>
    </row>
    <row r="588" spans="2:7" ht="32.25" customHeight="1" x14ac:dyDescent="0.25">
      <c r="B588" s="64"/>
      <c r="C588" s="64"/>
      <c r="D588" s="64"/>
      <c r="E588" s="64"/>
      <c r="F588" s="64"/>
      <c r="G588" s="64"/>
    </row>
    <row r="589" spans="2:7" ht="32.25" customHeight="1" x14ac:dyDescent="0.25">
      <c r="B589" s="64"/>
      <c r="C589" s="64"/>
      <c r="D589" s="64"/>
      <c r="E589" s="64"/>
      <c r="F589" s="64"/>
      <c r="G589" s="64"/>
    </row>
    <row r="590" spans="2:7" ht="32.25" customHeight="1" x14ac:dyDescent="0.25">
      <c r="B590" s="64"/>
      <c r="C590" s="64"/>
      <c r="D590" s="64"/>
      <c r="E590" s="64"/>
      <c r="F590" s="64"/>
      <c r="G590" s="64"/>
    </row>
    <row r="591" spans="2:7" ht="32.25" customHeight="1" x14ac:dyDescent="0.25">
      <c r="B591" s="64"/>
      <c r="C591" s="64"/>
      <c r="D591" s="64"/>
      <c r="E591" s="64"/>
      <c r="F591" s="64"/>
      <c r="G591" s="64"/>
    </row>
    <row r="592" spans="2:7" ht="32.25" customHeight="1" x14ac:dyDescent="0.25">
      <c r="B592" s="64"/>
      <c r="C592" s="64"/>
      <c r="D592" s="64"/>
      <c r="E592" s="64"/>
      <c r="F592" s="64"/>
      <c r="G592" s="64"/>
    </row>
    <row r="593" spans="2:7" ht="32.25" customHeight="1" x14ac:dyDescent="0.25">
      <c r="B593" s="64"/>
      <c r="C593" s="64"/>
      <c r="D593" s="64"/>
      <c r="E593" s="64"/>
      <c r="F593" s="64"/>
      <c r="G593" s="64"/>
    </row>
    <row r="594" spans="2:7" ht="32.25" customHeight="1" x14ac:dyDescent="0.25">
      <c r="B594" s="64"/>
      <c r="C594" s="64"/>
      <c r="D594" s="64"/>
      <c r="E594" s="64"/>
      <c r="F594" s="64"/>
      <c r="G594" s="64"/>
    </row>
    <row r="595" spans="2:7" ht="32.25" customHeight="1" x14ac:dyDescent="0.25">
      <c r="B595" s="64"/>
      <c r="C595" s="64"/>
      <c r="D595" s="64"/>
      <c r="E595" s="64"/>
      <c r="F595" s="64"/>
      <c r="G595" s="64"/>
    </row>
    <row r="596" spans="2:7" ht="32.25" customHeight="1" x14ac:dyDescent="0.25">
      <c r="B596" s="64"/>
      <c r="C596" s="64"/>
      <c r="D596" s="64"/>
      <c r="E596" s="64"/>
      <c r="F596" s="64"/>
      <c r="G596" s="64"/>
    </row>
    <row r="597" spans="2:7" ht="32.25" customHeight="1" x14ac:dyDescent="0.25">
      <c r="B597" s="64"/>
      <c r="C597" s="64"/>
      <c r="D597" s="64"/>
      <c r="E597" s="64"/>
      <c r="F597" s="64"/>
      <c r="G597" s="64"/>
    </row>
    <row r="598" spans="2:7" ht="32.25" customHeight="1" x14ac:dyDescent="0.25">
      <c r="B598" s="64"/>
      <c r="C598" s="64"/>
      <c r="D598" s="64"/>
      <c r="E598" s="64"/>
      <c r="F598" s="64"/>
      <c r="G598" s="64"/>
    </row>
    <row r="599" spans="2:7" ht="32.25" customHeight="1" x14ac:dyDescent="0.25">
      <c r="B599" s="64"/>
      <c r="C599" s="64"/>
      <c r="D599" s="64"/>
      <c r="E599" s="64"/>
      <c r="F599" s="64"/>
      <c r="G599" s="64"/>
    </row>
    <row r="600" spans="2:7" ht="32.25" customHeight="1" x14ac:dyDescent="0.25">
      <c r="B600" s="64"/>
      <c r="C600" s="64"/>
      <c r="D600" s="64"/>
      <c r="E600" s="64"/>
      <c r="F600" s="64"/>
      <c r="G600" s="64"/>
    </row>
    <row r="601" spans="2:7" ht="32.25" customHeight="1" x14ac:dyDescent="0.25">
      <c r="B601" s="64"/>
      <c r="C601" s="64"/>
      <c r="D601" s="64"/>
      <c r="E601" s="64"/>
      <c r="F601" s="64"/>
      <c r="G601" s="64"/>
    </row>
    <row r="602" spans="2:7" ht="32.25" customHeight="1" x14ac:dyDescent="0.25">
      <c r="B602" s="64"/>
      <c r="C602" s="64"/>
      <c r="D602" s="64"/>
      <c r="E602" s="64"/>
      <c r="F602" s="64"/>
      <c r="G602" s="64"/>
    </row>
    <row r="603" spans="2:7" ht="32.25" customHeight="1" x14ac:dyDescent="0.25">
      <c r="B603" s="64"/>
      <c r="C603" s="64"/>
      <c r="D603" s="64"/>
      <c r="E603" s="64"/>
      <c r="F603" s="64"/>
      <c r="G603" s="64"/>
    </row>
    <row r="604" spans="2:7" ht="32.25" customHeight="1" x14ac:dyDescent="0.25">
      <c r="B604" s="64"/>
      <c r="C604" s="64"/>
      <c r="D604" s="64"/>
      <c r="E604" s="64"/>
      <c r="F604" s="64"/>
      <c r="G604" s="64"/>
    </row>
    <row r="605" spans="2:7" ht="32.25" customHeight="1" x14ac:dyDescent="0.25">
      <c r="B605" s="64"/>
      <c r="C605" s="64"/>
      <c r="D605" s="64"/>
      <c r="E605" s="64"/>
      <c r="F605" s="64"/>
      <c r="G605" s="64"/>
    </row>
    <row r="606" spans="2:7" ht="32.25" customHeight="1" x14ac:dyDescent="0.25">
      <c r="B606" s="64"/>
      <c r="C606" s="64"/>
      <c r="D606" s="64"/>
      <c r="E606" s="64"/>
      <c r="F606" s="64"/>
      <c r="G606" s="64"/>
    </row>
    <row r="607" spans="2:7" ht="32.25" customHeight="1" x14ac:dyDescent="0.25">
      <c r="B607" s="64"/>
      <c r="C607" s="64"/>
      <c r="D607" s="64"/>
      <c r="E607" s="64"/>
      <c r="F607" s="64"/>
      <c r="G607" s="64"/>
    </row>
    <row r="608" spans="2:7" ht="32.25" customHeight="1" x14ac:dyDescent="0.25">
      <c r="B608" s="64"/>
      <c r="C608" s="64"/>
      <c r="D608" s="64"/>
      <c r="E608" s="64"/>
      <c r="F608" s="64"/>
      <c r="G608" s="64"/>
    </row>
    <row r="609" spans="2:7" ht="32.25" customHeight="1" x14ac:dyDescent="0.25">
      <c r="B609" s="64"/>
      <c r="C609" s="64"/>
      <c r="D609" s="64"/>
      <c r="E609" s="64"/>
      <c r="F609" s="64"/>
      <c r="G609" s="64"/>
    </row>
    <row r="610" spans="2:7" ht="32.25" customHeight="1" x14ac:dyDescent="0.25">
      <c r="B610" s="64"/>
      <c r="C610" s="64"/>
      <c r="D610" s="64"/>
      <c r="E610" s="64"/>
      <c r="F610" s="64"/>
      <c r="G610" s="64"/>
    </row>
    <row r="611" spans="2:7" ht="32.25" customHeight="1" x14ac:dyDescent="0.25">
      <c r="B611" s="64"/>
      <c r="C611" s="64"/>
      <c r="D611" s="64"/>
      <c r="E611" s="64"/>
      <c r="F611" s="64"/>
      <c r="G611" s="64"/>
    </row>
    <row r="612" spans="2:7" ht="32.25" customHeight="1" x14ac:dyDescent="0.25">
      <c r="B612" s="64"/>
      <c r="C612" s="64"/>
      <c r="D612" s="64"/>
      <c r="E612" s="64"/>
      <c r="F612" s="64"/>
      <c r="G612" s="64"/>
    </row>
    <row r="613" spans="2:7" ht="32.25" customHeight="1" x14ac:dyDescent="0.25">
      <c r="B613" s="64"/>
      <c r="C613" s="64"/>
      <c r="D613" s="64"/>
      <c r="E613" s="64"/>
      <c r="F613" s="64"/>
      <c r="G613" s="64"/>
    </row>
    <row r="614" spans="2:7" ht="32.25" customHeight="1" x14ac:dyDescent="0.25">
      <c r="B614" s="64"/>
      <c r="C614" s="64"/>
      <c r="D614" s="64"/>
      <c r="E614" s="64"/>
      <c r="F614" s="64"/>
      <c r="G614" s="64"/>
    </row>
    <row r="615" spans="2:7" ht="32.25" customHeight="1" x14ac:dyDescent="0.25">
      <c r="B615" s="64"/>
      <c r="C615" s="64"/>
      <c r="D615" s="64"/>
      <c r="E615" s="64"/>
      <c r="F615" s="64"/>
      <c r="G615" s="64"/>
    </row>
    <row r="616" spans="2:7" ht="32.25" customHeight="1" x14ac:dyDescent="0.25">
      <c r="B616" s="64"/>
      <c r="C616" s="64"/>
      <c r="D616" s="64"/>
      <c r="E616" s="64"/>
      <c r="F616" s="64"/>
      <c r="G616" s="64"/>
    </row>
    <row r="617" spans="2:7" ht="32.25" customHeight="1" x14ac:dyDescent="0.25">
      <c r="B617" s="64"/>
      <c r="C617" s="64"/>
      <c r="D617" s="64"/>
      <c r="E617" s="64"/>
      <c r="F617" s="64"/>
      <c r="G617" s="64"/>
    </row>
    <row r="618" spans="2:7" ht="32.25" customHeight="1" x14ac:dyDescent="0.25">
      <c r="B618" s="64"/>
      <c r="C618" s="64"/>
      <c r="D618" s="64"/>
      <c r="E618" s="64"/>
      <c r="F618" s="64"/>
      <c r="G618" s="64"/>
    </row>
    <row r="619" spans="2:7" ht="32.25" customHeight="1" x14ac:dyDescent="0.25">
      <c r="B619" s="64"/>
      <c r="C619" s="64"/>
      <c r="D619" s="64"/>
      <c r="E619" s="64"/>
      <c r="F619" s="64"/>
      <c r="G619" s="64"/>
    </row>
    <row r="620" spans="2:7" ht="32.25" customHeight="1" x14ac:dyDescent="0.25">
      <c r="B620" s="64"/>
      <c r="C620" s="64"/>
      <c r="D620" s="64"/>
      <c r="E620" s="64"/>
      <c r="F620" s="64"/>
      <c r="G620" s="64"/>
    </row>
    <row r="621" spans="2:7" ht="32.25" customHeight="1" x14ac:dyDescent="0.25">
      <c r="B621" s="64"/>
      <c r="C621" s="64"/>
      <c r="D621" s="64"/>
      <c r="E621" s="64"/>
      <c r="F621" s="64"/>
      <c r="G621" s="64"/>
    </row>
    <row r="622" spans="2:7" ht="32.25" customHeight="1" x14ac:dyDescent="0.25">
      <c r="B622" s="64"/>
      <c r="C622" s="64"/>
      <c r="D622" s="64"/>
      <c r="E622" s="64"/>
      <c r="F622" s="64"/>
      <c r="G622" s="64"/>
    </row>
    <row r="623" spans="2:7" ht="32.25" customHeight="1" x14ac:dyDescent="0.25">
      <c r="B623" s="64"/>
      <c r="C623" s="64"/>
      <c r="D623" s="64"/>
      <c r="E623" s="64"/>
      <c r="F623" s="64"/>
      <c r="G623" s="64"/>
    </row>
    <row r="624" spans="2:7" ht="32.25" customHeight="1" x14ac:dyDescent="0.25">
      <c r="B624" s="64"/>
      <c r="C624" s="64"/>
      <c r="D624" s="64"/>
      <c r="E624" s="64"/>
      <c r="F624" s="64"/>
      <c r="G624" s="64"/>
    </row>
    <row r="625" spans="2:7" ht="32.25" customHeight="1" x14ac:dyDescent="0.25">
      <c r="B625" s="64"/>
      <c r="C625" s="64"/>
      <c r="D625" s="64"/>
      <c r="E625" s="64"/>
      <c r="F625" s="64"/>
      <c r="G625" s="64"/>
    </row>
    <row r="626" spans="2:7" ht="32.25" customHeight="1" x14ac:dyDescent="0.25">
      <c r="B626" s="64"/>
      <c r="C626" s="64"/>
      <c r="D626" s="64"/>
      <c r="E626" s="64"/>
      <c r="F626" s="64"/>
      <c r="G626" s="64"/>
    </row>
    <row r="627" spans="2:7" ht="32.25" customHeight="1" x14ac:dyDescent="0.25">
      <c r="B627" s="64"/>
      <c r="C627" s="64"/>
      <c r="D627" s="64"/>
      <c r="E627" s="64"/>
      <c r="F627" s="64"/>
      <c r="G627" s="64"/>
    </row>
    <row r="628" spans="2:7" ht="32.25" customHeight="1" x14ac:dyDescent="0.25">
      <c r="B628" s="64"/>
      <c r="C628" s="64"/>
      <c r="D628" s="64"/>
      <c r="E628" s="64"/>
      <c r="F628" s="64"/>
      <c r="G628" s="64"/>
    </row>
    <row r="629" spans="2:7" ht="32.25" customHeight="1" x14ac:dyDescent="0.25">
      <c r="B629" s="64"/>
      <c r="C629" s="64"/>
      <c r="D629" s="64"/>
      <c r="E629" s="64"/>
      <c r="F629" s="64"/>
      <c r="G629" s="64"/>
    </row>
    <row r="630" spans="2:7" ht="32.25" customHeight="1" x14ac:dyDescent="0.25">
      <c r="B630" s="64"/>
      <c r="C630" s="64"/>
      <c r="D630" s="64"/>
      <c r="E630" s="64"/>
      <c r="F630" s="64"/>
      <c r="G630" s="64"/>
    </row>
    <row r="631" spans="2:7" ht="32.25" customHeight="1" x14ac:dyDescent="0.25">
      <c r="B631" s="64"/>
      <c r="C631" s="64"/>
      <c r="D631" s="64"/>
      <c r="E631" s="64"/>
      <c r="F631" s="64"/>
      <c r="G631" s="64"/>
    </row>
    <row r="632" spans="2:7" ht="32.25" customHeight="1" x14ac:dyDescent="0.25">
      <c r="B632" s="64"/>
      <c r="C632" s="64"/>
      <c r="D632" s="64"/>
      <c r="E632" s="64"/>
      <c r="F632" s="64"/>
      <c r="G632" s="64"/>
    </row>
    <row r="633" spans="2:7" ht="32.25" customHeight="1" x14ac:dyDescent="0.25">
      <c r="B633" s="64"/>
      <c r="C633" s="64"/>
      <c r="D633" s="64"/>
      <c r="E633" s="64"/>
      <c r="F633" s="64"/>
      <c r="G633" s="64"/>
    </row>
    <row r="634" spans="2:7" ht="32.25" customHeight="1" x14ac:dyDescent="0.25">
      <c r="B634" s="64"/>
      <c r="C634" s="64"/>
      <c r="D634" s="64"/>
      <c r="E634" s="64"/>
      <c r="F634" s="64"/>
      <c r="G634" s="64"/>
    </row>
    <row r="635" spans="2:7" ht="32.25" customHeight="1" x14ac:dyDescent="0.25">
      <c r="B635" s="64"/>
      <c r="C635" s="64"/>
      <c r="D635" s="64"/>
      <c r="E635" s="64"/>
      <c r="F635" s="64"/>
      <c r="G635" s="64"/>
    </row>
    <row r="636" spans="2:7" ht="32.25" customHeight="1" x14ac:dyDescent="0.25">
      <c r="B636" s="64"/>
      <c r="C636" s="64"/>
      <c r="D636" s="64"/>
      <c r="E636" s="64"/>
      <c r="F636" s="64"/>
      <c r="G636" s="64"/>
    </row>
    <row r="637" spans="2:7" ht="32.25" customHeight="1" x14ac:dyDescent="0.25">
      <c r="B637" s="64"/>
      <c r="C637" s="64"/>
      <c r="D637" s="64"/>
      <c r="E637" s="64"/>
      <c r="F637" s="64"/>
      <c r="G637" s="64"/>
    </row>
    <row r="638" spans="2:7" ht="32.25" customHeight="1" x14ac:dyDescent="0.25">
      <c r="B638" s="64"/>
      <c r="C638" s="64"/>
      <c r="D638" s="64"/>
      <c r="E638" s="64"/>
      <c r="F638" s="64"/>
      <c r="G638" s="64"/>
    </row>
    <row r="639" spans="2:7" ht="32.25" customHeight="1" x14ac:dyDescent="0.25">
      <c r="B639" s="64"/>
      <c r="C639" s="64"/>
      <c r="D639" s="64"/>
      <c r="E639" s="64"/>
      <c r="F639" s="64"/>
      <c r="G639" s="64"/>
    </row>
    <row r="640" spans="2:7" ht="32.25" customHeight="1" x14ac:dyDescent="0.25">
      <c r="B640" s="64"/>
      <c r="C640" s="64"/>
      <c r="D640" s="64"/>
      <c r="E640" s="64"/>
      <c r="F640" s="64"/>
      <c r="G640" s="64"/>
    </row>
    <row r="641" spans="2:7" ht="32.25" customHeight="1" x14ac:dyDescent="0.25">
      <c r="B641" s="64"/>
      <c r="C641" s="64"/>
      <c r="D641" s="64"/>
      <c r="E641" s="64"/>
      <c r="F641" s="64"/>
      <c r="G641" s="64"/>
    </row>
    <row r="642" spans="2:7" ht="32.25" customHeight="1" x14ac:dyDescent="0.25">
      <c r="B642" s="64"/>
      <c r="C642" s="64"/>
      <c r="D642" s="64"/>
      <c r="E642" s="64"/>
      <c r="F642" s="64"/>
      <c r="G642" s="64"/>
    </row>
    <row r="643" spans="2:7" ht="32.25" customHeight="1" x14ac:dyDescent="0.25">
      <c r="B643" s="64"/>
      <c r="C643" s="64"/>
      <c r="D643" s="64"/>
      <c r="E643" s="64"/>
      <c r="F643" s="64"/>
      <c r="G643" s="64"/>
    </row>
    <row r="644" spans="2:7" ht="32.25" customHeight="1" x14ac:dyDescent="0.25">
      <c r="B644" s="64"/>
      <c r="C644" s="64"/>
      <c r="D644" s="64"/>
      <c r="E644" s="64"/>
      <c r="F644" s="64"/>
      <c r="G644" s="64"/>
    </row>
    <row r="645" spans="2:7" ht="32.25" customHeight="1" x14ac:dyDescent="0.25">
      <c r="B645" s="64"/>
      <c r="C645" s="64"/>
      <c r="D645" s="64"/>
      <c r="E645" s="64"/>
      <c r="F645" s="64"/>
      <c r="G645" s="64"/>
    </row>
    <row r="646" spans="2:7" ht="32.25" customHeight="1" x14ac:dyDescent="0.25">
      <c r="B646" s="64"/>
      <c r="C646" s="64"/>
      <c r="D646" s="64"/>
      <c r="E646" s="64"/>
      <c r="F646" s="64"/>
      <c r="G646" s="64"/>
    </row>
    <row r="647" spans="2:7" ht="32.25" customHeight="1" x14ac:dyDescent="0.25">
      <c r="B647" s="64"/>
      <c r="C647" s="64"/>
      <c r="D647" s="64"/>
      <c r="E647" s="64"/>
      <c r="F647" s="64"/>
      <c r="G647" s="64"/>
    </row>
    <row r="648" spans="2:7" ht="32.25" customHeight="1" x14ac:dyDescent="0.25">
      <c r="B648" s="64"/>
      <c r="C648" s="64"/>
      <c r="D648" s="64"/>
      <c r="E648" s="64"/>
      <c r="F648" s="64"/>
      <c r="G648" s="64"/>
    </row>
    <row r="649" spans="2:7" ht="32.25" customHeight="1" x14ac:dyDescent="0.25">
      <c r="B649" s="64"/>
      <c r="C649" s="64"/>
      <c r="D649" s="64"/>
      <c r="E649" s="64"/>
      <c r="F649" s="64"/>
      <c r="G649" s="64"/>
    </row>
    <row r="650" spans="2:7" ht="32.25" customHeight="1" x14ac:dyDescent="0.25">
      <c r="B650" s="64"/>
      <c r="C650" s="64"/>
      <c r="D650" s="64"/>
      <c r="E650" s="64"/>
      <c r="F650" s="64"/>
      <c r="G650" s="64"/>
    </row>
    <row r="651" spans="2:7" ht="32.25" customHeight="1" x14ac:dyDescent="0.25">
      <c r="B651" s="64"/>
      <c r="C651" s="64"/>
      <c r="D651" s="64"/>
      <c r="E651" s="64"/>
      <c r="F651" s="64"/>
      <c r="G651" s="64"/>
    </row>
    <row r="652" spans="2:7" ht="32.25" customHeight="1" x14ac:dyDescent="0.25">
      <c r="B652" s="64"/>
      <c r="C652" s="64"/>
      <c r="D652" s="64"/>
      <c r="E652" s="64"/>
      <c r="F652" s="64"/>
      <c r="G652" s="64"/>
    </row>
    <row r="653" spans="2:7" ht="32.25" customHeight="1" x14ac:dyDescent="0.25">
      <c r="B653" s="64"/>
      <c r="C653" s="64"/>
      <c r="D653" s="64"/>
      <c r="E653" s="64"/>
      <c r="F653" s="64"/>
      <c r="G653" s="64"/>
    </row>
    <row r="654" spans="2:7" ht="32.25" customHeight="1" x14ac:dyDescent="0.25">
      <c r="B654" s="64"/>
      <c r="C654" s="64"/>
      <c r="D654" s="64"/>
      <c r="E654" s="64"/>
      <c r="F654" s="64"/>
      <c r="G654" s="64"/>
    </row>
    <row r="655" spans="2:7" ht="32.25" customHeight="1" x14ac:dyDescent="0.25">
      <c r="B655" s="64"/>
      <c r="C655" s="64"/>
      <c r="D655" s="64"/>
      <c r="E655" s="64"/>
      <c r="F655" s="64"/>
      <c r="G655" s="64"/>
    </row>
    <row r="656" spans="2:7" ht="32.25" customHeight="1" x14ac:dyDescent="0.25">
      <c r="B656" s="64"/>
      <c r="C656" s="64"/>
      <c r="D656" s="64"/>
      <c r="E656" s="64"/>
      <c r="F656" s="64"/>
      <c r="G656" s="64"/>
    </row>
    <row r="657" spans="2:7" ht="32.25" customHeight="1" x14ac:dyDescent="0.25">
      <c r="B657" s="64"/>
      <c r="C657" s="64"/>
      <c r="D657" s="64"/>
      <c r="E657" s="64"/>
      <c r="F657" s="64"/>
      <c r="G657" s="64"/>
    </row>
    <row r="658" spans="2:7" ht="32.25" customHeight="1" x14ac:dyDescent="0.25">
      <c r="B658" s="64"/>
      <c r="C658" s="64"/>
      <c r="D658" s="64"/>
      <c r="E658" s="64"/>
      <c r="F658" s="64"/>
      <c r="G658" s="64"/>
    </row>
    <row r="659" spans="2:7" ht="32.25" customHeight="1" x14ac:dyDescent="0.25">
      <c r="B659" s="64"/>
      <c r="C659" s="64"/>
      <c r="D659" s="64"/>
      <c r="E659" s="64"/>
      <c r="F659" s="64"/>
      <c r="G659" s="64"/>
    </row>
    <row r="660" spans="2:7" ht="32.25" customHeight="1" x14ac:dyDescent="0.25">
      <c r="B660" s="64"/>
      <c r="C660" s="64"/>
      <c r="D660" s="64"/>
      <c r="E660" s="64"/>
      <c r="F660" s="64"/>
      <c r="G660" s="64"/>
    </row>
    <row r="661" spans="2:7" ht="32.25" customHeight="1" x14ac:dyDescent="0.25">
      <c r="B661" s="64"/>
      <c r="C661" s="64"/>
      <c r="D661" s="64"/>
      <c r="E661" s="64"/>
      <c r="F661" s="64"/>
      <c r="G661" s="64"/>
    </row>
    <row r="662" spans="2:7" ht="32.25" customHeight="1" x14ac:dyDescent="0.25">
      <c r="B662" s="64"/>
      <c r="C662" s="64"/>
      <c r="D662" s="64"/>
      <c r="E662" s="64"/>
      <c r="F662" s="64"/>
      <c r="G662" s="64"/>
    </row>
    <row r="663" spans="2:7" ht="32.25" customHeight="1" x14ac:dyDescent="0.25">
      <c r="B663" s="64"/>
      <c r="C663" s="64"/>
      <c r="D663" s="64"/>
      <c r="E663" s="64"/>
      <c r="F663" s="64"/>
      <c r="G663" s="64"/>
    </row>
    <row r="664" spans="2:7" ht="32.25" customHeight="1" x14ac:dyDescent="0.25">
      <c r="B664" s="64"/>
      <c r="C664" s="64"/>
      <c r="D664" s="64"/>
      <c r="E664" s="64"/>
      <c r="F664" s="64"/>
      <c r="G664" s="64"/>
    </row>
    <row r="665" spans="2:7" ht="32.25" customHeight="1" x14ac:dyDescent="0.25">
      <c r="B665" s="64"/>
      <c r="C665" s="64"/>
      <c r="D665" s="64"/>
      <c r="E665" s="64"/>
      <c r="F665" s="64"/>
      <c r="G665" s="64"/>
    </row>
    <row r="666" spans="2:7" ht="32.25" customHeight="1" x14ac:dyDescent="0.25">
      <c r="B666" s="64"/>
      <c r="C666" s="64"/>
      <c r="D666" s="64"/>
      <c r="E666" s="64"/>
      <c r="F666" s="64"/>
      <c r="G666" s="64"/>
    </row>
    <row r="667" spans="2:7" ht="32.25" customHeight="1" x14ac:dyDescent="0.25">
      <c r="B667" s="64"/>
      <c r="C667" s="64"/>
      <c r="D667" s="64"/>
      <c r="E667" s="64"/>
      <c r="F667" s="64"/>
      <c r="G667" s="64"/>
    </row>
    <row r="668" spans="2:7" ht="32.25" customHeight="1" x14ac:dyDescent="0.25">
      <c r="B668" s="64"/>
      <c r="C668" s="64"/>
      <c r="D668" s="64"/>
      <c r="E668" s="64"/>
      <c r="F668" s="64"/>
      <c r="G668" s="64"/>
    </row>
    <row r="669" spans="2:7" ht="32.25" customHeight="1" x14ac:dyDescent="0.25">
      <c r="B669" s="64"/>
      <c r="C669" s="64"/>
      <c r="D669" s="64"/>
      <c r="E669" s="64"/>
      <c r="F669" s="64"/>
      <c r="G669" s="64"/>
    </row>
    <row r="670" spans="2:7" ht="32.25" customHeight="1" x14ac:dyDescent="0.25">
      <c r="B670" s="64"/>
      <c r="C670" s="64"/>
      <c r="D670" s="64"/>
      <c r="E670" s="64"/>
      <c r="F670" s="64"/>
      <c r="G670" s="64"/>
    </row>
    <row r="671" spans="2:7" ht="32.25" customHeight="1" x14ac:dyDescent="0.25">
      <c r="B671" s="64"/>
      <c r="C671" s="64"/>
      <c r="D671" s="64"/>
      <c r="E671" s="64"/>
      <c r="F671" s="64"/>
      <c r="G671" s="64"/>
    </row>
    <row r="672" spans="2:7" ht="32.25" customHeight="1" x14ac:dyDescent="0.25">
      <c r="B672" s="64"/>
      <c r="C672" s="64"/>
      <c r="D672" s="64"/>
      <c r="E672" s="64"/>
      <c r="F672" s="64"/>
      <c r="G672" s="64"/>
    </row>
    <row r="673" spans="2:7" ht="32.25" customHeight="1" x14ac:dyDescent="0.25">
      <c r="B673" s="64"/>
      <c r="C673" s="64"/>
      <c r="D673" s="64"/>
      <c r="E673" s="64"/>
      <c r="F673" s="64"/>
      <c r="G673" s="64"/>
    </row>
    <row r="674" spans="2:7" ht="32.25" customHeight="1" x14ac:dyDescent="0.25">
      <c r="B674" s="64"/>
      <c r="C674" s="64"/>
      <c r="D674" s="64"/>
      <c r="E674" s="64"/>
      <c r="F674" s="64"/>
      <c r="G674" s="64"/>
    </row>
    <row r="675" spans="2:7" ht="32.25" customHeight="1" x14ac:dyDescent="0.25">
      <c r="B675" s="64"/>
      <c r="C675" s="64"/>
      <c r="D675" s="64"/>
      <c r="E675" s="64"/>
      <c r="F675" s="64"/>
      <c r="G675" s="64"/>
    </row>
    <row r="676" spans="2:7" ht="32.25" customHeight="1" x14ac:dyDescent="0.25">
      <c r="B676" s="64"/>
      <c r="C676" s="64"/>
      <c r="D676" s="64"/>
      <c r="E676" s="64"/>
      <c r="F676" s="64"/>
      <c r="G676" s="64"/>
    </row>
    <row r="677" spans="2:7" ht="32.25" customHeight="1" x14ac:dyDescent="0.25">
      <c r="B677" s="64"/>
      <c r="C677" s="64"/>
      <c r="D677" s="64"/>
      <c r="E677" s="64"/>
      <c r="F677" s="64"/>
      <c r="G677" s="64"/>
    </row>
    <row r="678" spans="2:7" ht="32.25" customHeight="1" x14ac:dyDescent="0.25">
      <c r="B678" s="64"/>
      <c r="C678" s="64"/>
      <c r="D678" s="64"/>
      <c r="E678" s="64"/>
      <c r="F678" s="64"/>
      <c r="G678" s="64"/>
    </row>
    <row r="679" spans="2:7" ht="32.25" customHeight="1" x14ac:dyDescent="0.25">
      <c r="B679" s="64"/>
      <c r="C679" s="64"/>
      <c r="D679" s="64"/>
      <c r="E679" s="64"/>
      <c r="F679" s="64"/>
      <c r="G679" s="64"/>
    </row>
    <row r="680" spans="2:7" ht="32.25" customHeight="1" x14ac:dyDescent="0.25">
      <c r="B680" s="64"/>
      <c r="C680" s="64"/>
      <c r="D680" s="64"/>
      <c r="E680" s="64"/>
      <c r="F680" s="64"/>
      <c r="G680" s="64"/>
    </row>
    <row r="681" spans="2:7" ht="32.25" customHeight="1" x14ac:dyDescent="0.25">
      <c r="B681" s="64"/>
      <c r="C681" s="64"/>
      <c r="D681" s="64"/>
      <c r="E681" s="64"/>
      <c r="F681" s="64"/>
      <c r="G681" s="64"/>
    </row>
    <row r="682" spans="2:7" ht="32.25" customHeight="1" x14ac:dyDescent="0.25">
      <c r="B682" s="64"/>
      <c r="C682" s="64"/>
      <c r="D682" s="64"/>
      <c r="E682" s="64"/>
      <c r="F682" s="64"/>
      <c r="G682" s="64"/>
    </row>
    <row r="683" spans="2:7" ht="32.25" customHeight="1" x14ac:dyDescent="0.25">
      <c r="B683" s="64"/>
      <c r="C683" s="64"/>
      <c r="D683" s="64"/>
      <c r="E683" s="64"/>
      <c r="F683" s="64"/>
      <c r="G683" s="64"/>
    </row>
    <row r="684" spans="2:7" ht="32.25" customHeight="1" x14ac:dyDescent="0.25">
      <c r="B684" s="64"/>
      <c r="C684" s="64"/>
      <c r="D684" s="64"/>
      <c r="E684" s="64"/>
      <c r="F684" s="64"/>
      <c r="G684" s="64"/>
    </row>
    <row r="685" spans="2:7" ht="32.25" customHeight="1" x14ac:dyDescent="0.25">
      <c r="B685" s="64"/>
      <c r="C685" s="64"/>
      <c r="D685" s="64"/>
      <c r="E685" s="64"/>
      <c r="F685" s="64"/>
      <c r="G685" s="64"/>
    </row>
    <row r="686" spans="2:7" ht="32.25" customHeight="1" x14ac:dyDescent="0.25">
      <c r="B686" s="64"/>
      <c r="C686" s="64"/>
      <c r="D686" s="64"/>
      <c r="E686" s="64"/>
      <c r="F686" s="64"/>
      <c r="G686" s="64"/>
    </row>
    <row r="687" spans="2:7" ht="32.25" customHeight="1" x14ac:dyDescent="0.25">
      <c r="B687" s="64"/>
      <c r="C687" s="64"/>
      <c r="D687" s="64"/>
      <c r="E687" s="64"/>
      <c r="F687" s="64"/>
      <c r="G687" s="64"/>
    </row>
    <row r="688" spans="2:7" ht="32.25" customHeight="1" x14ac:dyDescent="0.25">
      <c r="B688" s="64"/>
      <c r="C688" s="64"/>
      <c r="D688" s="64"/>
      <c r="E688" s="64"/>
      <c r="F688" s="64"/>
      <c r="G688" s="64"/>
    </row>
    <row r="689" spans="2:7" ht="32.25" customHeight="1" x14ac:dyDescent="0.25">
      <c r="B689" s="64"/>
      <c r="C689" s="64"/>
      <c r="D689" s="64"/>
      <c r="E689" s="64"/>
      <c r="F689" s="64"/>
      <c r="G689" s="64"/>
    </row>
    <row r="690" spans="2:7" ht="32.25" customHeight="1" x14ac:dyDescent="0.25">
      <c r="B690" s="64"/>
      <c r="C690" s="64"/>
      <c r="D690" s="64"/>
      <c r="E690" s="64"/>
      <c r="F690" s="64"/>
      <c r="G690" s="64"/>
    </row>
    <row r="691" spans="2:7" ht="32.25" customHeight="1" x14ac:dyDescent="0.25">
      <c r="B691" s="64"/>
      <c r="C691" s="64"/>
      <c r="D691" s="64"/>
      <c r="E691" s="64"/>
      <c r="F691" s="64"/>
      <c r="G691" s="64"/>
    </row>
    <row r="692" spans="2:7" ht="32.25" customHeight="1" x14ac:dyDescent="0.25">
      <c r="B692" s="64"/>
      <c r="C692" s="64"/>
      <c r="D692" s="64"/>
      <c r="E692" s="64"/>
      <c r="F692" s="64"/>
      <c r="G692" s="64"/>
    </row>
    <row r="693" spans="2:7" ht="32.25" customHeight="1" x14ac:dyDescent="0.25">
      <c r="B693" s="64"/>
      <c r="C693" s="64"/>
      <c r="D693" s="64"/>
      <c r="E693" s="64"/>
      <c r="F693" s="64"/>
      <c r="G693" s="64"/>
    </row>
    <row r="694" spans="2:7" ht="32.25" customHeight="1" x14ac:dyDescent="0.25">
      <c r="B694" s="64"/>
      <c r="C694" s="64"/>
      <c r="D694" s="64"/>
      <c r="E694" s="64"/>
      <c r="F694" s="64"/>
      <c r="G694" s="64"/>
    </row>
    <row r="695" spans="2:7" ht="32.25" customHeight="1" x14ac:dyDescent="0.25">
      <c r="B695" s="64"/>
      <c r="C695" s="64"/>
      <c r="D695" s="64"/>
      <c r="E695" s="64"/>
      <c r="F695" s="64"/>
      <c r="G695" s="64"/>
    </row>
    <row r="696" spans="2:7" ht="32.25" customHeight="1" x14ac:dyDescent="0.25">
      <c r="B696" s="64"/>
      <c r="C696" s="64"/>
      <c r="D696" s="64"/>
      <c r="E696" s="64"/>
      <c r="F696" s="64"/>
      <c r="G696" s="64"/>
    </row>
    <row r="697" spans="2:7" ht="32.25" customHeight="1" x14ac:dyDescent="0.25">
      <c r="B697" s="64"/>
      <c r="C697" s="64"/>
      <c r="D697" s="64"/>
      <c r="E697" s="64"/>
      <c r="F697" s="64"/>
      <c r="G697" s="64"/>
    </row>
    <row r="698" spans="2:7" ht="32.25" customHeight="1" x14ac:dyDescent="0.25">
      <c r="B698" s="64"/>
      <c r="C698" s="64"/>
      <c r="D698" s="64"/>
      <c r="E698" s="64"/>
      <c r="F698" s="64"/>
      <c r="G698" s="64"/>
    </row>
    <row r="699" spans="2:7" ht="32.25" customHeight="1" x14ac:dyDescent="0.25">
      <c r="B699" s="64"/>
      <c r="C699" s="64"/>
      <c r="D699" s="64"/>
      <c r="E699" s="64"/>
      <c r="F699" s="64"/>
      <c r="G699" s="64"/>
    </row>
    <row r="700" spans="2:7" ht="32.25" customHeight="1" x14ac:dyDescent="0.25">
      <c r="B700" s="64"/>
      <c r="C700" s="64"/>
      <c r="D700" s="64"/>
      <c r="E700" s="64"/>
      <c r="F700" s="64"/>
      <c r="G700" s="64"/>
    </row>
    <row r="701" spans="2:7" ht="32.25" customHeight="1" x14ac:dyDescent="0.25">
      <c r="B701" s="64"/>
      <c r="C701" s="64"/>
      <c r="D701" s="64"/>
      <c r="E701" s="64"/>
      <c r="F701" s="64"/>
      <c r="G701" s="64"/>
    </row>
    <row r="702" spans="2:7" ht="32.25" customHeight="1" x14ac:dyDescent="0.25">
      <c r="B702" s="64"/>
      <c r="C702" s="64"/>
      <c r="D702" s="64"/>
      <c r="E702" s="64"/>
      <c r="F702" s="64"/>
      <c r="G702" s="64"/>
    </row>
    <row r="703" spans="2:7" ht="32.25" customHeight="1" x14ac:dyDescent="0.25">
      <c r="B703" s="64"/>
      <c r="C703" s="64"/>
      <c r="D703" s="64"/>
      <c r="E703" s="64"/>
      <c r="F703" s="64"/>
      <c r="G703" s="64"/>
    </row>
    <row r="704" spans="2:7" ht="32.25" customHeight="1" x14ac:dyDescent="0.25">
      <c r="B704" s="64"/>
      <c r="C704" s="64"/>
      <c r="D704" s="64"/>
      <c r="E704" s="64"/>
      <c r="F704" s="64"/>
      <c r="G704" s="64"/>
    </row>
    <row r="705" spans="2:7" ht="32.25" customHeight="1" x14ac:dyDescent="0.25">
      <c r="B705" s="64"/>
      <c r="C705" s="64"/>
      <c r="D705" s="64"/>
      <c r="E705" s="64"/>
      <c r="F705" s="64"/>
      <c r="G705" s="64"/>
    </row>
    <row r="706" spans="2:7" ht="32.25" customHeight="1" x14ac:dyDescent="0.25">
      <c r="B706" s="64"/>
      <c r="C706" s="64"/>
      <c r="D706" s="64"/>
      <c r="E706" s="64"/>
      <c r="F706" s="64"/>
      <c r="G706" s="64"/>
    </row>
    <row r="707" spans="2:7" ht="32.25" customHeight="1" x14ac:dyDescent="0.25">
      <c r="B707" s="64"/>
      <c r="C707" s="64"/>
      <c r="D707" s="64"/>
      <c r="E707" s="64"/>
      <c r="F707" s="64"/>
      <c r="G707" s="64"/>
    </row>
    <row r="708" spans="2:7" ht="32.25" customHeight="1" x14ac:dyDescent="0.25">
      <c r="B708" s="64"/>
      <c r="C708" s="64"/>
      <c r="D708" s="64"/>
      <c r="E708" s="64"/>
      <c r="F708" s="64"/>
      <c r="G708" s="64"/>
    </row>
    <row r="709" spans="2:7" ht="32.25" customHeight="1" x14ac:dyDescent="0.25">
      <c r="B709" s="64"/>
      <c r="C709" s="64"/>
      <c r="D709" s="64"/>
      <c r="E709" s="64"/>
      <c r="F709" s="64"/>
      <c r="G709" s="64"/>
    </row>
    <row r="710" spans="2:7" ht="32.25" customHeight="1" x14ac:dyDescent="0.25">
      <c r="B710" s="64"/>
      <c r="C710" s="64"/>
      <c r="D710" s="64"/>
      <c r="E710" s="64"/>
      <c r="F710" s="64"/>
      <c r="G710" s="64"/>
    </row>
    <row r="711" spans="2:7" ht="32.25" customHeight="1" x14ac:dyDescent="0.25">
      <c r="B711" s="64"/>
      <c r="C711" s="64"/>
      <c r="D711" s="64"/>
      <c r="E711" s="64"/>
      <c r="F711" s="64"/>
      <c r="G711" s="64"/>
    </row>
    <row r="712" spans="2:7" ht="32.25" customHeight="1" x14ac:dyDescent="0.25">
      <c r="B712" s="64"/>
      <c r="C712" s="64"/>
      <c r="D712" s="64"/>
      <c r="E712" s="64"/>
      <c r="F712" s="64"/>
      <c r="G712" s="64"/>
    </row>
    <row r="713" spans="2:7" ht="32.25" customHeight="1" x14ac:dyDescent="0.25">
      <c r="B713" s="64"/>
      <c r="C713" s="64"/>
      <c r="D713" s="64"/>
      <c r="E713" s="64"/>
      <c r="F713" s="64"/>
      <c r="G713" s="64"/>
    </row>
    <row r="714" spans="2:7" ht="32.25" customHeight="1" x14ac:dyDescent="0.25">
      <c r="B714" s="64"/>
      <c r="C714" s="64"/>
      <c r="D714" s="64"/>
      <c r="E714" s="64"/>
      <c r="F714" s="64"/>
      <c r="G714" s="64"/>
    </row>
    <row r="715" spans="2:7" ht="32.25" customHeight="1" x14ac:dyDescent="0.25">
      <c r="B715" s="64"/>
      <c r="C715" s="64"/>
      <c r="D715" s="64"/>
      <c r="E715" s="64"/>
      <c r="F715" s="64"/>
      <c r="G715" s="64"/>
    </row>
    <row r="716" spans="2:7" ht="32.25" customHeight="1" x14ac:dyDescent="0.25">
      <c r="B716" s="64"/>
      <c r="C716" s="64"/>
      <c r="D716" s="64"/>
      <c r="E716" s="64"/>
      <c r="F716" s="64"/>
      <c r="G716" s="64"/>
    </row>
    <row r="717" spans="2:7" ht="32.25" customHeight="1" x14ac:dyDescent="0.25">
      <c r="B717" s="64"/>
      <c r="C717" s="64"/>
      <c r="D717" s="64"/>
      <c r="E717" s="64"/>
      <c r="F717" s="64"/>
      <c r="G717" s="64"/>
    </row>
    <row r="718" spans="2:7" ht="32.25" customHeight="1" x14ac:dyDescent="0.25">
      <c r="B718" s="64"/>
      <c r="C718" s="64"/>
      <c r="D718" s="64"/>
      <c r="E718" s="64"/>
      <c r="F718" s="64"/>
      <c r="G718" s="64"/>
    </row>
    <row r="719" spans="2:7" ht="32.25" customHeight="1" x14ac:dyDescent="0.25">
      <c r="B719" s="64"/>
      <c r="C719" s="64"/>
      <c r="D719" s="64"/>
      <c r="E719" s="64"/>
      <c r="F719" s="64"/>
      <c r="G719" s="64"/>
    </row>
    <row r="720" spans="2:7" ht="32.25" customHeight="1" x14ac:dyDescent="0.25">
      <c r="B720" s="64"/>
      <c r="C720" s="64"/>
      <c r="D720" s="64"/>
      <c r="E720" s="64"/>
      <c r="F720" s="64"/>
      <c r="G720" s="64"/>
    </row>
    <row r="721" spans="2:7" ht="32.25" customHeight="1" x14ac:dyDescent="0.25">
      <c r="B721" s="64"/>
      <c r="C721" s="64"/>
      <c r="D721" s="64"/>
      <c r="E721" s="64"/>
      <c r="F721" s="64"/>
      <c r="G721" s="64"/>
    </row>
    <row r="722" spans="2:7" ht="32.25" customHeight="1" x14ac:dyDescent="0.25">
      <c r="B722" s="64"/>
      <c r="C722" s="64"/>
      <c r="D722" s="64"/>
      <c r="E722" s="64"/>
      <c r="F722" s="64"/>
      <c r="G722" s="64"/>
    </row>
    <row r="723" spans="2:7" ht="32.25" customHeight="1" x14ac:dyDescent="0.25">
      <c r="B723" s="64"/>
      <c r="C723" s="64"/>
      <c r="D723" s="64"/>
      <c r="E723" s="64"/>
      <c r="F723" s="64"/>
      <c r="G723" s="64"/>
    </row>
    <row r="724" spans="2:7" ht="32.25" customHeight="1" x14ac:dyDescent="0.25">
      <c r="B724" s="64"/>
      <c r="C724" s="64"/>
      <c r="D724" s="64"/>
      <c r="E724" s="64"/>
      <c r="F724" s="64"/>
      <c r="G724" s="64"/>
    </row>
    <row r="725" spans="2:7" ht="32.25" customHeight="1" x14ac:dyDescent="0.25">
      <c r="B725" s="64"/>
      <c r="C725" s="64"/>
      <c r="D725" s="64"/>
      <c r="E725" s="64"/>
      <c r="F725" s="64"/>
      <c r="G725" s="64"/>
    </row>
    <row r="726" spans="2:7" ht="32.25" customHeight="1" x14ac:dyDescent="0.25">
      <c r="B726" s="64"/>
      <c r="C726" s="64"/>
      <c r="D726" s="64"/>
      <c r="E726" s="64"/>
      <c r="F726" s="64"/>
      <c r="G726" s="64"/>
    </row>
    <row r="727" spans="2:7" ht="32.25" customHeight="1" x14ac:dyDescent="0.25">
      <c r="B727" s="64"/>
      <c r="C727" s="64"/>
      <c r="D727" s="64"/>
      <c r="E727" s="64"/>
      <c r="F727" s="64"/>
      <c r="G727" s="64"/>
    </row>
    <row r="728" spans="2:7" ht="32.25" customHeight="1" x14ac:dyDescent="0.25">
      <c r="B728" s="64"/>
      <c r="C728" s="64"/>
      <c r="D728" s="64"/>
      <c r="E728" s="64"/>
      <c r="F728" s="64"/>
      <c r="G728" s="64"/>
    </row>
    <row r="729" spans="2:7" ht="32.25" customHeight="1" x14ac:dyDescent="0.25">
      <c r="B729" s="64"/>
      <c r="C729" s="64"/>
      <c r="D729" s="64"/>
      <c r="E729" s="64"/>
      <c r="F729" s="64"/>
      <c r="G729" s="64"/>
    </row>
    <row r="730" spans="2:7" ht="32.25" customHeight="1" x14ac:dyDescent="0.25">
      <c r="B730" s="64"/>
      <c r="C730" s="64"/>
      <c r="D730" s="64"/>
      <c r="E730" s="64"/>
      <c r="F730" s="64"/>
      <c r="G730" s="64"/>
    </row>
    <row r="731" spans="2:7" ht="32.25" customHeight="1" x14ac:dyDescent="0.25">
      <c r="B731" s="64"/>
      <c r="C731" s="64"/>
      <c r="D731" s="64"/>
      <c r="E731" s="64"/>
      <c r="F731" s="64"/>
      <c r="G731" s="64"/>
    </row>
    <row r="732" spans="2:7" ht="32.25" customHeight="1" x14ac:dyDescent="0.25">
      <c r="B732" s="64"/>
      <c r="C732" s="64"/>
      <c r="D732" s="64"/>
      <c r="E732" s="64"/>
      <c r="F732" s="64"/>
      <c r="G732" s="64"/>
    </row>
    <row r="733" spans="2:7" ht="32.25" customHeight="1" x14ac:dyDescent="0.25">
      <c r="B733" s="64"/>
      <c r="C733" s="64"/>
      <c r="D733" s="64"/>
      <c r="E733" s="64"/>
      <c r="F733" s="64"/>
      <c r="G733" s="64"/>
    </row>
    <row r="734" spans="2:7" ht="32.25" customHeight="1" x14ac:dyDescent="0.25">
      <c r="B734" s="64"/>
      <c r="C734" s="64"/>
      <c r="D734" s="64"/>
      <c r="E734" s="64"/>
      <c r="F734" s="64"/>
      <c r="G734" s="64"/>
    </row>
    <row r="735" spans="2:7" ht="32.25" customHeight="1" x14ac:dyDescent="0.25">
      <c r="B735" s="64"/>
      <c r="C735" s="64"/>
      <c r="D735" s="64"/>
      <c r="E735" s="64"/>
      <c r="F735" s="64"/>
      <c r="G735" s="64"/>
    </row>
    <row r="736" spans="2:7" ht="32.25" customHeight="1" x14ac:dyDescent="0.25">
      <c r="B736" s="64"/>
      <c r="C736" s="64"/>
      <c r="D736" s="64"/>
      <c r="E736" s="64"/>
      <c r="F736" s="64"/>
      <c r="G736" s="64"/>
    </row>
    <row r="737" spans="2:7" ht="32.25" customHeight="1" x14ac:dyDescent="0.25">
      <c r="B737" s="64"/>
      <c r="C737" s="64"/>
      <c r="D737" s="64"/>
      <c r="E737" s="64"/>
      <c r="F737" s="64"/>
      <c r="G737" s="64"/>
    </row>
    <row r="738" spans="2:7" ht="32.25" customHeight="1" x14ac:dyDescent="0.25">
      <c r="B738" s="64"/>
      <c r="C738" s="64"/>
      <c r="D738" s="64"/>
      <c r="E738" s="64"/>
      <c r="F738" s="64"/>
      <c r="G738" s="64"/>
    </row>
    <row r="739" spans="2:7" ht="32.25" customHeight="1" x14ac:dyDescent="0.25">
      <c r="B739" s="64"/>
      <c r="C739" s="64"/>
      <c r="D739" s="64"/>
      <c r="E739" s="64"/>
      <c r="F739" s="64"/>
      <c r="G739" s="64"/>
    </row>
    <row r="740" spans="2:7" ht="32.25" customHeight="1" x14ac:dyDescent="0.25">
      <c r="B740" s="64"/>
      <c r="C740" s="64"/>
      <c r="D740" s="64"/>
      <c r="E740" s="64"/>
      <c r="F740" s="64"/>
      <c r="G740" s="64"/>
    </row>
    <row r="741" spans="2:7" ht="32.25" customHeight="1" x14ac:dyDescent="0.25">
      <c r="B741" s="64"/>
      <c r="C741" s="64"/>
      <c r="D741" s="64"/>
      <c r="E741" s="64"/>
      <c r="F741" s="64"/>
      <c r="G741" s="64"/>
    </row>
    <row r="742" spans="2:7" ht="32.25" customHeight="1" x14ac:dyDescent="0.25">
      <c r="B742" s="64"/>
      <c r="C742" s="64"/>
      <c r="D742" s="64"/>
      <c r="E742" s="64"/>
      <c r="F742" s="64"/>
      <c r="G742" s="64"/>
    </row>
    <row r="743" spans="2:7" ht="32.25" customHeight="1" x14ac:dyDescent="0.25">
      <c r="B743" s="64"/>
      <c r="C743" s="64"/>
      <c r="D743" s="64"/>
      <c r="E743" s="64"/>
      <c r="F743" s="64"/>
      <c r="G743" s="64"/>
    </row>
    <row r="744" spans="2:7" ht="32.25" customHeight="1" x14ac:dyDescent="0.25">
      <c r="B744" s="64"/>
      <c r="C744" s="64"/>
      <c r="D744" s="64"/>
      <c r="E744" s="64"/>
      <c r="F744" s="64"/>
      <c r="G744" s="64"/>
    </row>
    <row r="745" spans="2:7" ht="32.25" customHeight="1" x14ac:dyDescent="0.25">
      <c r="B745" s="64"/>
      <c r="C745" s="64"/>
      <c r="D745" s="64"/>
      <c r="E745" s="64"/>
      <c r="F745" s="64"/>
      <c r="G745" s="64"/>
    </row>
    <row r="746" spans="2:7" ht="32.25" customHeight="1" x14ac:dyDescent="0.25">
      <c r="B746" s="64"/>
      <c r="C746" s="64"/>
      <c r="D746" s="64"/>
      <c r="E746" s="64"/>
      <c r="F746" s="64"/>
      <c r="G746" s="64"/>
    </row>
    <row r="747" spans="2:7" ht="32.25" customHeight="1" x14ac:dyDescent="0.25">
      <c r="B747" s="64"/>
      <c r="C747" s="64"/>
      <c r="D747" s="64"/>
      <c r="E747" s="64"/>
      <c r="F747" s="64"/>
      <c r="G747" s="64"/>
    </row>
    <row r="748" spans="2:7" ht="32.25" customHeight="1" x14ac:dyDescent="0.25">
      <c r="B748" s="64"/>
      <c r="C748" s="64"/>
      <c r="D748" s="64"/>
      <c r="E748" s="64"/>
      <c r="F748" s="64"/>
      <c r="G748" s="64"/>
    </row>
    <row r="749" spans="2:7" ht="32.25" customHeight="1" x14ac:dyDescent="0.25">
      <c r="B749" s="64"/>
      <c r="C749" s="64"/>
      <c r="D749" s="64"/>
      <c r="E749" s="64"/>
      <c r="F749" s="64"/>
      <c r="G749" s="64"/>
    </row>
    <row r="750" spans="2:7" ht="32.25" customHeight="1" x14ac:dyDescent="0.25">
      <c r="B750" s="64"/>
      <c r="C750" s="64"/>
      <c r="D750" s="64"/>
      <c r="E750" s="64"/>
      <c r="F750" s="64"/>
      <c r="G750" s="64"/>
    </row>
    <row r="751" spans="2:7" ht="32.25" customHeight="1" x14ac:dyDescent="0.25">
      <c r="B751" s="64"/>
      <c r="C751" s="64"/>
      <c r="D751" s="64"/>
      <c r="E751" s="64"/>
      <c r="F751" s="64"/>
      <c r="G751" s="64"/>
    </row>
    <row r="752" spans="2:7" ht="32.25" customHeight="1" x14ac:dyDescent="0.25">
      <c r="B752" s="64"/>
      <c r="C752" s="64"/>
      <c r="D752" s="64"/>
      <c r="E752" s="64"/>
      <c r="F752" s="64"/>
      <c r="G752" s="64"/>
    </row>
    <row r="753" spans="2:7" ht="32.25" customHeight="1" x14ac:dyDescent="0.25">
      <c r="B753" s="64"/>
      <c r="C753" s="64"/>
      <c r="D753" s="64"/>
      <c r="E753" s="64"/>
      <c r="F753" s="64"/>
      <c r="G753" s="64"/>
    </row>
    <row r="754" spans="2:7" ht="32.25" customHeight="1" x14ac:dyDescent="0.25">
      <c r="B754" s="64"/>
      <c r="C754" s="64"/>
      <c r="D754" s="64"/>
      <c r="E754" s="64"/>
      <c r="F754" s="64"/>
      <c r="G754" s="64"/>
    </row>
    <row r="755" spans="2:7" ht="32.25" customHeight="1" x14ac:dyDescent="0.25">
      <c r="B755" s="64"/>
      <c r="C755" s="64"/>
      <c r="D755" s="64"/>
      <c r="E755" s="64"/>
      <c r="F755" s="64"/>
      <c r="G755" s="64"/>
    </row>
    <row r="756" spans="2:7" ht="32.25" customHeight="1" x14ac:dyDescent="0.25">
      <c r="B756" s="64"/>
      <c r="C756" s="64"/>
      <c r="D756" s="64"/>
      <c r="E756" s="64"/>
      <c r="F756" s="64"/>
      <c r="G756" s="64"/>
    </row>
    <row r="757" spans="2:7" ht="32.25" customHeight="1" x14ac:dyDescent="0.25">
      <c r="B757" s="64"/>
      <c r="C757" s="64"/>
      <c r="D757" s="64"/>
      <c r="E757" s="64"/>
      <c r="F757" s="64"/>
      <c r="G757" s="64"/>
    </row>
    <row r="758" spans="2:7" ht="32.25" customHeight="1" x14ac:dyDescent="0.25">
      <c r="B758" s="64"/>
      <c r="C758" s="64"/>
      <c r="D758" s="64"/>
      <c r="E758" s="64"/>
      <c r="F758" s="64"/>
      <c r="G758" s="64"/>
    </row>
    <row r="759" spans="2:7" ht="32.25" customHeight="1" x14ac:dyDescent="0.25">
      <c r="B759" s="64"/>
      <c r="C759" s="64"/>
      <c r="D759" s="64"/>
      <c r="E759" s="64"/>
      <c r="F759" s="64"/>
      <c r="G759" s="64"/>
    </row>
    <row r="760" spans="2:7" ht="32.25" customHeight="1" x14ac:dyDescent="0.25">
      <c r="B760" s="64"/>
      <c r="C760" s="64"/>
      <c r="D760" s="64"/>
      <c r="E760" s="64"/>
      <c r="F760" s="64"/>
      <c r="G760" s="64"/>
    </row>
    <row r="761" spans="2:7" ht="32.25" customHeight="1" x14ac:dyDescent="0.25">
      <c r="B761" s="64"/>
      <c r="C761" s="64"/>
      <c r="D761" s="64"/>
      <c r="E761" s="64"/>
      <c r="F761" s="64"/>
      <c r="G761" s="64"/>
    </row>
    <row r="762" spans="2:7" ht="32.25" customHeight="1" x14ac:dyDescent="0.25">
      <c r="B762" s="64"/>
      <c r="C762" s="64"/>
      <c r="D762" s="64"/>
      <c r="E762" s="64"/>
      <c r="F762" s="64"/>
      <c r="G762" s="64"/>
    </row>
    <row r="763" spans="2:7" ht="32.25" customHeight="1" x14ac:dyDescent="0.25">
      <c r="B763" s="64"/>
      <c r="C763" s="64"/>
      <c r="D763" s="64"/>
      <c r="E763" s="64"/>
      <c r="F763" s="64"/>
      <c r="G763" s="64"/>
    </row>
    <row r="764" spans="2:7" ht="32.25" customHeight="1" x14ac:dyDescent="0.25">
      <c r="B764" s="64"/>
      <c r="C764" s="64"/>
      <c r="D764" s="64"/>
      <c r="E764" s="64"/>
      <c r="F764" s="64"/>
      <c r="G764" s="64"/>
    </row>
    <row r="765" spans="2:7" ht="32.25" customHeight="1" x14ac:dyDescent="0.25">
      <c r="B765" s="64"/>
      <c r="C765" s="64"/>
      <c r="D765" s="64"/>
      <c r="E765" s="64"/>
      <c r="F765" s="64"/>
      <c r="G765" s="64"/>
    </row>
    <row r="766" spans="2:7" ht="32.25" customHeight="1" x14ac:dyDescent="0.25">
      <c r="B766" s="64"/>
      <c r="C766" s="64"/>
      <c r="D766" s="64"/>
      <c r="E766" s="64"/>
      <c r="F766" s="64"/>
      <c r="G766" s="64"/>
    </row>
    <row r="767" spans="2:7" ht="32.25" customHeight="1" x14ac:dyDescent="0.25">
      <c r="B767" s="64"/>
      <c r="C767" s="64"/>
      <c r="D767" s="64"/>
      <c r="E767" s="64"/>
      <c r="F767" s="64"/>
      <c r="G767" s="64"/>
    </row>
    <row r="768" spans="2:7" ht="32.25" customHeight="1" x14ac:dyDescent="0.25">
      <c r="B768" s="64"/>
      <c r="C768" s="64"/>
      <c r="D768" s="64"/>
      <c r="E768" s="64"/>
      <c r="F768" s="64"/>
      <c r="G768" s="64"/>
    </row>
    <row r="769" spans="2:7" ht="32.25" customHeight="1" x14ac:dyDescent="0.25">
      <c r="B769" s="64"/>
      <c r="C769" s="64"/>
      <c r="D769" s="64"/>
      <c r="E769" s="64"/>
      <c r="F769" s="64"/>
      <c r="G769" s="64"/>
    </row>
    <row r="770" spans="2:7" ht="32.25" customHeight="1" x14ac:dyDescent="0.25">
      <c r="B770" s="64"/>
      <c r="C770" s="64"/>
      <c r="D770" s="64"/>
      <c r="E770" s="64"/>
      <c r="F770" s="64"/>
      <c r="G770" s="64"/>
    </row>
    <row r="771" spans="2:7" ht="32.25" customHeight="1" x14ac:dyDescent="0.25">
      <c r="B771" s="64"/>
      <c r="C771" s="64"/>
      <c r="D771" s="64"/>
      <c r="E771" s="64"/>
      <c r="F771" s="64"/>
      <c r="G771" s="64"/>
    </row>
    <row r="772" spans="2:7" ht="32.25" customHeight="1" x14ac:dyDescent="0.25">
      <c r="B772" s="64"/>
      <c r="C772" s="64"/>
      <c r="D772" s="64"/>
      <c r="E772" s="64"/>
      <c r="F772" s="64"/>
      <c r="G772" s="64"/>
    </row>
    <row r="773" spans="2:7" ht="32.25" customHeight="1" x14ac:dyDescent="0.25">
      <c r="B773" s="64"/>
      <c r="C773" s="64"/>
      <c r="D773" s="64"/>
      <c r="E773" s="64"/>
      <c r="F773" s="64"/>
      <c r="G773" s="64"/>
    </row>
    <row r="774" spans="2:7" ht="32.25" customHeight="1" x14ac:dyDescent="0.25">
      <c r="B774" s="64"/>
      <c r="C774" s="64"/>
      <c r="D774" s="64"/>
      <c r="E774" s="64"/>
      <c r="F774" s="64"/>
      <c r="G774" s="64"/>
    </row>
    <row r="775" spans="2:7" ht="32.25" customHeight="1" x14ac:dyDescent="0.25">
      <c r="B775" s="64"/>
      <c r="C775" s="64"/>
      <c r="D775" s="64"/>
      <c r="E775" s="64"/>
      <c r="F775" s="64"/>
      <c r="G775" s="64"/>
    </row>
    <row r="776" spans="2:7" ht="32.25" customHeight="1" x14ac:dyDescent="0.25">
      <c r="B776" s="64"/>
      <c r="C776" s="64"/>
      <c r="D776" s="64"/>
      <c r="E776" s="64"/>
      <c r="F776" s="64"/>
      <c r="G776" s="64"/>
    </row>
    <row r="777" spans="2:7" ht="32.25" customHeight="1" x14ac:dyDescent="0.25">
      <c r="B777" s="64"/>
      <c r="C777" s="64"/>
      <c r="D777" s="64"/>
      <c r="E777" s="64"/>
      <c r="F777" s="64"/>
      <c r="G777" s="64"/>
    </row>
    <row r="778" spans="2:7" ht="32.25" customHeight="1" x14ac:dyDescent="0.25">
      <c r="B778" s="64"/>
      <c r="C778" s="64"/>
      <c r="D778" s="64"/>
      <c r="E778" s="64"/>
      <c r="F778" s="64"/>
      <c r="G778" s="64"/>
    </row>
    <row r="779" spans="2:7" ht="32.25" customHeight="1" x14ac:dyDescent="0.25">
      <c r="B779" s="64"/>
      <c r="C779" s="64"/>
      <c r="D779" s="64"/>
      <c r="E779" s="64"/>
      <c r="F779" s="64"/>
      <c r="G779" s="64"/>
    </row>
    <row r="780" spans="2:7" ht="32.25" customHeight="1" x14ac:dyDescent="0.25">
      <c r="B780" s="64"/>
      <c r="C780" s="64"/>
      <c r="D780" s="64"/>
      <c r="E780" s="64"/>
      <c r="F780" s="64"/>
      <c r="G780" s="64"/>
    </row>
    <row r="781" spans="2:7" ht="32.25" customHeight="1" x14ac:dyDescent="0.25">
      <c r="B781" s="64"/>
      <c r="C781" s="64"/>
      <c r="D781" s="64"/>
      <c r="E781" s="64"/>
      <c r="F781" s="64"/>
      <c r="G781" s="64"/>
    </row>
    <row r="782" spans="2:7" ht="32.25" customHeight="1" x14ac:dyDescent="0.25">
      <c r="B782" s="64"/>
      <c r="C782" s="64"/>
      <c r="D782" s="64"/>
      <c r="E782" s="64"/>
      <c r="F782" s="64"/>
      <c r="G782" s="64"/>
    </row>
    <row r="783" spans="2:7" ht="32.25" customHeight="1" x14ac:dyDescent="0.25">
      <c r="B783" s="64"/>
      <c r="C783" s="64"/>
      <c r="D783" s="64"/>
      <c r="E783" s="64"/>
      <c r="F783" s="64"/>
      <c r="G783" s="64"/>
    </row>
    <row r="784" spans="2:7" ht="32.25" customHeight="1" x14ac:dyDescent="0.25">
      <c r="B784" s="64"/>
      <c r="C784" s="64"/>
      <c r="D784" s="64"/>
      <c r="E784" s="64"/>
      <c r="F784" s="64"/>
      <c r="G784" s="64"/>
    </row>
    <row r="785" spans="2:7" ht="32.25" customHeight="1" x14ac:dyDescent="0.25">
      <c r="B785" s="64"/>
      <c r="C785" s="64"/>
      <c r="D785" s="64"/>
      <c r="E785" s="64"/>
      <c r="F785" s="64"/>
      <c r="G785" s="64"/>
    </row>
    <row r="786" spans="2:7" ht="32.25" customHeight="1" x14ac:dyDescent="0.25">
      <c r="B786" s="64"/>
      <c r="C786" s="64"/>
      <c r="D786" s="64"/>
      <c r="E786" s="64"/>
      <c r="F786" s="64"/>
      <c r="G786" s="64"/>
    </row>
    <row r="787" spans="2:7" ht="32.25" customHeight="1" x14ac:dyDescent="0.25">
      <c r="B787" s="64"/>
      <c r="C787" s="64"/>
      <c r="D787" s="64"/>
      <c r="E787" s="64"/>
      <c r="F787" s="64"/>
      <c r="G787" s="64"/>
    </row>
    <row r="788" spans="2:7" ht="32.25" customHeight="1" x14ac:dyDescent="0.25">
      <c r="B788" s="64"/>
      <c r="C788" s="64"/>
      <c r="D788" s="64"/>
      <c r="E788" s="64"/>
      <c r="F788" s="64"/>
      <c r="G788" s="64"/>
    </row>
    <row r="789" spans="2:7" ht="32.25" customHeight="1" x14ac:dyDescent="0.25">
      <c r="B789" s="64"/>
      <c r="C789" s="64"/>
      <c r="D789" s="64"/>
      <c r="E789" s="64"/>
      <c r="F789" s="64"/>
      <c r="G789" s="64"/>
    </row>
    <row r="790" spans="2:7" ht="32.25" customHeight="1" x14ac:dyDescent="0.25">
      <c r="B790" s="64"/>
      <c r="C790" s="64"/>
      <c r="D790" s="64"/>
      <c r="E790" s="64"/>
      <c r="F790" s="64"/>
      <c r="G790" s="64"/>
    </row>
    <row r="791" spans="2:7" ht="32.25" customHeight="1" x14ac:dyDescent="0.25">
      <c r="B791" s="64"/>
      <c r="C791" s="64"/>
      <c r="D791" s="64"/>
      <c r="E791" s="64"/>
      <c r="F791" s="64"/>
      <c r="G791" s="64"/>
    </row>
    <row r="792" spans="2:7" ht="32.25" customHeight="1" x14ac:dyDescent="0.25">
      <c r="B792" s="64"/>
      <c r="C792" s="64"/>
      <c r="D792" s="64"/>
      <c r="E792" s="64"/>
      <c r="F792" s="64"/>
      <c r="G792" s="64"/>
    </row>
    <row r="793" spans="2:7" ht="32.25" customHeight="1" x14ac:dyDescent="0.25">
      <c r="B793" s="64"/>
      <c r="C793" s="64"/>
      <c r="D793" s="64"/>
      <c r="E793" s="64"/>
      <c r="F793" s="64"/>
      <c r="G793" s="64"/>
    </row>
    <row r="794" spans="2:7" ht="32.25" customHeight="1" x14ac:dyDescent="0.25">
      <c r="B794" s="64"/>
      <c r="C794" s="64"/>
      <c r="D794" s="64"/>
      <c r="E794" s="64"/>
      <c r="F794" s="64"/>
      <c r="G794" s="64"/>
    </row>
    <row r="795" spans="2:7" ht="32.25" customHeight="1" x14ac:dyDescent="0.25">
      <c r="B795" s="64"/>
      <c r="C795" s="64"/>
      <c r="D795" s="64"/>
      <c r="E795" s="64"/>
      <c r="F795" s="64"/>
      <c r="G795" s="64"/>
    </row>
    <row r="796" spans="2:7" ht="32.25" customHeight="1" x14ac:dyDescent="0.25">
      <c r="B796" s="64"/>
      <c r="C796" s="64"/>
      <c r="D796" s="64"/>
      <c r="E796" s="64"/>
      <c r="F796" s="64"/>
      <c r="G796" s="64"/>
    </row>
    <row r="797" spans="2:7" ht="32.25" customHeight="1" x14ac:dyDescent="0.25">
      <c r="B797" s="64"/>
      <c r="C797" s="64"/>
      <c r="D797" s="64"/>
      <c r="E797" s="64"/>
      <c r="F797" s="64"/>
      <c r="G797" s="64"/>
    </row>
    <row r="798" spans="2:7" ht="32.25" customHeight="1" x14ac:dyDescent="0.25">
      <c r="B798" s="64"/>
      <c r="C798" s="64"/>
      <c r="D798" s="64"/>
      <c r="E798" s="64"/>
      <c r="F798" s="64"/>
      <c r="G798" s="64"/>
    </row>
    <row r="799" spans="2:7" ht="32.25" customHeight="1" x14ac:dyDescent="0.25">
      <c r="B799" s="64"/>
      <c r="C799" s="64"/>
      <c r="D799" s="64"/>
      <c r="E799" s="64"/>
      <c r="F799" s="64"/>
      <c r="G799" s="64"/>
    </row>
    <row r="800" spans="2:7" ht="32.25" customHeight="1" x14ac:dyDescent="0.25">
      <c r="B800" s="64"/>
      <c r="C800" s="64"/>
      <c r="D800" s="64"/>
      <c r="E800" s="64"/>
      <c r="F800" s="64"/>
      <c r="G800" s="64"/>
    </row>
    <row r="801" spans="2:7" ht="32.25" customHeight="1" x14ac:dyDescent="0.25">
      <c r="B801" s="64"/>
      <c r="C801" s="64"/>
      <c r="D801" s="64"/>
      <c r="E801" s="64"/>
      <c r="F801" s="64"/>
      <c r="G801" s="64"/>
    </row>
    <row r="802" spans="2:7" ht="32.25" customHeight="1" x14ac:dyDescent="0.25">
      <c r="B802" s="64"/>
      <c r="C802" s="64"/>
      <c r="D802" s="64"/>
      <c r="E802" s="64"/>
      <c r="F802" s="64"/>
      <c r="G802" s="64"/>
    </row>
    <row r="803" spans="2:7" ht="32.25" customHeight="1" x14ac:dyDescent="0.25">
      <c r="B803" s="64"/>
      <c r="C803" s="64"/>
      <c r="D803" s="64"/>
      <c r="E803" s="64"/>
      <c r="F803" s="64"/>
      <c r="G803" s="64"/>
    </row>
    <row r="804" spans="2:7" ht="32.25" customHeight="1" x14ac:dyDescent="0.25">
      <c r="B804" s="64"/>
      <c r="C804" s="64"/>
      <c r="D804" s="64"/>
      <c r="E804" s="64"/>
      <c r="F804" s="64"/>
      <c r="G804" s="64"/>
    </row>
    <row r="805" spans="2:7" ht="32.25" customHeight="1" x14ac:dyDescent="0.25">
      <c r="B805" s="64"/>
      <c r="C805" s="64"/>
      <c r="D805" s="64"/>
      <c r="E805" s="64"/>
      <c r="F805" s="64"/>
      <c r="G805" s="64"/>
    </row>
    <row r="806" spans="2:7" ht="32.25" customHeight="1" x14ac:dyDescent="0.25">
      <c r="B806" s="64"/>
      <c r="C806" s="64"/>
      <c r="D806" s="64"/>
      <c r="E806" s="64"/>
      <c r="F806" s="64"/>
      <c r="G806" s="64"/>
    </row>
    <row r="807" spans="2:7" ht="32.25" customHeight="1" x14ac:dyDescent="0.25">
      <c r="B807" s="64"/>
      <c r="C807" s="64"/>
      <c r="D807" s="64"/>
      <c r="E807" s="64"/>
      <c r="F807" s="64"/>
      <c r="G807" s="64"/>
    </row>
    <row r="808" spans="2:7" ht="32.25" customHeight="1" x14ac:dyDescent="0.25">
      <c r="B808" s="64"/>
      <c r="C808" s="64"/>
      <c r="D808" s="64"/>
      <c r="E808" s="64"/>
      <c r="F808" s="64"/>
      <c r="G808" s="64"/>
    </row>
    <row r="809" spans="2:7" ht="32.25" customHeight="1" x14ac:dyDescent="0.25">
      <c r="B809" s="64"/>
      <c r="C809" s="64"/>
      <c r="D809" s="64"/>
      <c r="E809" s="64"/>
      <c r="F809" s="64"/>
      <c r="G809" s="64"/>
    </row>
    <row r="810" spans="2:7" ht="32.25" customHeight="1" x14ac:dyDescent="0.25">
      <c r="B810" s="64"/>
      <c r="C810" s="64"/>
      <c r="D810" s="64"/>
      <c r="E810" s="64"/>
      <c r="F810" s="64"/>
      <c r="G810" s="64"/>
    </row>
    <row r="811" spans="2:7" ht="32.25" customHeight="1" x14ac:dyDescent="0.25">
      <c r="B811" s="64"/>
      <c r="C811" s="64"/>
      <c r="D811" s="64"/>
      <c r="E811" s="64"/>
      <c r="F811" s="64"/>
      <c r="G811" s="64"/>
    </row>
    <row r="812" spans="2:7" ht="32.25" customHeight="1" x14ac:dyDescent="0.25">
      <c r="B812" s="64"/>
      <c r="C812" s="64"/>
      <c r="D812" s="64"/>
      <c r="E812" s="64"/>
      <c r="F812" s="64"/>
      <c r="G812" s="64"/>
    </row>
    <row r="813" spans="2:7" ht="32.25" customHeight="1" x14ac:dyDescent="0.25">
      <c r="B813" s="64"/>
      <c r="C813" s="64"/>
      <c r="D813" s="64"/>
      <c r="E813" s="64"/>
      <c r="F813" s="64"/>
      <c r="G813" s="64"/>
    </row>
    <row r="814" spans="2:7" ht="32.25" customHeight="1" x14ac:dyDescent="0.25">
      <c r="B814" s="64"/>
      <c r="C814" s="64"/>
      <c r="D814" s="64"/>
      <c r="E814" s="64"/>
      <c r="F814" s="64"/>
      <c r="G814" s="64"/>
    </row>
    <row r="815" spans="2:7" ht="32.25" customHeight="1" x14ac:dyDescent="0.25">
      <c r="B815" s="64"/>
      <c r="C815" s="64"/>
      <c r="D815" s="64"/>
      <c r="E815" s="64"/>
      <c r="F815" s="64"/>
      <c r="G815" s="64"/>
    </row>
    <row r="816" spans="2:7" ht="32.25" customHeight="1" x14ac:dyDescent="0.25">
      <c r="B816" s="64"/>
      <c r="C816" s="64"/>
      <c r="D816" s="64"/>
      <c r="E816" s="64"/>
      <c r="F816" s="64"/>
      <c r="G816" s="64"/>
    </row>
    <row r="817" spans="2:7" ht="32.25" customHeight="1" x14ac:dyDescent="0.25">
      <c r="B817" s="64"/>
      <c r="C817" s="64"/>
      <c r="D817" s="64"/>
      <c r="E817" s="64"/>
      <c r="F817" s="64"/>
      <c r="G817" s="64"/>
    </row>
    <row r="818" spans="2:7" ht="32.25" customHeight="1" x14ac:dyDescent="0.25">
      <c r="B818" s="64"/>
      <c r="C818" s="64"/>
      <c r="D818" s="64"/>
      <c r="E818" s="64"/>
      <c r="F818" s="64"/>
      <c r="G818" s="64"/>
    </row>
    <row r="819" spans="2:7" ht="32.25" customHeight="1" x14ac:dyDescent="0.25">
      <c r="B819" s="64"/>
      <c r="C819" s="64"/>
      <c r="D819" s="64"/>
      <c r="E819" s="64"/>
      <c r="F819" s="64"/>
      <c r="G819" s="64"/>
    </row>
    <row r="820" spans="2:7" ht="32.25" customHeight="1" x14ac:dyDescent="0.25">
      <c r="B820" s="64"/>
      <c r="C820" s="64"/>
      <c r="D820" s="64"/>
      <c r="E820" s="64"/>
      <c r="F820" s="64"/>
      <c r="G820" s="64"/>
    </row>
    <row r="821" spans="2:7" ht="32.25" customHeight="1" x14ac:dyDescent="0.25">
      <c r="B821" s="64"/>
      <c r="C821" s="64"/>
      <c r="D821" s="64"/>
      <c r="E821" s="64"/>
      <c r="F821" s="64"/>
      <c r="G821" s="64"/>
    </row>
    <row r="822" spans="2:7" ht="32.25" customHeight="1" x14ac:dyDescent="0.25">
      <c r="B822" s="64"/>
      <c r="C822" s="64"/>
      <c r="D822" s="64"/>
      <c r="E822" s="64"/>
      <c r="F822" s="64"/>
      <c r="G822" s="64"/>
    </row>
    <row r="823" spans="2:7" ht="32.25" customHeight="1" x14ac:dyDescent="0.25">
      <c r="B823" s="64"/>
      <c r="C823" s="64"/>
      <c r="D823" s="64"/>
      <c r="E823" s="64"/>
      <c r="F823" s="64"/>
      <c r="G823" s="64"/>
    </row>
    <row r="824" spans="2:7" ht="32.25" customHeight="1" x14ac:dyDescent="0.25">
      <c r="B824" s="64"/>
      <c r="C824" s="64"/>
      <c r="D824" s="64"/>
      <c r="E824" s="64"/>
      <c r="F824" s="64"/>
      <c r="G824" s="64"/>
    </row>
    <row r="825" spans="2:7" ht="32.25" customHeight="1" x14ac:dyDescent="0.25">
      <c r="B825" s="64"/>
      <c r="C825" s="64"/>
      <c r="D825" s="64"/>
      <c r="E825" s="64"/>
      <c r="F825" s="64"/>
      <c r="G825" s="64"/>
    </row>
    <row r="826" spans="2:7" ht="32.25" customHeight="1" x14ac:dyDescent="0.25">
      <c r="B826" s="64"/>
      <c r="C826" s="64"/>
      <c r="D826" s="64"/>
      <c r="E826" s="64"/>
      <c r="F826" s="64"/>
      <c r="G826" s="64"/>
    </row>
    <row r="827" spans="2:7" ht="32.25" customHeight="1" x14ac:dyDescent="0.25">
      <c r="B827" s="64"/>
      <c r="C827" s="64"/>
      <c r="D827" s="64"/>
      <c r="E827" s="64"/>
      <c r="F827" s="64"/>
      <c r="G827" s="64"/>
    </row>
    <row r="828" spans="2:7" ht="32.25" customHeight="1" x14ac:dyDescent="0.25">
      <c r="B828" s="64"/>
      <c r="C828" s="64"/>
      <c r="D828" s="64"/>
      <c r="E828" s="64"/>
      <c r="F828" s="64"/>
      <c r="G828" s="64"/>
    </row>
    <row r="829" spans="2:7" ht="32.25" customHeight="1" x14ac:dyDescent="0.25">
      <c r="B829" s="64"/>
      <c r="C829" s="64"/>
      <c r="D829" s="64"/>
      <c r="E829" s="64"/>
      <c r="F829" s="64"/>
      <c r="G829" s="64"/>
    </row>
    <row r="830" spans="2:7" ht="32.25" customHeight="1" x14ac:dyDescent="0.25">
      <c r="B830" s="64"/>
      <c r="C830" s="64"/>
      <c r="D830" s="64"/>
      <c r="E830" s="64"/>
      <c r="F830" s="64"/>
      <c r="G830" s="64"/>
    </row>
    <row r="831" spans="2:7" ht="32.25" customHeight="1" x14ac:dyDescent="0.25">
      <c r="B831" s="64"/>
      <c r="C831" s="64"/>
      <c r="D831" s="64"/>
      <c r="E831" s="64"/>
      <c r="F831" s="64"/>
      <c r="G831" s="64"/>
    </row>
    <row r="832" spans="2:7" ht="32.25" customHeight="1" x14ac:dyDescent="0.25">
      <c r="B832" s="64"/>
      <c r="C832" s="64"/>
      <c r="D832" s="64"/>
      <c r="E832" s="64"/>
      <c r="F832" s="64"/>
      <c r="G832" s="64"/>
    </row>
    <row r="833" spans="2:7" ht="32.25" customHeight="1" x14ac:dyDescent="0.25">
      <c r="B833" s="64"/>
      <c r="C833" s="64"/>
      <c r="D833" s="64"/>
      <c r="E833" s="64"/>
      <c r="F833" s="64"/>
      <c r="G833" s="64"/>
    </row>
    <row r="834" spans="2:7" ht="32.25" customHeight="1" x14ac:dyDescent="0.25">
      <c r="B834" s="64"/>
      <c r="C834" s="64"/>
      <c r="D834" s="64"/>
      <c r="E834" s="64"/>
      <c r="F834" s="64"/>
      <c r="G834" s="64"/>
    </row>
    <row r="835" spans="2:7" ht="32.25" customHeight="1" x14ac:dyDescent="0.25">
      <c r="B835" s="64"/>
      <c r="C835" s="64"/>
      <c r="D835" s="64"/>
      <c r="E835" s="64"/>
      <c r="F835" s="64"/>
      <c r="G835" s="64"/>
    </row>
    <row r="836" spans="2:7" ht="32.25" customHeight="1" x14ac:dyDescent="0.25">
      <c r="B836" s="64"/>
      <c r="C836" s="64"/>
      <c r="D836" s="64"/>
      <c r="E836" s="64"/>
      <c r="F836" s="64"/>
      <c r="G836" s="64"/>
    </row>
    <row r="837" spans="2:7" ht="32.25" customHeight="1" x14ac:dyDescent="0.25">
      <c r="B837" s="64"/>
      <c r="C837" s="64"/>
      <c r="D837" s="64"/>
      <c r="E837" s="64"/>
      <c r="F837" s="64"/>
      <c r="G837" s="64"/>
    </row>
    <row r="838" spans="2:7" ht="32.25" customHeight="1" x14ac:dyDescent="0.25">
      <c r="B838" s="64"/>
      <c r="C838" s="64"/>
      <c r="D838" s="64"/>
      <c r="E838" s="64"/>
      <c r="F838" s="64"/>
      <c r="G838" s="64"/>
    </row>
    <row r="839" spans="2:7" ht="32.25" customHeight="1" x14ac:dyDescent="0.25">
      <c r="B839" s="64"/>
      <c r="C839" s="64"/>
      <c r="D839" s="64"/>
      <c r="E839" s="64"/>
      <c r="F839" s="64"/>
      <c r="G839" s="64"/>
    </row>
    <row r="840" spans="2:7" ht="32.25" customHeight="1" x14ac:dyDescent="0.25">
      <c r="B840" s="64"/>
      <c r="C840" s="64"/>
      <c r="D840" s="64"/>
      <c r="E840" s="64"/>
      <c r="F840" s="64"/>
      <c r="G840" s="64"/>
    </row>
    <row r="841" spans="2:7" ht="32.25" customHeight="1" x14ac:dyDescent="0.25">
      <c r="B841" s="64"/>
      <c r="C841" s="64"/>
      <c r="D841" s="64"/>
      <c r="E841" s="64"/>
      <c r="F841" s="64"/>
      <c r="G841" s="64"/>
    </row>
    <row r="842" spans="2:7" ht="32.25" customHeight="1" x14ac:dyDescent="0.25">
      <c r="B842" s="64"/>
      <c r="C842" s="64"/>
      <c r="D842" s="64"/>
      <c r="E842" s="64"/>
      <c r="F842" s="64"/>
      <c r="G842" s="64"/>
    </row>
    <row r="843" spans="2:7" ht="32.25" customHeight="1" x14ac:dyDescent="0.25">
      <c r="B843" s="64"/>
      <c r="C843" s="64"/>
      <c r="D843" s="64"/>
      <c r="E843" s="64"/>
      <c r="F843" s="64"/>
      <c r="G843" s="64"/>
    </row>
    <row r="844" spans="2:7" ht="32.25" customHeight="1" x14ac:dyDescent="0.25">
      <c r="B844" s="64"/>
      <c r="C844" s="64"/>
      <c r="D844" s="64"/>
      <c r="E844" s="64"/>
      <c r="F844" s="64"/>
      <c r="G844" s="64"/>
    </row>
    <row r="845" spans="2:7" ht="32.25" customHeight="1" x14ac:dyDescent="0.25">
      <c r="B845" s="64"/>
      <c r="C845" s="64"/>
      <c r="D845" s="64"/>
      <c r="E845" s="64"/>
      <c r="F845" s="64"/>
      <c r="G845" s="64"/>
    </row>
    <row r="846" spans="2:7" ht="32.25" customHeight="1" x14ac:dyDescent="0.25">
      <c r="B846" s="64"/>
      <c r="C846" s="64"/>
      <c r="D846" s="64"/>
      <c r="E846" s="64"/>
      <c r="F846" s="64"/>
      <c r="G846" s="64"/>
    </row>
    <row r="847" spans="2:7" ht="32.25" customHeight="1" x14ac:dyDescent="0.25">
      <c r="B847" s="64"/>
      <c r="C847" s="64"/>
      <c r="D847" s="64"/>
      <c r="E847" s="64"/>
      <c r="F847" s="64"/>
      <c r="G847" s="64"/>
    </row>
    <row r="848" spans="2:7" ht="32.25" customHeight="1" x14ac:dyDescent="0.25">
      <c r="B848" s="64"/>
      <c r="C848" s="64"/>
      <c r="D848" s="64"/>
      <c r="E848" s="64"/>
      <c r="F848" s="64"/>
      <c r="G848" s="64"/>
    </row>
    <row r="849" spans="2:7" ht="32.25" customHeight="1" x14ac:dyDescent="0.25">
      <c r="B849" s="64"/>
      <c r="C849" s="64"/>
      <c r="D849" s="64"/>
      <c r="E849" s="64"/>
      <c r="F849" s="64"/>
      <c r="G849" s="64"/>
    </row>
    <row r="850" spans="2:7" ht="32.25" customHeight="1" x14ac:dyDescent="0.25">
      <c r="B850" s="64"/>
      <c r="C850" s="64"/>
      <c r="D850" s="64"/>
      <c r="E850" s="64"/>
      <c r="F850" s="64"/>
      <c r="G850" s="64"/>
    </row>
    <row r="851" spans="2:7" ht="32.25" customHeight="1" x14ac:dyDescent="0.25">
      <c r="B851" s="64"/>
      <c r="C851" s="64"/>
      <c r="D851" s="64"/>
      <c r="E851" s="64"/>
      <c r="F851" s="64"/>
      <c r="G851" s="64"/>
    </row>
    <row r="852" spans="2:7" ht="32.25" customHeight="1" x14ac:dyDescent="0.25">
      <c r="B852" s="64"/>
      <c r="C852" s="64"/>
      <c r="D852" s="64"/>
      <c r="E852" s="64"/>
      <c r="F852" s="64"/>
      <c r="G852" s="64"/>
    </row>
    <row r="853" spans="2:7" ht="32.25" customHeight="1" x14ac:dyDescent="0.25">
      <c r="B853" s="64"/>
      <c r="C853" s="64"/>
      <c r="D853" s="64"/>
      <c r="E853" s="64"/>
      <c r="F853" s="64"/>
      <c r="G853" s="64"/>
    </row>
    <row r="854" spans="2:7" ht="32.25" customHeight="1" x14ac:dyDescent="0.25">
      <c r="B854" s="64"/>
      <c r="C854" s="64"/>
      <c r="D854" s="64"/>
      <c r="E854" s="64"/>
      <c r="F854" s="64"/>
      <c r="G854" s="64"/>
    </row>
    <row r="855" spans="2:7" ht="32.25" customHeight="1" x14ac:dyDescent="0.25">
      <c r="B855" s="64"/>
      <c r="C855" s="64"/>
      <c r="D855" s="64"/>
      <c r="E855" s="64"/>
      <c r="F855" s="64"/>
      <c r="G855" s="64"/>
    </row>
    <row r="856" spans="2:7" ht="32.25" customHeight="1" x14ac:dyDescent="0.25">
      <c r="B856" s="64"/>
      <c r="C856" s="64"/>
      <c r="D856" s="64"/>
      <c r="E856" s="64"/>
      <c r="F856" s="64"/>
      <c r="G856" s="64"/>
    </row>
    <row r="857" spans="2:7" ht="32.25" customHeight="1" x14ac:dyDescent="0.25">
      <c r="B857" s="64"/>
      <c r="C857" s="64"/>
      <c r="D857" s="64"/>
      <c r="E857" s="64"/>
      <c r="F857" s="64"/>
      <c r="G857" s="64"/>
    </row>
    <row r="858" spans="2:7" ht="32.25" customHeight="1" x14ac:dyDescent="0.25">
      <c r="B858" s="64"/>
      <c r="C858" s="64"/>
      <c r="D858" s="64"/>
      <c r="E858" s="64"/>
      <c r="F858" s="64"/>
      <c r="G858" s="64"/>
    </row>
    <row r="859" spans="2:7" ht="32.25" customHeight="1" x14ac:dyDescent="0.25">
      <c r="B859" s="64"/>
      <c r="C859" s="64"/>
      <c r="D859" s="64"/>
      <c r="E859" s="64"/>
      <c r="F859" s="64"/>
      <c r="G859" s="64"/>
    </row>
    <row r="860" spans="2:7" ht="32.25" customHeight="1" x14ac:dyDescent="0.25">
      <c r="B860" s="64"/>
      <c r="C860" s="64"/>
      <c r="D860" s="64"/>
      <c r="E860" s="64"/>
      <c r="F860" s="64"/>
      <c r="G860" s="64"/>
    </row>
    <row r="861" spans="2:7" ht="32.25" customHeight="1" x14ac:dyDescent="0.25">
      <c r="B861" s="64"/>
      <c r="C861" s="64"/>
      <c r="D861" s="64"/>
      <c r="E861" s="64"/>
      <c r="F861" s="64"/>
      <c r="G861" s="64"/>
    </row>
    <row r="862" spans="2:7" ht="32.25" customHeight="1" x14ac:dyDescent="0.25">
      <c r="B862" s="64"/>
      <c r="C862" s="64"/>
      <c r="D862" s="64"/>
      <c r="E862" s="64"/>
      <c r="F862" s="64"/>
      <c r="G862" s="64"/>
    </row>
    <row r="863" spans="2:7" ht="32.25" customHeight="1" x14ac:dyDescent="0.25">
      <c r="B863" s="64"/>
      <c r="C863" s="64"/>
      <c r="D863" s="64"/>
      <c r="E863" s="64"/>
      <c r="F863" s="64"/>
      <c r="G863" s="64"/>
    </row>
    <row r="864" spans="2:7" ht="32.25" customHeight="1" x14ac:dyDescent="0.25">
      <c r="B864" s="64"/>
      <c r="C864" s="64"/>
      <c r="D864" s="64"/>
      <c r="E864" s="64"/>
      <c r="F864" s="64"/>
      <c r="G864" s="64"/>
    </row>
    <row r="865" spans="2:7" ht="32.25" customHeight="1" x14ac:dyDescent="0.25">
      <c r="B865" s="64"/>
      <c r="C865" s="64"/>
      <c r="D865" s="64"/>
      <c r="E865" s="64"/>
      <c r="F865" s="64"/>
      <c r="G865" s="64"/>
    </row>
    <row r="866" spans="2:7" ht="32.25" customHeight="1" x14ac:dyDescent="0.25">
      <c r="B866" s="64"/>
      <c r="C866" s="64"/>
      <c r="D866" s="64"/>
      <c r="E866" s="64"/>
      <c r="F866" s="64"/>
      <c r="G866" s="64"/>
    </row>
    <row r="867" spans="2:7" ht="32.25" customHeight="1" x14ac:dyDescent="0.25">
      <c r="B867" s="64"/>
      <c r="C867" s="64"/>
      <c r="D867" s="64"/>
      <c r="E867" s="64"/>
      <c r="F867" s="64"/>
      <c r="G867" s="64"/>
    </row>
    <row r="868" spans="2:7" ht="32.25" customHeight="1" x14ac:dyDescent="0.25">
      <c r="B868" s="64"/>
      <c r="C868" s="64"/>
      <c r="D868" s="64"/>
      <c r="E868" s="64"/>
      <c r="F868" s="64"/>
      <c r="G868" s="64"/>
    </row>
    <row r="869" spans="2:7" ht="32.25" customHeight="1" x14ac:dyDescent="0.25">
      <c r="B869" s="64"/>
      <c r="C869" s="64"/>
      <c r="D869" s="64"/>
      <c r="E869" s="64"/>
      <c r="F869" s="64"/>
      <c r="G869" s="64"/>
    </row>
    <row r="870" spans="2:7" ht="32.25" customHeight="1" x14ac:dyDescent="0.25">
      <c r="B870" s="64"/>
      <c r="C870" s="64"/>
      <c r="D870" s="64"/>
      <c r="E870" s="64"/>
      <c r="F870" s="64"/>
      <c r="G870" s="64"/>
    </row>
    <row r="871" spans="2:7" ht="32.25" customHeight="1" x14ac:dyDescent="0.25">
      <c r="B871" s="64"/>
      <c r="C871" s="64"/>
      <c r="D871" s="64"/>
      <c r="E871" s="64"/>
      <c r="F871" s="64"/>
      <c r="G871" s="64"/>
    </row>
    <row r="872" spans="2:7" ht="32.25" customHeight="1" x14ac:dyDescent="0.25">
      <c r="B872" s="64"/>
      <c r="C872" s="64"/>
      <c r="D872" s="64"/>
      <c r="E872" s="64"/>
      <c r="F872" s="64"/>
      <c r="G872" s="64"/>
    </row>
    <row r="873" spans="2:7" ht="32.25" customHeight="1" x14ac:dyDescent="0.25">
      <c r="B873" s="64"/>
      <c r="C873" s="64"/>
      <c r="D873" s="64"/>
      <c r="E873" s="64"/>
      <c r="F873" s="64"/>
      <c r="G873" s="64"/>
    </row>
    <row r="874" spans="2:7" ht="32.25" customHeight="1" x14ac:dyDescent="0.25">
      <c r="B874" s="64"/>
      <c r="C874" s="64"/>
      <c r="D874" s="64"/>
      <c r="E874" s="64"/>
      <c r="F874" s="64"/>
      <c r="G874" s="64"/>
    </row>
    <row r="875" spans="2:7" ht="32.25" customHeight="1" x14ac:dyDescent="0.25">
      <c r="B875" s="64"/>
      <c r="C875" s="64"/>
      <c r="D875" s="64"/>
      <c r="E875" s="64"/>
      <c r="F875" s="64"/>
      <c r="G875" s="64"/>
    </row>
    <row r="876" spans="2:7" ht="32.25" customHeight="1" x14ac:dyDescent="0.25">
      <c r="B876" s="64"/>
      <c r="C876" s="64"/>
      <c r="D876" s="64"/>
      <c r="E876" s="64"/>
      <c r="F876" s="64"/>
      <c r="G876" s="64"/>
    </row>
    <row r="877" spans="2:7" ht="32.25" customHeight="1" x14ac:dyDescent="0.25">
      <c r="B877" s="64"/>
      <c r="C877" s="64"/>
      <c r="D877" s="64"/>
      <c r="E877" s="64"/>
      <c r="F877" s="64"/>
      <c r="G877" s="64"/>
    </row>
    <row r="878" spans="2:7" ht="32.25" customHeight="1" x14ac:dyDescent="0.25">
      <c r="B878" s="64"/>
      <c r="C878" s="64"/>
      <c r="D878" s="64"/>
      <c r="E878" s="64"/>
      <c r="F878" s="64"/>
      <c r="G878" s="64"/>
    </row>
    <row r="879" spans="2:7" ht="32.25" customHeight="1" x14ac:dyDescent="0.25">
      <c r="B879" s="64"/>
      <c r="C879" s="64"/>
      <c r="D879" s="64"/>
      <c r="E879" s="64"/>
      <c r="F879" s="64"/>
      <c r="G879" s="64"/>
    </row>
    <row r="880" spans="2:7" ht="32.25" customHeight="1" x14ac:dyDescent="0.25">
      <c r="B880" s="64"/>
      <c r="C880" s="64"/>
      <c r="D880" s="64"/>
      <c r="E880" s="64"/>
      <c r="F880" s="64"/>
      <c r="G880" s="64"/>
    </row>
    <row r="881" spans="2:7" ht="32.25" customHeight="1" x14ac:dyDescent="0.25">
      <c r="B881" s="64"/>
      <c r="C881" s="64"/>
      <c r="D881" s="64"/>
      <c r="E881" s="64"/>
      <c r="F881" s="64"/>
      <c r="G881" s="64"/>
    </row>
    <row r="882" spans="2:7" ht="32.25" customHeight="1" x14ac:dyDescent="0.25">
      <c r="B882" s="64"/>
      <c r="C882" s="64"/>
      <c r="D882" s="64"/>
      <c r="E882" s="64"/>
      <c r="F882" s="64"/>
      <c r="G882" s="64"/>
    </row>
    <row r="883" spans="2:7" ht="32.25" customHeight="1" x14ac:dyDescent="0.25">
      <c r="B883" s="64"/>
      <c r="C883" s="64"/>
      <c r="D883" s="64"/>
      <c r="E883" s="64"/>
      <c r="F883" s="64"/>
      <c r="G883" s="64"/>
    </row>
    <row r="884" spans="2:7" ht="32.25" customHeight="1" x14ac:dyDescent="0.25">
      <c r="B884" s="64"/>
      <c r="C884" s="64"/>
      <c r="D884" s="64"/>
      <c r="E884" s="64"/>
      <c r="F884" s="64"/>
      <c r="G884" s="64"/>
    </row>
    <row r="885" spans="2:7" ht="32.25" customHeight="1" x14ac:dyDescent="0.25">
      <c r="B885" s="64"/>
      <c r="C885" s="64"/>
      <c r="D885" s="64"/>
      <c r="E885" s="64"/>
      <c r="F885" s="64"/>
      <c r="G885" s="64"/>
    </row>
    <row r="886" spans="2:7" ht="32.25" customHeight="1" x14ac:dyDescent="0.25">
      <c r="B886" s="64"/>
      <c r="C886" s="64"/>
      <c r="D886" s="64"/>
      <c r="E886" s="64"/>
      <c r="F886" s="64"/>
      <c r="G886" s="64"/>
    </row>
    <row r="887" spans="2:7" ht="32.25" customHeight="1" x14ac:dyDescent="0.25">
      <c r="B887" s="64"/>
      <c r="C887" s="64"/>
      <c r="D887" s="64"/>
      <c r="E887" s="64"/>
      <c r="F887" s="64"/>
      <c r="G887" s="64"/>
    </row>
    <row r="888" spans="2:7" ht="32.25" customHeight="1" x14ac:dyDescent="0.25">
      <c r="B888" s="64"/>
      <c r="C888" s="64"/>
      <c r="D888" s="64"/>
      <c r="E888" s="64"/>
      <c r="F888" s="64"/>
      <c r="G888" s="64"/>
    </row>
    <row r="889" spans="2:7" ht="32.25" customHeight="1" x14ac:dyDescent="0.25">
      <c r="B889" s="64"/>
      <c r="C889" s="64"/>
      <c r="D889" s="64"/>
      <c r="E889" s="64"/>
      <c r="F889" s="64"/>
      <c r="G889" s="64"/>
    </row>
    <row r="890" spans="2:7" ht="32.25" customHeight="1" x14ac:dyDescent="0.25">
      <c r="B890" s="64"/>
      <c r="C890" s="64"/>
      <c r="D890" s="64"/>
      <c r="E890" s="64"/>
      <c r="F890" s="64"/>
      <c r="G890" s="64"/>
    </row>
    <row r="891" spans="2:7" ht="32.25" customHeight="1" x14ac:dyDescent="0.25">
      <c r="B891" s="64"/>
      <c r="C891" s="64"/>
      <c r="D891" s="64"/>
      <c r="E891" s="64"/>
      <c r="F891" s="64"/>
      <c r="G891" s="64"/>
    </row>
    <row r="892" spans="2:7" ht="32.25" customHeight="1" x14ac:dyDescent="0.25">
      <c r="B892" s="64"/>
      <c r="C892" s="64"/>
      <c r="D892" s="64"/>
      <c r="E892" s="64"/>
      <c r="F892" s="64"/>
      <c r="G892" s="64"/>
    </row>
    <row r="893" spans="2:7" ht="32.25" customHeight="1" x14ac:dyDescent="0.25">
      <c r="B893" s="64"/>
      <c r="C893" s="64"/>
      <c r="D893" s="64"/>
      <c r="E893" s="64"/>
      <c r="F893" s="64"/>
      <c r="G893" s="64"/>
    </row>
    <row r="894" spans="2:7" ht="32.25" customHeight="1" x14ac:dyDescent="0.25">
      <c r="B894" s="64"/>
      <c r="C894" s="64"/>
      <c r="D894" s="64"/>
      <c r="E894" s="64"/>
      <c r="F894" s="64"/>
      <c r="G894" s="64"/>
    </row>
    <row r="895" spans="2:7" ht="32.25" customHeight="1" x14ac:dyDescent="0.25">
      <c r="B895" s="64"/>
      <c r="C895" s="64"/>
      <c r="D895" s="64"/>
      <c r="E895" s="64"/>
      <c r="F895" s="64"/>
      <c r="G895" s="64"/>
    </row>
    <row r="896" spans="2:7" ht="32.25" customHeight="1" x14ac:dyDescent="0.25">
      <c r="B896" s="64"/>
      <c r="C896" s="64"/>
      <c r="D896" s="64"/>
      <c r="E896" s="64"/>
      <c r="F896" s="64"/>
      <c r="G896" s="64"/>
    </row>
    <row r="897" spans="2:7" ht="32.25" customHeight="1" x14ac:dyDescent="0.25">
      <c r="B897" s="64"/>
      <c r="C897" s="64"/>
      <c r="D897" s="64"/>
      <c r="E897" s="64"/>
      <c r="F897" s="64"/>
      <c r="G897" s="64"/>
    </row>
    <row r="898" spans="2:7" ht="32.25" customHeight="1" x14ac:dyDescent="0.25">
      <c r="B898" s="64"/>
      <c r="C898" s="64"/>
      <c r="D898" s="64"/>
      <c r="E898" s="64"/>
      <c r="F898" s="64"/>
      <c r="G898" s="64"/>
    </row>
    <row r="899" spans="2:7" ht="32.25" customHeight="1" x14ac:dyDescent="0.25">
      <c r="B899" s="64"/>
      <c r="C899" s="64"/>
      <c r="D899" s="64"/>
      <c r="E899" s="64"/>
      <c r="F899" s="64"/>
      <c r="G899" s="64"/>
    </row>
    <row r="900" spans="2:7" ht="32.25" customHeight="1" x14ac:dyDescent="0.25">
      <c r="B900" s="64"/>
      <c r="C900" s="64"/>
      <c r="D900" s="64"/>
      <c r="E900" s="64"/>
      <c r="F900" s="64"/>
      <c r="G900" s="64"/>
    </row>
    <row r="901" spans="2:7" ht="32.25" customHeight="1" x14ac:dyDescent="0.25">
      <c r="B901" s="64"/>
      <c r="C901" s="64"/>
      <c r="D901" s="64"/>
      <c r="E901" s="64"/>
      <c r="F901" s="64"/>
      <c r="G901" s="64"/>
    </row>
    <row r="902" spans="2:7" ht="32.25" customHeight="1" x14ac:dyDescent="0.25">
      <c r="B902" s="64"/>
      <c r="C902" s="64"/>
      <c r="D902" s="64"/>
      <c r="E902" s="64"/>
      <c r="F902" s="64"/>
      <c r="G902" s="64"/>
    </row>
    <row r="903" spans="2:7" ht="32.25" customHeight="1" x14ac:dyDescent="0.25">
      <c r="B903" s="64"/>
      <c r="C903" s="64"/>
      <c r="D903" s="64"/>
      <c r="E903" s="64"/>
      <c r="F903" s="64"/>
      <c r="G903" s="64"/>
    </row>
    <row r="904" spans="2:7" ht="32.25" customHeight="1" x14ac:dyDescent="0.25">
      <c r="B904" s="64"/>
      <c r="C904" s="64"/>
      <c r="D904" s="64"/>
      <c r="E904" s="64"/>
      <c r="F904" s="64"/>
      <c r="G904" s="64"/>
    </row>
    <row r="905" spans="2:7" ht="32.25" customHeight="1" x14ac:dyDescent="0.25">
      <c r="B905" s="64"/>
      <c r="C905" s="64"/>
      <c r="D905" s="64"/>
      <c r="E905" s="64"/>
      <c r="F905" s="64"/>
      <c r="G905" s="64"/>
    </row>
    <row r="906" spans="2:7" ht="32.25" customHeight="1" x14ac:dyDescent="0.25">
      <c r="B906" s="64"/>
      <c r="C906" s="64"/>
      <c r="D906" s="64"/>
      <c r="E906" s="64"/>
      <c r="F906" s="64"/>
      <c r="G906" s="64"/>
    </row>
    <row r="907" spans="2:7" ht="32.25" customHeight="1" x14ac:dyDescent="0.25">
      <c r="B907" s="64"/>
      <c r="C907" s="64"/>
      <c r="D907" s="64"/>
      <c r="E907" s="64"/>
      <c r="F907" s="64"/>
      <c r="G907" s="64"/>
    </row>
    <row r="908" spans="2:7" ht="32.25" customHeight="1" x14ac:dyDescent="0.25">
      <c r="B908" s="64"/>
      <c r="C908" s="64"/>
      <c r="D908" s="64"/>
      <c r="E908" s="64"/>
      <c r="F908" s="64"/>
      <c r="G908" s="64"/>
    </row>
    <row r="909" spans="2:7" ht="32.25" customHeight="1" x14ac:dyDescent="0.25">
      <c r="B909" s="64"/>
      <c r="C909" s="64"/>
      <c r="D909" s="64"/>
      <c r="E909" s="64"/>
      <c r="F909" s="64"/>
      <c r="G909" s="64"/>
    </row>
    <row r="910" spans="2:7" ht="32.25" customHeight="1" x14ac:dyDescent="0.25">
      <c r="B910" s="64"/>
      <c r="C910" s="64"/>
      <c r="D910" s="64"/>
      <c r="E910" s="64"/>
      <c r="F910" s="64"/>
      <c r="G910" s="64"/>
    </row>
    <row r="911" spans="2:7" ht="32.25" customHeight="1" x14ac:dyDescent="0.25">
      <c r="B911" s="64"/>
      <c r="C911" s="64"/>
      <c r="D911" s="64"/>
      <c r="E911" s="64"/>
      <c r="F911" s="64"/>
      <c r="G911" s="64"/>
    </row>
    <row r="912" spans="2:7" ht="32.25" customHeight="1" x14ac:dyDescent="0.25">
      <c r="B912" s="64"/>
      <c r="C912" s="64"/>
      <c r="D912" s="64"/>
      <c r="E912" s="64"/>
      <c r="F912" s="64"/>
      <c r="G912" s="64"/>
    </row>
    <row r="913" spans="2:7" ht="32.25" customHeight="1" x14ac:dyDescent="0.25">
      <c r="B913" s="64"/>
      <c r="C913" s="64"/>
      <c r="D913" s="64"/>
      <c r="E913" s="64"/>
      <c r="F913" s="64"/>
      <c r="G913" s="64"/>
    </row>
    <row r="914" spans="2:7" ht="32.25" customHeight="1" x14ac:dyDescent="0.25">
      <c r="B914" s="64"/>
      <c r="C914" s="64"/>
      <c r="D914" s="64"/>
      <c r="E914" s="64"/>
      <c r="F914" s="64"/>
      <c r="G914" s="64"/>
    </row>
    <row r="915" spans="2:7" ht="32.25" customHeight="1" x14ac:dyDescent="0.25">
      <c r="B915" s="64"/>
      <c r="C915" s="64"/>
      <c r="D915" s="64"/>
      <c r="E915" s="64"/>
      <c r="F915" s="64"/>
      <c r="G915" s="64"/>
    </row>
    <row r="916" spans="2:7" ht="32.25" customHeight="1" x14ac:dyDescent="0.25">
      <c r="B916" s="64"/>
      <c r="C916" s="64"/>
      <c r="D916" s="64"/>
      <c r="E916" s="64"/>
      <c r="F916" s="64"/>
      <c r="G916" s="64"/>
    </row>
    <row r="917" spans="2:7" ht="32.25" customHeight="1" x14ac:dyDescent="0.25">
      <c r="B917" s="64"/>
      <c r="C917" s="64"/>
      <c r="D917" s="64"/>
      <c r="E917" s="64"/>
      <c r="F917" s="64"/>
      <c r="G917" s="64"/>
    </row>
    <row r="918" spans="2:7" ht="32.25" customHeight="1" x14ac:dyDescent="0.25">
      <c r="B918" s="64"/>
      <c r="C918" s="64"/>
      <c r="D918" s="64"/>
      <c r="E918" s="64"/>
      <c r="F918" s="64"/>
      <c r="G918" s="64"/>
    </row>
    <row r="919" spans="2:7" ht="32.25" customHeight="1" x14ac:dyDescent="0.25">
      <c r="B919" s="64"/>
      <c r="C919" s="64"/>
      <c r="D919" s="64"/>
      <c r="E919" s="64"/>
      <c r="F919" s="64"/>
      <c r="G919" s="64"/>
    </row>
    <row r="920" spans="2:7" ht="32.25" customHeight="1" x14ac:dyDescent="0.25">
      <c r="B920" s="64"/>
      <c r="C920" s="64"/>
      <c r="D920" s="64"/>
      <c r="E920" s="64"/>
      <c r="F920" s="64"/>
      <c r="G920" s="64"/>
    </row>
    <row r="921" spans="2:7" ht="32.25" customHeight="1" x14ac:dyDescent="0.25">
      <c r="B921" s="64"/>
      <c r="C921" s="64"/>
      <c r="D921" s="64"/>
      <c r="E921" s="64"/>
      <c r="F921" s="64"/>
      <c r="G921" s="64"/>
    </row>
    <row r="922" spans="2:7" ht="32.25" customHeight="1" x14ac:dyDescent="0.25">
      <c r="B922" s="64"/>
      <c r="C922" s="64"/>
      <c r="D922" s="64"/>
      <c r="E922" s="64"/>
      <c r="F922" s="64"/>
      <c r="G922" s="64"/>
    </row>
    <row r="923" spans="2:7" ht="32.25" customHeight="1" x14ac:dyDescent="0.25">
      <c r="B923" s="64"/>
      <c r="C923" s="64"/>
      <c r="D923" s="64"/>
      <c r="E923" s="64"/>
      <c r="F923" s="64"/>
      <c r="G923" s="64"/>
    </row>
    <row r="924" spans="2:7" ht="32.25" customHeight="1" x14ac:dyDescent="0.25">
      <c r="B924" s="64"/>
      <c r="C924" s="64"/>
      <c r="D924" s="64"/>
      <c r="E924" s="64"/>
      <c r="F924" s="64"/>
      <c r="G924" s="64"/>
    </row>
    <row r="925" spans="2:7" ht="32.25" customHeight="1" x14ac:dyDescent="0.25">
      <c r="B925" s="64"/>
      <c r="C925" s="64"/>
      <c r="D925" s="64"/>
      <c r="E925" s="64"/>
      <c r="F925" s="64"/>
      <c r="G925" s="64"/>
    </row>
    <row r="926" spans="2:7" ht="32.25" customHeight="1" x14ac:dyDescent="0.25">
      <c r="B926" s="64"/>
      <c r="C926" s="64"/>
      <c r="D926" s="64"/>
      <c r="E926" s="64"/>
      <c r="F926" s="64"/>
      <c r="G926" s="64"/>
    </row>
    <row r="927" spans="2:7" ht="32.25" customHeight="1" x14ac:dyDescent="0.25">
      <c r="B927" s="64"/>
      <c r="C927" s="64"/>
      <c r="D927" s="64"/>
      <c r="E927" s="64"/>
      <c r="F927" s="64"/>
      <c r="G927" s="64"/>
    </row>
    <row r="928" spans="2:7" ht="32.25" customHeight="1" x14ac:dyDescent="0.25">
      <c r="B928" s="64"/>
      <c r="C928" s="64"/>
      <c r="D928" s="64"/>
      <c r="E928" s="64"/>
      <c r="F928" s="64"/>
      <c r="G928" s="64"/>
    </row>
    <row r="929" spans="2:7" ht="32.25" customHeight="1" x14ac:dyDescent="0.25">
      <c r="B929" s="64"/>
      <c r="C929" s="64"/>
      <c r="D929" s="64"/>
      <c r="E929" s="64"/>
      <c r="F929" s="64"/>
      <c r="G929" s="64"/>
    </row>
    <row r="930" spans="2:7" ht="32.25" customHeight="1" x14ac:dyDescent="0.25">
      <c r="B930" s="64"/>
      <c r="C930" s="64"/>
      <c r="D930" s="64"/>
      <c r="E930" s="64"/>
      <c r="F930" s="64"/>
      <c r="G930" s="64"/>
    </row>
    <row r="931" spans="2:7" ht="32.25" customHeight="1" x14ac:dyDescent="0.25">
      <c r="B931" s="64"/>
      <c r="C931" s="64"/>
      <c r="D931" s="64"/>
      <c r="E931" s="64"/>
      <c r="F931" s="64"/>
      <c r="G931" s="64"/>
    </row>
    <row r="932" spans="2:7" ht="32.25" customHeight="1" x14ac:dyDescent="0.25">
      <c r="B932" s="64"/>
      <c r="C932" s="64"/>
      <c r="D932" s="64"/>
      <c r="E932" s="64"/>
      <c r="F932" s="64"/>
      <c r="G932" s="64"/>
    </row>
    <row r="933" spans="2:7" ht="32.25" customHeight="1" x14ac:dyDescent="0.25">
      <c r="B933" s="64"/>
      <c r="C933" s="64"/>
      <c r="D933" s="64"/>
      <c r="E933" s="64"/>
      <c r="F933" s="64"/>
      <c r="G933" s="64"/>
    </row>
    <row r="934" spans="2:7" ht="32.25" customHeight="1" x14ac:dyDescent="0.25">
      <c r="B934" s="64"/>
      <c r="C934" s="64"/>
      <c r="D934" s="64"/>
      <c r="E934" s="64"/>
      <c r="F934" s="64"/>
      <c r="G934" s="64"/>
    </row>
    <row r="935" spans="2:7" ht="32.25" customHeight="1" x14ac:dyDescent="0.25">
      <c r="B935" s="64"/>
      <c r="C935" s="64"/>
      <c r="D935" s="64"/>
      <c r="E935" s="64"/>
      <c r="F935" s="64"/>
      <c r="G935" s="64"/>
    </row>
    <row r="936" spans="2:7" ht="32.25" customHeight="1" x14ac:dyDescent="0.25">
      <c r="B936" s="64"/>
      <c r="C936" s="64"/>
      <c r="D936" s="64"/>
      <c r="E936" s="64"/>
      <c r="F936" s="64"/>
      <c r="G936" s="64"/>
    </row>
    <row r="937" spans="2:7" ht="32.25" customHeight="1" x14ac:dyDescent="0.25">
      <c r="B937" s="64"/>
      <c r="C937" s="64"/>
      <c r="D937" s="64"/>
      <c r="E937" s="64"/>
      <c r="F937" s="64"/>
      <c r="G937" s="64"/>
    </row>
    <row r="938" spans="2:7" ht="32.25" customHeight="1" x14ac:dyDescent="0.25">
      <c r="B938" s="64"/>
      <c r="C938" s="64"/>
      <c r="D938" s="64"/>
      <c r="E938" s="64"/>
      <c r="F938" s="64"/>
      <c r="G938" s="64"/>
    </row>
    <row r="939" spans="2:7" ht="32.25" customHeight="1" x14ac:dyDescent="0.25">
      <c r="B939" s="64"/>
      <c r="C939" s="64"/>
      <c r="D939" s="64"/>
      <c r="E939" s="64"/>
      <c r="F939" s="64"/>
      <c r="G939" s="64"/>
    </row>
    <row r="940" spans="2:7" ht="32.25" customHeight="1" x14ac:dyDescent="0.25">
      <c r="B940" s="64"/>
      <c r="C940" s="64"/>
      <c r="D940" s="64"/>
      <c r="E940" s="64"/>
      <c r="F940" s="64"/>
      <c r="G940" s="64"/>
    </row>
    <row r="941" spans="2:7" ht="32.25" customHeight="1" x14ac:dyDescent="0.25">
      <c r="B941" s="64"/>
      <c r="C941" s="64"/>
      <c r="D941" s="64"/>
      <c r="E941" s="64"/>
      <c r="F941" s="64"/>
      <c r="G941" s="64"/>
    </row>
    <row r="942" spans="2:7" ht="32.25" customHeight="1" x14ac:dyDescent="0.25">
      <c r="B942" s="64"/>
      <c r="C942" s="64"/>
      <c r="D942" s="64"/>
      <c r="E942" s="64"/>
      <c r="F942" s="64"/>
      <c r="G942" s="64"/>
    </row>
    <row r="943" spans="2:7" ht="32.25" customHeight="1" x14ac:dyDescent="0.25">
      <c r="B943" s="64"/>
      <c r="C943" s="64"/>
      <c r="D943" s="64"/>
      <c r="E943" s="64"/>
      <c r="F943" s="64"/>
      <c r="G943" s="64"/>
    </row>
    <row r="944" spans="2:7" ht="32.25" customHeight="1" x14ac:dyDescent="0.25">
      <c r="B944" s="64"/>
      <c r="C944" s="64"/>
      <c r="D944" s="64"/>
      <c r="E944" s="64"/>
      <c r="F944" s="64"/>
      <c r="G944" s="64"/>
    </row>
    <row r="945" spans="2:7" ht="32.25" customHeight="1" x14ac:dyDescent="0.25">
      <c r="B945" s="64"/>
      <c r="C945" s="64"/>
      <c r="D945" s="64"/>
      <c r="E945" s="64"/>
      <c r="F945" s="64"/>
      <c r="G945" s="64"/>
    </row>
    <row r="946" spans="2:7" ht="32.25" customHeight="1" x14ac:dyDescent="0.25">
      <c r="B946" s="64"/>
      <c r="C946" s="64"/>
      <c r="D946" s="64"/>
      <c r="E946" s="64"/>
      <c r="F946" s="64"/>
      <c r="G946" s="64"/>
    </row>
    <row r="947" spans="2:7" ht="32.25" customHeight="1" x14ac:dyDescent="0.25">
      <c r="B947" s="64"/>
      <c r="C947" s="64"/>
      <c r="D947" s="64"/>
      <c r="E947" s="64"/>
      <c r="F947" s="64"/>
      <c r="G947" s="64"/>
    </row>
    <row r="948" spans="2:7" ht="32.25" customHeight="1" x14ac:dyDescent="0.25">
      <c r="B948" s="64"/>
      <c r="C948" s="64"/>
      <c r="D948" s="64"/>
      <c r="E948" s="64"/>
      <c r="F948" s="64"/>
      <c r="G948" s="64"/>
    </row>
    <row r="949" spans="2:7" ht="32.25" customHeight="1" x14ac:dyDescent="0.25">
      <c r="B949" s="64"/>
      <c r="C949" s="64"/>
      <c r="D949" s="64"/>
      <c r="E949" s="64"/>
      <c r="F949" s="64"/>
      <c r="G949" s="64"/>
    </row>
    <row r="950" spans="2:7" ht="32.25" customHeight="1" x14ac:dyDescent="0.25">
      <c r="B950" s="64"/>
      <c r="C950" s="64"/>
      <c r="D950" s="64"/>
      <c r="E950" s="64"/>
      <c r="F950" s="64"/>
      <c r="G950" s="64"/>
    </row>
    <row r="951" spans="2:7" ht="32.25" customHeight="1" x14ac:dyDescent="0.25">
      <c r="B951" s="64"/>
      <c r="C951" s="64"/>
      <c r="D951" s="64"/>
      <c r="E951" s="64"/>
      <c r="F951" s="64"/>
      <c r="G951" s="64"/>
    </row>
    <row r="952" spans="2:7" ht="32.25" customHeight="1" x14ac:dyDescent="0.25">
      <c r="B952" s="64"/>
      <c r="C952" s="64"/>
      <c r="D952" s="64"/>
      <c r="E952" s="64"/>
      <c r="F952" s="64"/>
      <c r="G952" s="64"/>
    </row>
    <row r="953" spans="2:7" ht="32.25" customHeight="1" x14ac:dyDescent="0.25">
      <c r="B953" s="64"/>
      <c r="C953" s="64"/>
      <c r="D953" s="64"/>
      <c r="E953" s="64"/>
      <c r="F953" s="64"/>
      <c r="G953" s="64"/>
    </row>
    <row r="954" spans="2:7" ht="32.25" customHeight="1" x14ac:dyDescent="0.25">
      <c r="B954" s="64"/>
      <c r="C954" s="64"/>
      <c r="D954" s="64"/>
      <c r="E954" s="64"/>
      <c r="F954" s="64"/>
      <c r="G954" s="64"/>
    </row>
    <row r="955" spans="2:7" ht="32.25" customHeight="1" x14ac:dyDescent="0.25">
      <c r="B955" s="64"/>
      <c r="C955" s="64"/>
      <c r="D955" s="64"/>
      <c r="E955" s="64"/>
      <c r="F955" s="64"/>
      <c r="G955" s="64"/>
    </row>
    <row r="956" spans="2:7" ht="32.25" customHeight="1" x14ac:dyDescent="0.25">
      <c r="B956" s="64"/>
      <c r="C956" s="64"/>
      <c r="D956" s="64"/>
      <c r="E956" s="64"/>
      <c r="F956" s="64"/>
      <c r="G956" s="64"/>
    </row>
    <row r="957" spans="2:7" ht="32.25" customHeight="1" x14ac:dyDescent="0.25">
      <c r="B957" s="64"/>
      <c r="C957" s="64"/>
      <c r="D957" s="64"/>
      <c r="E957" s="64"/>
      <c r="F957" s="64"/>
      <c r="G957" s="64"/>
    </row>
    <row r="958" spans="2:7" ht="32.25" customHeight="1" x14ac:dyDescent="0.25">
      <c r="B958" s="64"/>
      <c r="C958" s="64"/>
      <c r="D958" s="64"/>
      <c r="E958" s="64"/>
      <c r="F958" s="64"/>
      <c r="G958" s="64"/>
    </row>
    <row r="959" spans="2:7" ht="32.25" customHeight="1" x14ac:dyDescent="0.25">
      <c r="B959" s="64"/>
      <c r="C959" s="64"/>
      <c r="D959" s="64"/>
      <c r="E959" s="64"/>
      <c r="F959" s="64"/>
      <c r="G959" s="64"/>
    </row>
    <row r="960" spans="2:7" ht="32.25" customHeight="1" x14ac:dyDescent="0.25">
      <c r="B960" s="64"/>
      <c r="C960" s="64"/>
      <c r="D960" s="64"/>
      <c r="E960" s="64"/>
      <c r="F960" s="64"/>
      <c r="G960" s="64"/>
    </row>
    <row r="961" spans="2:7" ht="32.25" customHeight="1" x14ac:dyDescent="0.25">
      <c r="B961" s="64"/>
      <c r="C961" s="64"/>
      <c r="D961" s="64"/>
      <c r="E961" s="64"/>
      <c r="F961" s="64"/>
      <c r="G961" s="64"/>
    </row>
    <row r="962" spans="2:7" ht="32.25" customHeight="1" x14ac:dyDescent="0.25">
      <c r="B962" s="64"/>
      <c r="C962" s="64"/>
      <c r="D962" s="64"/>
      <c r="E962" s="64"/>
      <c r="F962" s="64"/>
      <c r="G962" s="64"/>
    </row>
    <row r="963" spans="2:7" ht="32.25" customHeight="1" x14ac:dyDescent="0.25">
      <c r="B963" s="64"/>
      <c r="C963" s="64"/>
      <c r="D963" s="64"/>
      <c r="E963" s="64"/>
      <c r="F963" s="64"/>
      <c r="G963" s="64"/>
    </row>
    <row r="964" spans="2:7" ht="32.25" customHeight="1" x14ac:dyDescent="0.25">
      <c r="B964" s="64"/>
      <c r="C964" s="64"/>
      <c r="D964" s="64"/>
      <c r="E964" s="64"/>
      <c r="F964" s="64"/>
      <c r="G964" s="64"/>
    </row>
    <row r="965" spans="2:7" ht="32.25" customHeight="1" x14ac:dyDescent="0.25">
      <c r="B965" s="64"/>
      <c r="C965" s="64"/>
      <c r="D965" s="64"/>
      <c r="E965" s="64"/>
      <c r="F965" s="64"/>
      <c r="G965" s="64"/>
    </row>
    <row r="966" spans="2:7" ht="32.25" customHeight="1" x14ac:dyDescent="0.25">
      <c r="B966" s="64"/>
      <c r="C966" s="64"/>
      <c r="D966" s="64"/>
      <c r="E966" s="64"/>
      <c r="F966" s="64"/>
      <c r="G966" s="64"/>
    </row>
    <row r="967" spans="2:7" ht="32.25" customHeight="1" x14ac:dyDescent="0.25">
      <c r="B967" s="64"/>
      <c r="C967" s="64"/>
      <c r="D967" s="64"/>
      <c r="E967" s="64"/>
      <c r="F967" s="64"/>
      <c r="G967" s="64"/>
    </row>
    <row r="968" spans="2:7" ht="32.25" customHeight="1" x14ac:dyDescent="0.25">
      <c r="B968" s="64"/>
      <c r="C968" s="64"/>
      <c r="D968" s="64"/>
      <c r="E968" s="64"/>
      <c r="F968" s="64"/>
      <c r="G968" s="64"/>
    </row>
    <row r="969" spans="2:7" ht="32.25" customHeight="1" x14ac:dyDescent="0.25">
      <c r="B969" s="64"/>
      <c r="C969" s="64"/>
      <c r="D969" s="64"/>
      <c r="E969" s="64"/>
      <c r="F969" s="64"/>
      <c r="G969" s="64"/>
    </row>
    <row r="970" spans="2:7" ht="32.25" customHeight="1" x14ac:dyDescent="0.25">
      <c r="B970" s="64"/>
      <c r="C970" s="64"/>
      <c r="D970" s="64"/>
      <c r="E970" s="64"/>
      <c r="F970" s="64"/>
      <c r="G970" s="64"/>
    </row>
    <row r="971" spans="2:7" ht="32.25" customHeight="1" x14ac:dyDescent="0.25">
      <c r="B971" s="64"/>
      <c r="C971" s="64"/>
      <c r="D971" s="64"/>
      <c r="E971" s="64"/>
      <c r="F971" s="64"/>
      <c r="G971" s="64"/>
    </row>
    <row r="972" spans="2:7" ht="32.25" customHeight="1" x14ac:dyDescent="0.25">
      <c r="B972" s="64"/>
      <c r="C972" s="64"/>
      <c r="D972" s="64"/>
      <c r="E972" s="64"/>
      <c r="F972" s="64"/>
      <c r="G972" s="64"/>
    </row>
    <row r="973" spans="2:7" ht="32.25" customHeight="1" x14ac:dyDescent="0.25">
      <c r="B973" s="64"/>
      <c r="C973" s="64"/>
      <c r="D973" s="64"/>
      <c r="E973" s="64"/>
      <c r="F973" s="64"/>
      <c r="G973" s="64"/>
    </row>
    <row r="974" spans="2:7" ht="32.25" customHeight="1" x14ac:dyDescent="0.25">
      <c r="B974" s="64"/>
      <c r="C974" s="64"/>
      <c r="D974" s="64"/>
      <c r="E974" s="64"/>
      <c r="F974" s="64"/>
      <c r="G974" s="64"/>
    </row>
    <row r="975" spans="2:7" ht="32.25" customHeight="1" x14ac:dyDescent="0.25">
      <c r="B975" s="64"/>
      <c r="C975" s="64"/>
      <c r="D975" s="64"/>
      <c r="E975" s="64"/>
      <c r="F975" s="64"/>
      <c r="G975" s="64"/>
    </row>
    <row r="976" spans="2:7" ht="32.25" customHeight="1" x14ac:dyDescent="0.25">
      <c r="B976" s="64"/>
      <c r="C976" s="64"/>
      <c r="D976" s="64"/>
      <c r="E976" s="64"/>
      <c r="F976" s="64"/>
      <c r="G976" s="64"/>
    </row>
    <row r="977" spans="2:7" ht="32.25" customHeight="1" x14ac:dyDescent="0.25">
      <c r="B977" s="64"/>
      <c r="C977" s="64"/>
      <c r="D977" s="64"/>
      <c r="E977" s="64"/>
      <c r="F977" s="64"/>
      <c r="G977" s="64"/>
    </row>
    <row r="978" spans="2:7" ht="32.25" customHeight="1" x14ac:dyDescent="0.25">
      <c r="B978" s="64"/>
      <c r="C978" s="64"/>
      <c r="D978" s="64"/>
      <c r="E978" s="64"/>
      <c r="F978" s="64"/>
      <c r="G978" s="64"/>
    </row>
    <row r="979" spans="2:7" ht="32.25" customHeight="1" x14ac:dyDescent="0.25">
      <c r="B979" s="64"/>
      <c r="C979" s="64"/>
      <c r="D979" s="64"/>
      <c r="E979" s="64"/>
      <c r="F979" s="64"/>
      <c r="G979" s="64"/>
    </row>
    <row r="980" spans="2:7" ht="32.25" customHeight="1" x14ac:dyDescent="0.25">
      <c r="B980" s="64"/>
      <c r="C980" s="64"/>
      <c r="D980" s="64"/>
      <c r="E980" s="64"/>
      <c r="F980" s="64"/>
      <c r="G980" s="64"/>
    </row>
    <row r="981" spans="2:7" ht="32.25" customHeight="1" x14ac:dyDescent="0.25">
      <c r="B981" s="64"/>
      <c r="C981" s="64"/>
      <c r="D981" s="64"/>
      <c r="E981" s="64"/>
      <c r="F981" s="64"/>
      <c r="G981" s="64"/>
    </row>
    <row r="982" spans="2:7" ht="32.25" customHeight="1" x14ac:dyDescent="0.25">
      <c r="B982" s="64"/>
      <c r="C982" s="64"/>
      <c r="D982" s="64"/>
      <c r="E982" s="64"/>
      <c r="F982" s="64"/>
      <c r="G982" s="64"/>
    </row>
    <row r="983" spans="2:7" ht="32.25" customHeight="1" x14ac:dyDescent="0.25">
      <c r="B983" s="64"/>
      <c r="C983" s="64"/>
      <c r="D983" s="64"/>
      <c r="E983" s="64"/>
      <c r="F983" s="64"/>
      <c r="G983" s="64"/>
    </row>
    <row r="984" spans="2:7" ht="32.25" customHeight="1" x14ac:dyDescent="0.25">
      <c r="B984" s="64"/>
      <c r="C984" s="64"/>
      <c r="D984" s="64"/>
      <c r="E984" s="64"/>
      <c r="F984" s="64"/>
      <c r="G984" s="64"/>
    </row>
    <row r="985" spans="2:7" ht="32.25" customHeight="1" x14ac:dyDescent="0.25">
      <c r="B985" s="64"/>
      <c r="C985" s="64"/>
      <c r="D985" s="64"/>
      <c r="E985" s="64"/>
      <c r="F985" s="64"/>
      <c r="G985" s="64"/>
    </row>
    <row r="986" spans="2:7" ht="32.25" customHeight="1" x14ac:dyDescent="0.25">
      <c r="B986" s="64"/>
      <c r="C986" s="64"/>
      <c r="D986" s="64"/>
      <c r="E986" s="64"/>
      <c r="F986" s="64"/>
      <c r="G986" s="64"/>
    </row>
    <row r="987" spans="2:7" ht="32.25" customHeight="1" x14ac:dyDescent="0.25">
      <c r="B987" s="64"/>
      <c r="C987" s="64"/>
      <c r="D987" s="64"/>
      <c r="E987" s="64"/>
      <c r="F987" s="64"/>
      <c r="G987" s="64"/>
    </row>
    <row r="988" spans="2:7" ht="32.25" customHeight="1" x14ac:dyDescent="0.25">
      <c r="B988" s="64"/>
      <c r="C988" s="64"/>
      <c r="D988" s="64"/>
      <c r="E988" s="64"/>
      <c r="F988" s="64"/>
      <c r="G988" s="64"/>
    </row>
    <row r="989" spans="2:7" ht="32.25" customHeight="1" x14ac:dyDescent="0.25">
      <c r="B989" s="64"/>
      <c r="C989" s="64"/>
      <c r="D989" s="64"/>
      <c r="E989" s="64"/>
      <c r="F989" s="64"/>
      <c r="G989" s="64"/>
    </row>
    <row r="990" spans="2:7" ht="32.25" customHeight="1" x14ac:dyDescent="0.25">
      <c r="B990" s="64"/>
      <c r="C990" s="64"/>
      <c r="D990" s="64"/>
      <c r="E990" s="64"/>
      <c r="F990" s="64"/>
      <c r="G990" s="64"/>
    </row>
    <row r="991" spans="2:7" ht="32.25" customHeight="1" x14ac:dyDescent="0.25">
      <c r="B991" s="64"/>
      <c r="C991" s="64"/>
      <c r="D991" s="64"/>
      <c r="E991" s="64"/>
      <c r="F991" s="64"/>
      <c r="G991" s="64"/>
    </row>
    <row r="992" spans="2:7" ht="32.25" customHeight="1" x14ac:dyDescent="0.25">
      <c r="B992" s="64"/>
      <c r="C992" s="64"/>
      <c r="D992" s="64"/>
      <c r="E992" s="64"/>
      <c r="F992" s="64"/>
      <c r="G992" s="64"/>
    </row>
    <row r="993" spans="2:7" ht="32.25" customHeight="1" x14ac:dyDescent="0.25">
      <c r="B993" s="64"/>
      <c r="C993" s="64"/>
      <c r="D993" s="64"/>
      <c r="E993" s="64"/>
      <c r="F993" s="64"/>
      <c r="G993" s="64"/>
    </row>
    <row r="994" spans="2:7" ht="32.25" customHeight="1" x14ac:dyDescent="0.25">
      <c r="B994" s="64"/>
      <c r="C994" s="64"/>
      <c r="D994" s="64"/>
      <c r="E994" s="64"/>
      <c r="F994" s="64"/>
      <c r="G994" s="64"/>
    </row>
    <row r="995" spans="2:7" ht="32.25" customHeight="1" x14ac:dyDescent="0.25">
      <c r="B995" s="64"/>
      <c r="C995" s="64"/>
      <c r="D995" s="64"/>
      <c r="E995" s="64"/>
      <c r="F995" s="64"/>
      <c r="G995" s="64"/>
    </row>
    <row r="996" spans="2:7" ht="32.25" customHeight="1" x14ac:dyDescent="0.25">
      <c r="B996" s="64"/>
      <c r="C996" s="64"/>
      <c r="D996" s="64"/>
      <c r="E996" s="64"/>
      <c r="F996" s="64"/>
      <c r="G996" s="64"/>
    </row>
    <row r="997" spans="2:7" ht="32.25" customHeight="1" x14ac:dyDescent="0.25">
      <c r="B997" s="64"/>
      <c r="C997" s="64"/>
      <c r="D997" s="64"/>
      <c r="E997" s="64"/>
      <c r="F997" s="64"/>
      <c r="G997" s="64"/>
    </row>
    <row r="998" spans="2:7" ht="32.25" customHeight="1" x14ac:dyDescent="0.25">
      <c r="B998" s="64"/>
      <c r="C998" s="64"/>
      <c r="D998" s="64"/>
      <c r="E998" s="64"/>
      <c r="F998" s="64"/>
      <c r="G998" s="64"/>
    </row>
    <row r="999" spans="2:7" ht="32.25" customHeight="1" x14ac:dyDescent="0.25">
      <c r="B999" s="64"/>
      <c r="C999" s="64"/>
      <c r="D999" s="64"/>
      <c r="E999" s="64"/>
      <c r="F999" s="64"/>
      <c r="G999" s="64"/>
    </row>
    <row r="1000" spans="2:7" ht="32.25" customHeight="1" x14ac:dyDescent="0.25">
      <c r="B1000" s="64"/>
      <c r="C1000" s="64"/>
      <c r="D1000" s="64"/>
      <c r="E1000" s="64"/>
      <c r="F1000" s="64"/>
      <c r="G1000" s="64"/>
    </row>
    <row r="1001" spans="2:7" ht="32.25" customHeight="1" x14ac:dyDescent="0.25">
      <c r="B1001" s="64"/>
      <c r="C1001" s="64"/>
      <c r="D1001" s="64"/>
      <c r="E1001" s="64"/>
      <c r="F1001" s="64"/>
      <c r="G1001" s="64"/>
    </row>
    <row r="1002" spans="2:7" ht="32.25" customHeight="1" x14ac:dyDescent="0.25">
      <c r="B1002" s="64"/>
      <c r="C1002" s="64"/>
      <c r="D1002" s="64"/>
      <c r="E1002" s="64"/>
      <c r="F1002" s="64"/>
      <c r="G1002" s="64"/>
    </row>
    <row r="1003" spans="2:7" ht="32.25" customHeight="1" x14ac:dyDescent="0.25">
      <c r="B1003" s="64"/>
      <c r="C1003" s="64"/>
      <c r="D1003" s="64"/>
      <c r="E1003" s="64"/>
      <c r="F1003" s="64"/>
      <c r="G1003" s="64"/>
    </row>
    <row r="1004" spans="2:7" ht="32.25" customHeight="1" x14ac:dyDescent="0.25">
      <c r="B1004" s="64"/>
      <c r="C1004" s="64"/>
      <c r="D1004" s="64"/>
      <c r="E1004" s="64"/>
      <c r="F1004" s="64"/>
      <c r="G1004" s="64"/>
    </row>
    <row r="1005" spans="2:7" ht="32.25" customHeight="1" x14ac:dyDescent="0.25">
      <c r="B1005" s="64"/>
      <c r="C1005" s="64"/>
      <c r="D1005" s="64"/>
      <c r="E1005" s="64"/>
      <c r="F1005" s="64"/>
      <c r="G1005" s="64"/>
    </row>
    <row r="1006" spans="2:7" ht="32.25" customHeight="1" x14ac:dyDescent="0.25">
      <c r="B1006" s="64"/>
      <c r="C1006" s="64"/>
      <c r="D1006" s="64"/>
      <c r="E1006" s="64"/>
      <c r="F1006" s="64"/>
      <c r="G1006" s="64"/>
    </row>
    <row r="1007" spans="2:7" ht="32.25" customHeight="1" x14ac:dyDescent="0.25">
      <c r="B1007" s="64"/>
      <c r="C1007" s="64"/>
      <c r="D1007" s="64"/>
      <c r="E1007" s="64"/>
      <c r="F1007" s="64"/>
      <c r="G1007" s="64"/>
    </row>
    <row r="1008" spans="2:7" ht="32.25" customHeight="1" x14ac:dyDescent="0.25">
      <c r="B1008" s="64"/>
      <c r="C1008" s="64"/>
      <c r="D1008" s="64"/>
      <c r="E1008" s="64"/>
      <c r="F1008" s="64"/>
      <c r="G1008" s="64"/>
    </row>
    <row r="1009" spans="2:7" ht="32.25" customHeight="1" x14ac:dyDescent="0.25">
      <c r="B1009" s="64"/>
      <c r="C1009" s="64"/>
      <c r="D1009" s="64"/>
      <c r="E1009" s="64"/>
      <c r="F1009" s="64"/>
      <c r="G1009" s="64"/>
    </row>
    <row r="1010" spans="2:7" ht="32.25" customHeight="1" x14ac:dyDescent="0.25">
      <c r="B1010" s="64"/>
      <c r="C1010" s="64"/>
      <c r="D1010" s="64"/>
      <c r="E1010" s="64"/>
      <c r="F1010" s="64"/>
      <c r="G1010" s="64"/>
    </row>
    <row r="1011" spans="2:7" ht="32.25" customHeight="1" x14ac:dyDescent="0.25">
      <c r="B1011" s="64"/>
      <c r="C1011" s="64"/>
      <c r="D1011" s="64"/>
      <c r="E1011" s="64"/>
      <c r="F1011" s="64"/>
      <c r="G1011" s="64"/>
    </row>
    <row r="1012" spans="2:7" ht="32.25" customHeight="1" x14ac:dyDescent="0.25">
      <c r="B1012" s="64"/>
      <c r="C1012" s="64"/>
      <c r="D1012" s="64"/>
      <c r="E1012" s="64"/>
      <c r="F1012" s="64"/>
      <c r="G1012" s="64"/>
    </row>
    <row r="1013" spans="2:7" ht="32.25" customHeight="1" x14ac:dyDescent="0.25">
      <c r="B1013" s="64"/>
      <c r="C1013" s="64"/>
      <c r="D1013" s="64"/>
      <c r="E1013" s="64"/>
      <c r="F1013" s="64"/>
      <c r="G1013" s="64"/>
    </row>
    <row r="1014" spans="2:7" ht="32.25" customHeight="1" x14ac:dyDescent="0.25">
      <c r="B1014" s="64"/>
      <c r="C1014" s="64"/>
      <c r="D1014" s="64"/>
      <c r="E1014" s="64"/>
      <c r="F1014" s="64"/>
      <c r="G1014" s="64"/>
    </row>
    <row r="1015" spans="2:7" ht="32.25" customHeight="1" x14ac:dyDescent="0.25">
      <c r="B1015" s="64"/>
      <c r="C1015" s="64"/>
      <c r="D1015" s="64"/>
      <c r="E1015" s="64"/>
      <c r="F1015" s="64"/>
      <c r="G1015" s="64"/>
    </row>
    <row r="1016" spans="2:7" ht="32.25" customHeight="1" x14ac:dyDescent="0.25">
      <c r="B1016" s="64"/>
      <c r="C1016" s="64"/>
      <c r="D1016" s="64"/>
      <c r="E1016" s="64"/>
      <c r="F1016" s="64"/>
      <c r="G1016" s="64"/>
    </row>
    <row r="1017" spans="2:7" ht="32.25" customHeight="1" x14ac:dyDescent="0.25">
      <c r="B1017" s="64"/>
      <c r="C1017" s="64"/>
      <c r="D1017" s="64"/>
      <c r="E1017" s="64"/>
      <c r="F1017" s="64"/>
      <c r="G1017" s="64"/>
    </row>
    <row r="1018" spans="2:7" ht="32.25" customHeight="1" x14ac:dyDescent="0.25">
      <c r="B1018" s="64"/>
      <c r="C1018" s="64"/>
      <c r="D1018" s="64"/>
      <c r="E1018" s="64"/>
      <c r="F1018" s="64"/>
      <c r="G1018" s="64"/>
    </row>
    <row r="1019" spans="2:7" ht="32.25" customHeight="1" x14ac:dyDescent="0.25">
      <c r="B1019" s="64"/>
      <c r="C1019" s="64"/>
      <c r="D1019" s="64"/>
      <c r="E1019" s="64"/>
      <c r="F1019" s="64"/>
      <c r="G1019" s="64"/>
    </row>
    <row r="1020" spans="2:7" ht="32.25" customHeight="1" x14ac:dyDescent="0.25">
      <c r="B1020" s="64"/>
      <c r="C1020" s="64"/>
      <c r="D1020" s="64"/>
      <c r="E1020" s="64"/>
      <c r="F1020" s="64"/>
      <c r="G1020" s="64"/>
    </row>
    <row r="1021" spans="2:7" ht="32.25" customHeight="1" x14ac:dyDescent="0.25">
      <c r="B1021" s="64"/>
      <c r="C1021" s="64"/>
      <c r="D1021" s="64"/>
      <c r="E1021" s="64"/>
      <c r="F1021" s="64"/>
      <c r="G1021" s="64"/>
    </row>
    <row r="1022" spans="2:7" ht="32.25" customHeight="1" x14ac:dyDescent="0.25">
      <c r="B1022" s="64"/>
      <c r="C1022" s="64"/>
      <c r="D1022" s="64"/>
      <c r="E1022" s="64"/>
      <c r="F1022" s="64"/>
      <c r="G1022" s="64"/>
    </row>
    <row r="1023" spans="2:7" ht="32.25" customHeight="1" x14ac:dyDescent="0.25">
      <c r="B1023" s="64"/>
      <c r="C1023" s="64"/>
      <c r="D1023" s="64"/>
      <c r="E1023" s="64"/>
      <c r="F1023" s="64"/>
      <c r="G1023" s="64"/>
    </row>
    <row r="1024" spans="2:7" ht="32.25" customHeight="1" x14ac:dyDescent="0.25">
      <c r="B1024" s="64"/>
      <c r="C1024" s="64"/>
      <c r="D1024" s="64"/>
      <c r="E1024" s="64"/>
      <c r="F1024" s="64"/>
      <c r="G1024" s="64"/>
    </row>
    <row r="1025" spans="2:7" ht="32.25" customHeight="1" x14ac:dyDescent="0.25">
      <c r="B1025" s="64"/>
      <c r="C1025" s="64"/>
      <c r="D1025" s="64"/>
      <c r="E1025" s="64"/>
      <c r="F1025" s="64"/>
      <c r="G1025" s="64"/>
    </row>
    <row r="1026" spans="2:7" ht="32.25" customHeight="1" x14ac:dyDescent="0.25">
      <c r="B1026" s="64"/>
      <c r="C1026" s="64"/>
      <c r="D1026" s="64"/>
      <c r="E1026" s="64"/>
      <c r="F1026" s="64"/>
      <c r="G1026" s="64"/>
    </row>
    <row r="1027" spans="2:7" ht="32.25" customHeight="1" x14ac:dyDescent="0.25">
      <c r="B1027" s="64"/>
      <c r="C1027" s="64"/>
      <c r="D1027" s="64"/>
      <c r="E1027" s="64"/>
      <c r="F1027" s="64"/>
      <c r="G1027" s="64"/>
    </row>
    <row r="1028" spans="2:7" ht="32.25" customHeight="1" x14ac:dyDescent="0.25">
      <c r="B1028" s="64"/>
      <c r="C1028" s="64"/>
      <c r="D1028" s="64"/>
      <c r="E1028" s="64"/>
      <c r="F1028" s="64"/>
      <c r="G1028" s="64"/>
    </row>
    <row r="1029" spans="2:7" ht="32.25" customHeight="1" x14ac:dyDescent="0.25">
      <c r="B1029" s="64"/>
      <c r="C1029" s="64"/>
      <c r="D1029" s="64"/>
      <c r="E1029" s="64"/>
      <c r="F1029" s="64"/>
      <c r="G1029" s="64"/>
    </row>
    <row r="1030" spans="2:7" ht="32.25" customHeight="1" x14ac:dyDescent="0.25">
      <c r="B1030" s="64"/>
      <c r="C1030" s="64"/>
      <c r="D1030" s="64"/>
      <c r="E1030" s="64"/>
      <c r="F1030" s="64"/>
      <c r="G1030" s="64"/>
    </row>
    <row r="1031" spans="2:7" ht="32.25" customHeight="1" x14ac:dyDescent="0.25">
      <c r="B1031" s="64"/>
      <c r="C1031" s="64"/>
      <c r="D1031" s="64"/>
      <c r="E1031" s="64"/>
      <c r="F1031" s="64"/>
      <c r="G1031" s="64"/>
    </row>
    <row r="1032" spans="2:7" ht="32.25" customHeight="1" x14ac:dyDescent="0.25">
      <c r="B1032" s="64"/>
      <c r="C1032" s="64"/>
      <c r="D1032" s="64"/>
      <c r="E1032" s="64"/>
      <c r="F1032" s="64"/>
      <c r="G1032" s="64"/>
    </row>
    <row r="1033" spans="2:7" ht="32.25" customHeight="1" x14ac:dyDescent="0.25">
      <c r="B1033" s="64"/>
      <c r="C1033" s="64"/>
      <c r="D1033" s="64"/>
      <c r="E1033" s="64"/>
      <c r="F1033" s="64"/>
      <c r="G1033" s="64"/>
    </row>
    <row r="1034" spans="2:7" ht="32.25" customHeight="1" x14ac:dyDescent="0.25">
      <c r="B1034" s="64"/>
      <c r="C1034" s="64"/>
      <c r="D1034" s="64"/>
      <c r="E1034" s="64"/>
      <c r="F1034" s="64"/>
      <c r="G1034" s="64"/>
    </row>
    <row r="1035" spans="2:7" ht="32.25" customHeight="1" x14ac:dyDescent="0.25">
      <c r="B1035" s="64"/>
      <c r="C1035" s="64"/>
      <c r="D1035" s="64"/>
      <c r="E1035" s="64"/>
      <c r="F1035" s="64"/>
      <c r="G1035" s="64"/>
    </row>
    <row r="1036" spans="2:7" ht="32.25" customHeight="1" x14ac:dyDescent="0.25">
      <c r="B1036" s="64"/>
      <c r="C1036" s="64"/>
      <c r="D1036" s="64"/>
      <c r="E1036" s="64"/>
      <c r="F1036" s="64"/>
      <c r="G1036" s="64"/>
    </row>
    <row r="1037" spans="2:7" ht="32.25" customHeight="1" x14ac:dyDescent="0.25">
      <c r="B1037" s="64"/>
      <c r="C1037" s="64"/>
      <c r="D1037" s="64"/>
      <c r="E1037" s="64"/>
      <c r="F1037" s="64"/>
      <c r="G1037" s="64"/>
    </row>
    <row r="1038" spans="2:7" ht="32.25" customHeight="1" x14ac:dyDescent="0.25">
      <c r="B1038" s="64"/>
      <c r="C1038" s="64"/>
      <c r="D1038" s="64"/>
      <c r="E1038" s="64"/>
      <c r="F1038" s="64"/>
      <c r="G1038" s="64"/>
    </row>
    <row r="1039" spans="2:7" ht="32.25" customHeight="1" x14ac:dyDescent="0.25">
      <c r="B1039" s="64"/>
      <c r="C1039" s="64"/>
      <c r="D1039" s="64"/>
      <c r="E1039" s="64"/>
      <c r="F1039" s="64"/>
      <c r="G1039" s="64"/>
    </row>
    <row r="1040" spans="2:7" ht="32.25" customHeight="1" x14ac:dyDescent="0.25">
      <c r="B1040" s="64"/>
      <c r="C1040" s="64"/>
      <c r="D1040" s="64"/>
      <c r="E1040" s="64"/>
      <c r="F1040" s="64"/>
      <c r="G1040" s="64"/>
    </row>
    <row r="1041" spans="2:7" ht="32.25" customHeight="1" x14ac:dyDescent="0.25">
      <c r="B1041" s="64"/>
      <c r="C1041" s="64"/>
      <c r="D1041" s="64"/>
      <c r="E1041" s="64"/>
      <c r="F1041" s="64"/>
      <c r="G1041" s="64"/>
    </row>
    <row r="1042" spans="2:7" ht="32.25" customHeight="1" x14ac:dyDescent="0.25">
      <c r="B1042" s="64"/>
      <c r="C1042" s="64"/>
      <c r="D1042" s="64"/>
      <c r="E1042" s="64"/>
      <c r="F1042" s="64"/>
      <c r="G1042" s="64"/>
    </row>
    <row r="1043" spans="2:7" ht="32.25" customHeight="1" x14ac:dyDescent="0.25">
      <c r="B1043" s="64"/>
      <c r="C1043" s="64"/>
      <c r="D1043" s="64"/>
      <c r="E1043" s="64"/>
      <c r="F1043" s="64"/>
      <c r="G1043" s="64"/>
    </row>
    <row r="1044" spans="2:7" ht="32.25" customHeight="1" x14ac:dyDescent="0.25">
      <c r="B1044" s="64"/>
      <c r="C1044" s="64"/>
      <c r="D1044" s="64"/>
      <c r="E1044" s="64"/>
      <c r="F1044" s="64"/>
      <c r="G1044" s="64"/>
    </row>
    <row r="1045" spans="2:7" ht="32.25" customHeight="1" x14ac:dyDescent="0.25">
      <c r="B1045" s="64"/>
      <c r="C1045" s="64"/>
      <c r="D1045" s="64"/>
      <c r="E1045" s="64"/>
      <c r="F1045" s="64"/>
      <c r="G1045" s="64"/>
    </row>
    <row r="1046" spans="2:7" ht="32.25" customHeight="1" x14ac:dyDescent="0.25">
      <c r="B1046" s="64"/>
      <c r="C1046" s="64"/>
      <c r="D1046" s="64"/>
      <c r="E1046" s="64"/>
      <c r="F1046" s="64"/>
      <c r="G1046" s="64"/>
    </row>
    <row r="1047" spans="2:7" ht="32.25" customHeight="1" x14ac:dyDescent="0.25">
      <c r="B1047" s="64"/>
      <c r="C1047" s="64"/>
      <c r="D1047" s="64"/>
      <c r="E1047" s="64"/>
      <c r="F1047" s="64"/>
      <c r="G1047" s="64"/>
    </row>
    <row r="1048" spans="2:7" ht="32.25" customHeight="1" x14ac:dyDescent="0.25">
      <c r="B1048" s="64"/>
      <c r="C1048" s="64"/>
      <c r="D1048" s="64"/>
      <c r="E1048" s="64"/>
      <c r="F1048" s="64"/>
      <c r="G1048" s="64"/>
    </row>
    <row r="1049" spans="2:7" ht="32.25" customHeight="1" x14ac:dyDescent="0.25">
      <c r="B1049" s="64"/>
      <c r="C1049" s="64"/>
      <c r="D1049" s="64"/>
      <c r="E1049" s="64"/>
      <c r="F1049" s="64"/>
      <c r="G1049" s="64"/>
    </row>
    <row r="1050" spans="2:7" ht="32.25" customHeight="1" x14ac:dyDescent="0.25">
      <c r="B1050" s="64"/>
      <c r="C1050" s="64"/>
      <c r="D1050" s="64"/>
      <c r="E1050" s="64"/>
      <c r="F1050" s="64"/>
      <c r="G1050" s="64"/>
    </row>
    <row r="1051" spans="2:7" ht="32.25" customHeight="1" x14ac:dyDescent="0.25">
      <c r="B1051" s="64"/>
      <c r="C1051" s="64"/>
      <c r="D1051" s="64"/>
      <c r="E1051" s="64"/>
      <c r="F1051" s="64"/>
      <c r="G1051" s="64"/>
    </row>
    <row r="1052" spans="2:7" ht="32.25" customHeight="1" x14ac:dyDescent="0.25">
      <c r="B1052" s="64"/>
      <c r="C1052" s="64"/>
      <c r="D1052" s="64"/>
      <c r="E1052" s="64"/>
      <c r="F1052" s="64"/>
      <c r="G1052" s="64"/>
    </row>
    <row r="1053" spans="2:7" ht="32.25" customHeight="1" x14ac:dyDescent="0.25">
      <c r="B1053" s="64"/>
      <c r="C1053" s="64"/>
      <c r="D1053" s="64"/>
      <c r="E1053" s="64"/>
      <c r="F1053" s="64"/>
      <c r="G1053" s="64"/>
    </row>
    <row r="1054" spans="2:7" ht="32.25" customHeight="1" x14ac:dyDescent="0.25">
      <c r="B1054" s="64"/>
      <c r="C1054" s="64"/>
      <c r="D1054" s="64"/>
      <c r="E1054" s="64"/>
      <c r="F1054" s="64"/>
      <c r="G1054" s="64"/>
    </row>
    <row r="1055" spans="2:7" ht="32.25" customHeight="1" x14ac:dyDescent="0.25">
      <c r="B1055" s="64"/>
      <c r="C1055" s="64"/>
      <c r="D1055" s="64"/>
      <c r="E1055" s="64"/>
      <c r="F1055" s="64"/>
      <c r="G1055" s="64"/>
    </row>
    <row r="1056" spans="2:7" ht="32.25" customHeight="1" x14ac:dyDescent="0.25">
      <c r="B1056" s="64"/>
      <c r="C1056" s="64"/>
      <c r="D1056" s="64"/>
      <c r="E1056" s="64"/>
      <c r="F1056" s="64"/>
      <c r="G1056" s="64"/>
    </row>
    <row r="1057" spans="2:7" ht="32.25" customHeight="1" x14ac:dyDescent="0.25">
      <c r="B1057" s="64"/>
      <c r="C1057" s="64"/>
      <c r="D1057" s="64"/>
      <c r="E1057" s="64"/>
      <c r="F1057" s="64"/>
      <c r="G1057" s="64"/>
    </row>
    <row r="1058" spans="2:7" ht="32.25" customHeight="1" x14ac:dyDescent="0.25">
      <c r="B1058" s="64"/>
      <c r="C1058" s="64"/>
      <c r="D1058" s="64"/>
      <c r="E1058" s="64"/>
      <c r="F1058" s="64"/>
      <c r="G1058" s="64"/>
    </row>
    <row r="1059" spans="2:7" ht="32.25" customHeight="1" x14ac:dyDescent="0.25">
      <c r="B1059" s="64"/>
      <c r="C1059" s="64"/>
      <c r="D1059" s="64"/>
      <c r="E1059" s="64"/>
      <c r="F1059" s="64"/>
      <c r="G1059" s="64"/>
    </row>
    <row r="1060" spans="2:7" ht="32.25" customHeight="1" x14ac:dyDescent="0.25">
      <c r="B1060" s="64"/>
      <c r="C1060" s="64"/>
      <c r="D1060" s="64"/>
      <c r="E1060" s="64"/>
      <c r="F1060" s="64"/>
      <c r="G1060" s="64"/>
    </row>
    <row r="1061" spans="2:7" ht="32.25" customHeight="1" x14ac:dyDescent="0.25">
      <c r="B1061" s="64"/>
      <c r="C1061" s="64"/>
      <c r="D1061" s="64"/>
      <c r="E1061" s="64"/>
      <c r="F1061" s="64"/>
      <c r="G1061" s="64"/>
    </row>
    <row r="1062" spans="2:7" ht="32.25" customHeight="1" x14ac:dyDescent="0.25">
      <c r="B1062" s="64"/>
      <c r="C1062" s="64"/>
      <c r="D1062" s="64"/>
      <c r="E1062" s="64"/>
      <c r="F1062" s="64"/>
      <c r="G1062" s="64"/>
    </row>
    <row r="1063" spans="2:7" ht="32.25" customHeight="1" x14ac:dyDescent="0.25">
      <c r="B1063" s="64"/>
      <c r="C1063" s="64"/>
      <c r="D1063" s="64"/>
      <c r="E1063" s="64"/>
      <c r="F1063" s="64"/>
      <c r="G1063" s="64"/>
    </row>
    <row r="1064" spans="2:7" ht="32.25" customHeight="1" x14ac:dyDescent="0.25">
      <c r="B1064" s="64"/>
      <c r="C1064" s="64"/>
      <c r="D1064" s="64"/>
      <c r="E1064" s="64"/>
      <c r="F1064" s="64"/>
      <c r="G1064" s="64"/>
    </row>
    <row r="1065" spans="2:7" ht="32.25" customHeight="1" x14ac:dyDescent="0.25">
      <c r="B1065" s="64"/>
      <c r="C1065" s="64"/>
      <c r="D1065" s="64"/>
      <c r="E1065" s="64"/>
      <c r="F1065" s="64"/>
      <c r="G1065" s="64"/>
    </row>
    <row r="1066" spans="2:7" ht="32.25" customHeight="1" x14ac:dyDescent="0.25">
      <c r="B1066" s="64"/>
      <c r="C1066" s="64"/>
      <c r="D1066" s="64"/>
      <c r="E1066" s="64"/>
      <c r="F1066" s="64"/>
      <c r="G1066" s="64"/>
    </row>
    <row r="1067" spans="2:7" ht="32.25" customHeight="1" x14ac:dyDescent="0.25">
      <c r="B1067" s="64"/>
      <c r="C1067" s="64"/>
      <c r="D1067" s="64"/>
      <c r="E1067" s="64"/>
      <c r="F1067" s="64"/>
      <c r="G1067" s="64"/>
    </row>
    <row r="1068" spans="2:7" ht="32.25" customHeight="1" x14ac:dyDescent="0.25">
      <c r="B1068" s="64"/>
      <c r="C1068" s="64"/>
      <c r="D1068" s="64"/>
      <c r="E1068" s="64"/>
      <c r="F1068" s="64"/>
      <c r="G1068" s="64"/>
    </row>
    <row r="1069" spans="2:7" ht="32.25" customHeight="1" x14ac:dyDescent="0.25">
      <c r="B1069" s="64"/>
      <c r="C1069" s="64"/>
      <c r="D1069" s="64"/>
      <c r="E1069" s="64"/>
      <c r="F1069" s="64"/>
      <c r="G1069" s="64"/>
    </row>
    <row r="1070" spans="2:7" ht="32.25" customHeight="1" x14ac:dyDescent="0.25">
      <c r="B1070" s="64"/>
      <c r="C1070" s="64"/>
      <c r="D1070" s="64"/>
      <c r="E1070" s="64"/>
      <c r="F1070" s="64"/>
      <c r="G1070" s="64"/>
    </row>
    <row r="1071" spans="2:7" ht="32.25" customHeight="1" x14ac:dyDescent="0.25">
      <c r="B1071" s="64"/>
      <c r="C1071" s="64"/>
      <c r="D1071" s="64"/>
      <c r="E1071" s="64"/>
      <c r="F1071" s="64"/>
      <c r="G1071" s="64"/>
    </row>
    <row r="1072" spans="2:7" ht="32.25" customHeight="1" x14ac:dyDescent="0.25">
      <c r="B1072" s="64"/>
      <c r="C1072" s="64"/>
      <c r="D1072" s="64"/>
      <c r="E1072" s="64"/>
      <c r="F1072" s="64"/>
      <c r="G1072" s="64"/>
    </row>
    <row r="1073" spans="2:7" ht="32.25" customHeight="1" x14ac:dyDescent="0.25">
      <c r="B1073" s="64"/>
      <c r="C1073" s="64"/>
      <c r="D1073" s="64"/>
      <c r="E1073" s="64"/>
      <c r="F1073" s="64"/>
      <c r="G1073" s="64"/>
    </row>
    <row r="1074" spans="2:7" ht="32.25" customHeight="1" x14ac:dyDescent="0.25">
      <c r="B1074" s="64"/>
      <c r="C1074" s="64"/>
      <c r="D1074" s="64"/>
      <c r="E1074" s="64"/>
      <c r="F1074" s="64"/>
      <c r="G1074" s="64"/>
    </row>
    <row r="1075" spans="2:7" ht="32.25" customHeight="1" x14ac:dyDescent="0.25">
      <c r="B1075" s="64"/>
      <c r="C1075" s="64"/>
      <c r="D1075" s="64"/>
      <c r="E1075" s="64"/>
      <c r="F1075" s="64"/>
      <c r="G1075" s="64"/>
    </row>
    <row r="1076" spans="2:7" ht="32.25" customHeight="1" x14ac:dyDescent="0.25">
      <c r="B1076" s="64"/>
      <c r="C1076" s="64"/>
      <c r="D1076" s="64"/>
      <c r="E1076" s="64"/>
      <c r="F1076" s="64"/>
      <c r="G1076" s="64"/>
    </row>
    <row r="1077" spans="2:7" ht="32.25" customHeight="1" x14ac:dyDescent="0.25">
      <c r="B1077" s="64"/>
      <c r="C1077" s="64"/>
      <c r="D1077" s="64"/>
      <c r="E1077" s="64"/>
      <c r="F1077" s="64"/>
      <c r="G1077" s="64"/>
    </row>
    <row r="1078" spans="2:7" ht="32.25" customHeight="1" x14ac:dyDescent="0.25">
      <c r="B1078" s="64"/>
      <c r="C1078" s="64"/>
      <c r="D1078" s="64"/>
      <c r="E1078" s="64"/>
      <c r="F1078" s="64"/>
      <c r="G1078" s="64"/>
    </row>
    <row r="1079" spans="2:7" ht="32.25" customHeight="1" x14ac:dyDescent="0.25">
      <c r="B1079" s="64"/>
      <c r="C1079" s="64"/>
      <c r="D1079" s="64"/>
      <c r="E1079" s="64"/>
      <c r="F1079" s="64"/>
      <c r="G1079" s="64"/>
    </row>
    <row r="1080" spans="2:7" ht="32.25" customHeight="1" x14ac:dyDescent="0.25">
      <c r="B1080" s="64"/>
      <c r="C1080" s="64"/>
      <c r="D1080" s="64"/>
      <c r="E1080" s="64"/>
      <c r="F1080" s="64"/>
      <c r="G1080" s="64"/>
    </row>
    <row r="1081" spans="2:7" ht="32.25" customHeight="1" x14ac:dyDescent="0.25">
      <c r="B1081" s="64"/>
      <c r="C1081" s="64"/>
      <c r="D1081" s="64"/>
      <c r="E1081" s="64"/>
      <c r="F1081" s="64"/>
      <c r="G1081" s="64"/>
    </row>
    <row r="1082" spans="2:7" ht="32.25" customHeight="1" x14ac:dyDescent="0.25">
      <c r="B1082" s="64"/>
      <c r="C1082" s="64"/>
      <c r="D1082" s="64"/>
      <c r="E1082" s="64"/>
      <c r="F1082" s="64"/>
      <c r="G1082" s="64"/>
    </row>
    <row r="1083" spans="2:7" ht="32.25" customHeight="1" x14ac:dyDescent="0.25">
      <c r="B1083" s="64"/>
      <c r="C1083" s="64"/>
      <c r="D1083" s="64"/>
      <c r="E1083" s="64"/>
      <c r="F1083" s="64"/>
      <c r="G1083" s="64"/>
    </row>
    <row r="1084" spans="2:7" ht="32.25" customHeight="1" x14ac:dyDescent="0.25">
      <c r="B1084" s="64"/>
      <c r="C1084" s="64"/>
      <c r="D1084" s="64"/>
      <c r="E1084" s="64"/>
      <c r="F1084" s="64"/>
      <c r="G1084" s="64"/>
    </row>
    <row r="1085" spans="2:7" ht="32.25" customHeight="1" x14ac:dyDescent="0.25">
      <c r="B1085" s="64"/>
      <c r="C1085" s="64"/>
      <c r="D1085" s="64"/>
      <c r="E1085" s="64"/>
      <c r="F1085" s="64"/>
      <c r="G1085" s="64"/>
    </row>
    <row r="1086" spans="2:7" ht="32.25" customHeight="1" x14ac:dyDescent="0.25">
      <c r="B1086" s="64"/>
      <c r="C1086" s="64"/>
      <c r="D1086" s="64"/>
      <c r="E1086" s="64"/>
      <c r="F1086" s="64"/>
      <c r="G1086" s="64"/>
    </row>
    <row r="1087" spans="2:7" ht="32.25" customHeight="1" x14ac:dyDescent="0.25">
      <c r="B1087" s="64"/>
      <c r="C1087" s="64"/>
      <c r="D1087" s="64"/>
      <c r="E1087" s="64"/>
      <c r="F1087" s="64"/>
      <c r="G1087" s="64"/>
    </row>
    <row r="1088" spans="2:7" ht="32.25" customHeight="1" x14ac:dyDescent="0.25">
      <c r="B1088" s="64"/>
      <c r="C1088" s="64"/>
      <c r="D1088" s="64"/>
      <c r="E1088" s="64"/>
      <c r="F1088" s="64"/>
      <c r="G1088" s="64"/>
    </row>
    <row r="1089" spans="2:7" ht="32.25" customHeight="1" x14ac:dyDescent="0.25">
      <c r="B1089" s="64"/>
      <c r="C1089" s="64"/>
      <c r="D1089" s="64"/>
      <c r="E1089" s="64"/>
      <c r="F1089" s="64"/>
      <c r="G1089" s="64"/>
    </row>
    <row r="1090" spans="2:7" ht="32.25" customHeight="1" x14ac:dyDescent="0.25">
      <c r="B1090" s="64"/>
      <c r="C1090" s="64"/>
      <c r="D1090" s="64"/>
      <c r="E1090" s="64"/>
      <c r="F1090" s="64"/>
      <c r="G1090" s="64"/>
    </row>
    <row r="1091" spans="2:7" ht="32.25" customHeight="1" x14ac:dyDescent="0.25">
      <c r="B1091" s="64"/>
      <c r="C1091" s="64"/>
      <c r="D1091" s="64"/>
      <c r="E1091" s="64"/>
      <c r="F1091" s="64"/>
      <c r="G1091" s="64"/>
    </row>
    <row r="1092" spans="2:7" ht="32.25" customHeight="1" x14ac:dyDescent="0.25">
      <c r="B1092" s="64"/>
      <c r="C1092" s="64"/>
      <c r="D1092" s="64"/>
      <c r="E1092" s="64"/>
      <c r="F1092" s="64"/>
      <c r="G1092" s="64"/>
    </row>
    <row r="1093" spans="2:7" ht="32.25" customHeight="1" x14ac:dyDescent="0.25">
      <c r="B1093" s="64"/>
      <c r="C1093" s="64"/>
      <c r="D1093" s="64"/>
      <c r="E1093" s="64"/>
      <c r="F1093" s="64"/>
      <c r="G1093" s="64"/>
    </row>
    <row r="1094" spans="2:7" ht="32.25" customHeight="1" x14ac:dyDescent="0.25">
      <c r="B1094" s="64"/>
      <c r="C1094" s="64"/>
      <c r="D1094" s="64"/>
      <c r="E1094" s="64"/>
      <c r="F1094" s="64"/>
      <c r="G1094" s="64"/>
    </row>
    <row r="1095" spans="2:7" ht="32.25" customHeight="1" x14ac:dyDescent="0.25">
      <c r="B1095" s="64"/>
      <c r="C1095" s="64"/>
      <c r="D1095" s="64"/>
      <c r="E1095" s="64"/>
      <c r="F1095" s="64"/>
      <c r="G1095" s="64"/>
    </row>
    <row r="1096" spans="2:7" ht="32.25" customHeight="1" x14ac:dyDescent="0.25">
      <c r="B1096" s="64"/>
      <c r="C1096" s="64"/>
      <c r="D1096" s="64"/>
      <c r="E1096" s="64"/>
      <c r="F1096" s="64"/>
      <c r="G1096" s="64"/>
    </row>
    <row r="1097" spans="2:7" ht="32.25" customHeight="1" x14ac:dyDescent="0.25">
      <c r="B1097" s="64"/>
      <c r="C1097" s="64"/>
      <c r="D1097" s="64"/>
      <c r="E1097" s="64"/>
      <c r="F1097" s="64"/>
      <c r="G1097" s="64"/>
    </row>
    <row r="1098" spans="2:7" ht="32.25" customHeight="1" x14ac:dyDescent="0.25">
      <c r="B1098" s="64"/>
      <c r="C1098" s="64"/>
      <c r="D1098" s="64"/>
      <c r="E1098" s="64"/>
      <c r="F1098" s="64"/>
      <c r="G1098" s="64"/>
    </row>
    <row r="1099" spans="2:7" ht="32.25" customHeight="1" x14ac:dyDescent="0.25">
      <c r="B1099" s="64"/>
      <c r="C1099" s="64"/>
      <c r="D1099" s="64"/>
      <c r="E1099" s="64"/>
      <c r="F1099" s="64"/>
      <c r="G1099" s="64"/>
    </row>
    <row r="1100" spans="2:7" ht="32.25" customHeight="1" x14ac:dyDescent="0.25">
      <c r="B1100" s="64"/>
      <c r="C1100" s="64"/>
      <c r="D1100" s="64"/>
      <c r="E1100" s="64"/>
      <c r="F1100" s="64"/>
      <c r="G1100" s="64"/>
    </row>
    <row r="1101" spans="2:7" ht="32.25" customHeight="1" x14ac:dyDescent="0.25">
      <c r="B1101" s="64"/>
      <c r="C1101" s="64"/>
      <c r="D1101" s="64"/>
      <c r="E1101" s="64"/>
      <c r="F1101" s="64"/>
      <c r="G1101" s="64"/>
    </row>
    <row r="1102" spans="2:7" ht="32.25" customHeight="1" x14ac:dyDescent="0.25">
      <c r="B1102" s="64"/>
      <c r="C1102" s="64"/>
      <c r="D1102" s="64"/>
      <c r="E1102" s="64"/>
      <c r="F1102" s="64"/>
      <c r="G1102" s="64"/>
    </row>
    <row r="1103" spans="2:7" ht="32.25" customHeight="1" x14ac:dyDescent="0.25">
      <c r="B1103" s="64"/>
      <c r="C1103" s="64"/>
      <c r="D1103" s="64"/>
      <c r="E1103" s="64"/>
      <c r="F1103" s="64"/>
      <c r="G1103" s="64"/>
    </row>
    <row r="1104" spans="2:7" ht="32.25" customHeight="1" x14ac:dyDescent="0.25">
      <c r="B1104" s="64"/>
      <c r="C1104" s="64"/>
      <c r="D1104" s="64"/>
      <c r="E1104" s="64"/>
      <c r="F1104" s="64"/>
      <c r="G1104" s="64"/>
    </row>
    <row r="1105" spans="2:7" ht="32.25" customHeight="1" x14ac:dyDescent="0.25">
      <c r="B1105" s="64"/>
      <c r="C1105" s="64"/>
      <c r="D1105" s="64"/>
      <c r="E1105" s="64"/>
      <c r="F1105" s="64"/>
      <c r="G1105" s="64"/>
    </row>
    <row r="1106" spans="2:7" ht="32.25" customHeight="1" x14ac:dyDescent="0.25">
      <c r="B1106" s="64"/>
      <c r="C1106" s="64"/>
      <c r="D1106" s="64"/>
      <c r="E1106" s="64"/>
      <c r="F1106" s="64"/>
      <c r="G1106" s="64"/>
    </row>
    <row r="1107" spans="2:7" ht="32.25" customHeight="1" x14ac:dyDescent="0.25">
      <c r="B1107" s="64"/>
      <c r="C1107" s="64"/>
      <c r="D1107" s="64"/>
      <c r="E1107" s="64"/>
      <c r="F1107" s="64"/>
      <c r="G1107" s="64"/>
    </row>
    <row r="1108" spans="2:7" ht="32.25" customHeight="1" x14ac:dyDescent="0.25">
      <c r="B1108" s="64"/>
      <c r="C1108" s="64"/>
      <c r="D1108" s="64"/>
      <c r="E1108" s="64"/>
      <c r="F1108" s="64"/>
      <c r="G1108" s="64"/>
    </row>
    <row r="1109" spans="2:7" ht="32.25" customHeight="1" x14ac:dyDescent="0.25">
      <c r="B1109" s="64"/>
      <c r="C1109" s="64"/>
      <c r="D1109" s="64"/>
      <c r="E1109" s="64"/>
      <c r="F1109" s="64"/>
      <c r="G1109" s="64"/>
    </row>
    <row r="1110" spans="2:7" ht="32.25" customHeight="1" x14ac:dyDescent="0.25">
      <c r="B1110" s="64"/>
      <c r="C1110" s="64"/>
      <c r="D1110" s="64"/>
      <c r="E1110" s="64"/>
      <c r="F1110" s="64"/>
      <c r="G1110" s="64"/>
    </row>
    <row r="1111" spans="2:7" ht="32.25" customHeight="1" x14ac:dyDescent="0.25">
      <c r="B1111" s="64"/>
      <c r="C1111" s="64"/>
      <c r="D1111" s="64"/>
      <c r="E1111" s="64"/>
      <c r="F1111" s="64"/>
      <c r="G1111" s="64"/>
    </row>
    <row r="1112" spans="2:7" ht="32.25" customHeight="1" x14ac:dyDescent="0.25">
      <c r="B1112" s="64"/>
      <c r="C1112" s="64"/>
      <c r="D1112" s="64"/>
      <c r="E1112" s="64"/>
      <c r="F1112" s="64"/>
      <c r="G1112" s="64"/>
    </row>
    <row r="1113" spans="2:7" ht="32.25" customHeight="1" x14ac:dyDescent="0.25">
      <c r="B1113" s="64"/>
      <c r="C1113" s="64"/>
      <c r="D1113" s="64"/>
      <c r="E1113" s="64"/>
      <c r="F1113" s="64"/>
      <c r="G1113" s="64"/>
    </row>
    <row r="1114" spans="2:7" ht="32.25" customHeight="1" x14ac:dyDescent="0.25">
      <c r="B1114" s="64"/>
      <c r="C1114" s="64"/>
      <c r="D1114" s="64"/>
      <c r="E1114" s="64"/>
      <c r="F1114" s="64"/>
      <c r="G1114" s="64"/>
    </row>
    <row r="1115" spans="2:7" ht="32.25" customHeight="1" x14ac:dyDescent="0.25">
      <c r="B1115" s="64"/>
      <c r="C1115" s="64"/>
      <c r="D1115" s="64"/>
      <c r="E1115" s="64"/>
      <c r="F1115" s="64"/>
      <c r="G1115" s="64"/>
    </row>
    <row r="1116" spans="2:7" ht="32.25" customHeight="1" x14ac:dyDescent="0.25">
      <c r="B1116" s="64"/>
      <c r="C1116" s="64"/>
      <c r="D1116" s="64"/>
      <c r="E1116" s="64"/>
      <c r="F1116" s="64"/>
      <c r="G1116" s="64"/>
    </row>
    <row r="1117" spans="2:7" ht="32.25" customHeight="1" x14ac:dyDescent="0.25">
      <c r="B1117" s="64"/>
      <c r="C1117" s="64"/>
      <c r="D1117" s="64"/>
      <c r="E1117" s="64"/>
      <c r="F1117" s="64"/>
      <c r="G1117" s="64"/>
    </row>
    <row r="1118" spans="2:7" ht="32.25" customHeight="1" x14ac:dyDescent="0.25">
      <c r="B1118" s="64"/>
      <c r="C1118" s="64"/>
      <c r="D1118" s="64"/>
      <c r="E1118" s="64"/>
      <c r="F1118" s="64"/>
      <c r="G1118" s="64"/>
    </row>
    <row r="1119" spans="2:7" ht="32.25" customHeight="1" x14ac:dyDescent="0.25">
      <c r="B1119" s="64"/>
      <c r="C1119" s="64"/>
      <c r="D1119" s="64"/>
      <c r="E1119" s="64"/>
      <c r="F1119" s="64"/>
      <c r="G1119" s="64"/>
    </row>
    <row r="1120" spans="2:7" ht="32.25" customHeight="1" x14ac:dyDescent="0.25">
      <c r="B1120" s="64"/>
      <c r="C1120" s="64"/>
      <c r="D1120" s="64"/>
      <c r="E1120" s="64"/>
      <c r="F1120" s="64"/>
      <c r="G1120" s="64"/>
    </row>
    <row r="1121" spans="2:7" ht="32.25" customHeight="1" x14ac:dyDescent="0.25">
      <c r="B1121" s="64"/>
      <c r="C1121" s="64"/>
      <c r="D1121" s="64"/>
      <c r="E1121" s="64"/>
      <c r="F1121" s="64"/>
      <c r="G1121" s="64"/>
    </row>
    <row r="1122" spans="2:7" ht="32.25" customHeight="1" x14ac:dyDescent="0.25">
      <c r="B1122" s="64"/>
      <c r="C1122" s="64"/>
      <c r="D1122" s="64"/>
      <c r="E1122" s="64"/>
      <c r="F1122" s="64"/>
      <c r="G1122" s="64"/>
    </row>
    <row r="1123" spans="2:7" ht="32.25" customHeight="1" x14ac:dyDescent="0.25">
      <c r="B1123" s="64"/>
      <c r="C1123" s="64"/>
      <c r="D1123" s="64"/>
      <c r="E1123" s="64"/>
      <c r="F1123" s="64"/>
      <c r="G1123" s="64"/>
    </row>
    <row r="1124" spans="2:7" ht="32.25" customHeight="1" x14ac:dyDescent="0.25">
      <c r="B1124" s="64"/>
      <c r="C1124" s="64"/>
      <c r="D1124" s="64"/>
      <c r="E1124" s="64"/>
      <c r="F1124" s="64"/>
      <c r="G1124" s="64"/>
    </row>
    <row r="1125" spans="2:7" ht="32.25" customHeight="1" x14ac:dyDescent="0.25">
      <c r="B1125" s="64"/>
      <c r="C1125" s="64"/>
      <c r="D1125" s="64"/>
      <c r="E1125" s="64"/>
      <c r="F1125" s="64"/>
      <c r="G1125" s="64"/>
    </row>
    <row r="1126" spans="2:7" ht="32.25" customHeight="1" x14ac:dyDescent="0.25">
      <c r="B1126" s="64"/>
      <c r="C1126" s="64"/>
      <c r="D1126" s="64"/>
      <c r="E1126" s="64"/>
      <c r="F1126" s="64"/>
      <c r="G1126" s="64"/>
    </row>
    <row r="1127" spans="2:7" ht="32.25" customHeight="1" x14ac:dyDescent="0.25">
      <c r="B1127" s="64"/>
      <c r="C1127" s="64"/>
      <c r="D1127" s="64"/>
      <c r="E1127" s="64"/>
      <c r="F1127" s="64"/>
      <c r="G1127" s="64"/>
    </row>
    <row r="1128" spans="2:7" ht="32.25" customHeight="1" x14ac:dyDescent="0.25">
      <c r="B1128" s="64"/>
      <c r="C1128" s="64"/>
      <c r="D1128" s="64"/>
      <c r="E1128" s="64"/>
      <c r="F1128" s="64"/>
      <c r="G1128" s="64"/>
    </row>
    <row r="1129" spans="2:7" ht="32.25" customHeight="1" x14ac:dyDescent="0.25">
      <c r="B1129" s="64"/>
      <c r="C1129" s="64"/>
      <c r="D1129" s="64"/>
      <c r="E1129" s="64"/>
      <c r="F1129" s="64"/>
      <c r="G1129" s="64"/>
    </row>
    <row r="1130" spans="2:7" ht="32.25" customHeight="1" x14ac:dyDescent="0.25">
      <c r="B1130" s="64"/>
      <c r="C1130" s="64"/>
      <c r="D1130" s="64"/>
      <c r="E1130" s="64"/>
      <c r="F1130" s="64"/>
      <c r="G1130" s="64"/>
    </row>
    <row r="1131" spans="2:7" ht="32.25" customHeight="1" x14ac:dyDescent="0.25">
      <c r="B1131" s="64"/>
      <c r="C1131" s="64"/>
      <c r="D1131" s="64"/>
      <c r="E1131" s="64"/>
      <c r="F1131" s="64"/>
      <c r="G1131" s="64"/>
    </row>
    <row r="1132" spans="2:7" ht="32.25" customHeight="1" x14ac:dyDescent="0.25">
      <c r="B1132" s="64"/>
      <c r="C1132" s="64"/>
      <c r="D1132" s="64"/>
      <c r="E1132" s="64"/>
      <c r="F1132" s="64"/>
      <c r="G1132" s="64"/>
    </row>
    <row r="1133" spans="2:7" ht="32.25" customHeight="1" x14ac:dyDescent="0.25">
      <c r="B1133" s="64"/>
      <c r="C1133" s="64"/>
      <c r="D1133" s="64"/>
      <c r="E1133" s="64"/>
      <c r="F1133" s="64"/>
      <c r="G1133" s="64"/>
    </row>
    <row r="1134" spans="2:7" ht="32.25" customHeight="1" x14ac:dyDescent="0.25">
      <c r="B1134" s="64"/>
      <c r="C1134" s="64"/>
      <c r="D1134" s="64"/>
      <c r="E1134" s="64"/>
      <c r="F1134" s="64"/>
      <c r="G1134" s="64"/>
    </row>
    <row r="1135" spans="2:7" ht="32.25" customHeight="1" x14ac:dyDescent="0.25">
      <c r="B1135" s="64"/>
      <c r="C1135" s="64"/>
      <c r="D1135" s="64"/>
      <c r="E1135" s="64"/>
      <c r="F1135" s="64"/>
      <c r="G1135" s="64"/>
    </row>
    <row r="1136" spans="2:7" ht="32.25" customHeight="1" x14ac:dyDescent="0.25">
      <c r="B1136" s="64"/>
      <c r="C1136" s="64"/>
      <c r="D1136" s="64"/>
      <c r="E1136" s="64"/>
      <c r="F1136" s="64"/>
      <c r="G1136" s="64"/>
    </row>
    <row r="1137" spans="2:7" ht="32.25" customHeight="1" x14ac:dyDescent="0.25">
      <c r="B1137" s="64"/>
      <c r="C1137" s="64"/>
      <c r="D1137" s="64"/>
      <c r="E1137" s="64"/>
      <c r="F1137" s="64"/>
      <c r="G1137" s="64"/>
    </row>
    <row r="1138" spans="2:7" ht="32.25" customHeight="1" x14ac:dyDescent="0.25">
      <c r="B1138" s="64"/>
      <c r="C1138" s="64"/>
      <c r="D1138" s="64"/>
      <c r="E1138" s="64"/>
      <c r="F1138" s="64"/>
      <c r="G1138" s="64"/>
    </row>
    <row r="1139" spans="2:7" ht="32.25" customHeight="1" x14ac:dyDescent="0.25">
      <c r="B1139" s="64"/>
      <c r="C1139" s="64"/>
      <c r="D1139" s="64"/>
      <c r="E1139" s="64"/>
      <c r="F1139" s="64"/>
      <c r="G1139" s="64"/>
    </row>
    <row r="1140" spans="2:7" ht="32.25" customHeight="1" x14ac:dyDescent="0.25">
      <c r="B1140" s="64"/>
      <c r="C1140" s="64"/>
      <c r="D1140" s="64"/>
      <c r="E1140" s="64"/>
      <c r="F1140" s="64"/>
      <c r="G1140" s="64"/>
    </row>
    <row r="1141" spans="2:7" ht="32.25" customHeight="1" x14ac:dyDescent="0.25">
      <c r="B1141" s="64"/>
      <c r="C1141" s="64"/>
      <c r="D1141" s="64"/>
      <c r="E1141" s="64"/>
      <c r="F1141" s="64"/>
      <c r="G1141" s="64"/>
    </row>
    <row r="1142" spans="2:7" ht="32.25" customHeight="1" x14ac:dyDescent="0.25">
      <c r="B1142" s="64"/>
      <c r="C1142" s="64"/>
      <c r="D1142" s="64"/>
      <c r="E1142" s="64"/>
      <c r="F1142" s="64"/>
      <c r="G1142" s="64"/>
    </row>
    <row r="1143" spans="2:7" ht="32.25" customHeight="1" x14ac:dyDescent="0.25">
      <c r="B1143" s="64"/>
      <c r="C1143" s="64"/>
      <c r="D1143" s="64"/>
      <c r="E1143" s="64"/>
      <c r="F1143" s="64"/>
      <c r="G1143" s="64"/>
    </row>
    <row r="1144" spans="2:7" ht="32.25" customHeight="1" x14ac:dyDescent="0.25">
      <c r="B1144" s="64"/>
      <c r="C1144" s="64"/>
      <c r="D1144" s="64"/>
      <c r="E1144" s="64"/>
      <c r="F1144" s="64"/>
      <c r="G1144" s="64"/>
    </row>
    <row r="1145" spans="2:7" ht="32.25" customHeight="1" x14ac:dyDescent="0.25">
      <c r="B1145" s="64"/>
      <c r="C1145" s="64"/>
      <c r="D1145" s="64"/>
      <c r="E1145" s="64"/>
      <c r="F1145" s="64"/>
      <c r="G1145" s="64"/>
    </row>
    <row r="1146" spans="2:7" ht="32.25" customHeight="1" x14ac:dyDescent="0.25">
      <c r="B1146" s="64"/>
      <c r="C1146" s="64"/>
      <c r="D1146" s="64"/>
      <c r="E1146" s="64"/>
      <c r="F1146" s="64"/>
      <c r="G1146" s="64"/>
    </row>
    <row r="1147" spans="2:7" ht="32.25" customHeight="1" x14ac:dyDescent="0.25">
      <c r="B1147" s="64"/>
      <c r="C1147" s="64"/>
      <c r="D1147" s="64"/>
      <c r="E1147" s="64"/>
      <c r="F1147" s="64"/>
      <c r="G1147" s="64"/>
    </row>
    <row r="1148" spans="2:7" ht="32.25" customHeight="1" x14ac:dyDescent="0.25">
      <c r="B1148" s="64"/>
      <c r="C1148" s="64"/>
      <c r="D1148" s="64"/>
      <c r="E1148" s="64"/>
      <c r="F1148" s="64"/>
      <c r="G1148" s="64"/>
    </row>
    <row r="1149" spans="2:7" ht="32.25" customHeight="1" x14ac:dyDescent="0.25">
      <c r="B1149" s="64"/>
      <c r="C1149" s="64"/>
      <c r="D1149" s="64"/>
      <c r="E1149" s="64"/>
      <c r="F1149" s="64"/>
      <c r="G1149" s="64"/>
    </row>
    <row r="1150" spans="2:7" ht="32.25" customHeight="1" x14ac:dyDescent="0.25">
      <c r="B1150" s="64"/>
      <c r="C1150" s="64"/>
      <c r="D1150" s="64"/>
      <c r="E1150" s="64"/>
      <c r="F1150" s="64"/>
      <c r="G1150" s="64"/>
    </row>
    <row r="1151" spans="2:7" ht="32.25" customHeight="1" x14ac:dyDescent="0.25">
      <c r="B1151" s="64"/>
      <c r="C1151" s="64"/>
      <c r="D1151" s="64"/>
      <c r="E1151" s="64"/>
      <c r="F1151" s="64"/>
      <c r="G1151" s="64"/>
    </row>
    <row r="1152" spans="2:7" ht="32.25" customHeight="1" x14ac:dyDescent="0.25">
      <c r="B1152" s="64"/>
      <c r="C1152" s="64"/>
      <c r="D1152" s="64"/>
      <c r="E1152" s="64"/>
      <c r="F1152" s="64"/>
      <c r="G1152" s="64"/>
    </row>
    <row r="1153" spans="2:7" ht="32.25" customHeight="1" x14ac:dyDescent="0.25">
      <c r="B1153" s="64"/>
      <c r="C1153" s="64"/>
      <c r="D1153" s="64"/>
      <c r="E1153" s="64"/>
      <c r="F1153" s="64"/>
      <c r="G1153" s="64"/>
    </row>
    <row r="1154" spans="2:7" ht="32.25" customHeight="1" x14ac:dyDescent="0.25">
      <c r="B1154" s="64"/>
      <c r="C1154" s="64"/>
      <c r="D1154" s="64"/>
      <c r="E1154" s="64"/>
      <c r="F1154" s="64"/>
      <c r="G1154" s="64"/>
    </row>
    <row r="1155" spans="2:7" ht="32.25" customHeight="1" x14ac:dyDescent="0.25">
      <c r="B1155" s="64"/>
      <c r="C1155" s="64"/>
      <c r="D1155" s="64"/>
      <c r="E1155" s="64"/>
      <c r="F1155" s="64"/>
      <c r="G1155" s="64"/>
    </row>
    <row r="1156" spans="2:7" ht="32.25" customHeight="1" x14ac:dyDescent="0.25">
      <c r="B1156" s="64"/>
      <c r="C1156" s="64"/>
      <c r="D1156" s="64"/>
      <c r="E1156" s="64"/>
      <c r="F1156" s="64"/>
      <c r="G1156" s="64"/>
    </row>
    <row r="1157" spans="2:7" ht="32.25" customHeight="1" x14ac:dyDescent="0.25">
      <c r="B1157" s="64"/>
      <c r="C1157" s="64"/>
      <c r="D1157" s="64"/>
      <c r="E1157" s="64"/>
      <c r="F1157" s="64"/>
      <c r="G1157" s="64"/>
    </row>
    <row r="1158" spans="2:7" ht="32.25" customHeight="1" x14ac:dyDescent="0.25">
      <c r="B1158" s="64"/>
      <c r="C1158" s="64"/>
      <c r="D1158" s="64"/>
      <c r="E1158" s="64"/>
      <c r="F1158" s="64"/>
      <c r="G1158" s="64"/>
    </row>
    <row r="1159" spans="2:7" ht="32.25" customHeight="1" x14ac:dyDescent="0.25">
      <c r="B1159" s="64"/>
      <c r="C1159" s="64"/>
      <c r="D1159" s="64"/>
      <c r="E1159" s="64"/>
      <c r="F1159" s="64"/>
      <c r="G1159" s="64"/>
    </row>
    <row r="1160" spans="2:7" ht="32.25" customHeight="1" x14ac:dyDescent="0.25">
      <c r="B1160" s="64"/>
      <c r="C1160" s="64"/>
      <c r="D1160" s="64"/>
      <c r="E1160" s="64"/>
      <c r="F1160" s="64"/>
      <c r="G1160" s="64"/>
    </row>
    <row r="1161" spans="2:7" ht="32.25" customHeight="1" x14ac:dyDescent="0.25">
      <c r="B1161" s="64"/>
      <c r="C1161" s="64"/>
      <c r="D1161" s="64"/>
      <c r="E1161" s="64"/>
      <c r="F1161" s="64"/>
      <c r="G1161" s="64"/>
    </row>
    <row r="1162" spans="2:7" ht="32.25" customHeight="1" x14ac:dyDescent="0.25">
      <c r="B1162" s="64"/>
      <c r="C1162" s="64"/>
      <c r="D1162" s="64"/>
      <c r="E1162" s="64"/>
      <c r="F1162" s="64"/>
      <c r="G1162" s="64"/>
    </row>
    <row r="1163" spans="2:7" ht="32.25" customHeight="1" x14ac:dyDescent="0.25">
      <c r="B1163" s="64"/>
      <c r="C1163" s="64"/>
      <c r="D1163" s="64"/>
      <c r="E1163" s="64"/>
      <c r="F1163" s="64"/>
      <c r="G1163" s="64"/>
    </row>
    <row r="1164" spans="2:7" ht="32.25" customHeight="1" x14ac:dyDescent="0.25">
      <c r="B1164" s="64"/>
      <c r="C1164" s="64"/>
      <c r="D1164" s="64"/>
      <c r="E1164" s="64"/>
      <c r="F1164" s="64"/>
      <c r="G1164" s="64"/>
    </row>
    <row r="1165" spans="2:7" ht="32.25" customHeight="1" x14ac:dyDescent="0.25">
      <c r="B1165" s="64"/>
      <c r="C1165" s="64"/>
      <c r="D1165" s="64"/>
      <c r="E1165" s="64"/>
      <c r="F1165" s="64"/>
      <c r="G1165" s="64"/>
    </row>
    <row r="1166" spans="2:7" ht="32.25" customHeight="1" x14ac:dyDescent="0.25">
      <c r="B1166" s="64"/>
      <c r="C1166" s="64"/>
      <c r="D1166" s="64"/>
      <c r="E1166" s="64"/>
      <c r="F1166" s="64"/>
      <c r="G1166" s="64"/>
    </row>
    <row r="1167" spans="2:7" ht="32.25" customHeight="1" x14ac:dyDescent="0.25">
      <c r="B1167" s="64"/>
      <c r="C1167" s="64"/>
      <c r="D1167" s="64"/>
      <c r="E1167" s="64"/>
      <c r="F1167" s="64"/>
      <c r="G1167" s="64"/>
    </row>
    <row r="1168" spans="2:7" ht="32.25" customHeight="1" x14ac:dyDescent="0.25">
      <c r="B1168" s="64"/>
      <c r="C1168" s="64"/>
      <c r="D1168" s="64"/>
      <c r="E1168" s="64"/>
      <c r="F1168" s="64"/>
      <c r="G1168" s="64"/>
    </row>
    <row r="1169" spans="2:7" ht="32.25" customHeight="1" x14ac:dyDescent="0.25">
      <c r="B1169" s="64"/>
      <c r="C1169" s="64"/>
      <c r="D1169" s="64"/>
      <c r="E1169" s="64"/>
      <c r="F1169" s="64"/>
      <c r="G1169" s="64"/>
    </row>
    <row r="1170" spans="2:7" ht="32.25" customHeight="1" x14ac:dyDescent="0.25">
      <c r="B1170" s="64"/>
      <c r="C1170" s="64"/>
      <c r="D1170" s="64"/>
      <c r="E1170" s="64"/>
      <c r="F1170" s="64"/>
      <c r="G1170" s="64"/>
    </row>
    <row r="1171" spans="2:7" ht="32.25" customHeight="1" x14ac:dyDescent="0.25">
      <c r="B1171" s="64"/>
      <c r="C1171" s="64"/>
      <c r="D1171" s="64"/>
      <c r="E1171" s="64"/>
      <c r="F1171" s="64"/>
      <c r="G1171" s="64"/>
    </row>
    <row r="1172" spans="2:7" ht="32.25" customHeight="1" x14ac:dyDescent="0.25">
      <c r="B1172" s="64"/>
      <c r="C1172" s="64"/>
      <c r="D1172" s="64"/>
      <c r="E1172" s="64"/>
      <c r="F1172" s="64"/>
      <c r="G1172" s="64"/>
    </row>
    <row r="1173" spans="2:7" ht="32.25" customHeight="1" x14ac:dyDescent="0.25">
      <c r="B1173" s="64"/>
      <c r="C1173" s="64"/>
      <c r="D1173" s="64"/>
      <c r="E1173" s="64"/>
      <c r="F1173" s="64"/>
      <c r="G1173" s="64"/>
    </row>
    <row r="1174" spans="2:7" ht="32.25" customHeight="1" x14ac:dyDescent="0.25">
      <c r="B1174" s="64"/>
      <c r="C1174" s="64"/>
      <c r="D1174" s="64"/>
      <c r="E1174" s="64"/>
      <c r="F1174" s="64"/>
      <c r="G1174" s="64"/>
    </row>
    <row r="1175" spans="2:7" ht="32.25" customHeight="1" x14ac:dyDescent="0.25">
      <c r="B1175" s="64"/>
      <c r="C1175" s="64"/>
      <c r="D1175" s="64"/>
      <c r="E1175" s="64"/>
      <c r="F1175" s="64"/>
      <c r="G1175" s="64"/>
    </row>
    <row r="1176" spans="2:7" ht="32.25" customHeight="1" x14ac:dyDescent="0.25">
      <c r="B1176" s="64"/>
      <c r="C1176" s="64"/>
      <c r="D1176" s="64"/>
      <c r="E1176" s="64"/>
      <c r="F1176" s="64"/>
      <c r="G1176" s="64"/>
    </row>
    <row r="1177" spans="2:7" ht="32.25" customHeight="1" x14ac:dyDescent="0.25">
      <c r="B1177" s="64"/>
      <c r="C1177" s="64"/>
      <c r="D1177" s="64"/>
      <c r="E1177" s="64"/>
      <c r="F1177" s="64"/>
      <c r="G1177" s="64"/>
    </row>
    <row r="1178" spans="2:7" ht="32.25" customHeight="1" x14ac:dyDescent="0.25">
      <c r="B1178" s="64"/>
      <c r="C1178" s="64"/>
      <c r="D1178" s="64"/>
      <c r="E1178" s="64"/>
      <c r="F1178" s="64"/>
      <c r="G1178" s="64"/>
    </row>
    <row r="1179" spans="2:7" ht="32.25" customHeight="1" x14ac:dyDescent="0.25">
      <c r="B1179" s="64"/>
      <c r="C1179" s="64"/>
      <c r="D1179" s="64"/>
      <c r="E1179" s="64"/>
      <c r="F1179" s="64"/>
      <c r="G1179" s="64"/>
    </row>
    <row r="1180" spans="2:7" ht="32.25" customHeight="1" x14ac:dyDescent="0.25">
      <c r="B1180" s="64"/>
      <c r="C1180" s="64"/>
      <c r="D1180" s="64"/>
      <c r="E1180" s="64"/>
      <c r="F1180" s="64"/>
      <c r="G1180" s="64"/>
    </row>
    <row r="1181" spans="2:7" ht="32.25" customHeight="1" x14ac:dyDescent="0.25">
      <c r="B1181" s="64"/>
      <c r="C1181" s="64"/>
      <c r="D1181" s="64"/>
      <c r="E1181" s="64"/>
      <c r="F1181" s="64"/>
      <c r="G1181" s="64"/>
    </row>
    <row r="1182" spans="2:7" ht="32.25" customHeight="1" x14ac:dyDescent="0.25">
      <c r="B1182" s="64"/>
      <c r="C1182" s="64"/>
      <c r="D1182" s="64"/>
      <c r="E1182" s="64"/>
      <c r="F1182" s="64"/>
      <c r="G1182" s="64"/>
    </row>
    <row r="1183" spans="2:7" ht="32.25" customHeight="1" x14ac:dyDescent="0.25">
      <c r="B1183" s="64"/>
      <c r="C1183" s="64"/>
      <c r="D1183" s="64"/>
      <c r="E1183" s="64"/>
      <c r="F1183" s="64"/>
      <c r="G1183" s="64"/>
    </row>
    <row r="1184" spans="2:7" ht="32.25" customHeight="1" x14ac:dyDescent="0.25">
      <c r="B1184" s="64"/>
      <c r="C1184" s="64"/>
      <c r="D1184" s="64"/>
      <c r="E1184" s="64"/>
      <c r="F1184" s="64"/>
      <c r="G1184" s="64"/>
    </row>
    <row r="1185" spans="2:7" ht="32.25" customHeight="1" x14ac:dyDescent="0.25">
      <c r="B1185" s="64"/>
      <c r="C1185" s="64"/>
      <c r="D1185" s="64"/>
      <c r="E1185" s="64"/>
      <c r="F1185" s="64"/>
      <c r="G1185" s="64"/>
    </row>
    <row r="1186" spans="2:7" ht="32.25" customHeight="1" x14ac:dyDescent="0.25">
      <c r="B1186" s="64"/>
      <c r="C1186" s="64"/>
      <c r="D1186" s="64"/>
      <c r="E1186" s="64"/>
      <c r="F1186" s="64"/>
      <c r="G1186" s="64"/>
    </row>
    <row r="1187" spans="2:7" ht="32.25" customHeight="1" x14ac:dyDescent="0.25">
      <c r="B1187" s="64"/>
      <c r="C1187" s="64"/>
      <c r="D1187" s="64"/>
      <c r="E1187" s="64"/>
      <c r="F1187" s="64"/>
      <c r="G1187" s="64"/>
    </row>
    <row r="1188" spans="2:7" ht="32.25" customHeight="1" x14ac:dyDescent="0.25">
      <c r="B1188" s="64"/>
      <c r="C1188" s="64"/>
      <c r="D1188" s="64"/>
      <c r="E1188" s="64"/>
      <c r="F1188" s="64"/>
      <c r="G1188" s="64"/>
    </row>
    <row r="1189" spans="2:7" ht="32.25" customHeight="1" x14ac:dyDescent="0.25">
      <c r="B1189" s="64"/>
      <c r="C1189" s="64"/>
      <c r="D1189" s="64"/>
      <c r="E1189" s="64"/>
      <c r="F1189" s="64"/>
      <c r="G1189" s="64"/>
    </row>
    <row r="1190" spans="2:7" ht="32.25" customHeight="1" x14ac:dyDescent="0.25">
      <c r="B1190" s="64"/>
      <c r="C1190" s="64"/>
      <c r="D1190" s="64"/>
      <c r="E1190" s="64"/>
      <c r="F1190" s="64"/>
      <c r="G1190" s="64"/>
    </row>
    <row r="1191" spans="2:7" ht="32.25" customHeight="1" x14ac:dyDescent="0.25">
      <c r="B1191" s="64"/>
      <c r="C1191" s="64"/>
      <c r="D1191" s="64"/>
      <c r="E1191" s="64"/>
      <c r="F1191" s="64"/>
      <c r="G1191" s="64"/>
    </row>
    <row r="1192" spans="2:7" ht="32.25" customHeight="1" x14ac:dyDescent="0.25">
      <c r="B1192" s="64"/>
      <c r="C1192" s="64"/>
      <c r="D1192" s="64"/>
      <c r="E1192" s="64"/>
      <c r="F1192" s="64"/>
      <c r="G1192" s="64"/>
    </row>
    <row r="1193" spans="2:7" ht="32.25" customHeight="1" x14ac:dyDescent="0.25">
      <c r="B1193" s="64"/>
      <c r="C1193" s="64"/>
      <c r="D1193" s="64"/>
      <c r="E1193" s="64"/>
      <c r="F1193" s="64"/>
      <c r="G1193" s="64"/>
    </row>
    <row r="1194" spans="2:7" ht="32.25" customHeight="1" x14ac:dyDescent="0.25">
      <c r="B1194" s="64"/>
      <c r="C1194" s="64"/>
      <c r="D1194" s="64"/>
      <c r="E1194" s="64"/>
      <c r="F1194" s="64"/>
      <c r="G1194" s="64"/>
    </row>
    <row r="1195" spans="2:7" ht="32.25" customHeight="1" x14ac:dyDescent="0.25">
      <c r="B1195" s="64"/>
      <c r="C1195" s="64"/>
      <c r="D1195" s="64"/>
      <c r="E1195" s="64"/>
      <c r="F1195" s="64"/>
      <c r="G1195" s="64"/>
    </row>
    <row r="1196" spans="2:7" ht="32.25" customHeight="1" x14ac:dyDescent="0.25">
      <c r="B1196" s="64"/>
      <c r="C1196" s="64"/>
      <c r="D1196" s="64"/>
      <c r="E1196" s="64"/>
      <c r="F1196" s="64"/>
      <c r="G1196" s="64"/>
    </row>
    <row r="1197" spans="2:7" ht="32.25" customHeight="1" x14ac:dyDescent="0.25">
      <c r="B1197" s="64"/>
      <c r="C1197" s="64"/>
      <c r="D1197" s="64"/>
      <c r="E1197" s="64"/>
      <c r="F1197" s="64"/>
      <c r="G1197" s="64"/>
    </row>
    <row r="1198" spans="2:7" ht="32.25" customHeight="1" x14ac:dyDescent="0.25">
      <c r="B1198" s="64"/>
      <c r="C1198" s="64"/>
      <c r="D1198" s="64"/>
      <c r="E1198" s="64"/>
      <c r="F1198" s="64"/>
      <c r="G1198" s="64"/>
    </row>
    <row r="1199" spans="2:7" ht="32.25" customHeight="1" x14ac:dyDescent="0.25">
      <c r="B1199" s="64"/>
      <c r="C1199" s="64"/>
      <c r="D1199" s="64"/>
      <c r="E1199" s="64"/>
      <c r="F1199" s="64"/>
      <c r="G1199" s="64"/>
    </row>
    <row r="1200" spans="2:7" ht="32.25" customHeight="1" x14ac:dyDescent="0.25">
      <c r="B1200" s="64"/>
      <c r="C1200" s="64"/>
      <c r="D1200" s="64"/>
      <c r="E1200" s="64"/>
      <c r="F1200" s="64"/>
      <c r="G1200" s="64"/>
    </row>
    <row r="1201" spans="2:7" ht="32.25" customHeight="1" x14ac:dyDescent="0.25">
      <c r="B1201" s="64"/>
      <c r="C1201" s="64"/>
      <c r="D1201" s="64"/>
      <c r="E1201" s="64"/>
      <c r="F1201" s="64"/>
      <c r="G1201" s="64"/>
    </row>
    <row r="1202" spans="2:7" ht="32.25" customHeight="1" x14ac:dyDescent="0.25">
      <c r="B1202" s="64"/>
      <c r="C1202" s="64"/>
      <c r="D1202" s="64"/>
      <c r="E1202" s="64"/>
      <c r="F1202" s="64"/>
      <c r="G1202" s="64"/>
    </row>
    <row r="1203" spans="2:7" ht="32.25" customHeight="1" x14ac:dyDescent="0.25">
      <c r="B1203" s="64"/>
      <c r="C1203" s="64"/>
      <c r="D1203" s="64"/>
      <c r="E1203" s="64"/>
      <c r="F1203" s="64"/>
      <c r="G1203" s="64"/>
    </row>
    <row r="1204" spans="2:7" ht="32.25" customHeight="1" x14ac:dyDescent="0.25">
      <c r="B1204" s="64"/>
      <c r="C1204" s="64"/>
      <c r="D1204" s="64"/>
      <c r="E1204" s="64"/>
      <c r="F1204" s="64"/>
      <c r="G1204" s="64"/>
    </row>
    <row r="1205" spans="2:7" ht="32.25" customHeight="1" x14ac:dyDescent="0.25">
      <c r="B1205" s="64"/>
      <c r="C1205" s="64"/>
      <c r="D1205" s="64"/>
      <c r="E1205" s="64"/>
      <c r="F1205" s="64"/>
      <c r="G1205" s="64"/>
    </row>
    <row r="1206" spans="2:7" ht="32.25" customHeight="1" x14ac:dyDescent="0.25">
      <c r="B1206" s="64"/>
      <c r="C1206" s="64"/>
      <c r="D1206" s="64"/>
      <c r="E1206" s="64"/>
      <c r="F1206" s="64"/>
      <c r="G1206" s="64"/>
    </row>
    <row r="1207" spans="2:7" ht="32.25" customHeight="1" x14ac:dyDescent="0.25">
      <c r="B1207" s="64"/>
      <c r="C1207" s="64"/>
      <c r="D1207" s="64"/>
      <c r="E1207" s="64"/>
      <c r="F1207" s="64"/>
      <c r="G1207" s="64"/>
    </row>
    <row r="1208" spans="2:7" ht="32.25" customHeight="1" x14ac:dyDescent="0.25">
      <c r="B1208" s="64"/>
      <c r="C1208" s="64"/>
      <c r="D1208" s="64"/>
      <c r="E1208" s="64"/>
      <c r="F1208" s="64"/>
      <c r="G1208" s="64"/>
    </row>
    <row r="1209" spans="2:7" ht="32.25" customHeight="1" x14ac:dyDescent="0.25">
      <c r="B1209" s="64"/>
      <c r="C1209" s="64"/>
      <c r="D1209" s="64"/>
      <c r="E1209" s="64"/>
      <c r="F1209" s="64"/>
      <c r="G1209" s="64"/>
    </row>
    <row r="1210" spans="2:7" ht="32.25" customHeight="1" x14ac:dyDescent="0.25">
      <c r="B1210" s="64"/>
      <c r="C1210" s="64"/>
      <c r="D1210" s="64"/>
      <c r="E1210" s="64"/>
      <c r="F1210" s="64"/>
      <c r="G1210" s="64"/>
    </row>
    <row r="1211" spans="2:7" ht="32.25" customHeight="1" x14ac:dyDescent="0.25">
      <c r="B1211" s="64"/>
      <c r="C1211" s="64"/>
      <c r="D1211" s="64"/>
      <c r="E1211" s="64"/>
      <c r="F1211" s="64"/>
      <c r="G1211" s="64"/>
    </row>
    <row r="1212" spans="2:7" ht="32.25" customHeight="1" x14ac:dyDescent="0.25">
      <c r="B1212" s="64"/>
      <c r="C1212" s="64"/>
      <c r="D1212" s="64"/>
      <c r="E1212" s="64"/>
      <c r="F1212" s="64"/>
      <c r="G1212" s="64"/>
    </row>
    <row r="1213" spans="2:7" ht="32.25" customHeight="1" x14ac:dyDescent="0.25">
      <c r="B1213" s="64"/>
      <c r="C1213" s="64"/>
      <c r="D1213" s="64"/>
      <c r="E1213" s="64"/>
      <c r="F1213" s="64"/>
      <c r="G1213" s="64"/>
    </row>
    <row r="1214" spans="2:7" ht="32.25" customHeight="1" x14ac:dyDescent="0.25">
      <c r="B1214" s="64"/>
      <c r="C1214" s="64"/>
      <c r="D1214" s="64"/>
      <c r="E1214" s="64"/>
      <c r="F1214" s="64"/>
      <c r="G1214" s="64"/>
    </row>
    <row r="1215" spans="2:7" ht="32.25" customHeight="1" x14ac:dyDescent="0.25">
      <c r="B1215" s="64"/>
      <c r="C1215" s="64"/>
      <c r="D1215" s="64"/>
      <c r="E1215" s="64"/>
      <c r="F1215" s="64"/>
      <c r="G1215" s="64"/>
    </row>
    <row r="1216" spans="2:7" ht="32.25" customHeight="1" x14ac:dyDescent="0.25">
      <c r="B1216" s="64"/>
      <c r="C1216" s="64"/>
      <c r="D1216" s="64"/>
      <c r="E1216" s="64"/>
      <c r="F1216" s="64"/>
      <c r="G1216" s="64"/>
    </row>
    <row r="1217" spans="2:7" ht="32.25" customHeight="1" x14ac:dyDescent="0.25">
      <c r="B1217" s="64"/>
      <c r="C1217" s="64"/>
      <c r="D1217" s="64"/>
      <c r="E1217" s="64"/>
      <c r="F1217" s="64"/>
      <c r="G1217" s="64"/>
    </row>
    <row r="1218" spans="2:7" ht="32.25" customHeight="1" x14ac:dyDescent="0.25">
      <c r="B1218" s="64"/>
      <c r="C1218" s="64"/>
      <c r="D1218" s="64"/>
      <c r="E1218" s="64"/>
      <c r="F1218" s="64"/>
      <c r="G1218" s="64"/>
    </row>
    <row r="1219" spans="2:7" ht="32.25" customHeight="1" x14ac:dyDescent="0.25">
      <c r="B1219" s="64"/>
      <c r="C1219" s="64"/>
      <c r="D1219" s="64"/>
      <c r="E1219" s="64"/>
      <c r="F1219" s="64"/>
      <c r="G1219" s="64"/>
    </row>
    <row r="1220" spans="2:7" ht="32.25" customHeight="1" x14ac:dyDescent="0.25">
      <c r="B1220" s="64"/>
      <c r="C1220" s="64"/>
      <c r="D1220" s="64"/>
      <c r="E1220" s="64"/>
      <c r="F1220" s="64"/>
      <c r="G1220" s="64"/>
    </row>
    <row r="1221" spans="2:7" ht="32.25" customHeight="1" x14ac:dyDescent="0.25">
      <c r="B1221" s="64"/>
      <c r="C1221" s="64"/>
      <c r="D1221" s="64"/>
      <c r="E1221" s="64"/>
      <c r="F1221" s="64"/>
      <c r="G1221" s="64"/>
    </row>
    <row r="1222" spans="2:7" ht="32.25" customHeight="1" x14ac:dyDescent="0.25">
      <c r="B1222" s="64"/>
      <c r="C1222" s="64"/>
      <c r="D1222" s="64"/>
      <c r="E1222" s="64"/>
      <c r="F1222" s="64"/>
      <c r="G1222" s="64"/>
    </row>
    <row r="1223" spans="2:7" ht="32.25" customHeight="1" x14ac:dyDescent="0.25">
      <c r="B1223" s="64"/>
      <c r="C1223" s="64"/>
      <c r="D1223" s="64"/>
      <c r="E1223" s="64"/>
      <c r="F1223" s="64"/>
      <c r="G1223" s="64"/>
    </row>
    <row r="1224" spans="2:7" ht="32.25" customHeight="1" x14ac:dyDescent="0.25">
      <c r="B1224" s="64"/>
      <c r="C1224" s="64"/>
      <c r="D1224" s="64"/>
      <c r="E1224" s="64"/>
      <c r="F1224" s="64"/>
      <c r="G1224" s="64"/>
    </row>
    <row r="1225" spans="2:7" ht="32.25" customHeight="1" x14ac:dyDescent="0.25">
      <c r="B1225" s="64"/>
      <c r="C1225" s="64"/>
      <c r="D1225" s="64"/>
      <c r="E1225" s="64"/>
      <c r="F1225" s="64"/>
      <c r="G1225" s="64"/>
    </row>
    <row r="1226" spans="2:7" ht="32.25" customHeight="1" x14ac:dyDescent="0.25">
      <c r="B1226" s="64"/>
      <c r="C1226" s="64"/>
      <c r="D1226" s="64"/>
      <c r="E1226" s="64"/>
      <c r="F1226" s="64"/>
      <c r="G1226" s="64"/>
    </row>
    <row r="1227" spans="2:7" ht="32.25" customHeight="1" x14ac:dyDescent="0.25">
      <c r="B1227" s="64"/>
      <c r="C1227" s="64"/>
      <c r="D1227" s="64"/>
      <c r="E1227" s="64"/>
      <c r="F1227" s="64"/>
      <c r="G1227" s="64"/>
    </row>
    <row r="1228" spans="2:7" ht="32.25" customHeight="1" x14ac:dyDescent="0.25">
      <c r="B1228" s="64"/>
      <c r="C1228" s="64"/>
      <c r="D1228" s="64"/>
      <c r="E1228" s="64"/>
      <c r="F1228" s="64"/>
      <c r="G1228" s="64"/>
    </row>
    <row r="1229" spans="2:7" ht="32.25" customHeight="1" x14ac:dyDescent="0.25">
      <c r="B1229" s="64"/>
      <c r="C1229" s="64"/>
      <c r="D1229" s="64"/>
      <c r="E1229" s="64"/>
      <c r="F1229" s="64"/>
      <c r="G1229" s="64"/>
    </row>
    <row r="1230" spans="2:7" ht="32.25" customHeight="1" x14ac:dyDescent="0.25">
      <c r="B1230" s="64"/>
      <c r="C1230" s="64"/>
      <c r="D1230" s="64"/>
      <c r="E1230" s="64"/>
      <c r="F1230" s="64"/>
      <c r="G1230" s="64"/>
    </row>
    <row r="1231" spans="2:7" ht="32.25" customHeight="1" x14ac:dyDescent="0.25">
      <c r="B1231" s="64"/>
      <c r="C1231" s="64"/>
      <c r="D1231" s="64"/>
      <c r="E1231" s="64"/>
      <c r="F1231" s="64"/>
      <c r="G1231" s="64"/>
    </row>
    <row r="1232" spans="2:7" ht="32.25" customHeight="1" x14ac:dyDescent="0.25">
      <c r="B1232" s="64"/>
      <c r="C1232" s="64"/>
      <c r="D1232" s="64"/>
      <c r="E1232" s="64"/>
      <c r="F1232" s="64"/>
      <c r="G1232" s="64"/>
    </row>
    <row r="1233" spans="2:7" ht="32.25" customHeight="1" x14ac:dyDescent="0.25">
      <c r="B1233" s="64"/>
      <c r="C1233" s="64"/>
      <c r="D1233" s="64"/>
      <c r="E1233" s="64"/>
      <c r="F1233" s="64"/>
      <c r="G1233" s="64"/>
    </row>
    <row r="1234" spans="2:7" ht="32.25" customHeight="1" x14ac:dyDescent="0.25">
      <c r="B1234" s="64"/>
      <c r="C1234" s="64"/>
      <c r="D1234" s="64"/>
      <c r="E1234" s="64"/>
      <c r="F1234" s="64"/>
      <c r="G1234" s="64"/>
    </row>
    <row r="1235" spans="2:7" ht="32.25" customHeight="1" x14ac:dyDescent="0.25">
      <c r="B1235" s="64"/>
      <c r="C1235" s="64"/>
      <c r="D1235" s="64"/>
      <c r="E1235" s="64"/>
      <c r="F1235" s="64"/>
      <c r="G1235" s="64"/>
    </row>
    <row r="1236" spans="2:7" ht="32.25" customHeight="1" x14ac:dyDescent="0.25">
      <c r="B1236" s="64"/>
      <c r="C1236" s="64"/>
      <c r="D1236" s="64"/>
      <c r="E1236" s="64"/>
      <c r="F1236" s="64"/>
      <c r="G1236" s="64"/>
    </row>
    <row r="1237" spans="2:7" ht="32.25" customHeight="1" x14ac:dyDescent="0.25">
      <c r="B1237" s="64"/>
      <c r="C1237" s="64"/>
      <c r="D1237" s="64"/>
      <c r="E1237" s="64"/>
      <c r="F1237" s="64"/>
      <c r="G1237" s="64"/>
    </row>
    <row r="1238" spans="2:7" ht="32.25" customHeight="1" x14ac:dyDescent="0.25">
      <c r="B1238" s="64"/>
      <c r="C1238" s="64"/>
      <c r="D1238" s="64"/>
      <c r="E1238" s="64"/>
      <c r="F1238" s="64"/>
      <c r="G1238" s="64"/>
    </row>
    <row r="1239" spans="2:7" ht="32.25" customHeight="1" x14ac:dyDescent="0.25">
      <c r="B1239" s="64"/>
      <c r="C1239" s="64"/>
      <c r="D1239" s="64"/>
      <c r="E1239" s="64"/>
      <c r="F1239" s="64"/>
      <c r="G1239" s="64"/>
    </row>
    <row r="1240" spans="2:7" ht="32.25" customHeight="1" x14ac:dyDescent="0.25">
      <c r="B1240" s="64"/>
      <c r="C1240" s="64"/>
      <c r="D1240" s="64"/>
      <c r="E1240" s="64"/>
      <c r="F1240" s="64"/>
      <c r="G1240" s="64"/>
    </row>
    <row r="1241" spans="2:7" ht="32.25" customHeight="1" x14ac:dyDescent="0.25">
      <c r="B1241" s="64"/>
      <c r="C1241" s="64"/>
      <c r="D1241" s="64"/>
      <c r="E1241" s="64"/>
      <c r="F1241" s="64"/>
      <c r="G1241" s="64"/>
    </row>
    <row r="1242" spans="2:7" ht="32.25" customHeight="1" x14ac:dyDescent="0.25">
      <c r="B1242" s="64"/>
      <c r="C1242" s="64"/>
      <c r="D1242" s="64"/>
      <c r="E1242" s="64"/>
      <c r="F1242" s="64"/>
      <c r="G1242" s="64"/>
    </row>
    <row r="1243" spans="2:7" ht="32.25" customHeight="1" x14ac:dyDescent="0.25">
      <c r="B1243" s="64"/>
      <c r="C1243" s="64"/>
      <c r="D1243" s="64"/>
      <c r="E1243" s="64"/>
      <c r="F1243" s="64"/>
      <c r="G1243" s="64"/>
    </row>
    <row r="1244" spans="2:7" ht="32.25" customHeight="1" x14ac:dyDescent="0.25">
      <c r="B1244" s="64"/>
      <c r="C1244" s="64"/>
      <c r="D1244" s="64"/>
      <c r="E1244" s="64"/>
      <c r="F1244" s="64"/>
      <c r="G1244" s="64"/>
    </row>
    <row r="1245" spans="2:7" ht="32.25" customHeight="1" x14ac:dyDescent="0.25">
      <c r="B1245" s="64"/>
      <c r="C1245" s="64"/>
      <c r="D1245" s="64"/>
      <c r="E1245" s="64"/>
      <c r="F1245" s="64"/>
      <c r="G1245" s="64"/>
    </row>
    <row r="1246" spans="2:7" ht="32.25" customHeight="1" x14ac:dyDescent="0.25">
      <c r="B1246" s="64"/>
      <c r="C1246" s="64"/>
      <c r="D1246" s="64"/>
      <c r="E1246" s="64"/>
      <c r="F1246" s="64"/>
      <c r="G1246" s="64"/>
    </row>
    <row r="1247" spans="2:7" ht="32.25" customHeight="1" x14ac:dyDescent="0.25">
      <c r="B1247" s="64"/>
      <c r="C1247" s="64"/>
      <c r="D1247" s="64"/>
      <c r="E1247" s="64"/>
      <c r="F1247" s="64"/>
      <c r="G1247" s="64"/>
    </row>
    <row r="1248" spans="2:7" ht="32.25" customHeight="1" x14ac:dyDescent="0.25">
      <c r="B1248" s="64"/>
      <c r="C1248" s="64"/>
      <c r="D1248" s="64"/>
      <c r="E1248" s="64"/>
      <c r="F1248" s="64"/>
      <c r="G1248" s="64"/>
    </row>
    <row r="1249" spans="2:7" ht="32.25" customHeight="1" x14ac:dyDescent="0.25">
      <c r="B1249" s="64"/>
      <c r="C1249" s="64"/>
      <c r="D1249" s="64"/>
      <c r="E1249" s="64"/>
      <c r="F1249" s="64"/>
      <c r="G1249" s="64"/>
    </row>
    <row r="1250" spans="2:7" ht="32.25" customHeight="1" x14ac:dyDescent="0.25">
      <c r="B1250" s="64"/>
      <c r="C1250" s="64"/>
      <c r="D1250" s="64"/>
      <c r="E1250" s="64"/>
      <c r="F1250" s="64"/>
      <c r="G1250" s="64"/>
    </row>
    <row r="1251" spans="2:7" ht="32.25" customHeight="1" x14ac:dyDescent="0.25">
      <c r="B1251" s="64"/>
      <c r="C1251" s="64"/>
      <c r="D1251" s="64"/>
      <c r="E1251" s="64"/>
      <c r="F1251" s="64"/>
      <c r="G1251" s="64"/>
    </row>
    <row r="1252" spans="2:7" ht="32.25" customHeight="1" x14ac:dyDescent="0.25">
      <c r="B1252" s="64"/>
      <c r="C1252" s="64"/>
      <c r="D1252" s="64"/>
      <c r="E1252" s="64"/>
      <c r="F1252" s="64"/>
      <c r="G1252" s="64"/>
    </row>
    <row r="1253" spans="2:7" ht="32.25" customHeight="1" x14ac:dyDescent="0.25">
      <c r="B1253" s="64"/>
      <c r="C1253" s="64"/>
      <c r="D1253" s="64"/>
      <c r="E1253" s="64"/>
      <c r="F1253" s="64"/>
      <c r="G1253" s="64"/>
    </row>
    <row r="1254" spans="2:7" ht="32.25" customHeight="1" x14ac:dyDescent="0.25">
      <c r="B1254" s="64"/>
      <c r="C1254" s="64"/>
      <c r="D1254" s="64"/>
      <c r="E1254" s="64"/>
      <c r="F1254" s="64"/>
      <c r="G1254" s="64"/>
    </row>
    <row r="1255" spans="2:7" ht="32.25" customHeight="1" x14ac:dyDescent="0.25">
      <c r="B1255" s="64"/>
      <c r="C1255" s="64"/>
      <c r="D1255" s="64"/>
      <c r="E1255" s="64"/>
      <c r="F1255" s="64"/>
      <c r="G1255" s="64"/>
    </row>
    <row r="1256" spans="2:7" ht="32.25" customHeight="1" x14ac:dyDescent="0.25">
      <c r="B1256" s="64"/>
      <c r="C1256" s="64"/>
      <c r="D1256" s="64"/>
      <c r="E1256" s="64"/>
      <c r="F1256" s="64"/>
      <c r="G1256" s="64"/>
    </row>
    <row r="1257" spans="2:7" ht="32.25" customHeight="1" x14ac:dyDescent="0.25">
      <c r="B1257" s="64"/>
      <c r="C1257" s="64"/>
      <c r="D1257" s="64"/>
      <c r="E1257" s="64"/>
      <c r="F1257" s="64"/>
      <c r="G1257" s="64"/>
    </row>
    <row r="1258" spans="2:7" ht="32.25" customHeight="1" x14ac:dyDescent="0.25">
      <c r="B1258" s="64"/>
      <c r="C1258" s="64"/>
      <c r="D1258" s="64"/>
      <c r="E1258" s="64"/>
      <c r="F1258" s="64"/>
      <c r="G1258" s="64"/>
    </row>
    <row r="1259" spans="2:7" ht="32.25" customHeight="1" x14ac:dyDescent="0.25">
      <c r="B1259" s="64"/>
      <c r="C1259" s="64"/>
      <c r="D1259" s="64"/>
      <c r="E1259" s="64"/>
      <c r="F1259" s="64"/>
      <c r="G1259" s="64"/>
    </row>
    <row r="1260" spans="2:7" ht="32.25" customHeight="1" x14ac:dyDescent="0.25">
      <c r="B1260" s="64"/>
      <c r="C1260" s="64"/>
      <c r="D1260" s="64"/>
      <c r="E1260" s="64"/>
      <c r="F1260" s="64"/>
      <c r="G1260" s="64"/>
    </row>
    <row r="1261" spans="2:7" ht="32.25" customHeight="1" x14ac:dyDescent="0.25">
      <c r="B1261" s="64"/>
      <c r="C1261" s="64"/>
      <c r="D1261" s="64"/>
      <c r="E1261" s="64"/>
      <c r="F1261" s="64"/>
      <c r="G1261" s="64"/>
    </row>
    <row r="1262" spans="2:7" ht="32.25" customHeight="1" x14ac:dyDescent="0.25">
      <c r="B1262" s="64"/>
      <c r="C1262" s="64"/>
      <c r="D1262" s="64"/>
      <c r="E1262" s="64"/>
      <c r="F1262" s="64"/>
      <c r="G1262" s="64"/>
    </row>
    <row r="1263" spans="2:7" ht="32.25" customHeight="1" x14ac:dyDescent="0.25">
      <c r="B1263" s="64"/>
      <c r="C1263" s="64"/>
      <c r="D1263" s="64"/>
      <c r="E1263" s="64"/>
      <c r="F1263" s="64"/>
      <c r="G1263" s="64"/>
    </row>
    <row r="1264" spans="2:7" ht="32.25" customHeight="1" x14ac:dyDescent="0.25">
      <c r="B1264" s="64"/>
      <c r="C1264" s="64"/>
      <c r="D1264" s="64"/>
      <c r="E1264" s="64"/>
      <c r="F1264" s="64"/>
      <c r="G1264" s="64"/>
    </row>
    <row r="1265" spans="2:7" ht="32.25" customHeight="1" x14ac:dyDescent="0.25">
      <c r="B1265" s="64"/>
      <c r="C1265" s="64"/>
      <c r="D1265" s="64"/>
      <c r="E1265" s="64"/>
      <c r="F1265" s="64"/>
      <c r="G1265" s="64"/>
    </row>
    <row r="1266" spans="2:7" ht="32.25" customHeight="1" x14ac:dyDescent="0.25">
      <c r="B1266" s="64"/>
      <c r="C1266" s="64"/>
      <c r="D1266" s="64"/>
      <c r="E1266" s="64"/>
      <c r="F1266" s="64"/>
      <c r="G1266" s="64"/>
    </row>
    <row r="1267" spans="2:7" ht="32.25" customHeight="1" x14ac:dyDescent="0.25">
      <c r="B1267" s="64"/>
      <c r="C1267" s="64"/>
      <c r="D1267" s="64"/>
      <c r="E1267" s="64"/>
      <c r="F1267" s="64"/>
      <c r="G1267" s="64"/>
    </row>
    <row r="1268" spans="2:7" ht="32.25" customHeight="1" x14ac:dyDescent="0.25">
      <c r="B1268" s="64"/>
      <c r="C1268" s="64"/>
      <c r="D1268" s="64"/>
      <c r="E1268" s="64"/>
      <c r="F1268" s="64"/>
      <c r="G1268" s="64"/>
    </row>
    <row r="1269" spans="2:7" ht="32.25" customHeight="1" x14ac:dyDescent="0.25">
      <c r="B1269" s="64"/>
      <c r="C1269" s="64"/>
      <c r="D1269" s="64"/>
      <c r="E1269" s="64"/>
      <c r="F1269" s="64"/>
      <c r="G1269" s="64"/>
    </row>
    <row r="1270" spans="2:7" ht="32.25" customHeight="1" x14ac:dyDescent="0.25">
      <c r="B1270" s="64"/>
      <c r="C1270" s="64"/>
      <c r="D1270" s="64"/>
      <c r="E1270" s="64"/>
      <c r="F1270" s="64"/>
      <c r="G1270" s="64"/>
    </row>
    <row r="1271" spans="2:7" ht="32.25" customHeight="1" x14ac:dyDescent="0.25">
      <c r="B1271" s="64"/>
      <c r="C1271" s="64"/>
      <c r="D1271" s="64"/>
      <c r="E1271" s="64"/>
      <c r="F1271" s="64"/>
      <c r="G1271" s="64"/>
    </row>
    <row r="1272" spans="2:7" ht="32.25" customHeight="1" x14ac:dyDescent="0.25">
      <c r="B1272" s="64"/>
      <c r="C1272" s="64"/>
      <c r="D1272" s="64"/>
      <c r="E1272" s="64"/>
      <c r="F1272" s="64"/>
      <c r="G1272" s="64"/>
    </row>
    <row r="1273" spans="2:7" ht="32.25" customHeight="1" x14ac:dyDescent="0.25">
      <c r="B1273" s="64"/>
      <c r="C1273" s="64"/>
      <c r="D1273" s="64"/>
      <c r="E1273" s="64"/>
      <c r="F1273" s="64"/>
      <c r="G1273" s="64"/>
    </row>
    <row r="1274" spans="2:7" ht="32.25" customHeight="1" x14ac:dyDescent="0.25">
      <c r="B1274" s="64"/>
      <c r="C1274" s="64"/>
      <c r="D1274" s="64"/>
      <c r="E1274" s="64"/>
      <c r="F1274" s="64"/>
      <c r="G1274" s="64"/>
    </row>
    <row r="1275" spans="2:7" ht="32.25" customHeight="1" x14ac:dyDescent="0.25">
      <c r="B1275" s="64"/>
      <c r="C1275" s="64"/>
      <c r="D1275" s="64"/>
      <c r="E1275" s="64"/>
      <c r="F1275" s="64"/>
      <c r="G1275" s="64"/>
    </row>
    <row r="1276" spans="2:7" ht="32.25" customHeight="1" x14ac:dyDescent="0.25">
      <c r="B1276" s="64"/>
      <c r="C1276" s="64"/>
      <c r="D1276" s="64"/>
      <c r="E1276" s="64"/>
      <c r="F1276" s="64"/>
      <c r="G1276" s="64"/>
    </row>
    <row r="1277" spans="2:7" ht="32.25" customHeight="1" x14ac:dyDescent="0.25">
      <c r="B1277" s="64"/>
      <c r="C1277" s="64"/>
      <c r="D1277" s="64"/>
      <c r="E1277" s="64"/>
      <c r="F1277" s="64"/>
      <c r="G1277" s="64"/>
    </row>
    <row r="1278" spans="2:7" ht="32.25" customHeight="1" x14ac:dyDescent="0.25">
      <c r="B1278" s="64"/>
      <c r="C1278" s="64"/>
      <c r="D1278" s="64"/>
      <c r="E1278" s="64"/>
      <c r="F1278" s="64"/>
      <c r="G1278" s="64"/>
    </row>
    <row r="1279" spans="2:7" ht="32.25" customHeight="1" x14ac:dyDescent="0.25">
      <c r="B1279" s="64"/>
      <c r="C1279" s="64"/>
      <c r="D1279" s="64"/>
      <c r="E1279" s="64"/>
      <c r="F1279" s="64"/>
      <c r="G1279" s="64"/>
    </row>
    <row r="1280" spans="2:7" ht="32.25" customHeight="1" x14ac:dyDescent="0.25">
      <c r="B1280" s="64"/>
      <c r="C1280" s="64"/>
      <c r="D1280" s="64"/>
      <c r="E1280" s="64"/>
      <c r="F1280" s="64"/>
      <c r="G1280" s="64"/>
    </row>
    <row r="1281" spans="2:7" ht="32.25" customHeight="1" x14ac:dyDescent="0.25">
      <c r="B1281" s="64"/>
      <c r="C1281" s="64"/>
      <c r="D1281" s="64"/>
      <c r="E1281" s="64"/>
      <c r="F1281" s="64"/>
      <c r="G1281" s="64"/>
    </row>
    <row r="1282" spans="2:7" ht="32.25" customHeight="1" x14ac:dyDescent="0.25">
      <c r="B1282" s="64"/>
      <c r="C1282" s="64"/>
      <c r="D1282" s="64"/>
      <c r="E1282" s="64"/>
      <c r="F1282" s="64"/>
      <c r="G1282" s="64"/>
    </row>
    <row r="1283" spans="2:7" ht="32.25" customHeight="1" x14ac:dyDescent="0.25">
      <c r="B1283" s="64"/>
      <c r="C1283" s="64"/>
      <c r="D1283" s="64"/>
      <c r="E1283" s="64"/>
      <c r="F1283" s="64"/>
      <c r="G1283" s="64"/>
    </row>
    <row r="1284" spans="2:7" ht="32.25" customHeight="1" x14ac:dyDescent="0.25">
      <c r="B1284" s="64"/>
      <c r="C1284" s="64"/>
      <c r="D1284" s="64"/>
      <c r="E1284" s="64"/>
      <c r="F1284" s="64"/>
      <c r="G1284" s="64"/>
    </row>
    <row r="1285" spans="2:7" ht="32.25" customHeight="1" x14ac:dyDescent="0.25">
      <c r="B1285" s="64"/>
      <c r="C1285" s="64"/>
      <c r="D1285" s="64"/>
      <c r="E1285" s="64"/>
      <c r="F1285" s="64"/>
      <c r="G1285" s="64"/>
    </row>
    <row r="1286" spans="2:7" ht="32.25" customHeight="1" x14ac:dyDescent="0.25">
      <c r="B1286" s="64"/>
      <c r="C1286" s="64"/>
      <c r="D1286" s="64"/>
      <c r="E1286" s="64"/>
      <c r="F1286" s="64"/>
      <c r="G1286" s="64"/>
    </row>
    <row r="1287" spans="2:7" ht="32.25" customHeight="1" x14ac:dyDescent="0.25">
      <c r="B1287" s="64"/>
      <c r="C1287" s="64"/>
      <c r="D1287" s="64"/>
      <c r="E1287" s="64"/>
      <c r="F1287" s="64"/>
      <c r="G1287" s="64"/>
    </row>
    <row r="1288" spans="2:7" ht="32.25" customHeight="1" x14ac:dyDescent="0.25">
      <c r="B1288" s="64"/>
      <c r="C1288" s="64"/>
      <c r="D1288" s="64"/>
      <c r="E1288" s="64"/>
      <c r="F1288" s="64"/>
      <c r="G1288" s="64"/>
    </row>
    <row r="1289" spans="2:7" ht="32.25" customHeight="1" x14ac:dyDescent="0.25">
      <c r="B1289" s="64"/>
      <c r="C1289" s="64"/>
      <c r="D1289" s="64"/>
      <c r="E1289" s="64"/>
      <c r="F1289" s="64"/>
      <c r="G1289" s="64"/>
    </row>
    <row r="1290" spans="2:7" ht="32.25" customHeight="1" x14ac:dyDescent="0.25">
      <c r="B1290" s="64"/>
      <c r="C1290" s="64"/>
      <c r="D1290" s="64"/>
      <c r="E1290" s="64"/>
      <c r="F1290" s="64"/>
      <c r="G1290" s="64"/>
    </row>
    <row r="1291" spans="2:7" ht="32.25" customHeight="1" x14ac:dyDescent="0.25">
      <c r="B1291" s="64"/>
      <c r="C1291" s="64"/>
      <c r="D1291" s="64"/>
      <c r="E1291" s="64"/>
      <c r="F1291" s="64"/>
      <c r="G1291" s="64"/>
    </row>
    <row r="1292" spans="2:7" ht="32.25" customHeight="1" x14ac:dyDescent="0.25">
      <c r="B1292" s="64"/>
      <c r="C1292" s="64"/>
      <c r="D1292" s="64"/>
      <c r="E1292" s="64"/>
      <c r="F1292" s="64"/>
      <c r="G1292" s="64"/>
    </row>
    <row r="1293" spans="2:7" ht="32.25" customHeight="1" x14ac:dyDescent="0.25">
      <c r="B1293" s="64"/>
      <c r="C1293" s="64"/>
      <c r="D1293" s="64"/>
      <c r="E1293" s="64"/>
      <c r="F1293" s="64"/>
      <c r="G1293" s="64"/>
    </row>
    <row r="1294" spans="2:7" ht="32.25" customHeight="1" x14ac:dyDescent="0.25">
      <c r="B1294" s="64"/>
      <c r="C1294" s="64"/>
      <c r="D1294" s="64"/>
      <c r="E1294" s="64"/>
      <c r="F1294" s="64"/>
      <c r="G1294" s="64"/>
    </row>
    <row r="1295" spans="2:7" ht="32.25" customHeight="1" x14ac:dyDescent="0.25">
      <c r="B1295" s="64"/>
      <c r="C1295" s="64"/>
      <c r="D1295" s="64"/>
      <c r="E1295" s="64"/>
      <c r="F1295" s="64"/>
      <c r="G1295" s="64"/>
    </row>
    <row r="1296" spans="2:7" ht="32.25" customHeight="1" x14ac:dyDescent="0.25">
      <c r="B1296" s="64"/>
      <c r="C1296" s="64"/>
      <c r="D1296" s="64"/>
      <c r="E1296" s="64"/>
      <c r="F1296" s="64"/>
      <c r="G1296" s="64"/>
    </row>
    <row r="1297" spans="2:7" ht="32.25" customHeight="1" x14ac:dyDescent="0.25">
      <c r="B1297" s="64"/>
      <c r="C1297" s="64"/>
      <c r="D1297" s="64"/>
      <c r="E1297" s="64"/>
      <c r="F1297" s="64"/>
      <c r="G1297" s="64"/>
    </row>
    <row r="1298" spans="2:7" ht="32.25" customHeight="1" x14ac:dyDescent="0.25">
      <c r="B1298" s="64"/>
      <c r="C1298" s="64"/>
      <c r="D1298" s="64"/>
      <c r="E1298" s="64"/>
      <c r="F1298" s="64"/>
      <c r="G1298" s="64"/>
    </row>
    <row r="1299" spans="2:7" ht="32.25" customHeight="1" x14ac:dyDescent="0.25">
      <c r="B1299" s="64"/>
      <c r="C1299" s="64"/>
      <c r="D1299" s="64"/>
      <c r="E1299" s="64"/>
      <c r="F1299" s="64"/>
      <c r="G1299" s="64"/>
    </row>
    <row r="1300" spans="2:7" ht="32.25" customHeight="1" x14ac:dyDescent="0.25">
      <c r="B1300" s="64"/>
      <c r="C1300" s="64"/>
      <c r="D1300" s="64"/>
      <c r="E1300" s="64"/>
      <c r="F1300" s="64"/>
      <c r="G1300" s="64"/>
    </row>
    <row r="1301" spans="2:7" ht="32.25" customHeight="1" x14ac:dyDescent="0.25">
      <c r="B1301" s="64"/>
      <c r="C1301" s="64"/>
      <c r="D1301" s="64"/>
      <c r="E1301" s="64"/>
      <c r="F1301" s="64"/>
      <c r="G1301" s="64"/>
    </row>
    <row r="1302" spans="2:7" ht="32.25" customHeight="1" x14ac:dyDescent="0.25">
      <c r="B1302" s="64"/>
      <c r="C1302" s="64"/>
      <c r="D1302" s="64"/>
      <c r="E1302" s="64"/>
      <c r="F1302" s="64"/>
      <c r="G1302" s="64"/>
    </row>
    <row r="1303" spans="2:7" ht="32.25" customHeight="1" x14ac:dyDescent="0.25">
      <c r="B1303" s="64"/>
      <c r="C1303" s="64"/>
      <c r="D1303" s="64"/>
      <c r="E1303" s="64"/>
      <c r="F1303" s="64"/>
      <c r="G1303" s="64"/>
    </row>
    <row r="1304" spans="2:7" ht="32.25" customHeight="1" x14ac:dyDescent="0.25">
      <c r="B1304" s="64"/>
      <c r="C1304" s="64"/>
      <c r="D1304" s="64"/>
      <c r="E1304" s="64"/>
      <c r="F1304" s="64"/>
      <c r="G1304" s="64"/>
    </row>
    <row r="1305" spans="2:7" ht="32.25" customHeight="1" x14ac:dyDescent="0.25">
      <c r="B1305" s="64"/>
      <c r="C1305" s="64"/>
      <c r="D1305" s="64"/>
      <c r="E1305" s="64"/>
      <c r="F1305" s="64"/>
      <c r="G1305" s="64"/>
    </row>
    <row r="1306" spans="2:7" ht="32.25" customHeight="1" x14ac:dyDescent="0.25">
      <c r="B1306" s="64"/>
      <c r="C1306" s="64"/>
      <c r="D1306" s="64"/>
      <c r="E1306" s="64"/>
      <c r="F1306" s="64"/>
      <c r="G1306" s="64"/>
    </row>
    <row r="1307" spans="2:7" ht="32.25" customHeight="1" x14ac:dyDescent="0.25">
      <c r="B1307" s="64"/>
      <c r="C1307" s="64"/>
      <c r="D1307" s="64"/>
      <c r="E1307" s="64"/>
      <c r="F1307" s="64"/>
      <c r="G1307" s="64"/>
    </row>
    <row r="1308" spans="2:7" ht="32.25" customHeight="1" x14ac:dyDescent="0.25">
      <c r="B1308" s="64"/>
      <c r="C1308" s="64"/>
      <c r="D1308" s="64"/>
      <c r="E1308" s="64"/>
      <c r="F1308" s="64"/>
      <c r="G1308" s="64"/>
    </row>
    <row r="1309" spans="2:7" ht="32.25" customHeight="1" x14ac:dyDescent="0.25">
      <c r="B1309" s="64"/>
      <c r="C1309" s="64"/>
      <c r="D1309" s="64"/>
      <c r="E1309" s="64"/>
      <c r="F1309" s="64"/>
      <c r="G1309" s="64"/>
    </row>
    <row r="1310" spans="2:7" ht="32.25" customHeight="1" x14ac:dyDescent="0.25">
      <c r="B1310" s="64"/>
      <c r="C1310" s="64"/>
      <c r="D1310" s="64"/>
      <c r="E1310" s="64"/>
      <c r="F1310" s="64"/>
      <c r="G1310" s="64"/>
    </row>
    <row r="1311" spans="2:7" ht="32.25" customHeight="1" x14ac:dyDescent="0.25">
      <c r="B1311" s="64"/>
      <c r="C1311" s="64"/>
      <c r="D1311" s="64"/>
      <c r="E1311" s="64"/>
      <c r="F1311" s="64"/>
      <c r="G1311" s="64"/>
    </row>
    <row r="1312" spans="2:7" ht="32.25" customHeight="1" x14ac:dyDescent="0.25">
      <c r="B1312" s="64"/>
      <c r="C1312" s="64"/>
      <c r="D1312" s="64"/>
      <c r="E1312" s="64"/>
      <c r="F1312" s="64"/>
      <c r="G1312" s="64"/>
    </row>
    <row r="1313" spans="2:7" ht="32.25" customHeight="1" x14ac:dyDescent="0.25">
      <c r="B1313" s="64"/>
      <c r="C1313" s="64"/>
      <c r="D1313" s="64"/>
      <c r="E1313" s="64"/>
      <c r="F1313" s="64"/>
      <c r="G1313" s="64"/>
    </row>
    <row r="1314" spans="2:7" ht="32.25" customHeight="1" x14ac:dyDescent="0.25">
      <c r="B1314" s="64"/>
      <c r="C1314" s="64"/>
      <c r="D1314" s="64"/>
      <c r="E1314" s="64"/>
      <c r="F1314" s="64"/>
      <c r="G1314" s="64"/>
    </row>
    <row r="1315" spans="2:7" ht="32.25" customHeight="1" x14ac:dyDescent="0.25">
      <c r="B1315" s="64"/>
      <c r="C1315" s="64"/>
      <c r="D1315" s="64"/>
      <c r="E1315" s="64"/>
      <c r="F1315" s="64"/>
      <c r="G1315" s="64"/>
    </row>
    <row r="1316" spans="2:7" ht="32.25" customHeight="1" x14ac:dyDescent="0.25">
      <c r="B1316" s="64"/>
      <c r="C1316" s="64"/>
      <c r="D1316" s="64"/>
      <c r="E1316" s="64"/>
      <c r="F1316" s="64"/>
      <c r="G1316" s="64"/>
    </row>
    <row r="1317" spans="2:7" ht="32.25" customHeight="1" x14ac:dyDescent="0.25">
      <c r="B1317" s="64"/>
      <c r="C1317" s="64"/>
      <c r="D1317" s="64"/>
      <c r="E1317" s="64"/>
      <c r="F1317" s="64"/>
      <c r="G1317" s="64"/>
    </row>
    <row r="1318" spans="2:7" ht="32.25" customHeight="1" x14ac:dyDescent="0.25">
      <c r="B1318" s="64"/>
      <c r="C1318" s="64"/>
      <c r="D1318" s="64"/>
      <c r="E1318" s="64"/>
      <c r="F1318" s="64"/>
      <c r="G1318" s="64"/>
    </row>
    <row r="1319" spans="2:7" ht="32.25" customHeight="1" x14ac:dyDescent="0.25">
      <c r="B1319" s="64"/>
      <c r="C1319" s="64"/>
      <c r="D1319" s="64"/>
      <c r="E1319" s="64"/>
      <c r="F1319" s="64"/>
      <c r="G1319" s="64"/>
    </row>
    <row r="1320" spans="2:7" ht="32.25" customHeight="1" x14ac:dyDescent="0.25">
      <c r="B1320" s="64"/>
      <c r="C1320" s="64"/>
      <c r="D1320" s="64"/>
      <c r="E1320" s="64"/>
      <c r="F1320" s="64"/>
      <c r="G1320" s="64"/>
    </row>
    <row r="1321" spans="2:7" ht="32.25" customHeight="1" x14ac:dyDescent="0.25">
      <c r="B1321" s="64"/>
      <c r="C1321" s="64"/>
      <c r="D1321" s="64"/>
      <c r="E1321" s="64"/>
      <c r="F1321" s="64"/>
      <c r="G1321" s="64"/>
    </row>
    <row r="1322" spans="2:7" ht="32.25" customHeight="1" x14ac:dyDescent="0.25">
      <c r="B1322" s="64"/>
      <c r="C1322" s="64"/>
      <c r="D1322" s="64"/>
      <c r="E1322" s="64"/>
      <c r="F1322" s="64"/>
      <c r="G1322" s="64"/>
    </row>
    <row r="1323" spans="2:7" ht="32.25" customHeight="1" x14ac:dyDescent="0.25">
      <c r="B1323" s="64"/>
      <c r="C1323" s="64"/>
      <c r="D1323" s="64"/>
      <c r="E1323" s="64"/>
      <c r="F1323" s="64"/>
      <c r="G1323" s="64"/>
    </row>
    <row r="1324" spans="2:7" ht="32.25" customHeight="1" x14ac:dyDescent="0.25">
      <c r="B1324" s="64"/>
      <c r="C1324" s="64"/>
      <c r="D1324" s="64"/>
      <c r="E1324" s="64"/>
      <c r="F1324" s="64"/>
      <c r="G1324" s="64"/>
    </row>
    <row r="1325" spans="2:7" ht="32.25" customHeight="1" x14ac:dyDescent="0.25">
      <c r="B1325" s="64"/>
      <c r="C1325" s="64"/>
      <c r="D1325" s="64"/>
      <c r="E1325" s="64"/>
      <c r="F1325" s="64"/>
      <c r="G1325" s="64"/>
    </row>
    <row r="1326" spans="2:7" ht="32.25" customHeight="1" x14ac:dyDescent="0.25">
      <c r="B1326" s="64"/>
      <c r="C1326" s="64"/>
      <c r="D1326" s="64"/>
      <c r="E1326" s="64"/>
      <c r="F1326" s="64"/>
      <c r="G1326" s="64"/>
    </row>
    <row r="1327" spans="2:7" ht="32.25" customHeight="1" x14ac:dyDescent="0.25">
      <c r="B1327" s="64"/>
      <c r="C1327" s="64"/>
      <c r="D1327" s="64"/>
      <c r="E1327" s="64"/>
      <c r="F1327" s="64"/>
      <c r="G1327" s="64"/>
    </row>
    <row r="1328" spans="2:7" ht="32.25" customHeight="1" x14ac:dyDescent="0.25">
      <c r="B1328" s="64"/>
      <c r="C1328" s="64"/>
      <c r="D1328" s="64"/>
      <c r="E1328" s="64"/>
      <c r="F1328" s="64"/>
      <c r="G1328" s="64"/>
    </row>
    <row r="1329" spans="2:7" ht="32.25" customHeight="1" x14ac:dyDescent="0.25">
      <c r="B1329" s="64"/>
      <c r="C1329" s="64"/>
      <c r="D1329" s="64"/>
      <c r="E1329" s="64"/>
      <c r="F1329" s="64"/>
      <c r="G1329" s="64"/>
    </row>
    <row r="1330" spans="2:7" ht="32.25" customHeight="1" x14ac:dyDescent="0.25">
      <c r="B1330" s="64"/>
      <c r="C1330" s="64"/>
      <c r="D1330" s="64"/>
      <c r="E1330" s="64"/>
      <c r="F1330" s="64"/>
      <c r="G1330" s="64"/>
    </row>
    <row r="1331" spans="2:7" ht="32.25" customHeight="1" x14ac:dyDescent="0.25">
      <c r="B1331" s="64"/>
      <c r="C1331" s="64"/>
      <c r="D1331" s="64"/>
      <c r="E1331" s="64"/>
      <c r="F1331" s="64"/>
      <c r="G1331" s="64"/>
    </row>
    <row r="1332" spans="2:7" ht="32.25" customHeight="1" x14ac:dyDescent="0.25">
      <c r="B1332" s="64"/>
      <c r="C1332" s="64"/>
      <c r="D1332" s="64"/>
      <c r="E1332" s="64"/>
      <c r="F1332" s="64"/>
      <c r="G1332" s="64"/>
    </row>
    <row r="1333" spans="2:7" ht="32.25" customHeight="1" x14ac:dyDescent="0.25">
      <c r="B1333" s="64"/>
      <c r="C1333" s="64"/>
      <c r="D1333" s="64"/>
      <c r="E1333" s="64"/>
      <c r="F1333" s="64"/>
      <c r="G1333" s="64"/>
    </row>
    <row r="1334" spans="2:7" ht="32.25" customHeight="1" x14ac:dyDescent="0.25">
      <c r="B1334" s="64"/>
      <c r="C1334" s="64"/>
      <c r="D1334" s="64"/>
      <c r="E1334" s="64"/>
      <c r="F1334" s="64"/>
      <c r="G1334" s="64"/>
    </row>
    <row r="1335" spans="2:7" ht="32.25" customHeight="1" x14ac:dyDescent="0.25">
      <c r="B1335" s="64"/>
      <c r="C1335" s="64"/>
      <c r="D1335" s="64"/>
      <c r="E1335" s="64"/>
      <c r="F1335" s="64"/>
      <c r="G1335" s="64"/>
    </row>
    <row r="1336" spans="2:7" ht="32.25" customHeight="1" x14ac:dyDescent="0.25">
      <c r="B1336" s="64"/>
      <c r="C1336" s="64"/>
      <c r="D1336" s="64"/>
      <c r="E1336" s="64"/>
      <c r="F1336" s="64"/>
      <c r="G1336" s="64"/>
    </row>
    <row r="1337" spans="2:7" ht="32.25" customHeight="1" x14ac:dyDescent="0.25">
      <c r="B1337" s="64"/>
      <c r="C1337" s="64"/>
      <c r="D1337" s="64"/>
      <c r="E1337" s="64"/>
      <c r="F1337" s="64"/>
      <c r="G1337" s="64"/>
    </row>
    <row r="1338" spans="2:7" ht="32.25" customHeight="1" x14ac:dyDescent="0.25">
      <c r="B1338" s="64"/>
      <c r="C1338" s="64"/>
      <c r="D1338" s="64"/>
      <c r="E1338" s="64"/>
      <c r="F1338" s="64"/>
      <c r="G1338" s="64"/>
    </row>
    <row r="1339" spans="2:7" ht="32.25" customHeight="1" x14ac:dyDescent="0.25">
      <c r="B1339" s="64"/>
      <c r="C1339" s="64"/>
      <c r="D1339" s="64"/>
      <c r="E1339" s="64"/>
      <c r="F1339" s="64"/>
      <c r="G1339" s="64"/>
    </row>
    <row r="1340" spans="2:7" ht="32.25" customHeight="1" x14ac:dyDescent="0.25">
      <c r="B1340" s="64"/>
      <c r="C1340" s="64"/>
      <c r="D1340" s="64"/>
      <c r="E1340" s="64"/>
      <c r="F1340" s="64"/>
      <c r="G1340" s="64"/>
    </row>
    <row r="1341" spans="2:7" ht="32.25" customHeight="1" x14ac:dyDescent="0.25">
      <c r="B1341" s="64"/>
      <c r="C1341" s="64"/>
      <c r="D1341" s="64"/>
      <c r="E1341" s="64"/>
      <c r="F1341" s="64"/>
      <c r="G1341" s="64"/>
    </row>
    <row r="1342" spans="2:7" ht="32.25" customHeight="1" x14ac:dyDescent="0.25">
      <c r="B1342" s="64"/>
      <c r="C1342" s="64"/>
      <c r="D1342" s="64"/>
      <c r="E1342" s="64"/>
      <c r="F1342" s="64"/>
      <c r="G1342" s="64"/>
    </row>
    <row r="1343" spans="2:7" ht="32.25" customHeight="1" x14ac:dyDescent="0.25">
      <c r="B1343" s="64"/>
      <c r="C1343" s="64"/>
      <c r="D1343" s="64"/>
      <c r="E1343" s="64"/>
      <c r="F1343" s="64"/>
      <c r="G1343" s="64"/>
    </row>
    <row r="1344" spans="2:7" ht="32.25" customHeight="1" x14ac:dyDescent="0.25">
      <c r="B1344" s="64"/>
      <c r="C1344" s="64"/>
      <c r="D1344" s="64"/>
      <c r="E1344" s="64"/>
      <c r="F1344" s="64"/>
      <c r="G1344" s="64"/>
    </row>
    <row r="1345" spans="2:7" ht="32.25" customHeight="1" x14ac:dyDescent="0.25">
      <c r="B1345" s="64"/>
      <c r="C1345" s="64"/>
      <c r="D1345" s="64"/>
      <c r="E1345" s="64"/>
      <c r="F1345" s="64"/>
      <c r="G1345" s="64"/>
    </row>
    <row r="1346" spans="2:7" ht="32.25" customHeight="1" x14ac:dyDescent="0.25">
      <c r="B1346" s="64"/>
      <c r="C1346" s="64"/>
      <c r="D1346" s="64"/>
      <c r="E1346" s="64"/>
      <c r="F1346" s="64"/>
      <c r="G1346" s="64"/>
    </row>
    <row r="1347" spans="2:7" ht="32.25" customHeight="1" x14ac:dyDescent="0.25">
      <c r="B1347" s="64"/>
      <c r="C1347" s="64"/>
      <c r="D1347" s="64"/>
      <c r="E1347" s="64"/>
      <c r="F1347" s="64"/>
      <c r="G1347" s="64"/>
    </row>
    <row r="1348" spans="2:7" ht="32.25" customHeight="1" x14ac:dyDescent="0.25">
      <c r="B1348" s="64"/>
      <c r="C1348" s="64"/>
      <c r="D1348" s="64"/>
      <c r="E1348" s="64"/>
      <c r="F1348" s="64"/>
      <c r="G1348" s="64"/>
    </row>
    <row r="1349" spans="2:7" ht="32.25" customHeight="1" x14ac:dyDescent="0.25">
      <c r="B1349" s="64"/>
      <c r="C1349" s="64"/>
      <c r="D1349" s="64"/>
      <c r="E1349" s="64"/>
      <c r="F1349" s="64"/>
      <c r="G1349" s="64"/>
    </row>
    <row r="1350" spans="2:7" ht="32.25" customHeight="1" x14ac:dyDescent="0.25">
      <c r="B1350" s="64"/>
      <c r="C1350" s="64"/>
      <c r="D1350" s="64"/>
      <c r="E1350" s="64"/>
      <c r="F1350" s="64"/>
      <c r="G1350" s="64"/>
    </row>
    <row r="1351" spans="2:7" ht="32.25" customHeight="1" x14ac:dyDescent="0.25">
      <c r="B1351" s="64"/>
      <c r="C1351" s="64"/>
      <c r="D1351" s="64"/>
      <c r="E1351" s="64"/>
      <c r="F1351" s="64"/>
      <c r="G1351" s="64"/>
    </row>
    <row r="1352" spans="2:7" ht="32.25" customHeight="1" x14ac:dyDescent="0.25">
      <c r="B1352" s="64"/>
      <c r="C1352" s="64"/>
      <c r="D1352" s="64"/>
      <c r="E1352" s="64"/>
      <c r="F1352" s="64"/>
      <c r="G1352" s="64"/>
    </row>
    <row r="1353" spans="2:7" ht="32.25" customHeight="1" x14ac:dyDescent="0.25">
      <c r="B1353" s="64"/>
      <c r="C1353" s="64"/>
      <c r="D1353" s="64"/>
      <c r="E1353" s="64"/>
      <c r="F1353" s="64"/>
      <c r="G1353" s="64"/>
    </row>
    <row r="1354" spans="2:7" ht="32.25" customHeight="1" x14ac:dyDescent="0.25">
      <c r="B1354" s="64"/>
      <c r="C1354" s="64"/>
      <c r="D1354" s="64"/>
      <c r="E1354" s="64"/>
      <c r="F1354" s="64"/>
      <c r="G1354" s="64"/>
    </row>
    <row r="1355" spans="2:7" ht="32.25" customHeight="1" x14ac:dyDescent="0.25">
      <c r="B1355" s="64"/>
      <c r="C1355" s="64"/>
      <c r="D1355" s="64"/>
      <c r="E1355" s="64"/>
      <c r="F1355" s="64"/>
      <c r="G1355" s="64"/>
    </row>
    <row r="1356" spans="2:7" ht="32.25" customHeight="1" x14ac:dyDescent="0.25">
      <c r="B1356" s="64"/>
      <c r="C1356" s="64"/>
      <c r="D1356" s="64"/>
      <c r="E1356" s="64"/>
      <c r="F1356" s="64"/>
      <c r="G1356" s="64"/>
    </row>
    <row r="1357" spans="2:7" ht="32.25" customHeight="1" x14ac:dyDescent="0.25">
      <c r="B1357" s="64"/>
      <c r="C1357" s="64"/>
      <c r="D1357" s="64"/>
      <c r="E1357" s="64"/>
      <c r="F1357" s="64"/>
      <c r="G1357" s="64"/>
    </row>
    <row r="1358" spans="2:7" ht="32.25" customHeight="1" x14ac:dyDescent="0.25">
      <c r="B1358" s="64"/>
      <c r="C1358" s="64"/>
      <c r="D1358" s="64"/>
      <c r="E1358" s="64"/>
      <c r="F1358" s="64"/>
      <c r="G1358" s="64"/>
    </row>
    <row r="1359" spans="2:7" ht="32.25" customHeight="1" x14ac:dyDescent="0.25">
      <c r="B1359" s="64"/>
      <c r="C1359" s="64"/>
      <c r="D1359" s="64"/>
      <c r="E1359" s="64"/>
      <c r="F1359" s="64"/>
      <c r="G1359" s="64"/>
    </row>
    <row r="1360" spans="2:7" ht="32.25" customHeight="1" x14ac:dyDescent="0.25">
      <c r="B1360" s="64"/>
      <c r="C1360" s="64"/>
      <c r="D1360" s="64"/>
      <c r="E1360" s="64"/>
      <c r="F1360" s="64"/>
      <c r="G1360" s="64"/>
    </row>
    <row r="1361" spans="2:7" ht="32.25" customHeight="1" x14ac:dyDescent="0.25">
      <c r="B1361" s="64"/>
      <c r="C1361" s="64"/>
      <c r="D1361" s="64"/>
      <c r="E1361" s="64"/>
      <c r="F1361" s="64"/>
      <c r="G1361" s="64"/>
    </row>
    <row r="1362" spans="2:7" ht="32.25" customHeight="1" x14ac:dyDescent="0.25">
      <c r="B1362" s="64"/>
      <c r="C1362" s="64"/>
      <c r="D1362" s="64"/>
      <c r="E1362" s="64"/>
      <c r="F1362" s="64"/>
      <c r="G1362" s="64"/>
    </row>
    <row r="1363" spans="2:7" ht="32.25" customHeight="1" x14ac:dyDescent="0.25">
      <c r="B1363" s="64"/>
      <c r="C1363" s="64"/>
      <c r="D1363" s="64"/>
      <c r="E1363" s="64"/>
      <c r="F1363" s="64"/>
      <c r="G1363" s="64"/>
    </row>
    <row r="1364" spans="2:7" ht="32.25" customHeight="1" x14ac:dyDescent="0.25">
      <c r="B1364" s="64"/>
      <c r="C1364" s="64"/>
      <c r="D1364" s="64"/>
      <c r="E1364" s="64"/>
      <c r="F1364" s="64"/>
      <c r="G1364" s="64"/>
    </row>
    <row r="1365" spans="2:7" ht="32.25" customHeight="1" x14ac:dyDescent="0.25">
      <c r="B1365" s="64"/>
      <c r="C1365" s="64"/>
      <c r="D1365" s="64"/>
      <c r="E1365" s="64"/>
      <c r="F1365" s="64"/>
      <c r="G1365" s="64"/>
    </row>
    <row r="1366" spans="2:7" ht="32.25" customHeight="1" x14ac:dyDescent="0.25">
      <c r="B1366" s="64"/>
      <c r="C1366" s="64"/>
      <c r="D1366" s="64"/>
      <c r="E1366" s="64"/>
      <c r="F1366" s="64"/>
      <c r="G1366" s="64"/>
    </row>
    <row r="1367" spans="2:7" ht="32.25" customHeight="1" x14ac:dyDescent="0.25">
      <c r="B1367" s="64"/>
      <c r="C1367" s="64"/>
      <c r="D1367" s="64"/>
      <c r="E1367" s="64"/>
      <c r="F1367" s="64"/>
      <c r="G1367" s="64"/>
    </row>
    <row r="1368" spans="2:7" ht="32.25" customHeight="1" x14ac:dyDescent="0.25">
      <c r="B1368" s="64"/>
      <c r="C1368" s="64"/>
      <c r="D1368" s="64"/>
      <c r="E1368" s="64"/>
      <c r="F1368" s="64"/>
      <c r="G1368" s="64"/>
    </row>
    <row r="1369" spans="2:7" ht="32.25" customHeight="1" x14ac:dyDescent="0.25">
      <c r="B1369" s="64"/>
      <c r="C1369" s="64"/>
      <c r="D1369" s="64"/>
      <c r="E1369" s="64"/>
      <c r="F1369" s="64"/>
      <c r="G1369" s="64"/>
    </row>
    <row r="1370" spans="2:7" ht="32.25" customHeight="1" x14ac:dyDescent="0.25">
      <c r="B1370" s="64"/>
      <c r="C1370" s="64"/>
      <c r="D1370" s="64"/>
      <c r="E1370" s="64"/>
      <c r="F1370" s="64"/>
      <c r="G1370" s="64"/>
    </row>
    <row r="1371" spans="2:7" ht="32.25" customHeight="1" x14ac:dyDescent="0.25">
      <c r="B1371" s="64"/>
      <c r="C1371" s="64"/>
      <c r="D1371" s="64"/>
      <c r="E1371" s="64"/>
      <c r="F1371" s="64"/>
      <c r="G1371" s="64"/>
    </row>
    <row r="1372" spans="2:7" ht="32.25" customHeight="1" x14ac:dyDescent="0.25">
      <c r="B1372" s="64"/>
      <c r="C1372" s="64"/>
      <c r="D1372" s="64"/>
      <c r="E1372" s="64"/>
      <c r="F1372" s="64"/>
      <c r="G1372" s="64"/>
    </row>
    <row r="1373" spans="2:7" ht="32.25" customHeight="1" x14ac:dyDescent="0.25">
      <c r="B1373" s="64"/>
      <c r="C1373" s="64"/>
      <c r="D1373" s="64"/>
      <c r="E1373" s="64"/>
      <c r="F1373" s="64"/>
      <c r="G1373" s="64"/>
    </row>
    <row r="1374" spans="2:7" ht="32.25" customHeight="1" x14ac:dyDescent="0.25">
      <c r="B1374" s="64"/>
      <c r="C1374" s="64"/>
      <c r="D1374" s="64"/>
      <c r="E1374" s="64"/>
      <c r="F1374" s="64"/>
      <c r="G1374" s="64"/>
    </row>
    <row r="1375" spans="2:7" ht="32.25" customHeight="1" x14ac:dyDescent="0.25">
      <c r="B1375" s="64"/>
      <c r="C1375" s="64"/>
      <c r="D1375" s="64"/>
      <c r="E1375" s="64"/>
      <c r="F1375" s="64"/>
      <c r="G1375" s="64"/>
    </row>
    <row r="1376" spans="2:7" ht="32.25" customHeight="1" x14ac:dyDescent="0.25">
      <c r="B1376" s="64"/>
      <c r="C1376" s="64"/>
      <c r="D1376" s="64"/>
      <c r="E1376" s="64"/>
      <c r="F1376" s="64"/>
      <c r="G1376" s="64"/>
    </row>
    <row r="1377" spans="2:7" ht="32.25" customHeight="1" x14ac:dyDescent="0.25">
      <c r="B1377" s="64"/>
      <c r="C1377" s="64"/>
      <c r="D1377" s="64"/>
      <c r="E1377" s="64"/>
      <c r="F1377" s="64"/>
      <c r="G1377" s="64"/>
    </row>
    <row r="1378" spans="2:7" ht="32.25" customHeight="1" x14ac:dyDescent="0.25">
      <c r="B1378" s="64"/>
      <c r="C1378" s="64"/>
      <c r="D1378" s="64"/>
      <c r="E1378" s="64"/>
      <c r="F1378" s="64"/>
      <c r="G1378" s="64"/>
    </row>
    <row r="1379" spans="2:7" ht="32.25" customHeight="1" x14ac:dyDescent="0.25">
      <c r="B1379" s="64"/>
      <c r="C1379" s="64"/>
      <c r="D1379" s="64"/>
      <c r="E1379" s="64"/>
      <c r="F1379" s="64"/>
      <c r="G1379" s="64"/>
    </row>
    <row r="1380" spans="2:7" ht="32.25" customHeight="1" x14ac:dyDescent="0.25">
      <c r="B1380" s="64"/>
      <c r="C1380" s="64"/>
      <c r="D1380" s="64"/>
      <c r="E1380" s="64"/>
      <c r="F1380" s="64"/>
      <c r="G1380" s="64"/>
    </row>
    <row r="1381" spans="2:7" ht="32.25" customHeight="1" x14ac:dyDescent="0.25">
      <c r="B1381" s="64"/>
      <c r="C1381" s="64"/>
      <c r="D1381" s="64"/>
      <c r="E1381" s="64"/>
      <c r="F1381" s="64"/>
      <c r="G1381" s="64"/>
    </row>
    <row r="1382" spans="2:7" ht="32.25" customHeight="1" x14ac:dyDescent="0.25">
      <c r="B1382" s="64"/>
      <c r="C1382" s="64"/>
      <c r="D1382" s="64"/>
      <c r="E1382" s="64"/>
      <c r="F1382" s="64"/>
      <c r="G1382" s="64"/>
    </row>
    <row r="1383" spans="2:7" ht="32.25" customHeight="1" x14ac:dyDescent="0.25">
      <c r="B1383" s="64"/>
      <c r="C1383" s="64"/>
      <c r="D1383" s="64"/>
      <c r="E1383" s="64"/>
      <c r="F1383" s="64"/>
      <c r="G1383" s="64"/>
    </row>
    <row r="1384" spans="2:7" ht="32.25" customHeight="1" x14ac:dyDescent="0.25">
      <c r="B1384" s="64"/>
      <c r="C1384" s="64"/>
      <c r="D1384" s="64"/>
      <c r="E1384" s="64"/>
      <c r="F1384" s="64"/>
      <c r="G1384" s="64"/>
    </row>
    <row r="1385" spans="2:7" ht="32.25" customHeight="1" x14ac:dyDescent="0.25">
      <c r="B1385" s="64"/>
      <c r="C1385" s="64"/>
      <c r="D1385" s="64"/>
      <c r="E1385" s="64"/>
      <c r="F1385" s="64"/>
      <c r="G1385" s="64"/>
    </row>
    <row r="1386" spans="2:7" ht="32.25" customHeight="1" x14ac:dyDescent="0.25">
      <c r="B1386" s="64"/>
      <c r="C1386" s="64"/>
      <c r="D1386" s="64"/>
      <c r="E1386" s="64"/>
      <c r="F1386" s="64"/>
      <c r="G1386" s="64"/>
    </row>
    <row r="1387" spans="2:7" ht="32.25" customHeight="1" x14ac:dyDescent="0.25">
      <c r="B1387" s="64"/>
      <c r="C1387" s="64"/>
      <c r="D1387" s="64"/>
      <c r="E1387" s="64"/>
      <c r="F1387" s="64"/>
      <c r="G1387" s="64"/>
    </row>
    <row r="1388" spans="2:7" ht="32.25" customHeight="1" x14ac:dyDescent="0.25">
      <c r="B1388" s="64"/>
      <c r="C1388" s="64"/>
      <c r="D1388" s="64"/>
      <c r="E1388" s="64"/>
      <c r="F1388" s="64"/>
      <c r="G1388" s="64"/>
    </row>
    <row r="1389" spans="2:7" ht="32.25" customHeight="1" x14ac:dyDescent="0.25">
      <c r="B1389" s="64"/>
      <c r="C1389" s="64"/>
      <c r="D1389" s="64"/>
      <c r="E1389" s="64"/>
      <c r="F1389" s="64"/>
      <c r="G1389" s="64"/>
    </row>
    <row r="1390" spans="2:7" ht="32.25" customHeight="1" x14ac:dyDescent="0.25">
      <c r="B1390" s="64"/>
      <c r="C1390" s="64"/>
      <c r="D1390" s="64"/>
      <c r="E1390" s="64"/>
      <c r="F1390" s="64"/>
      <c r="G1390" s="64"/>
    </row>
    <row r="1391" spans="2:7" ht="32.25" customHeight="1" x14ac:dyDescent="0.25">
      <c r="B1391" s="64"/>
      <c r="C1391" s="64"/>
      <c r="D1391" s="64"/>
      <c r="E1391" s="64"/>
      <c r="F1391" s="64"/>
      <c r="G1391" s="64"/>
    </row>
    <row r="1392" spans="2:7" ht="32.25" customHeight="1" x14ac:dyDescent="0.25">
      <c r="B1392" s="64"/>
      <c r="C1392" s="64"/>
      <c r="D1392" s="64"/>
      <c r="E1392" s="64"/>
      <c r="F1392" s="64"/>
      <c r="G1392" s="64"/>
    </row>
    <row r="1393" spans="2:7" ht="32.25" customHeight="1" x14ac:dyDescent="0.25">
      <c r="B1393" s="64"/>
      <c r="C1393" s="64"/>
      <c r="D1393" s="64"/>
      <c r="E1393" s="64"/>
      <c r="F1393" s="64"/>
      <c r="G1393" s="64"/>
    </row>
    <row r="1394" spans="2:7" ht="32.25" customHeight="1" x14ac:dyDescent="0.25">
      <c r="B1394" s="64"/>
      <c r="C1394" s="64"/>
      <c r="D1394" s="64"/>
      <c r="E1394" s="64"/>
      <c r="F1394" s="64"/>
      <c r="G1394" s="64"/>
    </row>
    <row r="1395" spans="2:7" ht="32.25" customHeight="1" x14ac:dyDescent="0.25">
      <c r="B1395" s="64"/>
      <c r="C1395" s="64"/>
      <c r="D1395" s="64"/>
      <c r="E1395" s="64"/>
      <c r="F1395" s="64"/>
      <c r="G1395" s="64"/>
    </row>
    <row r="1396" spans="2:7" ht="32.25" customHeight="1" x14ac:dyDescent="0.25">
      <c r="B1396" s="64"/>
      <c r="C1396" s="64"/>
      <c r="D1396" s="64"/>
      <c r="E1396" s="64"/>
      <c r="F1396" s="64"/>
      <c r="G1396" s="64"/>
    </row>
    <row r="1397" spans="2:7" ht="32.25" customHeight="1" x14ac:dyDescent="0.25">
      <c r="B1397" s="64"/>
      <c r="C1397" s="64"/>
      <c r="D1397" s="64"/>
      <c r="E1397" s="64"/>
      <c r="F1397" s="64"/>
      <c r="G1397" s="64"/>
    </row>
    <row r="1398" spans="2:7" ht="32.25" customHeight="1" x14ac:dyDescent="0.25">
      <c r="B1398" s="64"/>
      <c r="C1398" s="64"/>
      <c r="D1398" s="64"/>
      <c r="E1398" s="64"/>
      <c r="F1398" s="64"/>
      <c r="G1398" s="64"/>
    </row>
    <row r="1399" spans="2:7" ht="32.25" customHeight="1" x14ac:dyDescent="0.25">
      <c r="B1399" s="64"/>
      <c r="C1399" s="64"/>
      <c r="D1399" s="64"/>
      <c r="E1399" s="64"/>
      <c r="F1399" s="64"/>
      <c r="G1399" s="64"/>
    </row>
    <row r="1400" spans="2:7" ht="32.25" customHeight="1" x14ac:dyDescent="0.25">
      <c r="B1400" s="64"/>
      <c r="C1400" s="64"/>
      <c r="D1400" s="64"/>
      <c r="E1400" s="64"/>
      <c r="F1400" s="64"/>
      <c r="G1400" s="64"/>
    </row>
    <row r="1401" spans="2:7" ht="32.25" customHeight="1" x14ac:dyDescent="0.25">
      <c r="B1401" s="64"/>
      <c r="C1401" s="64"/>
      <c r="D1401" s="64"/>
      <c r="E1401" s="64"/>
      <c r="F1401" s="64"/>
      <c r="G1401" s="64"/>
    </row>
    <row r="1402" spans="2:7" ht="32.25" customHeight="1" x14ac:dyDescent="0.25">
      <c r="B1402" s="64"/>
      <c r="C1402" s="64"/>
      <c r="D1402" s="64"/>
      <c r="E1402" s="64"/>
      <c r="F1402" s="64"/>
      <c r="G1402" s="64"/>
    </row>
    <row r="1403" spans="2:7" ht="32.25" customHeight="1" x14ac:dyDescent="0.25">
      <c r="B1403" s="64"/>
      <c r="C1403" s="64"/>
      <c r="D1403" s="64"/>
      <c r="E1403" s="64"/>
      <c r="F1403" s="64"/>
      <c r="G1403" s="64"/>
    </row>
    <row r="1404" spans="2:7" ht="32.25" customHeight="1" x14ac:dyDescent="0.25">
      <c r="B1404" s="64"/>
      <c r="C1404" s="64"/>
      <c r="D1404" s="64"/>
      <c r="E1404" s="64"/>
      <c r="F1404" s="64"/>
      <c r="G1404" s="64"/>
    </row>
    <row r="1405" spans="2:7" ht="32.25" customHeight="1" x14ac:dyDescent="0.25">
      <c r="B1405" s="64"/>
      <c r="C1405" s="64"/>
      <c r="D1405" s="64"/>
      <c r="E1405" s="64"/>
      <c r="F1405" s="64"/>
      <c r="G1405" s="64"/>
    </row>
    <row r="1406" spans="2:7" ht="32.25" customHeight="1" x14ac:dyDescent="0.25">
      <c r="B1406" s="64"/>
      <c r="C1406" s="64"/>
      <c r="D1406" s="64"/>
      <c r="E1406" s="64"/>
      <c r="F1406" s="64"/>
      <c r="G1406" s="64"/>
    </row>
    <row r="1407" spans="2:7" ht="32.25" customHeight="1" x14ac:dyDescent="0.25">
      <c r="B1407" s="64"/>
      <c r="C1407" s="64"/>
      <c r="D1407" s="64"/>
      <c r="E1407" s="64"/>
      <c r="F1407" s="64"/>
      <c r="G1407" s="64"/>
    </row>
    <row r="1408" spans="2:7" ht="32.25" customHeight="1" x14ac:dyDescent="0.25">
      <c r="B1408" s="64"/>
      <c r="C1408" s="64"/>
      <c r="D1408" s="64"/>
      <c r="E1408" s="64"/>
      <c r="F1408" s="64"/>
      <c r="G1408" s="64"/>
    </row>
    <row r="1409" spans="2:7" ht="32.25" customHeight="1" x14ac:dyDescent="0.25">
      <c r="B1409" s="64"/>
      <c r="C1409" s="64"/>
      <c r="D1409" s="64"/>
      <c r="E1409" s="64"/>
      <c r="F1409" s="64"/>
      <c r="G1409" s="64"/>
    </row>
    <row r="1410" spans="2:7" ht="32.25" customHeight="1" x14ac:dyDescent="0.25">
      <c r="B1410" s="64"/>
      <c r="C1410" s="64"/>
      <c r="D1410" s="64"/>
      <c r="E1410" s="64"/>
      <c r="F1410" s="64"/>
      <c r="G1410" s="64"/>
    </row>
    <row r="1411" spans="2:7" ht="32.25" customHeight="1" x14ac:dyDescent="0.25">
      <c r="B1411" s="64"/>
      <c r="C1411" s="64"/>
      <c r="D1411" s="64"/>
      <c r="E1411" s="64"/>
      <c r="F1411" s="64"/>
      <c r="G1411" s="64"/>
    </row>
    <row r="1412" spans="2:7" ht="32.25" customHeight="1" x14ac:dyDescent="0.25">
      <c r="B1412" s="64"/>
      <c r="C1412" s="64"/>
      <c r="D1412" s="64"/>
      <c r="E1412" s="64"/>
      <c r="F1412" s="64"/>
      <c r="G1412" s="64"/>
    </row>
    <row r="1413" spans="2:7" ht="32.25" customHeight="1" x14ac:dyDescent="0.25">
      <c r="B1413" s="64"/>
      <c r="C1413" s="64"/>
      <c r="D1413" s="64"/>
      <c r="E1413" s="64"/>
      <c r="F1413" s="64"/>
      <c r="G1413" s="64"/>
    </row>
    <row r="1414" spans="2:7" ht="32.25" customHeight="1" x14ac:dyDescent="0.25">
      <c r="B1414" s="64"/>
      <c r="C1414" s="64"/>
      <c r="D1414" s="64"/>
      <c r="E1414" s="64"/>
      <c r="F1414" s="64"/>
      <c r="G1414" s="64"/>
    </row>
    <row r="1415" spans="2:7" ht="32.25" customHeight="1" x14ac:dyDescent="0.25">
      <c r="B1415" s="64"/>
      <c r="C1415" s="64"/>
      <c r="D1415" s="64"/>
      <c r="E1415" s="64"/>
      <c r="F1415" s="64"/>
      <c r="G1415" s="64"/>
    </row>
    <row r="1416" spans="2:7" ht="32.25" customHeight="1" x14ac:dyDescent="0.25">
      <c r="B1416" s="64"/>
      <c r="C1416" s="64"/>
      <c r="D1416" s="64"/>
      <c r="E1416" s="64"/>
      <c r="F1416" s="64"/>
      <c r="G1416" s="64"/>
    </row>
    <row r="1417" spans="2:7" ht="32.25" customHeight="1" x14ac:dyDescent="0.25">
      <c r="B1417" s="64"/>
      <c r="C1417" s="64"/>
      <c r="D1417" s="64"/>
      <c r="E1417" s="64"/>
      <c r="F1417" s="64"/>
      <c r="G1417" s="64"/>
    </row>
    <row r="1418" spans="2:7" ht="32.25" customHeight="1" x14ac:dyDescent="0.25">
      <c r="B1418" s="64"/>
      <c r="C1418" s="64"/>
      <c r="D1418" s="64"/>
      <c r="E1418" s="64"/>
      <c r="F1418" s="64"/>
      <c r="G1418" s="64"/>
    </row>
    <row r="1419" spans="2:7" ht="32.25" customHeight="1" x14ac:dyDescent="0.25">
      <c r="B1419" s="64"/>
      <c r="C1419" s="64"/>
      <c r="D1419" s="64"/>
      <c r="E1419" s="64"/>
      <c r="F1419" s="64"/>
      <c r="G1419" s="64"/>
    </row>
    <row r="1420" spans="2:7" ht="32.25" customHeight="1" x14ac:dyDescent="0.25">
      <c r="B1420" s="64"/>
      <c r="C1420" s="64"/>
      <c r="D1420" s="64"/>
      <c r="E1420" s="64"/>
      <c r="F1420" s="64"/>
      <c r="G1420" s="64"/>
    </row>
    <row r="1421" spans="2:7" ht="32.25" customHeight="1" x14ac:dyDescent="0.25">
      <c r="B1421" s="64"/>
      <c r="C1421" s="64"/>
      <c r="D1421" s="64"/>
      <c r="E1421" s="64"/>
      <c r="F1421" s="64"/>
      <c r="G1421" s="64"/>
    </row>
    <row r="1422" spans="2:7" ht="32.25" customHeight="1" x14ac:dyDescent="0.25">
      <c r="B1422" s="64"/>
      <c r="C1422" s="64"/>
      <c r="D1422" s="64"/>
      <c r="E1422" s="64"/>
      <c r="F1422" s="64"/>
      <c r="G1422" s="64"/>
    </row>
    <row r="1423" spans="2:7" ht="32.25" customHeight="1" x14ac:dyDescent="0.25">
      <c r="B1423" s="64"/>
      <c r="C1423" s="64"/>
      <c r="D1423" s="64"/>
      <c r="E1423" s="64"/>
      <c r="F1423" s="64"/>
      <c r="G1423" s="64"/>
    </row>
    <row r="1424" spans="2:7" ht="32.25" customHeight="1" x14ac:dyDescent="0.25">
      <c r="B1424" s="64"/>
      <c r="C1424" s="64"/>
      <c r="D1424" s="64"/>
      <c r="E1424" s="64"/>
      <c r="F1424" s="64"/>
      <c r="G1424" s="64"/>
    </row>
    <row r="1425" spans="2:7" ht="32.25" customHeight="1" x14ac:dyDescent="0.25">
      <c r="B1425" s="64"/>
      <c r="C1425" s="64"/>
      <c r="D1425" s="64"/>
      <c r="E1425" s="64"/>
      <c r="F1425" s="64"/>
      <c r="G1425" s="64"/>
    </row>
    <row r="1426" spans="2:7" ht="32.25" customHeight="1" x14ac:dyDescent="0.25">
      <c r="B1426" s="64"/>
      <c r="C1426" s="64"/>
      <c r="D1426" s="64"/>
      <c r="E1426" s="64"/>
      <c r="F1426" s="64"/>
      <c r="G1426" s="64"/>
    </row>
    <row r="1427" spans="2:7" ht="32.25" customHeight="1" x14ac:dyDescent="0.25">
      <c r="B1427" s="64"/>
      <c r="C1427" s="64"/>
      <c r="D1427" s="64"/>
      <c r="E1427" s="64"/>
      <c r="F1427" s="64"/>
      <c r="G1427" s="64"/>
    </row>
    <row r="1428" spans="2:7" ht="32.25" customHeight="1" x14ac:dyDescent="0.25">
      <c r="B1428" s="64"/>
      <c r="C1428" s="64"/>
      <c r="D1428" s="64"/>
      <c r="E1428" s="64"/>
      <c r="F1428" s="64"/>
      <c r="G1428" s="64"/>
    </row>
    <row r="1429" spans="2:7" ht="32.25" customHeight="1" x14ac:dyDescent="0.25">
      <c r="B1429" s="64"/>
      <c r="C1429" s="64"/>
      <c r="D1429" s="64"/>
      <c r="E1429" s="64"/>
      <c r="F1429" s="64"/>
      <c r="G1429" s="64"/>
    </row>
    <row r="1430" spans="2:7" ht="32.25" customHeight="1" x14ac:dyDescent="0.25">
      <c r="B1430" s="64"/>
      <c r="C1430" s="64"/>
      <c r="D1430" s="64"/>
      <c r="E1430" s="64"/>
      <c r="F1430" s="64"/>
      <c r="G1430" s="64"/>
    </row>
    <row r="1431" spans="2:7" ht="32.25" customHeight="1" x14ac:dyDescent="0.25">
      <c r="B1431" s="64"/>
      <c r="C1431" s="64"/>
      <c r="D1431" s="64"/>
      <c r="E1431" s="64"/>
      <c r="F1431" s="64"/>
      <c r="G1431" s="64"/>
    </row>
    <row r="1432" spans="2:7" ht="32.25" customHeight="1" x14ac:dyDescent="0.25">
      <c r="B1432" s="64"/>
      <c r="C1432" s="64"/>
      <c r="D1432" s="64"/>
      <c r="E1432" s="64"/>
      <c r="F1432" s="64"/>
      <c r="G1432" s="64"/>
    </row>
    <row r="1433" spans="2:7" ht="32.25" customHeight="1" x14ac:dyDescent="0.25">
      <c r="B1433" s="64"/>
      <c r="C1433" s="64"/>
      <c r="D1433" s="64"/>
      <c r="E1433" s="64"/>
      <c r="F1433" s="64"/>
      <c r="G1433" s="64"/>
    </row>
    <row r="1434" spans="2:7" ht="32.25" customHeight="1" x14ac:dyDescent="0.25">
      <c r="B1434" s="64"/>
      <c r="C1434" s="64"/>
      <c r="D1434" s="64"/>
      <c r="E1434" s="64"/>
      <c r="F1434" s="64"/>
      <c r="G1434" s="64"/>
    </row>
    <row r="1435" spans="2:7" ht="32.25" customHeight="1" x14ac:dyDescent="0.25">
      <c r="B1435" s="64"/>
      <c r="C1435" s="64"/>
      <c r="D1435" s="64"/>
      <c r="E1435" s="64"/>
      <c r="F1435" s="64"/>
      <c r="G1435" s="64"/>
    </row>
    <row r="1436" spans="2:7" ht="32.25" customHeight="1" x14ac:dyDescent="0.25">
      <c r="B1436" s="64"/>
      <c r="C1436" s="64"/>
      <c r="D1436" s="64"/>
      <c r="E1436" s="64"/>
      <c r="F1436" s="64"/>
      <c r="G1436" s="64"/>
    </row>
    <row r="1437" spans="2:7" ht="32.25" customHeight="1" x14ac:dyDescent="0.25">
      <c r="B1437" s="64"/>
      <c r="C1437" s="64"/>
      <c r="D1437" s="64"/>
      <c r="E1437" s="64"/>
      <c r="F1437" s="64"/>
      <c r="G1437" s="64"/>
    </row>
    <row r="1438" spans="2:7" ht="32.25" customHeight="1" x14ac:dyDescent="0.25">
      <c r="B1438" s="64"/>
      <c r="C1438" s="64"/>
      <c r="D1438" s="64"/>
      <c r="E1438" s="64"/>
      <c r="F1438" s="64"/>
      <c r="G1438" s="64"/>
    </row>
    <row r="1439" spans="2:7" ht="32.25" customHeight="1" x14ac:dyDescent="0.25">
      <c r="B1439" s="64"/>
      <c r="C1439" s="64"/>
      <c r="D1439" s="64"/>
      <c r="E1439" s="64"/>
      <c r="F1439" s="64"/>
      <c r="G1439" s="64"/>
    </row>
    <row r="1440" spans="2:7" ht="32.25" customHeight="1" x14ac:dyDescent="0.25">
      <c r="B1440" s="64"/>
      <c r="C1440" s="64"/>
      <c r="D1440" s="64"/>
      <c r="E1440" s="64"/>
      <c r="F1440" s="64"/>
      <c r="G1440" s="64"/>
    </row>
    <row r="1441" spans="2:7" ht="32.25" customHeight="1" x14ac:dyDescent="0.25">
      <c r="B1441" s="64"/>
      <c r="C1441" s="64"/>
      <c r="D1441" s="64"/>
      <c r="E1441" s="64"/>
      <c r="F1441" s="64"/>
      <c r="G1441" s="64"/>
    </row>
    <row r="1442" spans="2:7" ht="32.25" customHeight="1" x14ac:dyDescent="0.25">
      <c r="B1442" s="64"/>
      <c r="C1442" s="64"/>
      <c r="D1442" s="64"/>
      <c r="E1442" s="64"/>
      <c r="F1442" s="64"/>
      <c r="G1442" s="64"/>
    </row>
    <row r="1443" spans="2:7" ht="32.25" customHeight="1" x14ac:dyDescent="0.25">
      <c r="B1443" s="64"/>
      <c r="C1443" s="64"/>
      <c r="D1443" s="64"/>
      <c r="E1443" s="64"/>
      <c r="F1443" s="64"/>
      <c r="G1443" s="64"/>
    </row>
    <row r="1444" spans="2:7" ht="32.25" customHeight="1" x14ac:dyDescent="0.25">
      <c r="B1444" s="64"/>
      <c r="C1444" s="64"/>
      <c r="D1444" s="64"/>
      <c r="E1444" s="64"/>
      <c r="F1444" s="64"/>
      <c r="G1444" s="64"/>
    </row>
    <row r="1445" spans="2:7" ht="32.25" customHeight="1" x14ac:dyDescent="0.25">
      <c r="B1445" s="64"/>
      <c r="C1445" s="64"/>
      <c r="D1445" s="64"/>
      <c r="E1445" s="64"/>
      <c r="F1445" s="64"/>
      <c r="G1445" s="64"/>
    </row>
    <row r="1446" spans="2:7" ht="32.25" customHeight="1" x14ac:dyDescent="0.25">
      <c r="B1446" s="64"/>
      <c r="C1446" s="64"/>
      <c r="D1446" s="64"/>
      <c r="E1446" s="64"/>
      <c r="F1446" s="64"/>
      <c r="G1446" s="64"/>
    </row>
    <row r="1447" spans="2:7" ht="32.25" customHeight="1" x14ac:dyDescent="0.25">
      <c r="B1447" s="64"/>
      <c r="C1447" s="64"/>
      <c r="D1447" s="64"/>
      <c r="E1447" s="64"/>
      <c r="F1447" s="64"/>
      <c r="G1447" s="64"/>
    </row>
    <row r="1448" spans="2:7" ht="32.25" customHeight="1" x14ac:dyDescent="0.25">
      <c r="B1448" s="64"/>
      <c r="C1448" s="64"/>
      <c r="D1448" s="64"/>
      <c r="E1448" s="64"/>
      <c r="F1448" s="64"/>
      <c r="G1448" s="64"/>
    </row>
    <row r="1449" spans="2:7" ht="32.25" customHeight="1" x14ac:dyDescent="0.25">
      <c r="B1449" s="64"/>
      <c r="C1449" s="64"/>
      <c r="D1449" s="64"/>
      <c r="E1449" s="64"/>
      <c r="F1449" s="64"/>
      <c r="G1449" s="64"/>
    </row>
    <row r="1450" spans="2:7" ht="32.25" customHeight="1" x14ac:dyDescent="0.25">
      <c r="B1450" s="64"/>
      <c r="C1450" s="64"/>
      <c r="D1450" s="64"/>
      <c r="E1450" s="64"/>
      <c r="F1450" s="64"/>
      <c r="G1450" s="64"/>
    </row>
    <row r="1451" spans="2:7" ht="32.25" customHeight="1" x14ac:dyDescent="0.25">
      <c r="B1451" s="64"/>
      <c r="C1451" s="64"/>
      <c r="D1451" s="64"/>
      <c r="E1451" s="64"/>
      <c r="F1451" s="64"/>
      <c r="G1451" s="64"/>
    </row>
    <row r="1452" spans="2:7" ht="32.25" customHeight="1" x14ac:dyDescent="0.25">
      <c r="B1452" s="64"/>
      <c r="C1452" s="64"/>
      <c r="D1452" s="64"/>
      <c r="E1452" s="64"/>
      <c r="F1452" s="64"/>
      <c r="G1452" s="64"/>
    </row>
    <row r="1453" spans="2:7" ht="32.25" customHeight="1" x14ac:dyDescent="0.25">
      <c r="B1453" s="64"/>
      <c r="C1453" s="64"/>
      <c r="D1453" s="64"/>
      <c r="E1453" s="64"/>
      <c r="F1453" s="64"/>
      <c r="G1453" s="64"/>
    </row>
    <row r="1454" spans="2:7" ht="32.25" customHeight="1" x14ac:dyDescent="0.25">
      <c r="B1454" s="64"/>
      <c r="C1454" s="64"/>
      <c r="D1454" s="64"/>
      <c r="E1454" s="64"/>
      <c r="F1454" s="64"/>
      <c r="G1454" s="64"/>
    </row>
    <row r="1455" spans="2:7" ht="32.25" customHeight="1" x14ac:dyDescent="0.25">
      <c r="B1455" s="64"/>
      <c r="C1455" s="64"/>
      <c r="D1455" s="64"/>
      <c r="E1455" s="64"/>
      <c r="F1455" s="64"/>
      <c r="G1455" s="64"/>
    </row>
    <row r="1456" spans="2:7" ht="32.25" customHeight="1" x14ac:dyDescent="0.25">
      <c r="B1456" s="64"/>
      <c r="C1456" s="64"/>
      <c r="D1456" s="64"/>
      <c r="E1456" s="64"/>
      <c r="F1456" s="64"/>
      <c r="G1456" s="64"/>
    </row>
    <row r="1457" spans="2:7" ht="32.25" customHeight="1" x14ac:dyDescent="0.25">
      <c r="B1457" s="64"/>
      <c r="C1457" s="64"/>
      <c r="D1457" s="64"/>
      <c r="E1457" s="64"/>
      <c r="F1457" s="64"/>
      <c r="G1457" s="64"/>
    </row>
    <row r="1458" spans="2:7" ht="32.25" customHeight="1" x14ac:dyDescent="0.25">
      <c r="B1458" s="64"/>
      <c r="C1458" s="64"/>
      <c r="D1458" s="64"/>
      <c r="E1458" s="64"/>
      <c r="F1458" s="64"/>
      <c r="G1458" s="64"/>
    </row>
    <row r="1459" spans="2:7" ht="32.25" customHeight="1" x14ac:dyDescent="0.25">
      <c r="B1459" s="64"/>
      <c r="C1459" s="64"/>
      <c r="D1459" s="64"/>
      <c r="E1459" s="64"/>
      <c r="F1459" s="64"/>
      <c r="G1459" s="64"/>
    </row>
    <row r="1460" spans="2:7" ht="32.25" customHeight="1" x14ac:dyDescent="0.25">
      <c r="B1460" s="64"/>
      <c r="C1460" s="64"/>
      <c r="D1460" s="64"/>
      <c r="E1460" s="64"/>
      <c r="F1460" s="64"/>
      <c r="G1460" s="64"/>
    </row>
    <row r="1461" spans="2:7" ht="32.25" customHeight="1" x14ac:dyDescent="0.25">
      <c r="B1461" s="64"/>
      <c r="C1461" s="64"/>
      <c r="D1461" s="64"/>
      <c r="E1461" s="64"/>
      <c r="F1461" s="64"/>
      <c r="G1461" s="64"/>
    </row>
    <row r="1462" spans="2:7" ht="32.25" customHeight="1" x14ac:dyDescent="0.25">
      <c r="B1462" s="64"/>
      <c r="C1462" s="64"/>
      <c r="D1462" s="64"/>
      <c r="E1462" s="64"/>
      <c r="F1462" s="64"/>
      <c r="G1462" s="64"/>
    </row>
    <row r="1463" spans="2:7" ht="32.25" customHeight="1" x14ac:dyDescent="0.25">
      <c r="B1463" s="64"/>
      <c r="C1463" s="64"/>
      <c r="D1463" s="64"/>
      <c r="E1463" s="64"/>
      <c r="F1463" s="64"/>
      <c r="G1463" s="64"/>
    </row>
    <row r="1464" spans="2:7" ht="32.25" customHeight="1" x14ac:dyDescent="0.25">
      <c r="B1464" s="64"/>
      <c r="C1464" s="64"/>
      <c r="D1464" s="64"/>
      <c r="E1464" s="64"/>
      <c r="F1464" s="64"/>
      <c r="G1464" s="64"/>
    </row>
    <row r="1465" spans="2:7" ht="32.25" customHeight="1" x14ac:dyDescent="0.25">
      <c r="B1465" s="64"/>
      <c r="C1465" s="64"/>
      <c r="D1465" s="64"/>
      <c r="E1465" s="64"/>
      <c r="F1465" s="64"/>
      <c r="G1465" s="64"/>
    </row>
    <row r="1466" spans="2:7" ht="32.25" customHeight="1" x14ac:dyDescent="0.25">
      <c r="B1466" s="64"/>
      <c r="C1466" s="64"/>
      <c r="D1466" s="64"/>
      <c r="E1466" s="64"/>
      <c r="F1466" s="64"/>
      <c r="G1466" s="64"/>
    </row>
    <row r="1467" spans="2:7" ht="32.25" customHeight="1" x14ac:dyDescent="0.25">
      <c r="B1467" s="64"/>
      <c r="C1467" s="64"/>
      <c r="D1467" s="64"/>
      <c r="E1467" s="64"/>
      <c r="F1467" s="64"/>
      <c r="G1467" s="64"/>
    </row>
    <row r="1468" spans="2:7" ht="32.25" customHeight="1" x14ac:dyDescent="0.25">
      <c r="B1468" s="64"/>
      <c r="C1468" s="64"/>
      <c r="D1468" s="64"/>
      <c r="E1468" s="64"/>
      <c r="F1468" s="64"/>
      <c r="G1468" s="64"/>
    </row>
    <row r="1469" spans="2:7" ht="32.25" customHeight="1" x14ac:dyDescent="0.25">
      <c r="B1469" s="64"/>
      <c r="C1469" s="64"/>
      <c r="D1469" s="64"/>
      <c r="E1469" s="64"/>
      <c r="F1469" s="64"/>
      <c r="G1469" s="64"/>
    </row>
    <row r="1470" spans="2:7" ht="32.25" customHeight="1" x14ac:dyDescent="0.25">
      <c r="B1470" s="64"/>
      <c r="C1470" s="64"/>
      <c r="D1470" s="64"/>
      <c r="E1470" s="64"/>
      <c r="F1470" s="64"/>
      <c r="G1470" s="64"/>
    </row>
    <row r="1471" spans="2:7" ht="32.25" customHeight="1" x14ac:dyDescent="0.25">
      <c r="B1471" s="64"/>
      <c r="C1471" s="64"/>
      <c r="D1471" s="64"/>
      <c r="E1471" s="64"/>
      <c r="F1471" s="64"/>
      <c r="G1471" s="64"/>
    </row>
    <row r="1472" spans="2:7" ht="32.25" customHeight="1" x14ac:dyDescent="0.25">
      <c r="B1472" s="64"/>
      <c r="C1472" s="64"/>
      <c r="D1472" s="64"/>
      <c r="E1472" s="64"/>
      <c r="F1472" s="64"/>
      <c r="G1472" s="64"/>
    </row>
    <row r="1473" spans="2:7" ht="32.25" customHeight="1" x14ac:dyDescent="0.25">
      <c r="B1473" s="64"/>
      <c r="C1473" s="64"/>
      <c r="D1473" s="64"/>
      <c r="E1473" s="64"/>
      <c r="F1473" s="64"/>
      <c r="G1473" s="64"/>
    </row>
    <row r="1474" spans="2:7" ht="32.25" customHeight="1" x14ac:dyDescent="0.25">
      <c r="B1474" s="64"/>
      <c r="C1474" s="64"/>
      <c r="D1474" s="64"/>
      <c r="E1474" s="64"/>
      <c r="F1474" s="64"/>
      <c r="G1474" s="64"/>
    </row>
    <row r="1475" spans="2:7" ht="32.25" customHeight="1" x14ac:dyDescent="0.25">
      <c r="B1475" s="64"/>
      <c r="C1475" s="64"/>
      <c r="D1475" s="64"/>
      <c r="E1475" s="64"/>
      <c r="F1475" s="64"/>
      <c r="G1475" s="64"/>
    </row>
    <row r="1476" spans="2:7" ht="32.25" customHeight="1" x14ac:dyDescent="0.25">
      <c r="B1476" s="64"/>
      <c r="C1476" s="64"/>
      <c r="D1476" s="64"/>
      <c r="E1476" s="64"/>
      <c r="F1476" s="64"/>
      <c r="G1476" s="64"/>
    </row>
    <row r="1477" spans="2:7" ht="32.25" customHeight="1" x14ac:dyDescent="0.25">
      <c r="B1477" s="64"/>
      <c r="C1477" s="64"/>
      <c r="D1477" s="64"/>
      <c r="E1477" s="64"/>
      <c r="F1477" s="64"/>
      <c r="G1477" s="64"/>
    </row>
    <row r="1478" spans="2:7" ht="32.25" customHeight="1" x14ac:dyDescent="0.25">
      <c r="B1478" s="64"/>
      <c r="C1478" s="64"/>
      <c r="D1478" s="64"/>
      <c r="E1478" s="64"/>
      <c r="F1478" s="64"/>
      <c r="G1478" s="64"/>
    </row>
    <row r="1479" spans="2:7" ht="32.25" customHeight="1" x14ac:dyDescent="0.25">
      <c r="B1479" s="64"/>
      <c r="C1479" s="64"/>
      <c r="D1479" s="64"/>
      <c r="E1479" s="64"/>
      <c r="F1479" s="64"/>
      <c r="G1479" s="64"/>
    </row>
    <row r="1480" spans="2:7" ht="32.25" customHeight="1" x14ac:dyDescent="0.25">
      <c r="B1480" s="64"/>
      <c r="C1480" s="64"/>
      <c r="D1480" s="64"/>
      <c r="E1480" s="64"/>
      <c r="F1480" s="64"/>
      <c r="G1480" s="64"/>
    </row>
    <row r="1481" spans="2:7" ht="32.25" customHeight="1" x14ac:dyDescent="0.25">
      <c r="B1481" s="64"/>
      <c r="C1481" s="64"/>
      <c r="D1481" s="64"/>
      <c r="E1481" s="64"/>
      <c r="F1481" s="64"/>
      <c r="G1481" s="64"/>
    </row>
    <row r="1482" spans="2:7" ht="32.25" customHeight="1" x14ac:dyDescent="0.25">
      <c r="B1482" s="64"/>
      <c r="C1482" s="64"/>
      <c r="D1482" s="64"/>
      <c r="E1482" s="64"/>
      <c r="F1482" s="64"/>
      <c r="G1482" s="64"/>
    </row>
    <row r="1483" spans="2:7" ht="32.25" customHeight="1" x14ac:dyDescent="0.25">
      <c r="B1483" s="64"/>
      <c r="C1483" s="64"/>
      <c r="D1483" s="64"/>
      <c r="E1483" s="64"/>
      <c r="F1483" s="64"/>
      <c r="G1483" s="64"/>
    </row>
    <row r="1484" spans="2:7" ht="32.25" customHeight="1" x14ac:dyDescent="0.25">
      <c r="B1484" s="64"/>
      <c r="C1484" s="64"/>
      <c r="D1484" s="64"/>
      <c r="E1484" s="64"/>
      <c r="F1484" s="64"/>
      <c r="G1484" s="64"/>
    </row>
    <row r="1485" spans="2:7" ht="32.25" customHeight="1" x14ac:dyDescent="0.25">
      <c r="B1485" s="64"/>
      <c r="C1485" s="64"/>
      <c r="D1485" s="64"/>
      <c r="E1485" s="64"/>
      <c r="F1485" s="64"/>
      <c r="G1485" s="64"/>
    </row>
    <row r="1486" spans="2:7" ht="32.25" customHeight="1" x14ac:dyDescent="0.25">
      <c r="B1486" s="64"/>
      <c r="C1486" s="64"/>
      <c r="D1486" s="64"/>
      <c r="E1486" s="64"/>
      <c r="F1486" s="64"/>
      <c r="G1486" s="64"/>
    </row>
    <row r="1487" spans="2:7" ht="32.25" customHeight="1" x14ac:dyDescent="0.25">
      <c r="B1487" s="64"/>
      <c r="C1487" s="64"/>
      <c r="D1487" s="64"/>
      <c r="E1487" s="64"/>
      <c r="F1487" s="64"/>
      <c r="G1487" s="64"/>
    </row>
    <row r="1488" spans="2:7" ht="32.25" customHeight="1" x14ac:dyDescent="0.25">
      <c r="B1488" s="64"/>
      <c r="C1488" s="64"/>
      <c r="D1488" s="64"/>
      <c r="E1488" s="64"/>
      <c r="F1488" s="64"/>
      <c r="G1488" s="64"/>
    </row>
    <row r="1489" spans="2:7" ht="32.25" customHeight="1" x14ac:dyDescent="0.25">
      <c r="B1489" s="64"/>
      <c r="C1489" s="64"/>
      <c r="D1489" s="64"/>
      <c r="E1489" s="64"/>
      <c r="F1489" s="64"/>
      <c r="G1489" s="64"/>
    </row>
    <row r="1490" spans="2:7" ht="32.25" customHeight="1" x14ac:dyDescent="0.25">
      <c r="B1490" s="64"/>
      <c r="C1490" s="64"/>
      <c r="D1490" s="64"/>
      <c r="E1490" s="64"/>
      <c r="F1490" s="64"/>
      <c r="G1490" s="64"/>
    </row>
    <row r="1491" spans="2:7" ht="32.25" customHeight="1" x14ac:dyDescent="0.25">
      <c r="B1491" s="64"/>
      <c r="C1491" s="64"/>
      <c r="D1491" s="64"/>
      <c r="E1491" s="64"/>
      <c r="F1491" s="64"/>
      <c r="G1491" s="64"/>
    </row>
    <row r="1492" spans="2:7" ht="32.25" customHeight="1" x14ac:dyDescent="0.25">
      <c r="B1492" s="64"/>
      <c r="C1492" s="64"/>
      <c r="D1492" s="64"/>
      <c r="E1492" s="64"/>
      <c r="F1492" s="64"/>
      <c r="G1492" s="64"/>
    </row>
    <row r="1493" spans="2:7" ht="32.25" customHeight="1" x14ac:dyDescent="0.25">
      <c r="B1493" s="64"/>
      <c r="C1493" s="64"/>
      <c r="D1493" s="64"/>
      <c r="E1493" s="64"/>
      <c r="F1493" s="64"/>
      <c r="G1493" s="64"/>
    </row>
    <row r="1494" spans="2:7" ht="32.25" customHeight="1" x14ac:dyDescent="0.25">
      <c r="B1494" s="64"/>
      <c r="C1494" s="64"/>
      <c r="D1494" s="64"/>
      <c r="E1494" s="64"/>
      <c r="F1494" s="64"/>
      <c r="G1494" s="64"/>
    </row>
    <row r="1495" spans="2:7" ht="32.25" customHeight="1" x14ac:dyDescent="0.25">
      <c r="B1495" s="64"/>
      <c r="C1495" s="64"/>
      <c r="D1495" s="64"/>
      <c r="E1495" s="64"/>
      <c r="F1495" s="64"/>
      <c r="G1495" s="64"/>
    </row>
    <row r="1496" spans="2:7" ht="32.25" customHeight="1" x14ac:dyDescent="0.25">
      <c r="B1496" s="64"/>
      <c r="C1496" s="64"/>
      <c r="D1496" s="64"/>
      <c r="E1496" s="64"/>
      <c r="F1496" s="64"/>
      <c r="G1496" s="64"/>
    </row>
    <row r="1497" spans="2:7" ht="32.25" customHeight="1" x14ac:dyDescent="0.25">
      <c r="B1497" s="64"/>
      <c r="C1497" s="64"/>
      <c r="D1497" s="64"/>
      <c r="E1497" s="64"/>
      <c r="F1497" s="64"/>
      <c r="G1497" s="64"/>
    </row>
    <row r="1498" spans="2:7" ht="32.25" customHeight="1" x14ac:dyDescent="0.25">
      <c r="B1498" s="64"/>
      <c r="C1498" s="64"/>
      <c r="D1498" s="64"/>
      <c r="E1498" s="64"/>
      <c r="F1498" s="64"/>
      <c r="G1498" s="64"/>
    </row>
    <row r="1499" spans="2:7" ht="32.25" customHeight="1" x14ac:dyDescent="0.25">
      <c r="B1499" s="64"/>
      <c r="C1499" s="64"/>
      <c r="D1499" s="64"/>
      <c r="E1499" s="64"/>
      <c r="F1499" s="64"/>
      <c r="G1499" s="64"/>
    </row>
    <row r="1500" spans="2:7" ht="32.25" customHeight="1" x14ac:dyDescent="0.25">
      <c r="B1500" s="64"/>
      <c r="C1500" s="64"/>
      <c r="D1500" s="64"/>
      <c r="E1500" s="64"/>
      <c r="F1500" s="64"/>
      <c r="G1500" s="64"/>
    </row>
    <row r="1501" spans="2:7" ht="32.25" customHeight="1" x14ac:dyDescent="0.25">
      <c r="B1501" s="64"/>
      <c r="C1501" s="64"/>
      <c r="D1501" s="64"/>
      <c r="E1501" s="64"/>
      <c r="F1501" s="64"/>
      <c r="G1501" s="64"/>
    </row>
    <row r="1502" spans="2:7" ht="32.25" customHeight="1" x14ac:dyDescent="0.25">
      <c r="B1502" s="64"/>
      <c r="C1502" s="64"/>
      <c r="D1502" s="64"/>
      <c r="E1502" s="64"/>
      <c r="F1502" s="64"/>
      <c r="G1502" s="64"/>
    </row>
    <row r="1503" spans="2:7" ht="32.25" customHeight="1" x14ac:dyDescent="0.25">
      <c r="B1503" s="64"/>
      <c r="C1503" s="64"/>
      <c r="D1503" s="64"/>
      <c r="E1503" s="64"/>
      <c r="F1503" s="64"/>
      <c r="G1503" s="64"/>
    </row>
    <row r="1504" spans="2:7" ht="32.25" customHeight="1" x14ac:dyDescent="0.25">
      <c r="B1504" s="64"/>
      <c r="C1504" s="64"/>
      <c r="D1504" s="64"/>
      <c r="E1504" s="64"/>
      <c r="F1504" s="64"/>
      <c r="G1504" s="64"/>
    </row>
    <row r="1505" spans="2:7" ht="32.25" customHeight="1" x14ac:dyDescent="0.25">
      <c r="B1505" s="64"/>
      <c r="C1505" s="64"/>
      <c r="D1505" s="64"/>
      <c r="E1505" s="64"/>
      <c r="F1505" s="64"/>
      <c r="G1505" s="64"/>
    </row>
    <row r="1506" spans="2:7" ht="32.25" customHeight="1" x14ac:dyDescent="0.25">
      <c r="B1506" s="64"/>
      <c r="C1506" s="64"/>
      <c r="D1506" s="64"/>
      <c r="E1506" s="64"/>
      <c r="F1506" s="64"/>
      <c r="G1506" s="64"/>
    </row>
    <row r="1507" spans="2:7" ht="32.25" customHeight="1" x14ac:dyDescent="0.25">
      <c r="B1507" s="64"/>
      <c r="C1507" s="64"/>
      <c r="D1507" s="64"/>
      <c r="E1507" s="64"/>
      <c r="F1507" s="64"/>
      <c r="G1507" s="64"/>
    </row>
    <row r="1508" spans="2:7" ht="32.25" customHeight="1" x14ac:dyDescent="0.25">
      <c r="B1508" s="64"/>
      <c r="C1508" s="64"/>
      <c r="D1508" s="64"/>
      <c r="E1508" s="64"/>
      <c r="F1508" s="64"/>
      <c r="G1508" s="64"/>
    </row>
    <row r="1509" spans="2:7" ht="32.25" customHeight="1" x14ac:dyDescent="0.25">
      <c r="B1509" s="64"/>
      <c r="C1509" s="64"/>
      <c r="D1509" s="64"/>
      <c r="E1509" s="64"/>
      <c r="F1509" s="64"/>
      <c r="G1509" s="64"/>
    </row>
    <row r="1510" spans="2:7" ht="32.25" customHeight="1" x14ac:dyDescent="0.25">
      <c r="B1510" s="64"/>
      <c r="C1510" s="64"/>
      <c r="D1510" s="64"/>
      <c r="E1510" s="64"/>
      <c r="F1510" s="64"/>
      <c r="G1510" s="64"/>
    </row>
    <row r="1511" spans="2:7" ht="32.25" customHeight="1" x14ac:dyDescent="0.25">
      <c r="B1511" s="64"/>
      <c r="C1511" s="64"/>
      <c r="D1511" s="64"/>
      <c r="E1511" s="64"/>
      <c r="F1511" s="64"/>
      <c r="G1511" s="64"/>
    </row>
    <row r="1512" spans="2:7" ht="32.25" customHeight="1" x14ac:dyDescent="0.25">
      <c r="B1512" s="64"/>
      <c r="C1512" s="64"/>
      <c r="D1512" s="64"/>
      <c r="E1512" s="64"/>
      <c r="F1512" s="64"/>
      <c r="G1512" s="64"/>
    </row>
    <row r="1513" spans="2:7" ht="32.25" customHeight="1" x14ac:dyDescent="0.25">
      <c r="B1513" s="64"/>
      <c r="C1513" s="64"/>
      <c r="D1513" s="64"/>
      <c r="E1513" s="64"/>
      <c r="F1513" s="64"/>
      <c r="G1513" s="64"/>
    </row>
    <row r="1514" spans="2:7" ht="32.25" customHeight="1" x14ac:dyDescent="0.25">
      <c r="B1514" s="64"/>
      <c r="C1514" s="64"/>
      <c r="D1514" s="64"/>
      <c r="E1514" s="64"/>
      <c r="F1514" s="64"/>
      <c r="G1514" s="64"/>
    </row>
    <row r="1515" spans="2:7" ht="32.25" customHeight="1" x14ac:dyDescent="0.25">
      <c r="B1515" s="64"/>
      <c r="C1515" s="64"/>
      <c r="D1515" s="64"/>
      <c r="E1515" s="64"/>
      <c r="F1515" s="64"/>
      <c r="G1515" s="64"/>
    </row>
    <row r="1516" spans="2:7" ht="32.25" customHeight="1" x14ac:dyDescent="0.25">
      <c r="B1516" s="64"/>
      <c r="C1516" s="64"/>
      <c r="D1516" s="64"/>
      <c r="E1516" s="64"/>
      <c r="F1516" s="64"/>
      <c r="G1516" s="64"/>
    </row>
    <row r="1517" spans="2:7" ht="32.25" customHeight="1" x14ac:dyDescent="0.25">
      <c r="B1517" s="64"/>
      <c r="C1517" s="64"/>
      <c r="D1517" s="64"/>
      <c r="E1517" s="64"/>
      <c r="F1517" s="64"/>
      <c r="G1517" s="64"/>
    </row>
    <row r="1518" spans="2:7" ht="32.25" customHeight="1" x14ac:dyDescent="0.25">
      <c r="B1518" s="64"/>
      <c r="C1518" s="64"/>
      <c r="D1518" s="64"/>
      <c r="E1518" s="64"/>
      <c r="F1518" s="64"/>
      <c r="G1518" s="64"/>
    </row>
    <row r="1519" spans="2:7" ht="32.25" customHeight="1" x14ac:dyDescent="0.25">
      <c r="B1519" s="64"/>
      <c r="C1519" s="64"/>
      <c r="D1519" s="64"/>
      <c r="E1519" s="64"/>
      <c r="F1519" s="64"/>
      <c r="G1519" s="64"/>
    </row>
    <row r="1520" spans="2:7" ht="32.25" customHeight="1" x14ac:dyDescent="0.25">
      <c r="B1520" s="64"/>
      <c r="C1520" s="64"/>
      <c r="D1520" s="64"/>
      <c r="E1520" s="64"/>
      <c r="F1520" s="64"/>
      <c r="G1520" s="64"/>
    </row>
    <row r="1521" spans="2:7" ht="32.25" customHeight="1" x14ac:dyDescent="0.25">
      <c r="B1521" s="64"/>
      <c r="C1521" s="64"/>
      <c r="D1521" s="64"/>
      <c r="E1521" s="64"/>
      <c r="F1521" s="64"/>
      <c r="G1521" s="64"/>
    </row>
    <row r="1522" spans="2:7" ht="32.25" customHeight="1" x14ac:dyDescent="0.25">
      <c r="B1522" s="64"/>
      <c r="C1522" s="64"/>
      <c r="D1522" s="64"/>
      <c r="E1522" s="64"/>
      <c r="F1522" s="64"/>
      <c r="G1522" s="64"/>
    </row>
    <row r="1523" spans="2:7" ht="32.25" customHeight="1" x14ac:dyDescent="0.25">
      <c r="B1523" s="64"/>
      <c r="C1523" s="64"/>
      <c r="D1523" s="64"/>
      <c r="E1523" s="64"/>
      <c r="F1523" s="64"/>
      <c r="G1523" s="64"/>
    </row>
    <row r="1524" spans="2:7" ht="32.25" customHeight="1" x14ac:dyDescent="0.25">
      <c r="B1524" s="64"/>
      <c r="C1524" s="64"/>
      <c r="D1524" s="64"/>
      <c r="E1524" s="64"/>
      <c r="F1524" s="64"/>
      <c r="G1524" s="64"/>
    </row>
    <row r="1525" spans="2:7" ht="32.25" customHeight="1" x14ac:dyDescent="0.25">
      <c r="B1525" s="64"/>
      <c r="C1525" s="64"/>
      <c r="D1525" s="64"/>
      <c r="E1525" s="64"/>
      <c r="F1525" s="64"/>
      <c r="G1525" s="64"/>
    </row>
    <row r="1526" spans="2:7" ht="32.25" customHeight="1" x14ac:dyDescent="0.25">
      <c r="B1526" s="64"/>
      <c r="C1526" s="64"/>
      <c r="D1526" s="64"/>
      <c r="E1526" s="64"/>
      <c r="F1526" s="64"/>
      <c r="G1526" s="64"/>
    </row>
    <row r="1527" spans="2:7" ht="32.25" customHeight="1" x14ac:dyDescent="0.25">
      <c r="B1527" s="64"/>
      <c r="C1527" s="64"/>
      <c r="D1527" s="64"/>
      <c r="E1527" s="64"/>
      <c r="F1527" s="64"/>
      <c r="G1527" s="64"/>
    </row>
    <row r="1528" spans="2:7" ht="32.25" customHeight="1" x14ac:dyDescent="0.25">
      <c r="B1528" s="64"/>
      <c r="C1528" s="64"/>
      <c r="D1528" s="64"/>
      <c r="E1528" s="64"/>
      <c r="F1528" s="64"/>
      <c r="G1528" s="64"/>
    </row>
    <row r="1529" spans="2:7" ht="32.25" customHeight="1" x14ac:dyDescent="0.25">
      <c r="B1529" s="64"/>
      <c r="C1529" s="64"/>
      <c r="D1529" s="64"/>
      <c r="E1529" s="64"/>
      <c r="F1529" s="64"/>
      <c r="G1529" s="64"/>
    </row>
    <row r="1530" spans="2:7" ht="32.25" customHeight="1" x14ac:dyDescent="0.25">
      <c r="B1530" s="64"/>
      <c r="C1530" s="64"/>
      <c r="D1530" s="64"/>
      <c r="E1530" s="64"/>
      <c r="F1530" s="64"/>
      <c r="G1530" s="64"/>
    </row>
    <row r="1531" spans="2:7" ht="32.25" customHeight="1" x14ac:dyDescent="0.25">
      <c r="B1531" s="64"/>
      <c r="C1531" s="64"/>
      <c r="D1531" s="64"/>
      <c r="E1531" s="64"/>
      <c r="F1531" s="64"/>
      <c r="G1531" s="64"/>
    </row>
    <row r="1532" spans="2:7" ht="32.25" customHeight="1" x14ac:dyDescent="0.25">
      <c r="B1532" s="64"/>
      <c r="C1532" s="64"/>
      <c r="D1532" s="64"/>
      <c r="E1532" s="64"/>
      <c r="F1532" s="64"/>
      <c r="G1532" s="64"/>
    </row>
    <row r="1533" spans="2:7" ht="32.25" customHeight="1" x14ac:dyDescent="0.25">
      <c r="B1533" s="64"/>
      <c r="C1533" s="64"/>
      <c r="D1533" s="64"/>
      <c r="E1533" s="64"/>
      <c r="F1533" s="64"/>
      <c r="G1533" s="64"/>
    </row>
    <row r="1534" spans="2:7" ht="32.25" customHeight="1" x14ac:dyDescent="0.25">
      <c r="B1534" s="64"/>
      <c r="C1534" s="64"/>
      <c r="D1534" s="64"/>
      <c r="E1534" s="64"/>
      <c r="F1534" s="64"/>
      <c r="G1534" s="64"/>
    </row>
    <row r="1535" spans="2:7" ht="32.25" customHeight="1" x14ac:dyDescent="0.25">
      <c r="B1535" s="64"/>
      <c r="C1535" s="64"/>
      <c r="D1535" s="64"/>
      <c r="E1535" s="64"/>
      <c r="F1535" s="64"/>
      <c r="G1535" s="64"/>
    </row>
    <row r="1536" spans="2:7" ht="32.25" customHeight="1" x14ac:dyDescent="0.25">
      <c r="B1536" s="64"/>
      <c r="C1536" s="64"/>
      <c r="D1536" s="64"/>
      <c r="E1536" s="64"/>
      <c r="F1536" s="64"/>
      <c r="G1536" s="64"/>
    </row>
    <row r="1537" spans="2:7" ht="32.25" customHeight="1" x14ac:dyDescent="0.25">
      <c r="B1537" s="64"/>
      <c r="C1537" s="64"/>
      <c r="D1537" s="64"/>
      <c r="E1537" s="64"/>
      <c r="F1537" s="64"/>
      <c r="G1537" s="64"/>
    </row>
    <row r="1538" spans="2:7" ht="32.25" customHeight="1" x14ac:dyDescent="0.25">
      <c r="B1538" s="64"/>
      <c r="C1538" s="64"/>
      <c r="D1538" s="64"/>
      <c r="E1538" s="64"/>
      <c r="F1538" s="64"/>
      <c r="G1538" s="64"/>
    </row>
    <row r="1539" spans="2:7" ht="32.25" customHeight="1" x14ac:dyDescent="0.25">
      <c r="B1539" s="64"/>
      <c r="C1539" s="64"/>
      <c r="D1539" s="64"/>
      <c r="E1539" s="64"/>
      <c r="F1539" s="64"/>
      <c r="G1539" s="64"/>
    </row>
    <row r="1540" spans="2:7" ht="32.25" customHeight="1" x14ac:dyDescent="0.25">
      <c r="B1540" s="64"/>
      <c r="C1540" s="64"/>
      <c r="D1540" s="64"/>
      <c r="E1540" s="64"/>
      <c r="F1540" s="64"/>
      <c r="G1540" s="64"/>
    </row>
    <row r="1541" spans="2:7" ht="32.25" customHeight="1" x14ac:dyDescent="0.25">
      <c r="B1541" s="64"/>
      <c r="C1541" s="64"/>
      <c r="D1541" s="64"/>
      <c r="E1541" s="64"/>
      <c r="F1541" s="64"/>
      <c r="G1541" s="64"/>
    </row>
    <row r="1542" spans="2:7" ht="32.25" customHeight="1" x14ac:dyDescent="0.25">
      <c r="B1542" s="64"/>
      <c r="C1542" s="64"/>
      <c r="D1542" s="64"/>
      <c r="E1542" s="64"/>
      <c r="F1542" s="64"/>
      <c r="G1542" s="64"/>
    </row>
    <row r="1543" spans="2:7" ht="32.25" customHeight="1" x14ac:dyDescent="0.25">
      <c r="B1543" s="64"/>
      <c r="C1543" s="64"/>
      <c r="D1543" s="64"/>
      <c r="E1543" s="64"/>
      <c r="F1543" s="64"/>
      <c r="G1543" s="64"/>
    </row>
    <row r="1544" spans="2:7" ht="32.25" customHeight="1" x14ac:dyDescent="0.25">
      <c r="B1544" s="64"/>
      <c r="C1544" s="64"/>
      <c r="D1544" s="64"/>
      <c r="E1544" s="64"/>
      <c r="F1544" s="64"/>
      <c r="G1544" s="64"/>
    </row>
    <row r="1545" spans="2:7" ht="32.25" customHeight="1" x14ac:dyDescent="0.25">
      <c r="B1545" s="64"/>
      <c r="C1545" s="64"/>
      <c r="D1545" s="64"/>
      <c r="E1545" s="64"/>
      <c r="F1545" s="64"/>
      <c r="G1545" s="64"/>
    </row>
    <row r="1546" spans="2:7" ht="32.25" customHeight="1" x14ac:dyDescent="0.25">
      <c r="B1546" s="64"/>
      <c r="C1546" s="64"/>
      <c r="D1546" s="64"/>
      <c r="E1546" s="64"/>
      <c r="F1546" s="64"/>
      <c r="G1546" s="64"/>
    </row>
    <row r="1547" spans="2:7" ht="32.25" customHeight="1" x14ac:dyDescent="0.25">
      <c r="B1547" s="64"/>
      <c r="C1547" s="64"/>
      <c r="D1547" s="64"/>
      <c r="E1547" s="64"/>
      <c r="F1547" s="64"/>
      <c r="G1547" s="64"/>
    </row>
    <row r="1548" spans="2:7" ht="32.25" customHeight="1" x14ac:dyDescent="0.25">
      <c r="B1548" s="64"/>
      <c r="C1548" s="64"/>
      <c r="D1548" s="64"/>
      <c r="E1548" s="64"/>
      <c r="F1548" s="64"/>
      <c r="G1548" s="64"/>
    </row>
    <row r="1549" spans="2:7" ht="32.25" customHeight="1" x14ac:dyDescent="0.25">
      <c r="B1549" s="64"/>
      <c r="C1549" s="64"/>
      <c r="D1549" s="64"/>
      <c r="E1549" s="64"/>
      <c r="F1549" s="64"/>
      <c r="G1549" s="64"/>
    </row>
    <row r="1550" spans="2:7" ht="32.25" customHeight="1" x14ac:dyDescent="0.25">
      <c r="B1550" s="64"/>
      <c r="C1550" s="64"/>
      <c r="D1550" s="64"/>
      <c r="E1550" s="64"/>
      <c r="F1550" s="64"/>
      <c r="G1550" s="64"/>
    </row>
    <row r="1551" spans="2:7" ht="32.25" customHeight="1" x14ac:dyDescent="0.25">
      <c r="B1551" s="64"/>
      <c r="C1551" s="64"/>
      <c r="D1551" s="64"/>
      <c r="E1551" s="64"/>
      <c r="F1551" s="64"/>
      <c r="G1551" s="64"/>
    </row>
    <row r="1552" spans="2:7" ht="32.25" customHeight="1" x14ac:dyDescent="0.25">
      <c r="B1552" s="64"/>
      <c r="C1552" s="64"/>
      <c r="D1552" s="64"/>
      <c r="E1552" s="64"/>
      <c r="F1552" s="64"/>
      <c r="G1552" s="64"/>
    </row>
    <row r="1553" spans="2:7" ht="32.25" customHeight="1" x14ac:dyDescent="0.25">
      <c r="B1553" s="64"/>
      <c r="C1553" s="64"/>
      <c r="D1553" s="64"/>
      <c r="E1553" s="64"/>
      <c r="F1553" s="64"/>
      <c r="G1553" s="64"/>
    </row>
    <row r="1554" spans="2:7" ht="32.25" customHeight="1" x14ac:dyDescent="0.25">
      <c r="B1554" s="64"/>
      <c r="C1554" s="64"/>
      <c r="D1554" s="64"/>
      <c r="E1554" s="64"/>
      <c r="F1554" s="64"/>
      <c r="G1554" s="64"/>
    </row>
    <row r="1555" spans="2:7" ht="32.25" customHeight="1" x14ac:dyDescent="0.25">
      <c r="B1555" s="64"/>
      <c r="C1555" s="64"/>
      <c r="D1555" s="64"/>
      <c r="E1555" s="64"/>
      <c r="F1555" s="64"/>
      <c r="G1555" s="64"/>
    </row>
    <row r="1556" spans="2:7" ht="32.25" customHeight="1" x14ac:dyDescent="0.25">
      <c r="B1556" s="64"/>
      <c r="C1556" s="64"/>
      <c r="D1556" s="64"/>
      <c r="E1556" s="64"/>
      <c r="F1556" s="64"/>
      <c r="G1556" s="64"/>
    </row>
    <row r="1557" spans="2:7" ht="32.25" customHeight="1" x14ac:dyDescent="0.25">
      <c r="B1557" s="64"/>
      <c r="C1557" s="64"/>
      <c r="D1557" s="64"/>
      <c r="E1557" s="64"/>
      <c r="F1557" s="64"/>
      <c r="G1557" s="64"/>
    </row>
    <row r="1558" spans="2:7" ht="32.25" customHeight="1" x14ac:dyDescent="0.25">
      <c r="B1558" s="64"/>
      <c r="C1558" s="64"/>
      <c r="D1558" s="64"/>
      <c r="E1558" s="64"/>
      <c r="F1558" s="64"/>
      <c r="G1558" s="64"/>
    </row>
    <row r="1559" spans="2:7" ht="32.25" customHeight="1" x14ac:dyDescent="0.25">
      <c r="B1559" s="64"/>
      <c r="C1559" s="64"/>
      <c r="D1559" s="64"/>
      <c r="E1559" s="64"/>
      <c r="F1559" s="64"/>
      <c r="G1559" s="64"/>
    </row>
    <row r="1560" spans="2:7" ht="32.25" customHeight="1" x14ac:dyDescent="0.25">
      <c r="B1560" s="64"/>
      <c r="C1560" s="64"/>
      <c r="D1560" s="64"/>
      <c r="E1560" s="64"/>
      <c r="F1560" s="64"/>
      <c r="G1560" s="64"/>
    </row>
    <row r="1561" spans="2:7" ht="32.25" customHeight="1" x14ac:dyDescent="0.25">
      <c r="B1561" s="64"/>
      <c r="C1561" s="64"/>
      <c r="D1561" s="64"/>
      <c r="E1561" s="64"/>
      <c r="F1561" s="64"/>
      <c r="G1561" s="64"/>
    </row>
    <row r="1562" spans="2:7" ht="32.25" customHeight="1" x14ac:dyDescent="0.25">
      <c r="B1562" s="64"/>
      <c r="C1562" s="64"/>
      <c r="D1562" s="64"/>
      <c r="E1562" s="64"/>
      <c r="F1562" s="64"/>
      <c r="G1562" s="64"/>
    </row>
    <row r="1563" spans="2:7" ht="32.25" customHeight="1" x14ac:dyDescent="0.25">
      <c r="B1563" s="64"/>
      <c r="C1563" s="64"/>
      <c r="D1563" s="64"/>
      <c r="E1563" s="64"/>
      <c r="F1563" s="64"/>
      <c r="G1563" s="64"/>
    </row>
    <row r="1564" spans="2:7" ht="32.25" customHeight="1" x14ac:dyDescent="0.25">
      <c r="B1564" s="64"/>
      <c r="C1564" s="64"/>
      <c r="D1564" s="64"/>
      <c r="E1564" s="64"/>
      <c r="F1564" s="64"/>
      <c r="G1564" s="64"/>
    </row>
    <row r="1565" spans="2:7" ht="32.25" customHeight="1" x14ac:dyDescent="0.25">
      <c r="B1565" s="64"/>
      <c r="C1565" s="64"/>
      <c r="D1565" s="64"/>
      <c r="E1565" s="64"/>
      <c r="F1565" s="64"/>
      <c r="G1565" s="64"/>
    </row>
    <row r="1566" spans="2:7" ht="32.25" customHeight="1" x14ac:dyDescent="0.25">
      <c r="B1566" s="64"/>
      <c r="C1566" s="64"/>
      <c r="D1566" s="64"/>
      <c r="E1566" s="64"/>
      <c r="F1566" s="64"/>
      <c r="G1566" s="64"/>
    </row>
    <row r="1567" spans="2:7" ht="32.25" customHeight="1" x14ac:dyDescent="0.25">
      <c r="B1567" s="64"/>
      <c r="C1567" s="64"/>
      <c r="D1567" s="64"/>
      <c r="E1567" s="64"/>
      <c r="F1567" s="64"/>
      <c r="G1567" s="64"/>
    </row>
    <row r="1568" spans="2:7" ht="32.25" customHeight="1" x14ac:dyDescent="0.25">
      <c r="B1568" s="64"/>
      <c r="C1568" s="64"/>
      <c r="D1568" s="64"/>
      <c r="E1568" s="64"/>
      <c r="F1568" s="64"/>
      <c r="G1568" s="64"/>
    </row>
    <row r="1569" spans="2:7" ht="32.25" customHeight="1" x14ac:dyDescent="0.25">
      <c r="B1569" s="64"/>
      <c r="C1569" s="64"/>
      <c r="D1569" s="64"/>
      <c r="E1569" s="64"/>
      <c r="F1569" s="64"/>
      <c r="G1569" s="64"/>
    </row>
    <row r="1570" spans="2:7" ht="32.25" customHeight="1" x14ac:dyDescent="0.25">
      <c r="B1570" s="64"/>
      <c r="C1570" s="64"/>
      <c r="D1570" s="64"/>
      <c r="E1570" s="64"/>
      <c r="F1570" s="64"/>
      <c r="G1570" s="64"/>
    </row>
    <row r="1571" spans="2:7" ht="32.25" customHeight="1" x14ac:dyDescent="0.25">
      <c r="B1571" s="64"/>
      <c r="C1571" s="64"/>
      <c r="D1571" s="64"/>
      <c r="E1571" s="64"/>
      <c r="F1571" s="64"/>
      <c r="G1571" s="64"/>
    </row>
    <row r="1572" spans="2:7" ht="32.25" customHeight="1" x14ac:dyDescent="0.25">
      <c r="B1572" s="64"/>
      <c r="C1572" s="64"/>
      <c r="D1572" s="64"/>
      <c r="E1572" s="64"/>
      <c r="F1572" s="64"/>
      <c r="G1572" s="64"/>
    </row>
    <row r="1573" spans="2:7" ht="32.25" customHeight="1" x14ac:dyDescent="0.25">
      <c r="B1573" s="64"/>
      <c r="C1573" s="64"/>
      <c r="D1573" s="64"/>
      <c r="E1573" s="64"/>
      <c r="F1573" s="64"/>
      <c r="G1573" s="64"/>
    </row>
    <row r="1574" spans="2:7" ht="32.25" customHeight="1" x14ac:dyDescent="0.25">
      <c r="B1574" s="64"/>
      <c r="C1574" s="64"/>
      <c r="D1574" s="64"/>
      <c r="E1574" s="64"/>
      <c r="F1574" s="64"/>
      <c r="G1574" s="64"/>
    </row>
    <row r="1575" spans="2:7" ht="32.25" customHeight="1" x14ac:dyDescent="0.25">
      <c r="B1575" s="64"/>
      <c r="C1575" s="64"/>
      <c r="D1575" s="64"/>
      <c r="E1575" s="64"/>
      <c r="F1575" s="64"/>
      <c r="G1575" s="64"/>
    </row>
    <row r="1576" spans="2:7" ht="32.25" customHeight="1" x14ac:dyDescent="0.25">
      <c r="B1576" s="64"/>
      <c r="C1576" s="64"/>
      <c r="D1576" s="64"/>
      <c r="E1576" s="64"/>
      <c r="F1576" s="64"/>
      <c r="G1576" s="64"/>
    </row>
    <row r="1577" spans="2:7" ht="32.25" customHeight="1" x14ac:dyDescent="0.25">
      <c r="B1577" s="64"/>
      <c r="C1577" s="64"/>
      <c r="D1577" s="64"/>
      <c r="E1577" s="64"/>
      <c r="F1577" s="64"/>
      <c r="G1577" s="64"/>
    </row>
    <row r="1578" spans="2:7" ht="32.25" customHeight="1" x14ac:dyDescent="0.25">
      <c r="B1578" s="64"/>
      <c r="C1578" s="64"/>
      <c r="D1578" s="64"/>
      <c r="E1578" s="64"/>
      <c r="F1578" s="64"/>
      <c r="G1578" s="64"/>
    </row>
    <row r="1579" spans="2:7" ht="32.25" customHeight="1" x14ac:dyDescent="0.25">
      <c r="B1579" s="64"/>
      <c r="C1579" s="64"/>
      <c r="D1579" s="64"/>
      <c r="E1579" s="64"/>
      <c r="F1579" s="64"/>
      <c r="G1579" s="64"/>
    </row>
    <row r="1580" spans="2:7" ht="32.25" customHeight="1" x14ac:dyDescent="0.25">
      <c r="B1580" s="64"/>
      <c r="C1580" s="64"/>
      <c r="D1580" s="64"/>
      <c r="E1580" s="64"/>
      <c r="F1580" s="64"/>
      <c r="G1580" s="64"/>
    </row>
    <row r="1581" spans="2:7" ht="32.25" customHeight="1" x14ac:dyDescent="0.25">
      <c r="B1581" s="64"/>
      <c r="C1581" s="64"/>
      <c r="D1581" s="64"/>
      <c r="E1581" s="64"/>
      <c r="F1581" s="64"/>
      <c r="G1581" s="64"/>
    </row>
    <row r="1582" spans="2:7" ht="32.25" customHeight="1" x14ac:dyDescent="0.25">
      <c r="B1582" s="64"/>
      <c r="C1582" s="64"/>
      <c r="D1582" s="64"/>
      <c r="E1582" s="64"/>
      <c r="F1582" s="64"/>
      <c r="G1582" s="64"/>
    </row>
    <row r="1583" spans="2:7" ht="32.25" customHeight="1" x14ac:dyDescent="0.25">
      <c r="B1583" s="64"/>
      <c r="C1583" s="64"/>
      <c r="D1583" s="64"/>
      <c r="E1583" s="64"/>
      <c r="F1583" s="64"/>
      <c r="G1583" s="64"/>
    </row>
    <row r="1584" spans="2:7" ht="32.25" customHeight="1" x14ac:dyDescent="0.25">
      <c r="B1584" s="64"/>
      <c r="C1584" s="64"/>
      <c r="D1584" s="64"/>
      <c r="E1584" s="64"/>
      <c r="F1584" s="64"/>
      <c r="G1584" s="64"/>
    </row>
    <row r="1585" spans="2:7" ht="32.25" customHeight="1" x14ac:dyDescent="0.25">
      <c r="B1585" s="64"/>
      <c r="C1585" s="64"/>
      <c r="D1585" s="64"/>
      <c r="E1585" s="64"/>
      <c r="F1585" s="64"/>
      <c r="G1585" s="64"/>
    </row>
    <row r="1586" spans="2:7" ht="32.25" customHeight="1" x14ac:dyDescent="0.25">
      <c r="B1586" s="64"/>
      <c r="C1586" s="64"/>
      <c r="D1586" s="64"/>
      <c r="E1586" s="64"/>
      <c r="F1586" s="64"/>
      <c r="G1586" s="64"/>
    </row>
    <row r="1587" spans="2:7" ht="32.25" customHeight="1" x14ac:dyDescent="0.25">
      <c r="B1587" s="64"/>
      <c r="C1587" s="64"/>
      <c r="D1587" s="64"/>
      <c r="E1587" s="64"/>
      <c r="F1587" s="64"/>
      <c r="G1587" s="64"/>
    </row>
    <row r="1588" spans="2:7" ht="32.25" customHeight="1" x14ac:dyDescent="0.25">
      <c r="B1588" s="64"/>
      <c r="C1588" s="64"/>
      <c r="D1588" s="64"/>
      <c r="E1588" s="64"/>
      <c r="F1588" s="64"/>
      <c r="G1588" s="64"/>
    </row>
    <row r="1589" spans="2:7" ht="32.25" customHeight="1" x14ac:dyDescent="0.25">
      <c r="B1589" s="64"/>
      <c r="C1589" s="64"/>
      <c r="D1589" s="64"/>
      <c r="E1589" s="64"/>
      <c r="F1589" s="64"/>
      <c r="G1589" s="64"/>
    </row>
    <row r="1590" spans="2:7" ht="32.25" customHeight="1" x14ac:dyDescent="0.25">
      <c r="B1590" s="64"/>
      <c r="C1590" s="64"/>
      <c r="D1590" s="64"/>
      <c r="E1590" s="64"/>
      <c r="F1590" s="64"/>
      <c r="G1590" s="64"/>
    </row>
    <row r="1591" spans="2:7" ht="32.25" customHeight="1" x14ac:dyDescent="0.25">
      <c r="B1591" s="64"/>
      <c r="C1591" s="64"/>
      <c r="D1591" s="64"/>
      <c r="E1591" s="64"/>
      <c r="F1591" s="64"/>
      <c r="G1591" s="64"/>
    </row>
    <row r="1592" spans="2:7" ht="32.25" customHeight="1" x14ac:dyDescent="0.25">
      <c r="B1592" s="64"/>
      <c r="C1592" s="64"/>
      <c r="D1592" s="64"/>
      <c r="E1592" s="64"/>
      <c r="F1592" s="64"/>
      <c r="G1592" s="64"/>
    </row>
    <row r="1593" spans="2:7" ht="32.25" customHeight="1" x14ac:dyDescent="0.25">
      <c r="B1593" s="64"/>
      <c r="C1593" s="64"/>
      <c r="D1593" s="64"/>
      <c r="E1593" s="64"/>
      <c r="F1593" s="64"/>
      <c r="G1593" s="64"/>
    </row>
    <row r="1594" spans="2:7" ht="32.25" customHeight="1" x14ac:dyDescent="0.25">
      <c r="B1594" s="64"/>
      <c r="C1594" s="64"/>
      <c r="D1594" s="64"/>
      <c r="E1594" s="64"/>
      <c r="F1594" s="64"/>
      <c r="G1594" s="64"/>
    </row>
    <row r="1595" spans="2:7" ht="32.25" customHeight="1" x14ac:dyDescent="0.25">
      <c r="B1595" s="64"/>
      <c r="C1595" s="64"/>
      <c r="D1595" s="64"/>
      <c r="E1595" s="64"/>
      <c r="F1595" s="64"/>
      <c r="G1595" s="64"/>
    </row>
    <row r="1596" spans="2:7" ht="32.25" customHeight="1" x14ac:dyDescent="0.25">
      <c r="B1596" s="64"/>
      <c r="C1596" s="64"/>
      <c r="D1596" s="64"/>
      <c r="E1596" s="64"/>
      <c r="F1596" s="64"/>
      <c r="G1596" s="64"/>
    </row>
    <row r="1597" spans="2:7" ht="32.25" customHeight="1" x14ac:dyDescent="0.25">
      <c r="B1597" s="64"/>
      <c r="C1597" s="64"/>
      <c r="D1597" s="64"/>
      <c r="E1597" s="64"/>
      <c r="F1597" s="64"/>
      <c r="G1597" s="64"/>
    </row>
    <row r="1598" spans="2:7" ht="32.25" customHeight="1" x14ac:dyDescent="0.25">
      <c r="B1598" s="64"/>
      <c r="C1598" s="64"/>
      <c r="D1598" s="64"/>
      <c r="E1598" s="64"/>
      <c r="F1598" s="64"/>
      <c r="G1598" s="64"/>
    </row>
    <row r="1599" spans="2:7" ht="32.25" customHeight="1" x14ac:dyDescent="0.25">
      <c r="B1599" s="64"/>
      <c r="C1599" s="64"/>
      <c r="D1599" s="64"/>
      <c r="E1599" s="64"/>
      <c r="F1599" s="64"/>
      <c r="G1599" s="64"/>
    </row>
    <row r="1600" spans="2:7" ht="32.25" customHeight="1" x14ac:dyDescent="0.25">
      <c r="B1600" s="64"/>
      <c r="C1600" s="64"/>
      <c r="D1600" s="64"/>
      <c r="E1600" s="64"/>
      <c r="F1600" s="64"/>
      <c r="G1600" s="64"/>
    </row>
    <row r="1601" spans="2:7" ht="32.25" customHeight="1" x14ac:dyDescent="0.25">
      <c r="B1601" s="64"/>
      <c r="C1601" s="64"/>
      <c r="D1601" s="64"/>
      <c r="E1601" s="64"/>
      <c r="F1601" s="64"/>
      <c r="G1601" s="64"/>
    </row>
    <row r="1602" spans="2:7" ht="32.25" customHeight="1" x14ac:dyDescent="0.25">
      <c r="B1602" s="64"/>
      <c r="C1602" s="64"/>
      <c r="D1602" s="64"/>
      <c r="E1602" s="64"/>
      <c r="F1602" s="64"/>
      <c r="G1602" s="64"/>
    </row>
    <row r="1603" spans="2:7" ht="32.25" customHeight="1" x14ac:dyDescent="0.25">
      <c r="B1603" s="64"/>
      <c r="C1603" s="64"/>
      <c r="D1603" s="64"/>
      <c r="E1603" s="64"/>
      <c r="F1603" s="64"/>
      <c r="G1603" s="64"/>
    </row>
    <row r="1604" spans="2:7" ht="32.25" customHeight="1" x14ac:dyDescent="0.25">
      <c r="B1604" s="64"/>
      <c r="C1604" s="64"/>
      <c r="D1604" s="64"/>
      <c r="E1604" s="64"/>
      <c r="F1604" s="64"/>
      <c r="G1604" s="64"/>
    </row>
    <row r="1605" spans="2:7" ht="32.25" customHeight="1" x14ac:dyDescent="0.25">
      <c r="B1605" s="64"/>
      <c r="C1605" s="64"/>
      <c r="D1605" s="64"/>
      <c r="E1605" s="64"/>
      <c r="F1605" s="64"/>
      <c r="G1605" s="64"/>
    </row>
    <row r="1606" spans="2:7" ht="32.25" customHeight="1" x14ac:dyDescent="0.25">
      <c r="B1606" s="64"/>
      <c r="C1606" s="64"/>
      <c r="D1606" s="64"/>
      <c r="E1606" s="64"/>
      <c r="F1606" s="64"/>
      <c r="G1606" s="64"/>
    </row>
    <row r="1607" spans="2:7" ht="32.25" customHeight="1" x14ac:dyDescent="0.25">
      <c r="B1607" s="64"/>
      <c r="C1607" s="64"/>
      <c r="D1607" s="64"/>
      <c r="E1607" s="64"/>
      <c r="F1607" s="64"/>
      <c r="G1607" s="64"/>
    </row>
    <row r="1608" spans="2:7" ht="32.25" customHeight="1" x14ac:dyDescent="0.25">
      <c r="B1608" s="64"/>
      <c r="C1608" s="64"/>
      <c r="D1608" s="64"/>
      <c r="E1608" s="64"/>
      <c r="F1608" s="64"/>
      <c r="G1608" s="64"/>
    </row>
    <row r="1609" spans="2:7" ht="32.25" customHeight="1" x14ac:dyDescent="0.25">
      <c r="B1609" s="64"/>
      <c r="C1609" s="64"/>
      <c r="D1609" s="64"/>
      <c r="E1609" s="64"/>
      <c r="F1609" s="64"/>
      <c r="G1609" s="64"/>
    </row>
    <row r="1610" spans="2:7" ht="32.25" customHeight="1" x14ac:dyDescent="0.25">
      <c r="B1610" s="64"/>
      <c r="C1610" s="64"/>
      <c r="D1610" s="64"/>
      <c r="E1610" s="64"/>
      <c r="F1610" s="64"/>
      <c r="G1610" s="64"/>
    </row>
    <row r="1611" spans="2:7" ht="32.25" customHeight="1" x14ac:dyDescent="0.25">
      <c r="B1611" s="64"/>
      <c r="C1611" s="64"/>
      <c r="D1611" s="64"/>
      <c r="E1611" s="64"/>
      <c r="F1611" s="64"/>
      <c r="G1611" s="64"/>
    </row>
    <row r="1612" spans="2:7" ht="32.25" customHeight="1" x14ac:dyDescent="0.25">
      <c r="B1612" s="64"/>
      <c r="C1612" s="64"/>
      <c r="D1612" s="64"/>
      <c r="E1612" s="64"/>
      <c r="F1612" s="64"/>
      <c r="G1612" s="64"/>
    </row>
    <row r="1613" spans="2:7" ht="32.25" customHeight="1" x14ac:dyDescent="0.25">
      <c r="B1613" s="64"/>
      <c r="C1613" s="64"/>
      <c r="D1613" s="64"/>
      <c r="E1613" s="64"/>
      <c r="F1613" s="64"/>
      <c r="G1613" s="64"/>
    </row>
    <row r="1614" spans="2:7" ht="32.25" customHeight="1" x14ac:dyDescent="0.25">
      <c r="B1614" s="64"/>
      <c r="C1614" s="64"/>
      <c r="D1614" s="64"/>
      <c r="E1614" s="64"/>
      <c r="F1614" s="64"/>
      <c r="G1614" s="64"/>
    </row>
    <row r="1615" spans="2:7" ht="32.25" customHeight="1" x14ac:dyDescent="0.25">
      <c r="B1615" s="64"/>
      <c r="C1615" s="64"/>
      <c r="D1615" s="64"/>
      <c r="E1615" s="64"/>
      <c r="F1615" s="64"/>
      <c r="G1615" s="64"/>
    </row>
    <row r="1616" spans="2:7" ht="32.25" customHeight="1" x14ac:dyDescent="0.25">
      <c r="B1616" s="64"/>
      <c r="C1616" s="64"/>
      <c r="D1616" s="64"/>
      <c r="E1616" s="64"/>
      <c r="F1616" s="64"/>
      <c r="G1616" s="64"/>
    </row>
    <row r="1617" spans="2:7" ht="32.25" customHeight="1" x14ac:dyDescent="0.25">
      <c r="B1617" s="64"/>
      <c r="C1617" s="64"/>
      <c r="D1617" s="64"/>
      <c r="E1617" s="64"/>
      <c r="F1617" s="64"/>
      <c r="G1617" s="64"/>
    </row>
    <row r="1618" spans="2:7" ht="32.25" customHeight="1" x14ac:dyDescent="0.25">
      <c r="B1618" s="64"/>
      <c r="C1618" s="64"/>
      <c r="D1618" s="64"/>
      <c r="E1618" s="64"/>
      <c r="F1618" s="64"/>
      <c r="G1618" s="64"/>
    </row>
    <row r="1619" spans="2:7" ht="32.25" customHeight="1" x14ac:dyDescent="0.25">
      <c r="B1619" s="64"/>
      <c r="C1619" s="64"/>
      <c r="D1619" s="64"/>
      <c r="E1619" s="64"/>
      <c r="F1619" s="64"/>
      <c r="G1619" s="64"/>
    </row>
    <row r="1620" spans="2:7" ht="32.25" customHeight="1" x14ac:dyDescent="0.25">
      <c r="B1620" s="64"/>
      <c r="C1620" s="64"/>
      <c r="D1620" s="64"/>
      <c r="E1620" s="64"/>
      <c r="F1620" s="64"/>
      <c r="G1620" s="64"/>
    </row>
    <row r="1621" spans="2:7" ht="32.25" customHeight="1" x14ac:dyDescent="0.25">
      <c r="B1621" s="64"/>
      <c r="C1621" s="64"/>
      <c r="D1621" s="64"/>
      <c r="E1621" s="64"/>
      <c r="F1621" s="64"/>
      <c r="G1621" s="64"/>
    </row>
    <row r="1622" spans="2:7" ht="32.25" customHeight="1" x14ac:dyDescent="0.25">
      <c r="B1622" s="64"/>
      <c r="C1622" s="64"/>
      <c r="D1622" s="64"/>
      <c r="E1622" s="64"/>
      <c r="F1622" s="64"/>
      <c r="G1622" s="64"/>
    </row>
    <row r="1623" spans="2:7" ht="32.25" customHeight="1" x14ac:dyDescent="0.25">
      <c r="B1623" s="64"/>
      <c r="C1623" s="64"/>
      <c r="D1623" s="64"/>
      <c r="E1623" s="64"/>
      <c r="F1623" s="64"/>
      <c r="G1623" s="64"/>
    </row>
    <row r="1624" spans="2:7" ht="32.25" customHeight="1" x14ac:dyDescent="0.25">
      <c r="B1624" s="64"/>
      <c r="C1624" s="64"/>
      <c r="D1624" s="64"/>
      <c r="E1624" s="64"/>
      <c r="F1624" s="64"/>
      <c r="G1624" s="64"/>
    </row>
    <row r="1625" spans="2:7" ht="32.25" customHeight="1" x14ac:dyDescent="0.25">
      <c r="B1625" s="64"/>
      <c r="C1625" s="64"/>
      <c r="D1625" s="64"/>
      <c r="E1625" s="64"/>
      <c r="F1625" s="64"/>
      <c r="G1625" s="64"/>
    </row>
    <row r="1626" spans="2:7" ht="32.25" customHeight="1" x14ac:dyDescent="0.25">
      <c r="B1626" s="64"/>
      <c r="C1626" s="64"/>
      <c r="D1626" s="64"/>
      <c r="E1626" s="64"/>
      <c r="F1626" s="64"/>
      <c r="G1626" s="64"/>
    </row>
    <row r="1627" spans="2:7" ht="32.25" customHeight="1" x14ac:dyDescent="0.25">
      <c r="B1627" s="64"/>
      <c r="C1627" s="64"/>
      <c r="D1627" s="64"/>
      <c r="E1627" s="64"/>
      <c r="F1627" s="64"/>
      <c r="G1627" s="64"/>
    </row>
    <row r="1628" spans="2:7" ht="32.25" customHeight="1" x14ac:dyDescent="0.25">
      <c r="B1628" s="64"/>
      <c r="C1628" s="64"/>
      <c r="D1628" s="64"/>
      <c r="E1628" s="64"/>
      <c r="F1628" s="64"/>
      <c r="G1628" s="64"/>
    </row>
    <row r="1629" spans="2:7" ht="32.25" customHeight="1" x14ac:dyDescent="0.25">
      <c r="B1629" s="64"/>
      <c r="C1629" s="64"/>
      <c r="D1629" s="64"/>
      <c r="E1629" s="64"/>
      <c r="F1629" s="64"/>
      <c r="G1629" s="64"/>
    </row>
    <row r="1630" spans="2:7" ht="32.25" customHeight="1" x14ac:dyDescent="0.25">
      <c r="B1630" s="64"/>
      <c r="C1630" s="64"/>
      <c r="D1630" s="64"/>
      <c r="E1630" s="64"/>
      <c r="F1630" s="64"/>
      <c r="G1630" s="64"/>
    </row>
    <row r="1631" spans="2:7" ht="32.25" customHeight="1" x14ac:dyDescent="0.25">
      <c r="B1631" s="64"/>
      <c r="C1631" s="64"/>
      <c r="D1631" s="64"/>
      <c r="E1631" s="64"/>
      <c r="F1631" s="64"/>
      <c r="G1631" s="64"/>
    </row>
    <row r="1632" spans="2:7" ht="32.25" customHeight="1" x14ac:dyDescent="0.25">
      <c r="B1632" s="64"/>
      <c r="C1632" s="64"/>
      <c r="D1632" s="64"/>
      <c r="E1632" s="64"/>
      <c r="F1632" s="64"/>
      <c r="G1632" s="64"/>
    </row>
    <row r="1633" spans="2:7" ht="32.25" customHeight="1" x14ac:dyDescent="0.25">
      <c r="B1633" s="64"/>
      <c r="C1633" s="64"/>
      <c r="D1633" s="64"/>
      <c r="E1633" s="64"/>
      <c r="F1633" s="64"/>
      <c r="G1633" s="64"/>
    </row>
    <row r="1634" spans="2:7" ht="32.25" customHeight="1" x14ac:dyDescent="0.25">
      <c r="B1634" s="64"/>
      <c r="C1634" s="64"/>
      <c r="D1634" s="64"/>
      <c r="E1634" s="64"/>
      <c r="F1634" s="64"/>
      <c r="G1634" s="64"/>
    </row>
    <row r="1635" spans="2:7" ht="32.25" customHeight="1" x14ac:dyDescent="0.25">
      <c r="B1635" s="64"/>
      <c r="C1635" s="64"/>
      <c r="D1635" s="64"/>
      <c r="E1635" s="64"/>
      <c r="F1635" s="64"/>
      <c r="G1635" s="64"/>
    </row>
    <row r="1636" spans="2:7" ht="32.25" customHeight="1" x14ac:dyDescent="0.25">
      <c r="B1636" s="64"/>
      <c r="C1636" s="64"/>
      <c r="D1636" s="64"/>
      <c r="E1636" s="64"/>
      <c r="F1636" s="64"/>
      <c r="G1636" s="64"/>
    </row>
    <row r="1637" spans="2:7" ht="32.25" customHeight="1" x14ac:dyDescent="0.25">
      <c r="B1637" s="64"/>
      <c r="C1637" s="64"/>
      <c r="D1637" s="64"/>
      <c r="E1637" s="64"/>
      <c r="F1637" s="64"/>
      <c r="G1637" s="64"/>
    </row>
    <row r="1638" spans="2:7" ht="32.25" customHeight="1" x14ac:dyDescent="0.25">
      <c r="B1638" s="64"/>
      <c r="C1638" s="64"/>
      <c r="D1638" s="64"/>
      <c r="E1638" s="64"/>
      <c r="F1638" s="64"/>
      <c r="G1638" s="64"/>
    </row>
    <row r="1639" spans="2:7" ht="32.25" customHeight="1" x14ac:dyDescent="0.25">
      <c r="B1639" s="64"/>
      <c r="C1639" s="64"/>
      <c r="D1639" s="64"/>
      <c r="E1639" s="64"/>
      <c r="F1639" s="64"/>
      <c r="G1639" s="64"/>
    </row>
    <row r="1640" spans="2:7" ht="32.25" customHeight="1" x14ac:dyDescent="0.25">
      <c r="B1640" s="64"/>
      <c r="C1640" s="64"/>
      <c r="D1640" s="64"/>
      <c r="E1640" s="64"/>
      <c r="F1640" s="64"/>
      <c r="G1640" s="64"/>
    </row>
    <row r="1641" spans="2:7" ht="32.25" customHeight="1" x14ac:dyDescent="0.25">
      <c r="B1641" s="64"/>
      <c r="C1641" s="64"/>
      <c r="D1641" s="64"/>
      <c r="E1641" s="64"/>
      <c r="F1641" s="64"/>
      <c r="G1641" s="64"/>
    </row>
    <row r="1642" spans="2:7" ht="32.25" customHeight="1" x14ac:dyDescent="0.25">
      <c r="B1642" s="64"/>
      <c r="C1642" s="64"/>
      <c r="D1642" s="64"/>
      <c r="E1642" s="64"/>
      <c r="F1642" s="64"/>
      <c r="G1642" s="64"/>
    </row>
    <row r="1643" spans="2:7" ht="32.25" customHeight="1" x14ac:dyDescent="0.25">
      <c r="B1643" s="64"/>
      <c r="C1643" s="64"/>
      <c r="D1643" s="64"/>
      <c r="E1643" s="64"/>
      <c r="F1643" s="64"/>
      <c r="G1643" s="64"/>
    </row>
    <row r="1644" spans="2:7" ht="32.25" customHeight="1" x14ac:dyDescent="0.25">
      <c r="B1644" s="64"/>
      <c r="C1644" s="64"/>
      <c r="D1644" s="64"/>
      <c r="E1644" s="64"/>
      <c r="F1644" s="64"/>
      <c r="G1644" s="64"/>
    </row>
    <row r="1645" spans="2:7" ht="32.25" customHeight="1" x14ac:dyDescent="0.25">
      <c r="B1645" s="64"/>
      <c r="C1645" s="64"/>
      <c r="D1645" s="64"/>
      <c r="E1645" s="64"/>
      <c r="F1645" s="64"/>
      <c r="G1645" s="64"/>
    </row>
    <row r="1646" spans="2:7" ht="32.25" customHeight="1" x14ac:dyDescent="0.25">
      <c r="B1646" s="64"/>
      <c r="C1646" s="64"/>
      <c r="D1646" s="64"/>
      <c r="E1646" s="64"/>
      <c r="F1646" s="64"/>
      <c r="G1646" s="64"/>
    </row>
    <row r="1647" spans="2:7" ht="32.25" customHeight="1" x14ac:dyDescent="0.25">
      <c r="B1647" s="64"/>
      <c r="C1647" s="64"/>
      <c r="D1647" s="64"/>
      <c r="E1647" s="64"/>
      <c r="F1647" s="64"/>
      <c r="G1647" s="64"/>
    </row>
    <row r="1648" spans="2:7" ht="32.25" customHeight="1" x14ac:dyDescent="0.25">
      <c r="B1648" s="64"/>
      <c r="C1648" s="64"/>
      <c r="D1648" s="64"/>
      <c r="E1648" s="64"/>
      <c r="F1648" s="64"/>
      <c r="G1648" s="64"/>
    </row>
    <row r="1649" spans="2:7" ht="32.25" customHeight="1" x14ac:dyDescent="0.25">
      <c r="B1649" s="64"/>
      <c r="C1649" s="64"/>
      <c r="D1649" s="64"/>
      <c r="E1649" s="64"/>
      <c r="F1649" s="64"/>
      <c r="G1649" s="64"/>
    </row>
    <row r="1650" spans="2:7" ht="32.25" customHeight="1" x14ac:dyDescent="0.25">
      <c r="B1650" s="64"/>
      <c r="C1650" s="64"/>
      <c r="D1650" s="64"/>
      <c r="E1650" s="64"/>
      <c r="F1650" s="64"/>
      <c r="G1650" s="64"/>
    </row>
    <row r="1651" spans="2:7" ht="32.25" customHeight="1" x14ac:dyDescent="0.25">
      <c r="B1651" s="64"/>
      <c r="C1651" s="64"/>
      <c r="D1651" s="64"/>
      <c r="E1651" s="64"/>
      <c r="F1651" s="64"/>
      <c r="G1651" s="64"/>
    </row>
    <row r="1652" spans="2:7" ht="32.25" customHeight="1" x14ac:dyDescent="0.25">
      <c r="B1652" s="64"/>
      <c r="C1652" s="64"/>
      <c r="D1652" s="64"/>
      <c r="E1652" s="64"/>
      <c r="F1652" s="64"/>
      <c r="G1652" s="64"/>
    </row>
    <row r="1653" spans="2:7" ht="32.25" customHeight="1" x14ac:dyDescent="0.25">
      <c r="B1653" s="64"/>
      <c r="C1653" s="64"/>
      <c r="D1653" s="64"/>
      <c r="E1653" s="64"/>
      <c r="F1653" s="64"/>
      <c r="G1653" s="64"/>
    </row>
    <row r="1654" spans="2:7" ht="32.25" customHeight="1" x14ac:dyDescent="0.25">
      <c r="B1654" s="64"/>
      <c r="C1654" s="64"/>
      <c r="D1654" s="64"/>
      <c r="E1654" s="64"/>
      <c r="F1654" s="64"/>
      <c r="G1654" s="64"/>
    </row>
    <row r="1655" spans="2:7" ht="32.25" customHeight="1" x14ac:dyDescent="0.25">
      <c r="B1655" s="64"/>
      <c r="C1655" s="64"/>
      <c r="D1655" s="64"/>
      <c r="E1655" s="64"/>
      <c r="F1655" s="64"/>
      <c r="G1655" s="64"/>
    </row>
    <row r="1656" spans="2:7" ht="32.25" customHeight="1" x14ac:dyDescent="0.25">
      <c r="B1656" s="64"/>
      <c r="C1656" s="64"/>
      <c r="D1656" s="64"/>
      <c r="E1656" s="64"/>
      <c r="F1656" s="64"/>
      <c r="G1656" s="64"/>
    </row>
    <row r="1657" spans="2:7" ht="32.25" customHeight="1" x14ac:dyDescent="0.25">
      <c r="B1657" s="64"/>
      <c r="C1657" s="64"/>
      <c r="D1657" s="64"/>
      <c r="E1657" s="64"/>
      <c r="F1657" s="64"/>
      <c r="G1657" s="64"/>
    </row>
    <row r="1658" spans="2:7" ht="32.25" customHeight="1" x14ac:dyDescent="0.25">
      <c r="B1658" s="64"/>
      <c r="C1658" s="64"/>
      <c r="D1658" s="64"/>
      <c r="E1658" s="64"/>
      <c r="F1658" s="64"/>
      <c r="G1658" s="64"/>
    </row>
    <row r="1659" spans="2:7" ht="32.25" customHeight="1" x14ac:dyDescent="0.25">
      <c r="B1659" s="64"/>
      <c r="C1659" s="64"/>
      <c r="D1659" s="64"/>
      <c r="E1659" s="64"/>
      <c r="F1659" s="64"/>
      <c r="G1659" s="64"/>
    </row>
    <row r="1660" spans="2:7" ht="32.25" customHeight="1" x14ac:dyDescent="0.25">
      <c r="B1660" s="64"/>
      <c r="C1660" s="64"/>
      <c r="D1660" s="64"/>
      <c r="E1660" s="64"/>
      <c r="F1660" s="64"/>
      <c r="G1660" s="64"/>
    </row>
    <row r="1661" spans="2:7" ht="32.25" customHeight="1" x14ac:dyDescent="0.25">
      <c r="B1661" s="64"/>
      <c r="C1661" s="64"/>
      <c r="D1661" s="64"/>
      <c r="E1661" s="64"/>
      <c r="F1661" s="64"/>
      <c r="G1661" s="64"/>
    </row>
    <row r="1662" spans="2:7" ht="32.25" customHeight="1" x14ac:dyDescent="0.25">
      <c r="B1662" s="64"/>
      <c r="C1662" s="64"/>
      <c r="D1662" s="64"/>
      <c r="E1662" s="64"/>
      <c r="F1662" s="64"/>
      <c r="G1662" s="64"/>
    </row>
    <row r="1663" spans="2:7" ht="32.25" customHeight="1" x14ac:dyDescent="0.25">
      <c r="B1663" s="64"/>
      <c r="C1663" s="64"/>
      <c r="D1663" s="64"/>
      <c r="E1663" s="64"/>
      <c r="F1663" s="64"/>
      <c r="G1663" s="64"/>
    </row>
    <row r="1664" spans="2:7" ht="32.25" customHeight="1" x14ac:dyDescent="0.25">
      <c r="B1664" s="64"/>
      <c r="C1664" s="64"/>
      <c r="D1664" s="64"/>
      <c r="E1664" s="64"/>
      <c r="F1664" s="64"/>
      <c r="G1664" s="64"/>
    </row>
    <row r="1665" spans="2:7" ht="32.25" customHeight="1" x14ac:dyDescent="0.25">
      <c r="B1665" s="64"/>
      <c r="C1665" s="64"/>
      <c r="D1665" s="64"/>
      <c r="E1665" s="64"/>
      <c r="F1665" s="64"/>
      <c r="G1665" s="64"/>
    </row>
    <row r="1666" spans="2:7" ht="32.25" customHeight="1" x14ac:dyDescent="0.25">
      <c r="B1666" s="64"/>
      <c r="C1666" s="64"/>
      <c r="D1666" s="64"/>
      <c r="E1666" s="64"/>
      <c r="F1666" s="64"/>
      <c r="G1666" s="64"/>
    </row>
    <row r="1667" spans="2:7" ht="32.25" customHeight="1" x14ac:dyDescent="0.25">
      <c r="B1667" s="64"/>
      <c r="C1667" s="64"/>
      <c r="D1667" s="64"/>
      <c r="E1667" s="64"/>
      <c r="F1667" s="64"/>
      <c r="G1667" s="64"/>
    </row>
    <row r="1668" spans="2:7" ht="32.25" customHeight="1" x14ac:dyDescent="0.25">
      <c r="B1668" s="64"/>
      <c r="C1668" s="64"/>
      <c r="D1668" s="64"/>
      <c r="E1668" s="64"/>
      <c r="F1668" s="64"/>
      <c r="G1668" s="64"/>
    </row>
    <row r="1669" spans="2:7" ht="32.25" customHeight="1" x14ac:dyDescent="0.25">
      <c r="B1669" s="64"/>
      <c r="C1669" s="64"/>
      <c r="D1669" s="64"/>
      <c r="E1669" s="64"/>
      <c r="F1669" s="64"/>
      <c r="G1669" s="64"/>
    </row>
    <row r="1670" spans="2:7" ht="32.25" customHeight="1" x14ac:dyDescent="0.25">
      <c r="B1670" s="64"/>
      <c r="C1670" s="64"/>
      <c r="D1670" s="64"/>
      <c r="E1670" s="64"/>
      <c r="F1670" s="64"/>
      <c r="G1670" s="64"/>
    </row>
    <row r="1671" spans="2:7" ht="32.25" customHeight="1" x14ac:dyDescent="0.25">
      <c r="B1671" s="64"/>
      <c r="C1671" s="64"/>
      <c r="D1671" s="64"/>
      <c r="E1671" s="64"/>
      <c r="F1671" s="64"/>
      <c r="G1671" s="64"/>
    </row>
    <row r="1672" spans="2:7" ht="32.25" customHeight="1" x14ac:dyDescent="0.25">
      <c r="B1672" s="64"/>
      <c r="C1672" s="64"/>
      <c r="D1672" s="64"/>
      <c r="E1672" s="64"/>
      <c r="F1672" s="64"/>
      <c r="G1672" s="64"/>
    </row>
    <row r="1673" spans="2:7" ht="32.25" customHeight="1" x14ac:dyDescent="0.25">
      <c r="B1673" s="64"/>
      <c r="C1673" s="64"/>
      <c r="D1673" s="64"/>
      <c r="E1673" s="64"/>
      <c r="F1673" s="64"/>
      <c r="G1673" s="64"/>
    </row>
    <row r="1674" spans="2:7" ht="32.25" customHeight="1" x14ac:dyDescent="0.25">
      <c r="B1674" s="64"/>
      <c r="C1674" s="64"/>
      <c r="D1674" s="64"/>
      <c r="E1674" s="64"/>
      <c r="F1674" s="64"/>
      <c r="G1674" s="64"/>
    </row>
    <row r="1675" spans="2:7" ht="32.25" customHeight="1" x14ac:dyDescent="0.25">
      <c r="B1675" s="64"/>
      <c r="C1675" s="64"/>
      <c r="D1675" s="64"/>
      <c r="E1675" s="64"/>
      <c r="F1675" s="64"/>
      <c r="G1675" s="64"/>
    </row>
    <row r="1676" spans="2:7" ht="32.25" customHeight="1" x14ac:dyDescent="0.25">
      <c r="B1676" s="64"/>
      <c r="C1676" s="64"/>
      <c r="D1676" s="64"/>
      <c r="E1676" s="64"/>
      <c r="F1676" s="64"/>
      <c r="G1676" s="64"/>
    </row>
    <row r="1677" spans="2:7" ht="32.25" customHeight="1" x14ac:dyDescent="0.25">
      <c r="B1677" s="64"/>
      <c r="C1677" s="64"/>
      <c r="D1677" s="64"/>
      <c r="E1677" s="64"/>
      <c r="F1677" s="64"/>
      <c r="G1677" s="64"/>
    </row>
    <row r="1678" spans="2:7" ht="32.25" customHeight="1" x14ac:dyDescent="0.25">
      <c r="B1678" s="64"/>
      <c r="C1678" s="64"/>
      <c r="D1678" s="64"/>
      <c r="E1678" s="64"/>
      <c r="F1678" s="64"/>
      <c r="G1678" s="64"/>
    </row>
    <row r="1679" spans="2:7" ht="32.25" customHeight="1" x14ac:dyDescent="0.25">
      <c r="B1679" s="64"/>
      <c r="C1679" s="64"/>
      <c r="D1679" s="64"/>
      <c r="E1679" s="64"/>
      <c r="F1679" s="64"/>
      <c r="G1679" s="64"/>
    </row>
    <row r="1680" spans="2:7" ht="32.25" customHeight="1" x14ac:dyDescent="0.25">
      <c r="B1680" s="64"/>
      <c r="C1680" s="64"/>
      <c r="D1680" s="64"/>
      <c r="E1680" s="64"/>
      <c r="F1680" s="64"/>
      <c r="G1680" s="64"/>
    </row>
    <row r="1681" spans="2:7" ht="32.25" customHeight="1" x14ac:dyDescent="0.25">
      <c r="B1681" s="64"/>
      <c r="C1681" s="64"/>
      <c r="D1681" s="64"/>
      <c r="E1681" s="64"/>
      <c r="F1681" s="64"/>
      <c r="G1681" s="64"/>
    </row>
    <row r="1682" spans="2:7" ht="32.25" customHeight="1" x14ac:dyDescent="0.25">
      <c r="B1682" s="64"/>
      <c r="C1682" s="64"/>
      <c r="D1682" s="64"/>
      <c r="E1682" s="64"/>
      <c r="F1682" s="64"/>
      <c r="G1682" s="64"/>
    </row>
    <row r="1683" spans="2:7" ht="32.25" customHeight="1" x14ac:dyDescent="0.25">
      <c r="B1683" s="64"/>
      <c r="C1683" s="64"/>
      <c r="D1683" s="64"/>
      <c r="E1683" s="64"/>
      <c r="F1683" s="64"/>
      <c r="G1683" s="64"/>
    </row>
    <row r="1684" spans="2:7" ht="32.25" customHeight="1" x14ac:dyDescent="0.25">
      <c r="B1684" s="64"/>
      <c r="C1684" s="64"/>
      <c r="D1684" s="64"/>
      <c r="E1684" s="64"/>
      <c r="F1684" s="64"/>
      <c r="G1684" s="64"/>
    </row>
    <row r="1685" spans="2:7" ht="32.25" customHeight="1" x14ac:dyDescent="0.25">
      <c r="B1685" s="64"/>
      <c r="C1685" s="64"/>
      <c r="D1685" s="64"/>
      <c r="E1685" s="64"/>
      <c r="F1685" s="64"/>
      <c r="G1685" s="64"/>
    </row>
    <row r="1686" spans="2:7" ht="32.25" customHeight="1" x14ac:dyDescent="0.25">
      <c r="B1686" s="64"/>
      <c r="C1686" s="64"/>
      <c r="D1686" s="64"/>
      <c r="E1686" s="64"/>
      <c r="F1686" s="64"/>
      <c r="G1686" s="64"/>
    </row>
    <row r="1687" spans="2:7" ht="32.25" customHeight="1" x14ac:dyDescent="0.25">
      <c r="B1687" s="64"/>
      <c r="C1687" s="64"/>
      <c r="D1687" s="64"/>
      <c r="E1687" s="64"/>
      <c r="F1687" s="64"/>
      <c r="G1687" s="64"/>
    </row>
    <row r="1688" spans="2:7" ht="32.25" customHeight="1" x14ac:dyDescent="0.25">
      <c r="B1688" s="64"/>
      <c r="C1688" s="64"/>
      <c r="D1688" s="64"/>
      <c r="E1688" s="64"/>
      <c r="F1688" s="64"/>
      <c r="G1688" s="64"/>
    </row>
    <row r="1689" spans="2:7" ht="32.25" customHeight="1" x14ac:dyDescent="0.25">
      <c r="B1689" s="64"/>
      <c r="C1689" s="64"/>
      <c r="D1689" s="64"/>
      <c r="E1689" s="64"/>
      <c r="F1689" s="64"/>
      <c r="G1689" s="64"/>
    </row>
    <row r="1690" spans="2:7" ht="32.25" customHeight="1" x14ac:dyDescent="0.25">
      <c r="B1690" s="64"/>
      <c r="C1690" s="64"/>
      <c r="D1690" s="64"/>
      <c r="E1690" s="64"/>
      <c r="F1690" s="64"/>
      <c r="G1690" s="64"/>
    </row>
    <row r="1691" spans="2:7" ht="32.25" customHeight="1" x14ac:dyDescent="0.25">
      <c r="B1691" s="64"/>
      <c r="C1691" s="64"/>
      <c r="D1691" s="64"/>
      <c r="E1691" s="64"/>
      <c r="F1691" s="64"/>
      <c r="G1691" s="64"/>
    </row>
    <row r="1692" spans="2:7" ht="32.25" customHeight="1" x14ac:dyDescent="0.25">
      <c r="B1692" s="64"/>
      <c r="C1692" s="64"/>
      <c r="D1692" s="64"/>
      <c r="E1692" s="64"/>
      <c r="F1692" s="64"/>
      <c r="G1692" s="64"/>
    </row>
    <row r="1693" spans="2:7" ht="32.25" customHeight="1" x14ac:dyDescent="0.25">
      <c r="B1693" s="64"/>
      <c r="C1693" s="64"/>
      <c r="D1693" s="64"/>
      <c r="E1693" s="64"/>
      <c r="F1693" s="64"/>
      <c r="G1693" s="64"/>
    </row>
    <row r="1694" spans="2:7" ht="32.25" customHeight="1" x14ac:dyDescent="0.25">
      <c r="B1694" s="64"/>
      <c r="C1694" s="64"/>
      <c r="D1694" s="64"/>
      <c r="E1694" s="64"/>
      <c r="F1694" s="64"/>
      <c r="G1694" s="64"/>
    </row>
    <row r="1695" spans="2:7" ht="32.25" customHeight="1" x14ac:dyDescent="0.25">
      <c r="B1695" s="64"/>
      <c r="C1695" s="64"/>
      <c r="D1695" s="64"/>
      <c r="E1695" s="64"/>
      <c r="F1695" s="64"/>
      <c r="G1695" s="64"/>
    </row>
    <row r="1696" spans="2:7" ht="32.25" customHeight="1" x14ac:dyDescent="0.25">
      <c r="B1696" s="64"/>
      <c r="C1696" s="64"/>
      <c r="D1696" s="64"/>
      <c r="E1696" s="64"/>
      <c r="F1696" s="64"/>
      <c r="G1696" s="64"/>
    </row>
    <row r="1697" spans="2:7" ht="32.25" customHeight="1" x14ac:dyDescent="0.25">
      <c r="B1697" s="64"/>
      <c r="C1697" s="64"/>
      <c r="D1697" s="64"/>
      <c r="E1697" s="64"/>
      <c r="F1697" s="64"/>
      <c r="G1697" s="64"/>
    </row>
    <row r="1698" spans="2:7" ht="32.25" customHeight="1" x14ac:dyDescent="0.25">
      <c r="B1698" s="64"/>
      <c r="C1698" s="64"/>
      <c r="D1698" s="64"/>
      <c r="E1698" s="64"/>
      <c r="F1698" s="64"/>
      <c r="G1698" s="64"/>
    </row>
    <row r="1699" spans="2:7" ht="32.25" customHeight="1" x14ac:dyDescent="0.25">
      <c r="B1699" s="64"/>
      <c r="C1699" s="64"/>
      <c r="D1699" s="64"/>
      <c r="E1699" s="64"/>
      <c r="F1699" s="64"/>
      <c r="G1699" s="64"/>
    </row>
    <row r="1700" spans="2:7" ht="32.25" customHeight="1" x14ac:dyDescent="0.25">
      <c r="B1700" s="64"/>
      <c r="C1700" s="64"/>
      <c r="D1700" s="64"/>
      <c r="E1700" s="64"/>
      <c r="F1700" s="64"/>
      <c r="G1700" s="64"/>
    </row>
    <row r="1701" spans="2:7" ht="32.25" customHeight="1" x14ac:dyDescent="0.25">
      <c r="B1701" s="64"/>
      <c r="C1701" s="64"/>
      <c r="D1701" s="64"/>
      <c r="E1701" s="64"/>
      <c r="F1701" s="64"/>
      <c r="G1701" s="64"/>
    </row>
    <row r="1702" spans="2:7" ht="32.25" customHeight="1" x14ac:dyDescent="0.25">
      <c r="B1702" s="64"/>
      <c r="C1702" s="64"/>
      <c r="D1702" s="64"/>
      <c r="E1702" s="64"/>
      <c r="F1702" s="64"/>
      <c r="G1702" s="64"/>
    </row>
    <row r="1703" spans="2:7" ht="32.25" customHeight="1" x14ac:dyDescent="0.25">
      <c r="B1703" s="64"/>
      <c r="C1703" s="64"/>
      <c r="D1703" s="64"/>
      <c r="E1703" s="64"/>
      <c r="F1703" s="64"/>
      <c r="G1703" s="64"/>
    </row>
    <row r="1704" spans="2:7" ht="32.25" customHeight="1" x14ac:dyDescent="0.25">
      <c r="B1704" s="64"/>
      <c r="C1704" s="64"/>
      <c r="D1704" s="64"/>
      <c r="E1704" s="64"/>
      <c r="F1704" s="64"/>
      <c r="G1704" s="64"/>
    </row>
    <row r="1705" spans="2:7" ht="32.25" customHeight="1" x14ac:dyDescent="0.25">
      <c r="B1705" s="64"/>
      <c r="C1705" s="64"/>
      <c r="D1705" s="64"/>
      <c r="E1705" s="64"/>
      <c r="F1705" s="64"/>
      <c r="G1705" s="64"/>
    </row>
    <row r="1706" spans="2:7" ht="32.25" customHeight="1" x14ac:dyDescent="0.25">
      <c r="B1706" s="64"/>
      <c r="C1706" s="64"/>
      <c r="D1706" s="64"/>
      <c r="E1706" s="64"/>
      <c r="F1706" s="64"/>
      <c r="G1706" s="64"/>
    </row>
    <row r="1707" spans="2:7" ht="32.25" customHeight="1" x14ac:dyDescent="0.25">
      <c r="B1707" s="64"/>
      <c r="C1707" s="64"/>
      <c r="D1707" s="64"/>
      <c r="E1707" s="64"/>
      <c r="F1707" s="64"/>
      <c r="G1707" s="64"/>
    </row>
    <row r="1708" spans="2:7" ht="32.25" customHeight="1" x14ac:dyDescent="0.25">
      <c r="B1708" s="64"/>
      <c r="C1708" s="64"/>
      <c r="D1708" s="64"/>
      <c r="E1708" s="64"/>
      <c r="F1708" s="64"/>
      <c r="G1708" s="64"/>
    </row>
    <row r="1709" spans="2:7" ht="32.25" customHeight="1" x14ac:dyDescent="0.25">
      <c r="B1709" s="64"/>
      <c r="C1709" s="64"/>
      <c r="D1709" s="64"/>
      <c r="E1709" s="64"/>
      <c r="F1709" s="64"/>
      <c r="G1709" s="64"/>
    </row>
    <row r="1710" spans="2:7" ht="32.25" customHeight="1" x14ac:dyDescent="0.25">
      <c r="B1710" s="64"/>
      <c r="C1710" s="64"/>
      <c r="D1710" s="64"/>
      <c r="E1710" s="64"/>
      <c r="F1710" s="64"/>
      <c r="G1710" s="64"/>
    </row>
    <row r="1711" spans="2:7" ht="32.25" customHeight="1" x14ac:dyDescent="0.25">
      <c r="B1711" s="64"/>
      <c r="C1711" s="64"/>
      <c r="D1711" s="64"/>
      <c r="E1711" s="64"/>
      <c r="F1711" s="64"/>
      <c r="G1711" s="64"/>
    </row>
    <row r="1712" spans="2:7" ht="32.25" customHeight="1" x14ac:dyDescent="0.25">
      <c r="B1712" s="64"/>
      <c r="C1712" s="64"/>
      <c r="D1712" s="64"/>
      <c r="E1712" s="64"/>
      <c r="F1712" s="64"/>
      <c r="G1712" s="64"/>
    </row>
    <row r="1713" spans="2:7" ht="32.25" customHeight="1" x14ac:dyDescent="0.25">
      <c r="B1713" s="64"/>
      <c r="C1713" s="64"/>
      <c r="D1713" s="64"/>
      <c r="E1713" s="64"/>
      <c r="F1713" s="64"/>
      <c r="G1713" s="64"/>
    </row>
    <row r="1714" spans="2:7" ht="32.25" customHeight="1" x14ac:dyDescent="0.25">
      <c r="B1714" s="64"/>
      <c r="C1714" s="64"/>
      <c r="D1714" s="64"/>
      <c r="E1714" s="64"/>
      <c r="F1714" s="64"/>
      <c r="G1714" s="64"/>
    </row>
    <row r="1715" spans="2:7" ht="32.25" customHeight="1" x14ac:dyDescent="0.25">
      <c r="B1715" s="64"/>
      <c r="C1715" s="64"/>
      <c r="D1715" s="64"/>
      <c r="E1715" s="64"/>
      <c r="F1715" s="64"/>
      <c r="G1715" s="64"/>
    </row>
    <row r="1716" spans="2:7" ht="32.25" customHeight="1" x14ac:dyDescent="0.25">
      <c r="B1716" s="64"/>
      <c r="C1716" s="64"/>
      <c r="D1716" s="64"/>
      <c r="E1716" s="64"/>
      <c r="F1716" s="64"/>
      <c r="G1716" s="64"/>
    </row>
    <row r="1717" spans="2:7" ht="32.25" customHeight="1" x14ac:dyDescent="0.25">
      <c r="B1717" s="64"/>
      <c r="C1717" s="64"/>
      <c r="D1717" s="64"/>
      <c r="E1717" s="64"/>
      <c r="F1717" s="64"/>
      <c r="G1717" s="64"/>
    </row>
    <row r="1718" spans="2:7" ht="32.25" customHeight="1" x14ac:dyDescent="0.25">
      <c r="B1718" s="64"/>
      <c r="C1718" s="64"/>
      <c r="D1718" s="64"/>
      <c r="E1718" s="64"/>
      <c r="F1718" s="64"/>
      <c r="G1718" s="64"/>
    </row>
    <row r="1719" spans="2:7" ht="32.25" customHeight="1" x14ac:dyDescent="0.25">
      <c r="B1719" s="64"/>
      <c r="C1719" s="64"/>
      <c r="D1719" s="64"/>
      <c r="E1719" s="64"/>
      <c r="F1719" s="64"/>
      <c r="G1719" s="64"/>
    </row>
    <row r="1720" spans="2:7" ht="32.25" customHeight="1" x14ac:dyDescent="0.25">
      <c r="B1720" s="64"/>
      <c r="C1720" s="64"/>
      <c r="D1720" s="64"/>
      <c r="E1720" s="64"/>
      <c r="F1720" s="64"/>
      <c r="G1720" s="64"/>
    </row>
    <row r="1721" spans="2:7" ht="32.25" customHeight="1" x14ac:dyDescent="0.25">
      <c r="B1721" s="64"/>
      <c r="C1721" s="64"/>
      <c r="D1721" s="64"/>
      <c r="E1721" s="64"/>
      <c r="F1721" s="64"/>
      <c r="G1721" s="64"/>
    </row>
    <row r="1722" spans="2:7" ht="32.25" customHeight="1" x14ac:dyDescent="0.25">
      <c r="B1722" s="64"/>
      <c r="C1722" s="64"/>
      <c r="D1722" s="64"/>
      <c r="E1722" s="64"/>
      <c r="F1722" s="64"/>
      <c r="G1722" s="64"/>
    </row>
    <row r="1723" spans="2:7" ht="32.25" customHeight="1" x14ac:dyDescent="0.25">
      <c r="B1723" s="64"/>
      <c r="C1723" s="64"/>
      <c r="D1723" s="64"/>
      <c r="E1723" s="64"/>
      <c r="F1723" s="64"/>
      <c r="G1723" s="64"/>
    </row>
    <row r="1724" spans="2:7" ht="32.25" customHeight="1" x14ac:dyDescent="0.25">
      <c r="B1724" s="64"/>
      <c r="C1724" s="64"/>
      <c r="D1724" s="64"/>
      <c r="E1724" s="64"/>
      <c r="F1724" s="64"/>
      <c r="G1724" s="64"/>
    </row>
    <row r="1725" spans="2:7" ht="32.25" customHeight="1" x14ac:dyDescent="0.25">
      <c r="B1725" s="64"/>
      <c r="C1725" s="64"/>
      <c r="D1725" s="64"/>
      <c r="E1725" s="64"/>
      <c r="F1725" s="64"/>
      <c r="G1725" s="64"/>
    </row>
    <row r="1726" spans="2:7" ht="32.25" customHeight="1" x14ac:dyDescent="0.25">
      <c r="B1726" s="64"/>
      <c r="C1726" s="64"/>
      <c r="D1726" s="64"/>
      <c r="E1726" s="64"/>
      <c r="F1726" s="64"/>
      <c r="G1726" s="64"/>
    </row>
    <row r="1727" spans="2:7" ht="32.25" customHeight="1" x14ac:dyDescent="0.25">
      <c r="B1727" s="64"/>
      <c r="C1727" s="64"/>
      <c r="D1727" s="64"/>
      <c r="E1727" s="64"/>
      <c r="F1727" s="64"/>
      <c r="G1727" s="64"/>
    </row>
    <row r="1728" spans="2:7" ht="32.25" customHeight="1" x14ac:dyDescent="0.25">
      <c r="B1728" s="64"/>
      <c r="C1728" s="64"/>
      <c r="D1728" s="64"/>
      <c r="E1728" s="64"/>
      <c r="F1728" s="64"/>
      <c r="G1728" s="64"/>
    </row>
    <row r="1729" spans="2:7" ht="32.25" customHeight="1" x14ac:dyDescent="0.25">
      <c r="B1729" s="64"/>
      <c r="C1729" s="64"/>
      <c r="D1729" s="64"/>
      <c r="E1729" s="64"/>
      <c r="F1729" s="64"/>
      <c r="G1729" s="64"/>
    </row>
    <row r="1730" spans="2:7" ht="32.25" customHeight="1" x14ac:dyDescent="0.25">
      <c r="B1730" s="64"/>
      <c r="C1730" s="64"/>
      <c r="D1730" s="64"/>
      <c r="E1730" s="64"/>
      <c r="F1730" s="64"/>
      <c r="G1730" s="64"/>
    </row>
    <row r="1731" spans="2:7" ht="32.25" customHeight="1" x14ac:dyDescent="0.25">
      <c r="B1731" s="64"/>
      <c r="C1731" s="64"/>
      <c r="D1731" s="64"/>
      <c r="E1731" s="64"/>
      <c r="F1731" s="64"/>
      <c r="G1731" s="64"/>
    </row>
    <row r="1732" spans="2:7" ht="32.25" customHeight="1" x14ac:dyDescent="0.25">
      <c r="B1732" s="64"/>
      <c r="C1732" s="64"/>
      <c r="D1732" s="64"/>
      <c r="E1732" s="64"/>
      <c r="F1732" s="64"/>
      <c r="G1732" s="64"/>
    </row>
    <row r="1733" spans="2:7" ht="32.25" customHeight="1" x14ac:dyDescent="0.25">
      <c r="B1733" s="64"/>
      <c r="C1733" s="64"/>
      <c r="D1733" s="64"/>
      <c r="E1733" s="64"/>
      <c r="F1733" s="64"/>
      <c r="G1733" s="64"/>
    </row>
    <row r="1734" spans="2:7" ht="32.25" customHeight="1" x14ac:dyDescent="0.25">
      <c r="B1734" s="64"/>
      <c r="C1734" s="64"/>
      <c r="D1734" s="64"/>
      <c r="E1734" s="64"/>
      <c r="F1734" s="64"/>
      <c r="G1734" s="64"/>
    </row>
    <row r="1735" spans="2:7" ht="32.25" customHeight="1" x14ac:dyDescent="0.25">
      <c r="B1735" s="64"/>
      <c r="C1735" s="64"/>
      <c r="D1735" s="64"/>
      <c r="E1735" s="64"/>
      <c r="F1735" s="64"/>
      <c r="G1735" s="64"/>
    </row>
    <row r="1736" spans="2:7" ht="32.25" customHeight="1" x14ac:dyDescent="0.25">
      <c r="B1736" s="64"/>
      <c r="C1736" s="64"/>
      <c r="D1736" s="64"/>
      <c r="E1736" s="64"/>
      <c r="F1736" s="64"/>
      <c r="G1736" s="64"/>
    </row>
    <row r="1737" spans="2:7" ht="32.25" customHeight="1" x14ac:dyDescent="0.25">
      <c r="B1737" s="64"/>
      <c r="C1737" s="64"/>
      <c r="D1737" s="64"/>
      <c r="E1737" s="64"/>
      <c r="F1737" s="64"/>
      <c r="G1737" s="64"/>
    </row>
    <row r="1738" spans="2:7" ht="32.25" customHeight="1" x14ac:dyDescent="0.25">
      <c r="B1738" s="64"/>
      <c r="C1738" s="64"/>
      <c r="D1738" s="64"/>
      <c r="E1738" s="64"/>
      <c r="F1738" s="64"/>
      <c r="G1738" s="64"/>
    </row>
    <row r="1739" spans="2:7" ht="32.25" customHeight="1" x14ac:dyDescent="0.25">
      <c r="B1739" s="64"/>
      <c r="C1739" s="64"/>
      <c r="D1739" s="64"/>
      <c r="E1739" s="64"/>
      <c r="F1739" s="64"/>
      <c r="G1739" s="64"/>
    </row>
    <row r="1740" spans="2:7" ht="32.25" customHeight="1" x14ac:dyDescent="0.25">
      <c r="B1740" s="64"/>
      <c r="C1740" s="64"/>
      <c r="D1740" s="64"/>
      <c r="E1740" s="64"/>
      <c r="F1740" s="64"/>
      <c r="G1740" s="64"/>
    </row>
    <row r="1741" spans="2:7" ht="32.25" customHeight="1" x14ac:dyDescent="0.25">
      <c r="B1741" s="64"/>
      <c r="C1741" s="64"/>
      <c r="D1741" s="64"/>
      <c r="E1741" s="64"/>
      <c r="F1741" s="64"/>
      <c r="G1741" s="64"/>
    </row>
    <row r="1742" spans="2:7" ht="32.25" customHeight="1" x14ac:dyDescent="0.25">
      <c r="B1742" s="64"/>
      <c r="C1742" s="64"/>
      <c r="D1742" s="64"/>
      <c r="E1742" s="64"/>
      <c r="F1742" s="64"/>
      <c r="G1742" s="64"/>
    </row>
    <row r="1743" spans="2:7" ht="32.25" customHeight="1" x14ac:dyDescent="0.25">
      <c r="B1743" s="64"/>
      <c r="C1743" s="64"/>
      <c r="D1743" s="64"/>
      <c r="E1743" s="64"/>
      <c r="F1743" s="64"/>
      <c r="G1743" s="64"/>
    </row>
    <row r="1744" spans="2:7" ht="32.25" customHeight="1" x14ac:dyDescent="0.25">
      <c r="B1744" s="64"/>
      <c r="C1744" s="64"/>
      <c r="D1744" s="64"/>
      <c r="E1744" s="64"/>
      <c r="F1744" s="64"/>
      <c r="G1744" s="64"/>
    </row>
    <row r="1745" spans="2:7" ht="32.25" customHeight="1" x14ac:dyDescent="0.25">
      <c r="B1745" s="64"/>
      <c r="C1745" s="64"/>
      <c r="D1745" s="64"/>
      <c r="E1745" s="64"/>
      <c r="F1745" s="64"/>
      <c r="G1745" s="64"/>
    </row>
    <row r="1746" spans="2:7" ht="32.25" customHeight="1" x14ac:dyDescent="0.25">
      <c r="B1746" s="64"/>
      <c r="C1746" s="64"/>
      <c r="D1746" s="64"/>
      <c r="E1746" s="64"/>
      <c r="F1746" s="64"/>
      <c r="G1746" s="64"/>
    </row>
    <row r="1747" spans="2:7" ht="32.25" customHeight="1" x14ac:dyDescent="0.25">
      <c r="B1747" s="64"/>
      <c r="C1747" s="64"/>
      <c r="D1747" s="64"/>
      <c r="E1747" s="64"/>
      <c r="F1747" s="64"/>
      <c r="G1747" s="64"/>
    </row>
    <row r="1748" spans="2:7" ht="32.25" customHeight="1" x14ac:dyDescent="0.25">
      <c r="B1748" s="64"/>
      <c r="C1748" s="64"/>
      <c r="D1748" s="64"/>
      <c r="E1748" s="64"/>
      <c r="F1748" s="64"/>
      <c r="G1748" s="64"/>
    </row>
    <row r="1749" spans="2:7" ht="32.25" customHeight="1" x14ac:dyDescent="0.25">
      <c r="B1749" s="64"/>
      <c r="C1749" s="64"/>
      <c r="D1749" s="64"/>
      <c r="E1749" s="64"/>
      <c r="F1749" s="64"/>
      <c r="G1749" s="64"/>
    </row>
    <row r="1750" spans="2:7" ht="32.25" customHeight="1" x14ac:dyDescent="0.25">
      <c r="B1750" s="64"/>
      <c r="C1750" s="64"/>
      <c r="D1750" s="64"/>
      <c r="E1750" s="64"/>
      <c r="F1750" s="64"/>
      <c r="G1750" s="64"/>
    </row>
    <row r="1751" spans="2:7" ht="32.25" customHeight="1" x14ac:dyDescent="0.25">
      <c r="B1751" s="64"/>
      <c r="C1751" s="64"/>
      <c r="D1751" s="64"/>
      <c r="E1751" s="64"/>
      <c r="F1751" s="64"/>
      <c r="G1751" s="64"/>
    </row>
    <row r="1752" spans="2:7" ht="32.25" customHeight="1" x14ac:dyDescent="0.25">
      <c r="B1752" s="64"/>
      <c r="C1752" s="64"/>
      <c r="D1752" s="64"/>
      <c r="E1752" s="64"/>
      <c r="F1752" s="64"/>
      <c r="G1752" s="64"/>
    </row>
    <row r="1753" spans="2:7" ht="32.25" customHeight="1" x14ac:dyDescent="0.25">
      <c r="B1753" s="64"/>
      <c r="C1753" s="64"/>
      <c r="D1753" s="64"/>
      <c r="E1753" s="64"/>
      <c r="F1753" s="64"/>
      <c r="G1753" s="64"/>
    </row>
    <row r="1754" spans="2:7" ht="32.25" customHeight="1" x14ac:dyDescent="0.25">
      <c r="B1754" s="64"/>
      <c r="C1754" s="64"/>
      <c r="D1754" s="64"/>
      <c r="E1754" s="64"/>
      <c r="F1754" s="64"/>
      <c r="G1754" s="64"/>
    </row>
    <row r="1755" spans="2:7" ht="32.25" customHeight="1" x14ac:dyDescent="0.25">
      <c r="B1755" s="64"/>
      <c r="C1755" s="64"/>
      <c r="D1755" s="64"/>
      <c r="E1755" s="64"/>
      <c r="F1755" s="64"/>
      <c r="G1755" s="64"/>
    </row>
    <row r="1756" spans="2:7" ht="32.25" customHeight="1" x14ac:dyDescent="0.25">
      <c r="B1756" s="64"/>
      <c r="C1756" s="64"/>
      <c r="D1756" s="64"/>
      <c r="E1756" s="64"/>
      <c r="F1756" s="64"/>
      <c r="G1756" s="64"/>
    </row>
    <row r="1757" spans="2:7" ht="32.25" customHeight="1" x14ac:dyDescent="0.25">
      <c r="B1757" s="64"/>
      <c r="C1757" s="64"/>
      <c r="D1757" s="64"/>
      <c r="E1757" s="64"/>
      <c r="F1757" s="64"/>
      <c r="G1757" s="64"/>
    </row>
    <row r="1758" spans="2:7" ht="32.25" customHeight="1" x14ac:dyDescent="0.25">
      <c r="B1758" s="64"/>
      <c r="C1758" s="64"/>
      <c r="D1758" s="64"/>
      <c r="E1758" s="64"/>
      <c r="F1758" s="64"/>
      <c r="G1758" s="64"/>
    </row>
    <row r="1759" spans="2:7" ht="32.25" customHeight="1" x14ac:dyDescent="0.25">
      <c r="B1759" s="64"/>
      <c r="C1759" s="64"/>
      <c r="D1759" s="64"/>
      <c r="E1759" s="64"/>
      <c r="F1759" s="64"/>
      <c r="G1759" s="64"/>
    </row>
    <row r="1760" spans="2:7" ht="32.25" customHeight="1" x14ac:dyDescent="0.25">
      <c r="B1760" s="64"/>
      <c r="C1760" s="64"/>
      <c r="D1760" s="64"/>
      <c r="E1760" s="64"/>
      <c r="F1760" s="64"/>
      <c r="G1760" s="64"/>
    </row>
    <row r="1761" spans="2:7" ht="32.25" customHeight="1" x14ac:dyDescent="0.25">
      <c r="B1761" s="64"/>
      <c r="C1761" s="64"/>
      <c r="D1761" s="64"/>
      <c r="E1761" s="64"/>
      <c r="F1761" s="64"/>
      <c r="G1761" s="64"/>
    </row>
    <row r="1762" spans="2:7" ht="32.25" customHeight="1" x14ac:dyDescent="0.25">
      <c r="B1762" s="64"/>
      <c r="C1762" s="64"/>
      <c r="D1762" s="64"/>
      <c r="E1762" s="64"/>
      <c r="F1762" s="64"/>
      <c r="G1762" s="64"/>
    </row>
    <row r="1763" spans="2:7" ht="32.25" customHeight="1" x14ac:dyDescent="0.25">
      <c r="B1763" s="64"/>
      <c r="C1763" s="64"/>
      <c r="D1763" s="64"/>
      <c r="E1763" s="64"/>
      <c r="F1763" s="64"/>
      <c r="G1763" s="64"/>
    </row>
    <row r="1764" spans="2:7" ht="32.25" customHeight="1" x14ac:dyDescent="0.25">
      <c r="B1764" s="64"/>
      <c r="C1764" s="64"/>
      <c r="D1764" s="64"/>
      <c r="E1764" s="64"/>
      <c r="F1764" s="64"/>
      <c r="G1764" s="64"/>
    </row>
    <row r="1765" spans="2:7" ht="32.25" customHeight="1" x14ac:dyDescent="0.25">
      <c r="B1765" s="64"/>
      <c r="C1765" s="64"/>
      <c r="D1765" s="64"/>
      <c r="E1765" s="64"/>
      <c r="F1765" s="64"/>
      <c r="G1765" s="64"/>
    </row>
    <row r="1766" spans="2:7" ht="32.25" customHeight="1" x14ac:dyDescent="0.25">
      <c r="B1766" s="64"/>
      <c r="C1766" s="64"/>
      <c r="D1766" s="64"/>
      <c r="E1766" s="64"/>
      <c r="F1766" s="64"/>
      <c r="G1766" s="64"/>
    </row>
    <row r="1767" spans="2:7" ht="32.25" customHeight="1" x14ac:dyDescent="0.25">
      <c r="B1767" s="64"/>
      <c r="C1767" s="64"/>
      <c r="D1767" s="64"/>
      <c r="E1767" s="64"/>
      <c r="F1767" s="64"/>
      <c r="G1767" s="64"/>
    </row>
    <row r="1768" spans="2:7" ht="32.25" customHeight="1" x14ac:dyDescent="0.25">
      <c r="B1768" s="64"/>
      <c r="C1768" s="64"/>
      <c r="D1768" s="64"/>
      <c r="E1768" s="64"/>
      <c r="F1768" s="64"/>
      <c r="G1768" s="64"/>
    </row>
    <row r="1769" spans="2:7" ht="32.25" customHeight="1" x14ac:dyDescent="0.25">
      <c r="B1769" s="64"/>
      <c r="C1769" s="64"/>
      <c r="D1769" s="64"/>
      <c r="E1769" s="64"/>
      <c r="F1769" s="64"/>
      <c r="G1769" s="64"/>
    </row>
    <row r="1770" spans="2:7" ht="32.25" customHeight="1" x14ac:dyDescent="0.25">
      <c r="B1770" s="64"/>
      <c r="C1770" s="64"/>
      <c r="D1770" s="64"/>
      <c r="E1770" s="64"/>
      <c r="F1770" s="64"/>
      <c r="G1770" s="64"/>
    </row>
    <row r="1771" spans="2:7" ht="32.25" customHeight="1" x14ac:dyDescent="0.25">
      <c r="B1771" s="64"/>
      <c r="C1771" s="64"/>
      <c r="D1771" s="64"/>
      <c r="E1771" s="64"/>
      <c r="F1771" s="64"/>
      <c r="G1771" s="64"/>
    </row>
    <row r="1772" spans="2:7" ht="32.25" customHeight="1" x14ac:dyDescent="0.25">
      <c r="B1772" s="64"/>
      <c r="C1772" s="64"/>
      <c r="D1772" s="64"/>
      <c r="E1772" s="64"/>
      <c r="F1772" s="64"/>
      <c r="G1772" s="64"/>
    </row>
    <row r="1773" spans="2:7" ht="32.25" customHeight="1" x14ac:dyDescent="0.25">
      <c r="B1773" s="64"/>
      <c r="C1773" s="64"/>
      <c r="D1773" s="64"/>
      <c r="E1773" s="64"/>
      <c r="F1773" s="64"/>
      <c r="G1773" s="64"/>
    </row>
    <row r="1774" spans="2:7" ht="32.25" customHeight="1" x14ac:dyDescent="0.25">
      <c r="B1774" s="64"/>
      <c r="C1774" s="64"/>
      <c r="D1774" s="64"/>
      <c r="E1774" s="64"/>
      <c r="F1774" s="64"/>
      <c r="G1774" s="64"/>
    </row>
    <row r="1775" spans="2:7" ht="32.25" customHeight="1" x14ac:dyDescent="0.25">
      <c r="B1775" s="64"/>
      <c r="C1775" s="64"/>
      <c r="D1775" s="64"/>
      <c r="E1775" s="64"/>
      <c r="F1775" s="64"/>
      <c r="G1775" s="64"/>
    </row>
    <row r="1776" spans="2:7" ht="32.25" customHeight="1" x14ac:dyDescent="0.25">
      <c r="B1776" s="64"/>
      <c r="C1776" s="64"/>
      <c r="D1776" s="64"/>
      <c r="E1776" s="64"/>
      <c r="F1776" s="64"/>
      <c r="G1776" s="64"/>
    </row>
    <row r="1777" spans="2:7" ht="32.25" customHeight="1" x14ac:dyDescent="0.25">
      <c r="B1777" s="64"/>
      <c r="C1777" s="64"/>
      <c r="D1777" s="64"/>
      <c r="E1777" s="64"/>
      <c r="F1777" s="64"/>
      <c r="G1777" s="64"/>
    </row>
    <row r="1778" spans="2:7" ht="32.25" customHeight="1" x14ac:dyDescent="0.25">
      <c r="B1778" s="64"/>
      <c r="C1778" s="64"/>
      <c r="D1778" s="64"/>
      <c r="E1778" s="64"/>
      <c r="F1778" s="64"/>
      <c r="G1778" s="64"/>
    </row>
    <row r="1779" spans="2:7" ht="32.25" customHeight="1" x14ac:dyDescent="0.25">
      <c r="B1779" s="64"/>
      <c r="C1779" s="64"/>
      <c r="D1779" s="64"/>
      <c r="E1779" s="64"/>
      <c r="F1779" s="64"/>
      <c r="G1779" s="64"/>
    </row>
    <row r="1780" spans="2:7" ht="32.25" customHeight="1" x14ac:dyDescent="0.25">
      <c r="B1780" s="64"/>
      <c r="C1780" s="64"/>
      <c r="D1780" s="64"/>
      <c r="E1780" s="64"/>
      <c r="F1780" s="64"/>
      <c r="G1780" s="64"/>
    </row>
    <row r="1781" spans="2:7" ht="32.25" customHeight="1" x14ac:dyDescent="0.25">
      <c r="B1781" s="64"/>
      <c r="C1781" s="64"/>
      <c r="D1781" s="64"/>
      <c r="E1781" s="64"/>
      <c r="F1781" s="64"/>
      <c r="G1781" s="64"/>
    </row>
    <row r="1782" spans="2:7" ht="32.25" customHeight="1" x14ac:dyDescent="0.25">
      <c r="B1782" s="64"/>
      <c r="C1782" s="64"/>
      <c r="D1782" s="64"/>
      <c r="E1782" s="64"/>
      <c r="F1782" s="64"/>
      <c r="G1782" s="64"/>
    </row>
    <row r="1783" spans="2:7" ht="32.25" customHeight="1" x14ac:dyDescent="0.25">
      <c r="B1783" s="64"/>
      <c r="C1783" s="64"/>
      <c r="D1783" s="64"/>
      <c r="E1783" s="64"/>
      <c r="F1783" s="64"/>
      <c r="G1783" s="64"/>
    </row>
    <row r="1784" spans="2:7" ht="32.25" customHeight="1" x14ac:dyDescent="0.25">
      <c r="B1784" s="64"/>
      <c r="C1784" s="64"/>
      <c r="D1784" s="64"/>
      <c r="E1784" s="64"/>
      <c r="F1784" s="64"/>
      <c r="G1784" s="64"/>
    </row>
    <row r="1785" spans="2:7" ht="32.25" customHeight="1" x14ac:dyDescent="0.25">
      <c r="B1785" s="64"/>
      <c r="C1785" s="64"/>
      <c r="D1785" s="64"/>
      <c r="E1785" s="64"/>
      <c r="F1785" s="64"/>
      <c r="G1785" s="64"/>
    </row>
    <row r="1786" spans="2:7" ht="32.25" customHeight="1" x14ac:dyDescent="0.25">
      <c r="B1786" s="64"/>
      <c r="C1786" s="64"/>
      <c r="D1786" s="64"/>
      <c r="E1786" s="64"/>
      <c r="F1786" s="64"/>
      <c r="G1786" s="64"/>
    </row>
    <row r="1787" spans="2:7" ht="32.25" customHeight="1" x14ac:dyDescent="0.25">
      <c r="B1787" s="64"/>
      <c r="C1787" s="64"/>
      <c r="D1787" s="64"/>
      <c r="E1787" s="64"/>
      <c r="F1787" s="64"/>
      <c r="G1787" s="64"/>
    </row>
    <row r="1788" spans="2:7" ht="32.25" customHeight="1" x14ac:dyDescent="0.25">
      <c r="B1788" s="64"/>
      <c r="C1788" s="64"/>
      <c r="D1788" s="64"/>
      <c r="E1788" s="64"/>
      <c r="F1788" s="64"/>
      <c r="G1788" s="64"/>
    </row>
    <row r="1789" spans="2:7" ht="32.25" customHeight="1" x14ac:dyDescent="0.25">
      <c r="B1789" s="64"/>
      <c r="C1789" s="64"/>
      <c r="D1789" s="64"/>
      <c r="E1789" s="64"/>
      <c r="F1789" s="64"/>
      <c r="G1789" s="64"/>
    </row>
    <row r="1790" spans="2:7" ht="32.25" customHeight="1" x14ac:dyDescent="0.25">
      <c r="B1790" s="64"/>
      <c r="C1790" s="64"/>
      <c r="D1790" s="64"/>
      <c r="E1790" s="64"/>
      <c r="F1790" s="64"/>
      <c r="G1790" s="64"/>
    </row>
    <row r="1791" spans="2:7" ht="32.25" customHeight="1" x14ac:dyDescent="0.25">
      <c r="B1791" s="64"/>
      <c r="C1791" s="64"/>
      <c r="D1791" s="64"/>
      <c r="E1791" s="64"/>
      <c r="F1791" s="64"/>
      <c r="G1791" s="64"/>
    </row>
    <row r="1792" spans="2:7" ht="32.25" customHeight="1" x14ac:dyDescent="0.25">
      <c r="B1792" s="64"/>
      <c r="C1792" s="64"/>
      <c r="D1792" s="64"/>
      <c r="E1792" s="64"/>
      <c r="F1792" s="64"/>
      <c r="G1792" s="64"/>
    </row>
    <row r="1793" spans="2:7" ht="32.25" customHeight="1" x14ac:dyDescent="0.25">
      <c r="B1793" s="64"/>
      <c r="C1793" s="64"/>
      <c r="D1793" s="64"/>
      <c r="E1793" s="64"/>
      <c r="F1793" s="64"/>
      <c r="G1793" s="64"/>
    </row>
    <row r="1794" spans="2:7" ht="32.25" customHeight="1" x14ac:dyDescent="0.25">
      <c r="B1794" s="64"/>
      <c r="C1794" s="64"/>
      <c r="D1794" s="64"/>
      <c r="E1794" s="64"/>
      <c r="F1794" s="64"/>
      <c r="G1794" s="64"/>
    </row>
    <row r="1795" spans="2:7" ht="32.25" customHeight="1" x14ac:dyDescent="0.25">
      <c r="B1795" s="64"/>
      <c r="C1795" s="64"/>
      <c r="D1795" s="64"/>
      <c r="E1795" s="64"/>
      <c r="F1795" s="64"/>
      <c r="G1795" s="64"/>
    </row>
    <row r="1796" spans="2:7" ht="32.25" customHeight="1" x14ac:dyDescent="0.25">
      <c r="B1796" s="64"/>
      <c r="C1796" s="64"/>
      <c r="D1796" s="64"/>
      <c r="E1796" s="64"/>
      <c r="F1796" s="64"/>
      <c r="G1796" s="64"/>
    </row>
    <row r="1797" spans="2:7" ht="32.25" customHeight="1" x14ac:dyDescent="0.25">
      <c r="B1797" s="64"/>
      <c r="C1797" s="64"/>
      <c r="D1797" s="64"/>
      <c r="E1797" s="64"/>
      <c r="F1797" s="64"/>
      <c r="G1797" s="64"/>
    </row>
    <row r="1798" spans="2:7" ht="32.25" customHeight="1" x14ac:dyDescent="0.25">
      <c r="B1798" s="64"/>
      <c r="C1798" s="64"/>
      <c r="D1798" s="64"/>
      <c r="E1798" s="64"/>
      <c r="F1798" s="64"/>
      <c r="G1798" s="64"/>
    </row>
    <row r="1799" spans="2:7" ht="32.25" customHeight="1" x14ac:dyDescent="0.25">
      <c r="B1799" s="64"/>
      <c r="C1799" s="64"/>
      <c r="D1799" s="64"/>
      <c r="E1799" s="64"/>
      <c r="F1799" s="64"/>
      <c r="G1799" s="64"/>
    </row>
    <row r="1800" spans="2:7" ht="32.25" customHeight="1" x14ac:dyDescent="0.25">
      <c r="B1800" s="64"/>
      <c r="C1800" s="64"/>
      <c r="D1800" s="64"/>
      <c r="E1800" s="64"/>
      <c r="F1800" s="64"/>
      <c r="G1800" s="64"/>
    </row>
    <row r="1801" spans="2:7" ht="32.25" customHeight="1" x14ac:dyDescent="0.25">
      <c r="B1801" s="64"/>
      <c r="C1801" s="64"/>
      <c r="D1801" s="64"/>
      <c r="E1801" s="64"/>
      <c r="F1801" s="64"/>
      <c r="G1801" s="64"/>
    </row>
    <row r="1802" spans="2:7" ht="32.25" customHeight="1" x14ac:dyDescent="0.25">
      <c r="B1802" s="64"/>
      <c r="C1802" s="64"/>
      <c r="D1802" s="64"/>
      <c r="E1802" s="64"/>
      <c r="F1802" s="64"/>
      <c r="G1802" s="64"/>
    </row>
    <row r="1803" spans="2:7" ht="32.25" customHeight="1" x14ac:dyDescent="0.25">
      <c r="B1803" s="64"/>
      <c r="C1803" s="64"/>
      <c r="D1803" s="64"/>
      <c r="E1803" s="64"/>
      <c r="F1803" s="64"/>
      <c r="G1803" s="64"/>
    </row>
    <row r="1804" spans="2:7" ht="32.25" customHeight="1" x14ac:dyDescent="0.25">
      <c r="B1804" s="64"/>
      <c r="C1804" s="64"/>
      <c r="D1804" s="64"/>
      <c r="E1804" s="64"/>
      <c r="F1804" s="64"/>
      <c r="G1804" s="64"/>
    </row>
    <row r="1805" spans="2:7" ht="32.25" customHeight="1" x14ac:dyDescent="0.25">
      <c r="B1805" s="64"/>
      <c r="C1805" s="64"/>
      <c r="D1805" s="64"/>
      <c r="E1805" s="64"/>
      <c r="F1805" s="64"/>
      <c r="G1805" s="64"/>
    </row>
    <row r="1806" spans="2:7" ht="32.25" customHeight="1" x14ac:dyDescent="0.25">
      <c r="B1806" s="64"/>
      <c r="C1806" s="64"/>
      <c r="D1806" s="64"/>
      <c r="E1806" s="64"/>
      <c r="F1806" s="64"/>
      <c r="G1806" s="64"/>
    </row>
    <row r="1807" spans="2:7" ht="32.25" customHeight="1" x14ac:dyDescent="0.25">
      <c r="B1807" s="64"/>
      <c r="C1807" s="64"/>
      <c r="D1807" s="64"/>
      <c r="E1807" s="64"/>
      <c r="F1807" s="64"/>
      <c r="G1807" s="64"/>
    </row>
    <row r="1808" spans="2:7" ht="32.25" customHeight="1" x14ac:dyDescent="0.25">
      <c r="B1808" s="64"/>
      <c r="C1808" s="64"/>
      <c r="D1808" s="64"/>
      <c r="E1808" s="64"/>
      <c r="F1808" s="64"/>
      <c r="G1808" s="64"/>
    </row>
    <row r="1809" spans="2:7" ht="32.25" customHeight="1" x14ac:dyDescent="0.25">
      <c r="B1809" s="64"/>
      <c r="C1809" s="64"/>
      <c r="D1809" s="64"/>
      <c r="E1809" s="64"/>
      <c r="F1809" s="64"/>
      <c r="G1809" s="64"/>
    </row>
    <row r="1810" spans="2:7" ht="32.25" customHeight="1" x14ac:dyDescent="0.25">
      <c r="B1810" s="64"/>
      <c r="C1810" s="64"/>
      <c r="D1810" s="64"/>
      <c r="E1810" s="64"/>
      <c r="F1810" s="64"/>
      <c r="G1810" s="64"/>
    </row>
    <row r="1811" spans="2:7" ht="32.25" customHeight="1" x14ac:dyDescent="0.25">
      <c r="B1811" s="64"/>
      <c r="C1811" s="64"/>
      <c r="D1811" s="64"/>
      <c r="E1811" s="64"/>
      <c r="F1811" s="64"/>
      <c r="G1811" s="64"/>
    </row>
    <row r="1812" spans="2:7" ht="32.25" customHeight="1" x14ac:dyDescent="0.25">
      <c r="B1812" s="64"/>
      <c r="C1812" s="64"/>
      <c r="D1812" s="64"/>
      <c r="E1812" s="64"/>
      <c r="F1812" s="64"/>
      <c r="G1812" s="64"/>
    </row>
    <row r="1813" spans="2:7" ht="32.25" customHeight="1" x14ac:dyDescent="0.25">
      <c r="B1813" s="64"/>
      <c r="C1813" s="64"/>
      <c r="D1813" s="64"/>
      <c r="E1813" s="64"/>
      <c r="F1813" s="64"/>
      <c r="G1813" s="64"/>
    </row>
    <row r="1814" spans="2:7" ht="32.25" customHeight="1" x14ac:dyDescent="0.25">
      <c r="B1814" s="64"/>
      <c r="C1814" s="64"/>
      <c r="D1814" s="64"/>
      <c r="E1814" s="64"/>
      <c r="F1814" s="64"/>
      <c r="G1814" s="64"/>
    </row>
    <row r="1815" spans="2:7" ht="32.25" customHeight="1" x14ac:dyDescent="0.25">
      <c r="B1815" s="64"/>
      <c r="C1815" s="64"/>
      <c r="D1815" s="64"/>
      <c r="E1815" s="64"/>
      <c r="F1815" s="64"/>
      <c r="G1815" s="64"/>
    </row>
    <row r="1816" spans="2:7" ht="32.25" customHeight="1" x14ac:dyDescent="0.25">
      <c r="B1816" s="64"/>
      <c r="C1816" s="64"/>
      <c r="D1816" s="64"/>
      <c r="E1816" s="64"/>
      <c r="F1816" s="64"/>
      <c r="G1816" s="64"/>
    </row>
    <row r="1817" spans="2:7" ht="32.25" customHeight="1" x14ac:dyDescent="0.25">
      <c r="B1817" s="64"/>
      <c r="C1817" s="64"/>
      <c r="D1817" s="64"/>
      <c r="E1817" s="64"/>
      <c r="F1817" s="64"/>
      <c r="G1817" s="64"/>
    </row>
    <row r="1818" spans="2:7" ht="32.25" customHeight="1" x14ac:dyDescent="0.25">
      <c r="B1818" s="64"/>
      <c r="C1818" s="64"/>
      <c r="D1818" s="64"/>
      <c r="E1818" s="64"/>
      <c r="F1818" s="64"/>
      <c r="G1818" s="64"/>
    </row>
    <row r="1819" spans="2:7" ht="32.25" customHeight="1" x14ac:dyDescent="0.25">
      <c r="B1819" s="64"/>
      <c r="C1819" s="64"/>
      <c r="D1819" s="64"/>
      <c r="E1819" s="64"/>
      <c r="F1819" s="64"/>
      <c r="G1819" s="64"/>
    </row>
    <row r="1820" spans="2:7" ht="32.25" customHeight="1" x14ac:dyDescent="0.25">
      <c r="B1820" s="64"/>
      <c r="C1820" s="64"/>
      <c r="D1820" s="64"/>
      <c r="E1820" s="64"/>
      <c r="F1820" s="64"/>
      <c r="G1820" s="64"/>
    </row>
    <row r="1821" spans="2:7" ht="32.25" customHeight="1" x14ac:dyDescent="0.25">
      <c r="B1821" s="64"/>
      <c r="C1821" s="64"/>
      <c r="D1821" s="64"/>
      <c r="E1821" s="64"/>
      <c r="F1821" s="64"/>
      <c r="G1821" s="64"/>
    </row>
    <row r="1822" spans="2:7" ht="32.25" customHeight="1" x14ac:dyDescent="0.25">
      <c r="B1822" s="64"/>
      <c r="C1822" s="64"/>
      <c r="D1822" s="64"/>
      <c r="E1822" s="64"/>
      <c r="F1822" s="64"/>
      <c r="G1822" s="64"/>
    </row>
    <row r="1823" spans="2:7" ht="32.25" customHeight="1" x14ac:dyDescent="0.25">
      <c r="B1823" s="64"/>
      <c r="C1823" s="64"/>
      <c r="D1823" s="64"/>
      <c r="E1823" s="64"/>
      <c r="F1823" s="64"/>
      <c r="G1823" s="64"/>
    </row>
    <row r="1824" spans="2:7" ht="32.25" customHeight="1" x14ac:dyDescent="0.25">
      <c r="B1824" s="64"/>
      <c r="C1824" s="64"/>
      <c r="D1824" s="64"/>
      <c r="E1824" s="64"/>
      <c r="F1824" s="64"/>
      <c r="G1824" s="64"/>
    </row>
    <row r="1825" spans="2:7" ht="32.25" customHeight="1" x14ac:dyDescent="0.25">
      <c r="B1825" s="64"/>
      <c r="C1825" s="64"/>
      <c r="D1825" s="64"/>
      <c r="E1825" s="64"/>
      <c r="F1825" s="64"/>
      <c r="G1825" s="64"/>
    </row>
    <row r="1826" spans="2:7" ht="32.25" customHeight="1" x14ac:dyDescent="0.25">
      <c r="B1826" s="64"/>
      <c r="C1826" s="64"/>
      <c r="D1826" s="64"/>
      <c r="E1826" s="64"/>
      <c r="F1826" s="64"/>
      <c r="G1826" s="64"/>
    </row>
    <row r="1827" spans="2:7" ht="32.25" customHeight="1" x14ac:dyDescent="0.25">
      <c r="B1827" s="64"/>
      <c r="C1827" s="64"/>
      <c r="D1827" s="64"/>
      <c r="E1827" s="64"/>
      <c r="F1827" s="64"/>
      <c r="G1827" s="64"/>
    </row>
    <row r="1828" spans="2:7" ht="32.25" customHeight="1" x14ac:dyDescent="0.25">
      <c r="B1828" s="64"/>
      <c r="C1828" s="64"/>
      <c r="D1828" s="64"/>
      <c r="E1828" s="64"/>
      <c r="F1828" s="64"/>
      <c r="G1828" s="64"/>
    </row>
    <row r="1829" spans="2:7" ht="32.25" customHeight="1" x14ac:dyDescent="0.25">
      <c r="B1829" s="64"/>
      <c r="C1829" s="64"/>
      <c r="D1829" s="64"/>
      <c r="E1829" s="64"/>
      <c r="F1829" s="64"/>
      <c r="G1829" s="64"/>
    </row>
    <row r="1830" spans="2:7" ht="32.25" customHeight="1" x14ac:dyDescent="0.25">
      <c r="B1830" s="64"/>
      <c r="C1830" s="64"/>
      <c r="D1830" s="64"/>
      <c r="E1830" s="64"/>
      <c r="F1830" s="64"/>
      <c r="G1830" s="64"/>
    </row>
    <row r="1831" spans="2:7" ht="32.25" customHeight="1" x14ac:dyDescent="0.25">
      <c r="B1831" s="64"/>
      <c r="C1831" s="64"/>
      <c r="D1831" s="64"/>
      <c r="E1831" s="64"/>
      <c r="F1831" s="64"/>
      <c r="G1831" s="64"/>
    </row>
    <row r="1832" spans="2:7" ht="32.25" customHeight="1" x14ac:dyDescent="0.25">
      <c r="B1832" s="64"/>
      <c r="C1832" s="64"/>
      <c r="D1832" s="64"/>
      <c r="E1832" s="64"/>
      <c r="F1832" s="64"/>
      <c r="G1832" s="64"/>
    </row>
    <row r="1833" spans="2:7" ht="32.25" customHeight="1" x14ac:dyDescent="0.25">
      <c r="B1833" s="64"/>
      <c r="C1833" s="64"/>
      <c r="D1833" s="64"/>
      <c r="E1833" s="64"/>
      <c r="F1833" s="64"/>
      <c r="G1833" s="64"/>
    </row>
    <row r="1834" spans="2:7" ht="32.25" customHeight="1" x14ac:dyDescent="0.25">
      <c r="B1834" s="64"/>
      <c r="C1834" s="64"/>
      <c r="D1834" s="64"/>
      <c r="E1834" s="64"/>
      <c r="F1834" s="64"/>
      <c r="G1834" s="64"/>
    </row>
    <row r="1835" spans="2:7" ht="32.25" customHeight="1" x14ac:dyDescent="0.25">
      <c r="B1835" s="64"/>
      <c r="C1835" s="64"/>
      <c r="D1835" s="64"/>
      <c r="E1835" s="64"/>
      <c r="F1835" s="64"/>
      <c r="G1835" s="64"/>
    </row>
    <row r="1836" spans="2:7" ht="32.25" customHeight="1" x14ac:dyDescent="0.25">
      <c r="B1836" s="64"/>
      <c r="C1836" s="64"/>
      <c r="D1836" s="64"/>
      <c r="E1836" s="64"/>
      <c r="F1836" s="64"/>
      <c r="G1836" s="64"/>
    </row>
    <row r="1837" spans="2:7" ht="32.25" customHeight="1" x14ac:dyDescent="0.25">
      <c r="B1837" s="64"/>
      <c r="C1837" s="64"/>
      <c r="D1837" s="64"/>
      <c r="E1837" s="64"/>
      <c r="F1837" s="64"/>
      <c r="G1837" s="64"/>
    </row>
    <row r="1838" spans="2:7" ht="32.25" customHeight="1" x14ac:dyDescent="0.25">
      <c r="B1838" s="64"/>
      <c r="C1838" s="64"/>
      <c r="D1838" s="64"/>
      <c r="E1838" s="64"/>
      <c r="F1838" s="64"/>
      <c r="G1838" s="64"/>
    </row>
    <row r="1839" spans="2:7" ht="32.25" customHeight="1" x14ac:dyDescent="0.25">
      <c r="B1839" s="64"/>
      <c r="C1839" s="64"/>
      <c r="D1839" s="64"/>
      <c r="E1839" s="64"/>
      <c r="F1839" s="64"/>
      <c r="G1839" s="64"/>
    </row>
    <row r="1840" spans="2:7" ht="32.25" customHeight="1" x14ac:dyDescent="0.25">
      <c r="B1840" s="64"/>
      <c r="C1840" s="64"/>
      <c r="D1840" s="64"/>
      <c r="E1840" s="64"/>
      <c r="F1840" s="64"/>
      <c r="G1840" s="64"/>
    </row>
    <row r="1841" spans="2:7" ht="32.25" customHeight="1" x14ac:dyDescent="0.25">
      <c r="B1841" s="64"/>
      <c r="C1841" s="64"/>
      <c r="D1841" s="64"/>
      <c r="E1841" s="64"/>
      <c r="F1841" s="64"/>
      <c r="G1841" s="64"/>
    </row>
    <row r="1842" spans="2:7" ht="32.25" customHeight="1" x14ac:dyDescent="0.25">
      <c r="B1842" s="64"/>
      <c r="C1842" s="64"/>
      <c r="D1842" s="64"/>
      <c r="E1842" s="64"/>
      <c r="F1842" s="64"/>
      <c r="G1842" s="64"/>
    </row>
    <row r="1843" spans="2:7" ht="32.25" customHeight="1" x14ac:dyDescent="0.25">
      <c r="B1843" s="64"/>
      <c r="C1843" s="64"/>
      <c r="D1843" s="64"/>
      <c r="E1843" s="64"/>
      <c r="F1843" s="64"/>
      <c r="G1843" s="64"/>
    </row>
    <row r="1844" spans="2:7" ht="32.25" customHeight="1" x14ac:dyDescent="0.25">
      <c r="B1844" s="64"/>
      <c r="C1844" s="64"/>
      <c r="D1844" s="64"/>
      <c r="E1844" s="64"/>
      <c r="F1844" s="64"/>
      <c r="G1844" s="64"/>
    </row>
    <row r="1845" spans="2:7" ht="32.25" customHeight="1" x14ac:dyDescent="0.25">
      <c r="B1845" s="64"/>
      <c r="C1845" s="64"/>
      <c r="D1845" s="64"/>
      <c r="E1845" s="64"/>
      <c r="F1845" s="64"/>
      <c r="G1845" s="64"/>
    </row>
    <row r="1846" spans="2:7" ht="32.25" customHeight="1" x14ac:dyDescent="0.25">
      <c r="B1846" s="64"/>
      <c r="C1846" s="64"/>
      <c r="D1846" s="64"/>
      <c r="E1846" s="64"/>
      <c r="F1846" s="64"/>
      <c r="G1846" s="64"/>
    </row>
    <row r="1847" spans="2:7" ht="32.25" customHeight="1" x14ac:dyDescent="0.25">
      <c r="B1847" s="64"/>
      <c r="C1847" s="64"/>
      <c r="D1847" s="64"/>
      <c r="E1847" s="64"/>
      <c r="F1847" s="64"/>
      <c r="G1847" s="64"/>
    </row>
    <row r="1848" spans="2:7" ht="32.25" customHeight="1" x14ac:dyDescent="0.25">
      <c r="B1848" s="64"/>
      <c r="C1848" s="64"/>
      <c r="D1848" s="64"/>
      <c r="E1848" s="64"/>
      <c r="F1848" s="64"/>
      <c r="G1848" s="64"/>
    </row>
    <row r="1849" spans="2:7" ht="32.25" customHeight="1" x14ac:dyDescent="0.25">
      <c r="B1849" s="64"/>
      <c r="C1849" s="64"/>
      <c r="D1849" s="64"/>
      <c r="E1849" s="64"/>
      <c r="F1849" s="64"/>
      <c r="G1849" s="64"/>
    </row>
    <row r="1850" spans="2:7" ht="32.25" customHeight="1" x14ac:dyDescent="0.25">
      <c r="B1850" s="64"/>
      <c r="C1850" s="64"/>
      <c r="D1850" s="64"/>
      <c r="E1850" s="64"/>
      <c r="F1850" s="64"/>
      <c r="G1850" s="64"/>
    </row>
    <row r="1851" spans="2:7" ht="32.25" customHeight="1" x14ac:dyDescent="0.25">
      <c r="B1851" s="64"/>
      <c r="C1851" s="64"/>
      <c r="D1851" s="64"/>
      <c r="E1851" s="64"/>
      <c r="F1851" s="64"/>
      <c r="G1851" s="64"/>
    </row>
    <row r="1852" spans="2:7" ht="32.25" customHeight="1" x14ac:dyDescent="0.25">
      <c r="B1852" s="64"/>
      <c r="C1852" s="64"/>
      <c r="D1852" s="64"/>
      <c r="E1852" s="64"/>
      <c r="F1852" s="64"/>
      <c r="G1852" s="64"/>
    </row>
    <row r="1853" spans="2:7" ht="32.25" customHeight="1" x14ac:dyDescent="0.25">
      <c r="B1853" s="64"/>
      <c r="C1853" s="64"/>
      <c r="D1853" s="64"/>
      <c r="E1853" s="64"/>
      <c r="F1853" s="64"/>
      <c r="G1853" s="64"/>
    </row>
    <row r="1854" spans="2:7" ht="32.25" customHeight="1" x14ac:dyDescent="0.25">
      <c r="B1854" s="64"/>
      <c r="C1854" s="64"/>
      <c r="D1854" s="64"/>
      <c r="E1854" s="64"/>
      <c r="F1854" s="64"/>
      <c r="G1854" s="64"/>
    </row>
    <row r="1855" spans="2:7" ht="32.25" customHeight="1" x14ac:dyDescent="0.25">
      <c r="B1855" s="64"/>
      <c r="C1855" s="64"/>
      <c r="D1855" s="64"/>
      <c r="E1855" s="64"/>
      <c r="F1855" s="64"/>
      <c r="G1855" s="64"/>
    </row>
    <row r="1856" spans="2:7" ht="32.25" customHeight="1" x14ac:dyDescent="0.25">
      <c r="B1856" s="64"/>
      <c r="C1856" s="64"/>
      <c r="D1856" s="64"/>
      <c r="E1856" s="64"/>
      <c r="F1856" s="64"/>
      <c r="G1856" s="64"/>
    </row>
    <row r="1857" spans="2:7" ht="32.25" customHeight="1" x14ac:dyDescent="0.25">
      <c r="B1857" s="64"/>
      <c r="C1857" s="64"/>
      <c r="D1857" s="64"/>
      <c r="E1857" s="64"/>
      <c r="F1857" s="64"/>
      <c r="G1857" s="64"/>
    </row>
    <row r="1858" spans="2:7" ht="32.25" customHeight="1" x14ac:dyDescent="0.25">
      <c r="B1858" s="64"/>
      <c r="C1858" s="64"/>
      <c r="D1858" s="64"/>
      <c r="E1858" s="64"/>
      <c r="F1858" s="64"/>
      <c r="G1858" s="64"/>
    </row>
    <row r="1859" spans="2:7" ht="32.25" customHeight="1" x14ac:dyDescent="0.25">
      <c r="B1859" s="64"/>
      <c r="C1859" s="64"/>
      <c r="D1859" s="64"/>
      <c r="E1859" s="64"/>
      <c r="F1859" s="64"/>
      <c r="G1859" s="64"/>
    </row>
    <row r="1860" spans="2:7" ht="32.25" customHeight="1" x14ac:dyDescent="0.25">
      <c r="B1860" s="64"/>
      <c r="C1860" s="64"/>
      <c r="D1860" s="64"/>
      <c r="E1860" s="64"/>
      <c r="F1860" s="64"/>
      <c r="G1860" s="64"/>
    </row>
    <row r="1861" spans="2:7" ht="32.25" customHeight="1" x14ac:dyDescent="0.25">
      <c r="B1861" s="64"/>
      <c r="C1861" s="64"/>
      <c r="D1861" s="64"/>
      <c r="E1861" s="64"/>
      <c r="F1861" s="64"/>
      <c r="G1861" s="64"/>
    </row>
    <row r="1862" spans="2:7" ht="32.25" customHeight="1" x14ac:dyDescent="0.25">
      <c r="B1862" s="64"/>
      <c r="C1862" s="64"/>
      <c r="D1862" s="64"/>
      <c r="E1862" s="64"/>
      <c r="F1862" s="64"/>
      <c r="G1862" s="64"/>
    </row>
    <row r="1863" spans="2:7" ht="32.25" customHeight="1" x14ac:dyDescent="0.25">
      <c r="B1863" s="64"/>
      <c r="C1863" s="64"/>
      <c r="D1863" s="64"/>
      <c r="E1863" s="64"/>
      <c r="F1863" s="64"/>
      <c r="G1863" s="64"/>
    </row>
    <row r="1864" spans="2:7" ht="32.25" customHeight="1" x14ac:dyDescent="0.25">
      <c r="B1864" s="64"/>
      <c r="C1864" s="64"/>
      <c r="D1864" s="64"/>
      <c r="E1864" s="64"/>
      <c r="F1864" s="64"/>
      <c r="G1864" s="64"/>
    </row>
    <row r="1865" spans="2:7" ht="32.25" customHeight="1" x14ac:dyDescent="0.25">
      <c r="B1865" s="64"/>
      <c r="C1865" s="64"/>
      <c r="D1865" s="64"/>
      <c r="E1865" s="64"/>
      <c r="F1865" s="64"/>
      <c r="G1865" s="64"/>
    </row>
    <row r="1866" spans="2:7" ht="32.25" customHeight="1" x14ac:dyDescent="0.25">
      <c r="B1866" s="64"/>
      <c r="C1866" s="64"/>
      <c r="D1866" s="64"/>
      <c r="E1866" s="64"/>
      <c r="F1866" s="64"/>
      <c r="G1866" s="64"/>
    </row>
    <row r="1867" spans="2:7" ht="32.25" customHeight="1" x14ac:dyDescent="0.25">
      <c r="B1867" s="64"/>
      <c r="C1867" s="64"/>
      <c r="D1867" s="64"/>
      <c r="E1867" s="64"/>
      <c r="F1867" s="64"/>
      <c r="G1867" s="64"/>
    </row>
    <row r="1868" spans="2:7" ht="32.25" customHeight="1" x14ac:dyDescent="0.25">
      <c r="B1868" s="64"/>
      <c r="C1868" s="64"/>
      <c r="D1868" s="64"/>
      <c r="E1868" s="64"/>
      <c r="F1868" s="64"/>
      <c r="G1868" s="64"/>
    </row>
    <row r="1869" spans="2:7" ht="32.25" customHeight="1" x14ac:dyDescent="0.25">
      <c r="B1869" s="64"/>
      <c r="C1869" s="64"/>
      <c r="D1869" s="64"/>
      <c r="E1869" s="64"/>
      <c r="F1869" s="64"/>
      <c r="G1869" s="64"/>
    </row>
    <row r="1870" spans="2:7" ht="32.25" customHeight="1" x14ac:dyDescent="0.25">
      <c r="B1870" s="64"/>
      <c r="C1870" s="64"/>
      <c r="D1870" s="64"/>
      <c r="E1870" s="64"/>
      <c r="F1870" s="64"/>
      <c r="G1870" s="64"/>
    </row>
    <row r="1871" spans="2:7" ht="32.25" customHeight="1" x14ac:dyDescent="0.25">
      <c r="B1871" s="64"/>
      <c r="C1871" s="64"/>
      <c r="D1871" s="64"/>
      <c r="E1871" s="64"/>
      <c r="F1871" s="64"/>
      <c r="G1871" s="64"/>
    </row>
    <row r="1872" spans="2:7" ht="32.25" customHeight="1" x14ac:dyDescent="0.25">
      <c r="B1872" s="64"/>
      <c r="C1872" s="64"/>
      <c r="D1872" s="64"/>
      <c r="E1872" s="64"/>
      <c r="F1872" s="64"/>
      <c r="G1872" s="64"/>
    </row>
    <row r="1873" spans="2:7" ht="32.25" customHeight="1" x14ac:dyDescent="0.25">
      <c r="B1873" s="64"/>
      <c r="C1873" s="64"/>
      <c r="D1873" s="64"/>
      <c r="E1873" s="64"/>
      <c r="F1873" s="64"/>
      <c r="G1873" s="64"/>
    </row>
    <row r="1874" spans="2:7" ht="32.25" customHeight="1" x14ac:dyDescent="0.25">
      <c r="B1874" s="64"/>
      <c r="C1874" s="64"/>
      <c r="D1874" s="64"/>
      <c r="E1874" s="64"/>
      <c r="F1874" s="64"/>
      <c r="G1874" s="64"/>
    </row>
    <row r="1875" spans="2:7" ht="32.25" customHeight="1" x14ac:dyDescent="0.25">
      <c r="B1875" s="64"/>
      <c r="C1875" s="64"/>
      <c r="D1875" s="64"/>
      <c r="E1875" s="64"/>
      <c r="F1875" s="64"/>
      <c r="G1875" s="64"/>
    </row>
    <row r="1876" spans="2:7" ht="32.25" customHeight="1" x14ac:dyDescent="0.25">
      <c r="B1876" s="64"/>
      <c r="C1876" s="64"/>
      <c r="D1876" s="64"/>
      <c r="E1876" s="64"/>
      <c r="F1876" s="64"/>
      <c r="G1876" s="64"/>
    </row>
    <row r="1877" spans="2:7" ht="32.25" customHeight="1" x14ac:dyDescent="0.25">
      <c r="B1877" s="64"/>
      <c r="C1877" s="64"/>
      <c r="D1877" s="64"/>
      <c r="E1877" s="64"/>
      <c r="F1877" s="64"/>
      <c r="G1877" s="64"/>
    </row>
    <row r="1878" spans="2:7" ht="32.25" customHeight="1" x14ac:dyDescent="0.25">
      <c r="B1878" s="64"/>
      <c r="C1878" s="64"/>
      <c r="D1878" s="64"/>
      <c r="E1878" s="64"/>
      <c r="F1878" s="64"/>
      <c r="G1878" s="64"/>
    </row>
    <row r="1879" spans="2:7" ht="32.25" customHeight="1" x14ac:dyDescent="0.25">
      <c r="B1879" s="64"/>
      <c r="C1879" s="64"/>
      <c r="D1879" s="64"/>
      <c r="E1879" s="64"/>
      <c r="F1879" s="64"/>
      <c r="G1879" s="64"/>
    </row>
    <row r="1880" spans="2:7" ht="32.25" customHeight="1" x14ac:dyDescent="0.25">
      <c r="B1880" s="64"/>
      <c r="C1880" s="64"/>
      <c r="D1880" s="64"/>
      <c r="E1880" s="64"/>
      <c r="F1880" s="64"/>
      <c r="G1880" s="64"/>
    </row>
    <row r="1881" spans="2:7" ht="32.25" customHeight="1" x14ac:dyDescent="0.25">
      <c r="B1881" s="64"/>
      <c r="C1881" s="64"/>
      <c r="D1881" s="64"/>
      <c r="E1881" s="64"/>
      <c r="F1881" s="64"/>
      <c r="G1881" s="64"/>
    </row>
    <row r="1882" spans="2:7" ht="32.25" customHeight="1" x14ac:dyDescent="0.25">
      <c r="B1882" s="64"/>
      <c r="C1882" s="64"/>
      <c r="D1882" s="64"/>
      <c r="E1882" s="64"/>
      <c r="F1882" s="64"/>
      <c r="G1882" s="64"/>
    </row>
    <row r="1883" spans="2:7" ht="32.25" customHeight="1" x14ac:dyDescent="0.25">
      <c r="B1883" s="64"/>
      <c r="C1883" s="64"/>
      <c r="D1883" s="64"/>
      <c r="E1883" s="64"/>
      <c r="F1883" s="64"/>
      <c r="G1883" s="64"/>
    </row>
    <row r="1884" spans="2:7" ht="32.25" customHeight="1" x14ac:dyDescent="0.25">
      <c r="B1884" s="64"/>
      <c r="C1884" s="64"/>
      <c r="D1884" s="64"/>
      <c r="E1884" s="64"/>
      <c r="F1884" s="64"/>
      <c r="G1884" s="64"/>
    </row>
    <row r="1885" spans="2:7" ht="32.25" customHeight="1" x14ac:dyDescent="0.25">
      <c r="B1885" s="64"/>
      <c r="C1885" s="64"/>
      <c r="D1885" s="64"/>
      <c r="E1885" s="64"/>
      <c r="F1885" s="64"/>
      <c r="G1885" s="64"/>
    </row>
    <row r="1886" spans="2:7" ht="32.25" customHeight="1" x14ac:dyDescent="0.25">
      <c r="B1886" s="64"/>
      <c r="C1886" s="64"/>
      <c r="D1886" s="64"/>
      <c r="E1886" s="64"/>
      <c r="F1886" s="64"/>
      <c r="G1886" s="64"/>
    </row>
    <row r="1887" spans="2:7" ht="32.25" customHeight="1" x14ac:dyDescent="0.25">
      <c r="B1887" s="64"/>
      <c r="C1887" s="64"/>
      <c r="D1887" s="64"/>
      <c r="E1887" s="64"/>
      <c r="F1887" s="64"/>
      <c r="G1887" s="64"/>
    </row>
    <row r="1888" spans="2:7" ht="32.25" customHeight="1" x14ac:dyDescent="0.25">
      <c r="B1888" s="64"/>
      <c r="C1888" s="64"/>
      <c r="D1888" s="64"/>
      <c r="E1888" s="64"/>
      <c r="F1888" s="64"/>
      <c r="G1888" s="64"/>
    </row>
    <row r="1889" spans="2:7" ht="32.25" customHeight="1" x14ac:dyDescent="0.25">
      <c r="B1889" s="64"/>
      <c r="C1889" s="64"/>
      <c r="D1889" s="64"/>
      <c r="E1889" s="64"/>
      <c r="F1889" s="64"/>
      <c r="G1889" s="64"/>
    </row>
    <row r="1890" spans="2:7" ht="32.25" customHeight="1" x14ac:dyDescent="0.25">
      <c r="B1890" s="64"/>
      <c r="C1890" s="64"/>
      <c r="D1890" s="64"/>
      <c r="E1890" s="64"/>
      <c r="F1890" s="64"/>
      <c r="G1890" s="64"/>
    </row>
    <row r="1891" spans="2:7" ht="32.25" customHeight="1" x14ac:dyDescent="0.25">
      <c r="B1891" s="64"/>
      <c r="C1891" s="64"/>
      <c r="D1891" s="64"/>
      <c r="E1891" s="64"/>
      <c r="F1891" s="64"/>
      <c r="G1891" s="64"/>
    </row>
    <row r="1892" spans="2:7" ht="32.25" customHeight="1" x14ac:dyDescent="0.25">
      <c r="B1892" s="64"/>
      <c r="C1892" s="64"/>
      <c r="D1892" s="64"/>
      <c r="E1892" s="64"/>
      <c r="F1892" s="64"/>
      <c r="G1892" s="64"/>
    </row>
    <row r="1893" spans="2:7" ht="32.25" customHeight="1" x14ac:dyDescent="0.25">
      <c r="B1893" s="64"/>
      <c r="C1893" s="64"/>
      <c r="D1893" s="64"/>
      <c r="E1893" s="64"/>
      <c r="F1893" s="64"/>
      <c r="G1893" s="64"/>
    </row>
    <row r="1894" spans="2:7" ht="32.25" customHeight="1" x14ac:dyDescent="0.25">
      <c r="B1894" s="64"/>
      <c r="C1894" s="64"/>
      <c r="D1894" s="64"/>
      <c r="E1894" s="64"/>
      <c r="F1894" s="64"/>
      <c r="G1894" s="64"/>
    </row>
    <row r="1895" spans="2:7" ht="32.25" customHeight="1" x14ac:dyDescent="0.25">
      <c r="B1895" s="64"/>
      <c r="C1895" s="64"/>
      <c r="D1895" s="64"/>
      <c r="E1895" s="64"/>
      <c r="F1895" s="64"/>
      <c r="G1895" s="64"/>
    </row>
    <row r="1896" spans="2:7" ht="32.25" customHeight="1" x14ac:dyDescent="0.25">
      <c r="B1896" s="64"/>
      <c r="C1896" s="64"/>
      <c r="D1896" s="64"/>
      <c r="E1896" s="64"/>
      <c r="F1896" s="64"/>
      <c r="G1896" s="64"/>
    </row>
    <row r="1897" spans="2:7" ht="32.25" customHeight="1" x14ac:dyDescent="0.25">
      <c r="B1897" s="64"/>
      <c r="C1897" s="64"/>
      <c r="D1897" s="64"/>
      <c r="E1897" s="64"/>
      <c r="F1897" s="64"/>
      <c r="G1897" s="64"/>
    </row>
    <row r="1898" spans="2:7" ht="32.25" customHeight="1" x14ac:dyDescent="0.25">
      <c r="B1898" s="64"/>
      <c r="C1898" s="64"/>
      <c r="D1898" s="64"/>
      <c r="E1898" s="64"/>
      <c r="F1898" s="64"/>
      <c r="G1898" s="64"/>
    </row>
    <row r="1899" spans="2:7" ht="32.25" customHeight="1" x14ac:dyDescent="0.25">
      <c r="B1899" s="64"/>
      <c r="C1899" s="64"/>
      <c r="D1899" s="64"/>
      <c r="E1899" s="64"/>
      <c r="F1899" s="64"/>
      <c r="G1899" s="64"/>
    </row>
    <row r="1900" spans="2:7" ht="32.25" customHeight="1" x14ac:dyDescent="0.25">
      <c r="B1900" s="64"/>
      <c r="C1900" s="64"/>
      <c r="D1900" s="64"/>
      <c r="E1900" s="64"/>
      <c r="F1900" s="64"/>
      <c r="G1900" s="64"/>
    </row>
    <row r="1901" spans="2:7" ht="32.25" customHeight="1" x14ac:dyDescent="0.25">
      <c r="B1901" s="64"/>
      <c r="C1901" s="64"/>
      <c r="D1901" s="64"/>
      <c r="E1901" s="64"/>
      <c r="F1901" s="64"/>
      <c r="G1901" s="64"/>
    </row>
    <row r="1902" spans="2:7" ht="32.25" customHeight="1" x14ac:dyDescent="0.25">
      <c r="B1902" s="64"/>
      <c r="C1902" s="64"/>
      <c r="D1902" s="64"/>
      <c r="E1902" s="64"/>
      <c r="F1902" s="64"/>
      <c r="G1902" s="64"/>
    </row>
    <row r="1903" spans="2:7" ht="32.25" customHeight="1" x14ac:dyDescent="0.25">
      <c r="B1903" s="64"/>
      <c r="C1903" s="64"/>
      <c r="D1903" s="64"/>
      <c r="E1903" s="64"/>
      <c r="F1903" s="64"/>
      <c r="G1903" s="64"/>
    </row>
    <row r="1904" spans="2:7" ht="32.25" customHeight="1" x14ac:dyDescent="0.25">
      <c r="B1904" s="64"/>
      <c r="C1904" s="64"/>
      <c r="D1904" s="64"/>
      <c r="E1904" s="64"/>
      <c r="F1904" s="64"/>
      <c r="G1904" s="64"/>
    </row>
    <row r="1905" spans="2:7" ht="32.25" customHeight="1" x14ac:dyDescent="0.25">
      <c r="B1905" s="64"/>
      <c r="C1905" s="64"/>
      <c r="D1905" s="64"/>
      <c r="E1905" s="64"/>
      <c r="F1905" s="64"/>
      <c r="G1905" s="64"/>
    </row>
    <row r="1906" spans="2:7" ht="32.25" customHeight="1" x14ac:dyDescent="0.25">
      <c r="B1906" s="64"/>
      <c r="C1906" s="64"/>
      <c r="D1906" s="64"/>
      <c r="E1906" s="64"/>
      <c r="F1906" s="64"/>
      <c r="G1906" s="64"/>
    </row>
    <row r="1907" spans="2:7" ht="32.25" customHeight="1" x14ac:dyDescent="0.25">
      <c r="B1907" s="64"/>
      <c r="C1907" s="64"/>
      <c r="D1907" s="64"/>
      <c r="E1907" s="64"/>
      <c r="F1907" s="64"/>
      <c r="G1907" s="64"/>
    </row>
    <row r="1908" spans="2:7" ht="32.25" customHeight="1" x14ac:dyDescent="0.25">
      <c r="B1908" s="64"/>
      <c r="C1908" s="64"/>
      <c r="D1908" s="64"/>
      <c r="E1908" s="64"/>
      <c r="F1908" s="64"/>
      <c r="G1908" s="64"/>
    </row>
    <row r="1909" spans="2:7" ht="32.25" customHeight="1" x14ac:dyDescent="0.25">
      <c r="B1909" s="64"/>
      <c r="C1909" s="64"/>
      <c r="D1909" s="64"/>
      <c r="E1909" s="64"/>
      <c r="F1909" s="64"/>
      <c r="G1909" s="64"/>
    </row>
    <row r="1910" spans="2:7" ht="32.25" customHeight="1" x14ac:dyDescent="0.25">
      <c r="B1910" s="64"/>
      <c r="C1910" s="64"/>
      <c r="D1910" s="64"/>
      <c r="E1910" s="64"/>
      <c r="F1910" s="64"/>
      <c r="G1910" s="64"/>
    </row>
    <row r="1911" spans="2:7" ht="32.25" customHeight="1" x14ac:dyDescent="0.25">
      <c r="B1911" s="64"/>
      <c r="C1911" s="64"/>
      <c r="D1911" s="64"/>
      <c r="E1911" s="64"/>
      <c r="F1911" s="64"/>
      <c r="G1911" s="64"/>
    </row>
    <row r="1912" spans="2:7" ht="32.25" customHeight="1" x14ac:dyDescent="0.25">
      <c r="B1912" s="64"/>
      <c r="C1912" s="64"/>
      <c r="D1912" s="64"/>
      <c r="E1912" s="64"/>
      <c r="F1912" s="64"/>
      <c r="G1912" s="64"/>
    </row>
    <row r="1913" spans="2:7" ht="32.25" customHeight="1" x14ac:dyDescent="0.25">
      <c r="B1913" s="64"/>
      <c r="C1913" s="64"/>
      <c r="D1913" s="64"/>
      <c r="E1913" s="64"/>
      <c r="F1913" s="64"/>
      <c r="G1913" s="64"/>
    </row>
    <row r="1914" spans="2:7" ht="32.25" customHeight="1" x14ac:dyDescent="0.25">
      <c r="B1914" s="64"/>
      <c r="C1914" s="64"/>
      <c r="D1914" s="64"/>
      <c r="E1914" s="64"/>
      <c r="F1914" s="64"/>
      <c r="G1914" s="64"/>
    </row>
    <row r="1915" spans="2:7" ht="32.25" customHeight="1" x14ac:dyDescent="0.25">
      <c r="B1915" s="64"/>
      <c r="C1915" s="64"/>
      <c r="D1915" s="64"/>
      <c r="E1915" s="64"/>
      <c r="F1915" s="64"/>
      <c r="G1915" s="64"/>
    </row>
    <row r="1916" spans="2:7" ht="32.25" customHeight="1" x14ac:dyDescent="0.25">
      <c r="B1916" s="64"/>
      <c r="C1916" s="64"/>
      <c r="D1916" s="64"/>
      <c r="E1916" s="64"/>
      <c r="F1916" s="64"/>
      <c r="G1916" s="64"/>
    </row>
    <row r="1917" spans="2:7" ht="32.25" customHeight="1" x14ac:dyDescent="0.25">
      <c r="B1917" s="64"/>
      <c r="C1917" s="64"/>
      <c r="D1917" s="64"/>
      <c r="E1917" s="64"/>
      <c r="F1917" s="64"/>
      <c r="G1917" s="64"/>
    </row>
    <row r="1918" spans="2:7" ht="32.25" customHeight="1" x14ac:dyDescent="0.25">
      <c r="B1918" s="64"/>
      <c r="C1918" s="64"/>
      <c r="D1918" s="64"/>
      <c r="E1918" s="64"/>
      <c r="F1918" s="64"/>
      <c r="G1918" s="64"/>
    </row>
    <row r="1919" spans="2:7" ht="32.25" customHeight="1" x14ac:dyDescent="0.25">
      <c r="B1919" s="64"/>
      <c r="C1919" s="64"/>
      <c r="D1919" s="64"/>
      <c r="E1919" s="64"/>
      <c r="F1919" s="64"/>
      <c r="G1919" s="64"/>
    </row>
    <row r="1920" spans="2:7" ht="32.25" customHeight="1" x14ac:dyDescent="0.25">
      <c r="B1920" s="64"/>
      <c r="C1920" s="64"/>
      <c r="D1920" s="64"/>
      <c r="E1920" s="64"/>
      <c r="F1920" s="64"/>
      <c r="G1920" s="64"/>
    </row>
    <row r="1921" spans="2:7" ht="32.25" customHeight="1" x14ac:dyDescent="0.25">
      <c r="B1921" s="64"/>
      <c r="C1921" s="64"/>
      <c r="D1921" s="64"/>
      <c r="E1921" s="64"/>
      <c r="F1921" s="64"/>
      <c r="G1921" s="64"/>
    </row>
    <row r="1922" spans="2:7" ht="32.25" customHeight="1" x14ac:dyDescent="0.25">
      <c r="B1922" s="64"/>
      <c r="C1922" s="64"/>
      <c r="D1922" s="64"/>
      <c r="E1922" s="64"/>
      <c r="F1922" s="64"/>
      <c r="G1922" s="64"/>
    </row>
    <row r="1923" spans="2:7" ht="32.25" customHeight="1" x14ac:dyDescent="0.25">
      <c r="B1923" s="64"/>
      <c r="C1923" s="64"/>
      <c r="D1923" s="64"/>
      <c r="E1923" s="64"/>
      <c r="F1923" s="64"/>
      <c r="G1923" s="64"/>
    </row>
    <row r="1924" spans="2:7" ht="32.25" customHeight="1" x14ac:dyDescent="0.25">
      <c r="B1924" s="64"/>
      <c r="C1924" s="64"/>
      <c r="D1924" s="64"/>
      <c r="E1924" s="64"/>
      <c r="F1924" s="64"/>
      <c r="G1924" s="64"/>
    </row>
    <row r="1925" spans="2:7" ht="32.25" customHeight="1" x14ac:dyDescent="0.25">
      <c r="B1925" s="64"/>
      <c r="C1925" s="64"/>
      <c r="D1925" s="64"/>
      <c r="E1925" s="64"/>
      <c r="F1925" s="64"/>
      <c r="G1925" s="64"/>
    </row>
    <row r="1926" spans="2:7" ht="32.25" customHeight="1" x14ac:dyDescent="0.25">
      <c r="B1926" s="64"/>
      <c r="C1926" s="64"/>
      <c r="D1926" s="64"/>
      <c r="E1926" s="64"/>
      <c r="F1926" s="64"/>
      <c r="G1926" s="64"/>
    </row>
    <row r="1927" spans="2:7" ht="32.25" customHeight="1" x14ac:dyDescent="0.25">
      <c r="B1927" s="64"/>
      <c r="C1927" s="64"/>
      <c r="D1927" s="64"/>
      <c r="E1927" s="64"/>
      <c r="F1927" s="64"/>
      <c r="G1927" s="64"/>
    </row>
    <row r="1928" spans="2:7" ht="32.25" customHeight="1" x14ac:dyDescent="0.25">
      <c r="B1928" s="64"/>
      <c r="C1928" s="64"/>
      <c r="D1928" s="64"/>
      <c r="E1928" s="64"/>
      <c r="F1928" s="64"/>
      <c r="G1928" s="64"/>
    </row>
    <row r="1929" spans="2:7" ht="32.25" customHeight="1" x14ac:dyDescent="0.25">
      <c r="B1929" s="64"/>
      <c r="C1929" s="64"/>
      <c r="D1929" s="64"/>
      <c r="E1929" s="64"/>
      <c r="F1929" s="64"/>
      <c r="G1929" s="64"/>
    </row>
    <row r="1930" spans="2:7" ht="32.25" customHeight="1" x14ac:dyDescent="0.25">
      <c r="B1930" s="64"/>
      <c r="C1930" s="64"/>
      <c r="D1930" s="64"/>
      <c r="E1930" s="64"/>
      <c r="F1930" s="64"/>
      <c r="G1930" s="64"/>
    </row>
    <row r="1931" spans="2:7" ht="32.25" customHeight="1" x14ac:dyDescent="0.25">
      <c r="B1931" s="64"/>
      <c r="C1931" s="64"/>
      <c r="D1931" s="64"/>
      <c r="E1931" s="64"/>
      <c r="F1931" s="64"/>
      <c r="G1931" s="64"/>
    </row>
    <row r="1932" spans="2:7" ht="32.25" customHeight="1" x14ac:dyDescent="0.25">
      <c r="B1932" s="64"/>
      <c r="C1932" s="64"/>
      <c r="D1932" s="64"/>
      <c r="E1932" s="64"/>
      <c r="F1932" s="64"/>
      <c r="G1932" s="64"/>
    </row>
    <row r="1933" spans="2:7" ht="32.25" customHeight="1" x14ac:dyDescent="0.25">
      <c r="B1933" s="64"/>
      <c r="C1933" s="64"/>
      <c r="D1933" s="64"/>
      <c r="E1933" s="64"/>
      <c r="F1933" s="64"/>
      <c r="G1933" s="64"/>
    </row>
    <row r="1934" spans="2:7" ht="32.25" customHeight="1" x14ac:dyDescent="0.25">
      <c r="B1934" s="64"/>
      <c r="C1934" s="64"/>
      <c r="D1934" s="64"/>
      <c r="E1934" s="64"/>
      <c r="F1934" s="64"/>
      <c r="G1934" s="64"/>
    </row>
    <row r="1935" spans="2:7" ht="32.25" customHeight="1" x14ac:dyDescent="0.25">
      <c r="B1935" s="64"/>
      <c r="C1935" s="64"/>
      <c r="D1935" s="64"/>
      <c r="E1935" s="64"/>
      <c r="F1935" s="64"/>
      <c r="G1935" s="64"/>
    </row>
    <row r="1936" spans="2:7" ht="32.25" customHeight="1" x14ac:dyDescent="0.25">
      <c r="B1936" s="64"/>
      <c r="C1936" s="64"/>
      <c r="D1936" s="64"/>
      <c r="E1936" s="64"/>
      <c r="F1936" s="64"/>
      <c r="G1936" s="64"/>
    </row>
    <row r="1937" spans="2:7" ht="32.25" customHeight="1" x14ac:dyDescent="0.25">
      <c r="B1937" s="64"/>
      <c r="C1937" s="64"/>
      <c r="D1937" s="64"/>
      <c r="E1937" s="64"/>
      <c r="F1937" s="64"/>
      <c r="G1937" s="64"/>
    </row>
    <row r="1938" spans="2:7" ht="32.25" customHeight="1" x14ac:dyDescent="0.25">
      <c r="B1938" s="64"/>
      <c r="C1938" s="64"/>
      <c r="D1938" s="64"/>
      <c r="E1938" s="64"/>
      <c r="F1938" s="64"/>
      <c r="G1938" s="64"/>
    </row>
    <row r="1939" spans="2:7" ht="32.25" customHeight="1" x14ac:dyDescent="0.25">
      <c r="B1939" s="64"/>
      <c r="C1939" s="64"/>
      <c r="D1939" s="64"/>
      <c r="E1939" s="64"/>
      <c r="F1939" s="64"/>
      <c r="G1939" s="64"/>
    </row>
    <row r="1940" spans="2:7" ht="32.25" customHeight="1" x14ac:dyDescent="0.25">
      <c r="B1940" s="64"/>
      <c r="C1940" s="64"/>
      <c r="D1940" s="64"/>
      <c r="E1940" s="64"/>
      <c r="F1940" s="64"/>
      <c r="G1940" s="64"/>
    </row>
    <row r="1941" spans="2:7" ht="32.25" customHeight="1" x14ac:dyDescent="0.25">
      <c r="B1941" s="64"/>
      <c r="C1941" s="64"/>
      <c r="D1941" s="64"/>
      <c r="E1941" s="64"/>
      <c r="F1941" s="64"/>
      <c r="G1941" s="64"/>
    </row>
    <row r="1942" spans="2:7" ht="32.25" customHeight="1" x14ac:dyDescent="0.25">
      <c r="B1942" s="64"/>
      <c r="C1942" s="64"/>
      <c r="D1942" s="64"/>
      <c r="E1942" s="64"/>
      <c r="F1942" s="64"/>
      <c r="G1942" s="64"/>
    </row>
    <row r="1943" spans="2:7" ht="32.25" customHeight="1" x14ac:dyDescent="0.25">
      <c r="B1943" s="64"/>
      <c r="C1943" s="64"/>
      <c r="D1943" s="64"/>
      <c r="E1943" s="64"/>
      <c r="F1943" s="64"/>
      <c r="G1943" s="64"/>
    </row>
    <row r="1944" spans="2:7" ht="32.25" customHeight="1" x14ac:dyDescent="0.25">
      <c r="B1944" s="64"/>
      <c r="C1944" s="64"/>
      <c r="D1944" s="64"/>
      <c r="E1944" s="64"/>
      <c r="F1944" s="64"/>
      <c r="G1944" s="64"/>
    </row>
    <row r="1945" spans="2:7" ht="32.25" customHeight="1" x14ac:dyDescent="0.25">
      <c r="B1945" s="64"/>
      <c r="C1945" s="64"/>
      <c r="D1945" s="64"/>
      <c r="E1945" s="64"/>
      <c r="F1945" s="64"/>
      <c r="G1945" s="64"/>
    </row>
    <row r="1946" spans="2:7" ht="32.25" customHeight="1" x14ac:dyDescent="0.25">
      <c r="B1946" s="64"/>
      <c r="C1946" s="64"/>
      <c r="D1946" s="64"/>
      <c r="E1946" s="64"/>
      <c r="F1946" s="64"/>
      <c r="G1946" s="64"/>
    </row>
    <row r="1947" spans="2:7" ht="32.25" customHeight="1" x14ac:dyDescent="0.25">
      <c r="B1947" s="64"/>
      <c r="C1947" s="64"/>
      <c r="D1947" s="64"/>
      <c r="E1947" s="64"/>
      <c r="F1947" s="64"/>
      <c r="G1947" s="64"/>
    </row>
    <row r="1948" spans="2:7" ht="32.25" customHeight="1" x14ac:dyDescent="0.25">
      <c r="B1948" s="64"/>
      <c r="C1948" s="64"/>
      <c r="D1948" s="64"/>
      <c r="E1948" s="64"/>
      <c r="F1948" s="64"/>
      <c r="G1948" s="64"/>
    </row>
    <row r="1949" spans="2:7" ht="32.25" customHeight="1" x14ac:dyDescent="0.25">
      <c r="B1949" s="64"/>
      <c r="C1949" s="64"/>
      <c r="D1949" s="64"/>
      <c r="E1949" s="64"/>
      <c r="F1949" s="64"/>
      <c r="G1949" s="64"/>
    </row>
    <row r="1950" spans="2:7" ht="32.25" customHeight="1" x14ac:dyDescent="0.25">
      <c r="B1950" s="64"/>
      <c r="C1950" s="64"/>
      <c r="D1950" s="64"/>
      <c r="E1950" s="64"/>
      <c r="F1950" s="64"/>
      <c r="G1950" s="64"/>
    </row>
    <row r="1951" spans="2:7" ht="32.25" customHeight="1" x14ac:dyDescent="0.25">
      <c r="B1951" s="64"/>
      <c r="C1951" s="64"/>
      <c r="D1951" s="64"/>
      <c r="E1951" s="64"/>
      <c r="F1951" s="64"/>
      <c r="G1951" s="64"/>
    </row>
    <row r="1952" spans="2:7" ht="32.25" customHeight="1" x14ac:dyDescent="0.25">
      <c r="B1952" s="64"/>
      <c r="C1952" s="64"/>
      <c r="D1952" s="64"/>
      <c r="E1952" s="64"/>
      <c r="F1952" s="64"/>
      <c r="G1952" s="64"/>
    </row>
    <row r="1953" spans="2:7" ht="32.25" customHeight="1" x14ac:dyDescent="0.25">
      <c r="B1953" s="64"/>
      <c r="C1953" s="64"/>
      <c r="D1953" s="64"/>
      <c r="E1953" s="64"/>
      <c r="F1953" s="64"/>
      <c r="G1953" s="64"/>
    </row>
    <row r="1954" spans="2:7" ht="32.25" customHeight="1" x14ac:dyDescent="0.25">
      <c r="B1954" s="64"/>
      <c r="C1954" s="64"/>
      <c r="D1954" s="64"/>
      <c r="E1954" s="64"/>
      <c r="F1954" s="64"/>
      <c r="G1954" s="64"/>
    </row>
    <row r="1955" spans="2:7" ht="32.25" customHeight="1" x14ac:dyDescent="0.25">
      <c r="B1955" s="64"/>
      <c r="C1955" s="64"/>
      <c r="D1955" s="64"/>
      <c r="E1955" s="64"/>
      <c r="F1955" s="64"/>
      <c r="G1955" s="64"/>
    </row>
    <row r="1956" spans="2:7" ht="32.25" customHeight="1" x14ac:dyDescent="0.25">
      <c r="B1956" s="64"/>
      <c r="C1956" s="64"/>
      <c r="D1956" s="64"/>
      <c r="E1956" s="64"/>
      <c r="F1956" s="64"/>
      <c r="G1956" s="64"/>
    </row>
    <row r="1957" spans="2:7" ht="32.25" customHeight="1" x14ac:dyDescent="0.25">
      <c r="B1957" s="64"/>
      <c r="C1957" s="64"/>
      <c r="D1957" s="64"/>
      <c r="E1957" s="64"/>
      <c r="F1957" s="64"/>
      <c r="G1957" s="64"/>
    </row>
    <row r="1958" spans="2:7" ht="32.25" customHeight="1" x14ac:dyDescent="0.25">
      <c r="B1958" s="64"/>
      <c r="C1958" s="64"/>
      <c r="D1958" s="64"/>
      <c r="E1958" s="64"/>
      <c r="F1958" s="64"/>
      <c r="G1958" s="64"/>
    </row>
    <row r="1959" spans="2:7" ht="32.25" customHeight="1" x14ac:dyDescent="0.25">
      <c r="B1959" s="64"/>
      <c r="C1959" s="64"/>
      <c r="D1959" s="64"/>
      <c r="E1959" s="64"/>
      <c r="F1959" s="64"/>
      <c r="G1959" s="64"/>
    </row>
    <row r="1960" spans="2:7" ht="32.25" customHeight="1" x14ac:dyDescent="0.25">
      <c r="B1960" s="64"/>
      <c r="C1960" s="64"/>
      <c r="D1960" s="64"/>
      <c r="E1960" s="64"/>
      <c r="F1960" s="64"/>
      <c r="G1960" s="64"/>
    </row>
    <row r="1961" spans="2:7" ht="32.25" customHeight="1" x14ac:dyDescent="0.25">
      <c r="B1961" s="64"/>
      <c r="C1961" s="64"/>
      <c r="D1961" s="64"/>
      <c r="E1961" s="64"/>
      <c r="F1961" s="64"/>
      <c r="G1961" s="64"/>
    </row>
    <row r="1962" spans="2:7" ht="32.25" customHeight="1" x14ac:dyDescent="0.25">
      <c r="B1962" s="64"/>
      <c r="C1962" s="64"/>
      <c r="D1962" s="64"/>
      <c r="E1962" s="64"/>
      <c r="F1962" s="64"/>
      <c r="G1962" s="64"/>
    </row>
    <row r="1963" spans="2:7" ht="32.25" customHeight="1" x14ac:dyDescent="0.25">
      <c r="B1963" s="64"/>
      <c r="C1963" s="64"/>
      <c r="D1963" s="64"/>
      <c r="E1963" s="64"/>
      <c r="F1963" s="64"/>
      <c r="G1963" s="64"/>
    </row>
    <row r="1964" spans="2:7" ht="32.25" customHeight="1" x14ac:dyDescent="0.25">
      <c r="B1964" s="64"/>
      <c r="C1964" s="64"/>
      <c r="D1964" s="64"/>
      <c r="E1964" s="64"/>
      <c r="F1964" s="64"/>
      <c r="G1964" s="64"/>
    </row>
    <row r="1965" spans="2:7" ht="32.25" customHeight="1" x14ac:dyDescent="0.25">
      <c r="B1965" s="64"/>
      <c r="C1965" s="64"/>
      <c r="D1965" s="64"/>
      <c r="E1965" s="64"/>
      <c r="F1965" s="64"/>
      <c r="G1965" s="64"/>
    </row>
    <row r="1966" spans="2:7" ht="32.25" customHeight="1" x14ac:dyDescent="0.25">
      <c r="B1966" s="64"/>
      <c r="C1966" s="64"/>
      <c r="D1966" s="64"/>
      <c r="E1966" s="64"/>
      <c r="F1966" s="64"/>
      <c r="G1966" s="64"/>
    </row>
    <row r="1967" spans="2:7" ht="32.25" customHeight="1" x14ac:dyDescent="0.25">
      <c r="B1967" s="64"/>
      <c r="C1967" s="64"/>
      <c r="D1967" s="64"/>
      <c r="E1967" s="64"/>
      <c r="F1967" s="64"/>
      <c r="G1967" s="64"/>
    </row>
    <row r="1968" spans="2:7" ht="32.25" customHeight="1" x14ac:dyDescent="0.25">
      <c r="B1968" s="64"/>
      <c r="C1968" s="64"/>
      <c r="D1968" s="64"/>
      <c r="E1968" s="64"/>
      <c r="F1968" s="64"/>
      <c r="G1968" s="64"/>
    </row>
    <row r="1969" spans="2:7" ht="32.25" customHeight="1" x14ac:dyDescent="0.25">
      <c r="B1969" s="64"/>
      <c r="C1969" s="64"/>
      <c r="D1969" s="64"/>
      <c r="E1969" s="64"/>
      <c r="F1969" s="64"/>
      <c r="G1969" s="64"/>
    </row>
    <row r="1970" spans="2:7" ht="32.25" customHeight="1" x14ac:dyDescent="0.25">
      <c r="B1970" s="64"/>
      <c r="C1970" s="64"/>
      <c r="D1970" s="64"/>
      <c r="E1970" s="64"/>
      <c r="F1970" s="64"/>
      <c r="G1970" s="64"/>
    </row>
    <row r="1971" spans="2:7" ht="32.25" customHeight="1" x14ac:dyDescent="0.25">
      <c r="B1971" s="64"/>
      <c r="C1971" s="64"/>
      <c r="D1971" s="64"/>
      <c r="E1971" s="64"/>
      <c r="F1971" s="64"/>
      <c r="G1971" s="64"/>
    </row>
    <row r="1972" spans="2:7" ht="32.25" customHeight="1" x14ac:dyDescent="0.25">
      <c r="B1972" s="64"/>
      <c r="C1972" s="64"/>
      <c r="D1972" s="64"/>
      <c r="E1972" s="64"/>
      <c r="F1972" s="64"/>
      <c r="G1972" s="64"/>
    </row>
    <row r="1973" spans="2:7" ht="32.25" customHeight="1" x14ac:dyDescent="0.25">
      <c r="B1973" s="64"/>
      <c r="C1973" s="64"/>
      <c r="D1973" s="64"/>
      <c r="E1973" s="64"/>
      <c r="F1973" s="64"/>
      <c r="G1973" s="64"/>
    </row>
    <row r="1974" spans="2:7" ht="32.25" customHeight="1" x14ac:dyDescent="0.25">
      <c r="B1974" s="64"/>
      <c r="C1974" s="64"/>
      <c r="D1974" s="64"/>
      <c r="E1974" s="64"/>
      <c r="F1974" s="64"/>
      <c r="G1974" s="64"/>
    </row>
    <row r="1975" spans="2:7" ht="32.25" customHeight="1" x14ac:dyDescent="0.25">
      <c r="B1975" s="64"/>
      <c r="C1975" s="64"/>
      <c r="D1975" s="64"/>
      <c r="E1975" s="64"/>
      <c r="F1975" s="64"/>
      <c r="G1975" s="64"/>
    </row>
    <row r="1976" spans="2:7" ht="32.25" customHeight="1" x14ac:dyDescent="0.25">
      <c r="B1976" s="64"/>
      <c r="C1976" s="64"/>
      <c r="D1976" s="64"/>
      <c r="E1976" s="64"/>
      <c r="F1976" s="64"/>
      <c r="G1976" s="64"/>
    </row>
    <row r="1977" spans="2:7" ht="32.25" customHeight="1" x14ac:dyDescent="0.25">
      <c r="B1977" s="64"/>
      <c r="C1977" s="64"/>
      <c r="D1977" s="64"/>
      <c r="E1977" s="64"/>
      <c r="F1977" s="64"/>
      <c r="G1977" s="64"/>
    </row>
    <row r="1978" spans="2:7" ht="32.25" customHeight="1" x14ac:dyDescent="0.25">
      <c r="B1978" s="64"/>
      <c r="C1978" s="64"/>
      <c r="D1978" s="64"/>
      <c r="E1978" s="64"/>
      <c r="F1978" s="64"/>
      <c r="G1978" s="64"/>
    </row>
    <row r="1979" spans="2:7" ht="32.25" customHeight="1" x14ac:dyDescent="0.25">
      <c r="B1979" s="64"/>
      <c r="C1979" s="64"/>
      <c r="D1979" s="64"/>
      <c r="E1979" s="64"/>
      <c r="F1979" s="64"/>
      <c r="G1979" s="64"/>
    </row>
    <row r="1980" spans="2:7" ht="32.25" customHeight="1" x14ac:dyDescent="0.25">
      <c r="B1980" s="64"/>
      <c r="C1980" s="64"/>
      <c r="D1980" s="64"/>
      <c r="E1980" s="64"/>
      <c r="F1980" s="64"/>
      <c r="G1980" s="64"/>
    </row>
    <row r="1981" spans="2:7" ht="32.25" customHeight="1" x14ac:dyDescent="0.25">
      <c r="B1981" s="64"/>
      <c r="C1981" s="64"/>
      <c r="D1981" s="64"/>
      <c r="E1981" s="64"/>
      <c r="F1981" s="64"/>
      <c r="G1981" s="64"/>
    </row>
    <row r="1982" spans="2:7" ht="32.25" customHeight="1" x14ac:dyDescent="0.25">
      <c r="B1982" s="64"/>
      <c r="C1982" s="64"/>
      <c r="D1982" s="64"/>
      <c r="E1982" s="64"/>
      <c r="F1982" s="64"/>
      <c r="G1982" s="64"/>
    </row>
    <row r="1983" spans="2:7" ht="32.25" customHeight="1" x14ac:dyDescent="0.25">
      <c r="B1983" s="64"/>
      <c r="C1983" s="64"/>
      <c r="D1983" s="64"/>
      <c r="E1983" s="64"/>
      <c r="F1983" s="64"/>
      <c r="G1983" s="64"/>
    </row>
    <row r="1984" spans="2:7" ht="32.25" customHeight="1" x14ac:dyDescent="0.25">
      <c r="B1984" s="64"/>
      <c r="C1984" s="64"/>
      <c r="D1984" s="64"/>
      <c r="E1984" s="64"/>
      <c r="F1984" s="64"/>
      <c r="G1984" s="64"/>
    </row>
    <row r="1985" spans="2:7" ht="32.25" customHeight="1" x14ac:dyDescent="0.25">
      <c r="B1985" s="64"/>
      <c r="C1985" s="64"/>
      <c r="D1985" s="64"/>
      <c r="E1985" s="64"/>
      <c r="F1985" s="64"/>
      <c r="G1985" s="64"/>
    </row>
    <row r="1986" spans="2:7" ht="32.25" customHeight="1" x14ac:dyDescent="0.25">
      <c r="B1986" s="64"/>
      <c r="C1986" s="64"/>
      <c r="D1986" s="64"/>
      <c r="E1986" s="64"/>
      <c r="F1986" s="64"/>
      <c r="G1986" s="64"/>
    </row>
    <row r="1987" spans="2:7" ht="32.25" customHeight="1" x14ac:dyDescent="0.25">
      <c r="B1987" s="64"/>
      <c r="C1987" s="64"/>
      <c r="D1987" s="64"/>
      <c r="E1987" s="64"/>
      <c r="F1987" s="64"/>
      <c r="G1987" s="64"/>
    </row>
    <row r="1988" spans="2:7" ht="32.25" customHeight="1" x14ac:dyDescent="0.25">
      <c r="B1988" s="64"/>
      <c r="C1988" s="64"/>
      <c r="D1988" s="64"/>
      <c r="E1988" s="64"/>
      <c r="F1988" s="64"/>
      <c r="G1988" s="64"/>
    </row>
    <row r="1989" spans="2:7" ht="32.25" customHeight="1" x14ac:dyDescent="0.25">
      <c r="B1989" s="64"/>
      <c r="C1989" s="64"/>
      <c r="D1989" s="64"/>
      <c r="E1989" s="64"/>
      <c r="F1989" s="64"/>
      <c r="G1989" s="64"/>
    </row>
    <row r="1990" spans="2:7" ht="32.25" customHeight="1" x14ac:dyDescent="0.25">
      <c r="B1990" s="64"/>
      <c r="C1990" s="64"/>
      <c r="D1990" s="64"/>
      <c r="E1990" s="64"/>
      <c r="F1990" s="64"/>
      <c r="G1990" s="64"/>
    </row>
    <row r="1991" spans="2:7" ht="32.25" customHeight="1" x14ac:dyDescent="0.25">
      <c r="B1991" s="64"/>
      <c r="C1991" s="64"/>
      <c r="D1991" s="64"/>
      <c r="E1991" s="64"/>
      <c r="F1991" s="64"/>
      <c r="G1991" s="64"/>
    </row>
    <row r="1992" spans="2:7" ht="32.25" customHeight="1" x14ac:dyDescent="0.25">
      <c r="B1992" s="64"/>
      <c r="C1992" s="64"/>
      <c r="D1992" s="64"/>
      <c r="E1992" s="64"/>
      <c r="F1992" s="64"/>
      <c r="G1992" s="64"/>
    </row>
    <row r="1993" spans="2:7" ht="32.25" customHeight="1" x14ac:dyDescent="0.25">
      <c r="B1993" s="64"/>
      <c r="C1993" s="64"/>
      <c r="D1993" s="64"/>
      <c r="E1993" s="64"/>
      <c r="F1993" s="64"/>
      <c r="G1993" s="64"/>
    </row>
    <row r="1994" spans="2:7" ht="32.25" customHeight="1" x14ac:dyDescent="0.25">
      <c r="B1994" s="64"/>
      <c r="C1994" s="64"/>
      <c r="D1994" s="64"/>
      <c r="E1994" s="64"/>
      <c r="F1994" s="64"/>
      <c r="G1994" s="64"/>
    </row>
    <row r="1995" spans="2:7" ht="32.25" customHeight="1" x14ac:dyDescent="0.25">
      <c r="B1995" s="64"/>
      <c r="C1995" s="64"/>
      <c r="D1995" s="64"/>
      <c r="E1995" s="64"/>
      <c r="F1995" s="64"/>
      <c r="G1995" s="64"/>
    </row>
    <row r="1996" spans="2:7" ht="32.25" customHeight="1" x14ac:dyDescent="0.25">
      <c r="B1996" s="64"/>
      <c r="C1996" s="64"/>
      <c r="D1996" s="64"/>
      <c r="E1996" s="64"/>
      <c r="F1996" s="64"/>
      <c r="G1996" s="64"/>
    </row>
    <row r="1997" spans="2:7" ht="32.25" customHeight="1" x14ac:dyDescent="0.25">
      <c r="B1997" s="64"/>
      <c r="C1997" s="64"/>
      <c r="D1997" s="64"/>
      <c r="E1997" s="64"/>
      <c r="F1997" s="64"/>
      <c r="G1997" s="64"/>
    </row>
    <row r="1998" spans="2:7" ht="32.25" customHeight="1" x14ac:dyDescent="0.25">
      <c r="B1998" s="64"/>
      <c r="C1998" s="64"/>
      <c r="D1998" s="64"/>
      <c r="E1998" s="64"/>
      <c r="F1998" s="64"/>
      <c r="G1998" s="64"/>
    </row>
    <row r="1999" spans="2:7" ht="32.25" customHeight="1" x14ac:dyDescent="0.25">
      <c r="B1999" s="64"/>
      <c r="C1999" s="64"/>
      <c r="D1999" s="64"/>
      <c r="E1999" s="64"/>
      <c r="F1999" s="64"/>
      <c r="G1999" s="64"/>
    </row>
    <row r="2000" spans="2:7" ht="32.25" customHeight="1" x14ac:dyDescent="0.25">
      <c r="B2000" s="64"/>
      <c r="C2000" s="64"/>
      <c r="D2000" s="64"/>
      <c r="E2000" s="64"/>
      <c r="F2000" s="64"/>
      <c r="G2000" s="64"/>
    </row>
    <row r="2001" spans="2:7" ht="32.25" customHeight="1" x14ac:dyDescent="0.25">
      <c r="B2001" s="64"/>
      <c r="C2001" s="64"/>
      <c r="D2001" s="64"/>
      <c r="E2001" s="64"/>
      <c r="F2001" s="64"/>
      <c r="G2001" s="64"/>
    </row>
    <row r="2002" spans="2:7" ht="32.25" customHeight="1" x14ac:dyDescent="0.25">
      <c r="B2002" s="64"/>
      <c r="C2002" s="64"/>
      <c r="D2002" s="64"/>
      <c r="E2002" s="64"/>
      <c r="F2002" s="64"/>
      <c r="G2002" s="64"/>
    </row>
    <row r="2003" spans="2:7" ht="32.25" customHeight="1" x14ac:dyDescent="0.25">
      <c r="B2003" s="64"/>
      <c r="C2003" s="64"/>
      <c r="D2003" s="64"/>
      <c r="E2003" s="64"/>
      <c r="F2003" s="64"/>
      <c r="G2003" s="64"/>
    </row>
    <row r="2004" spans="2:7" ht="32.25" customHeight="1" x14ac:dyDescent="0.25">
      <c r="B2004" s="64"/>
      <c r="C2004" s="64"/>
      <c r="D2004" s="64"/>
      <c r="E2004" s="64"/>
      <c r="F2004" s="64"/>
      <c r="G2004" s="64"/>
    </row>
    <row r="2005" spans="2:7" ht="32.25" customHeight="1" x14ac:dyDescent="0.25">
      <c r="B2005" s="64"/>
      <c r="C2005" s="64"/>
      <c r="D2005" s="64"/>
      <c r="E2005" s="64"/>
      <c r="F2005" s="64"/>
      <c r="G2005" s="64"/>
    </row>
    <row r="2006" spans="2:7" ht="32.25" customHeight="1" x14ac:dyDescent="0.25">
      <c r="B2006" s="64"/>
      <c r="C2006" s="64"/>
      <c r="D2006" s="64"/>
      <c r="E2006" s="64"/>
      <c r="F2006" s="64"/>
      <c r="G2006" s="64"/>
    </row>
    <row r="2007" spans="2:7" ht="32.25" customHeight="1" x14ac:dyDescent="0.25">
      <c r="B2007" s="64"/>
      <c r="C2007" s="64"/>
      <c r="D2007" s="64"/>
      <c r="E2007" s="64"/>
      <c r="F2007" s="64"/>
      <c r="G2007" s="64"/>
    </row>
    <row r="2008" spans="2:7" ht="32.25" customHeight="1" x14ac:dyDescent="0.25">
      <c r="B2008" s="64"/>
      <c r="C2008" s="64"/>
      <c r="D2008" s="64"/>
      <c r="E2008" s="64"/>
      <c r="F2008" s="64"/>
      <c r="G2008" s="64"/>
    </row>
    <row r="2009" spans="2:7" ht="32.25" customHeight="1" x14ac:dyDescent="0.25">
      <c r="B2009" s="64"/>
      <c r="C2009" s="64"/>
      <c r="D2009" s="64"/>
      <c r="E2009" s="64"/>
      <c r="F2009" s="64"/>
      <c r="G2009" s="64"/>
    </row>
    <row r="2010" spans="2:7" ht="32.25" customHeight="1" x14ac:dyDescent="0.25">
      <c r="B2010" s="64"/>
      <c r="C2010" s="64"/>
      <c r="D2010" s="64"/>
      <c r="E2010" s="64"/>
      <c r="F2010" s="64"/>
      <c r="G2010" s="64"/>
    </row>
    <row r="2011" spans="2:7" ht="32.25" customHeight="1" x14ac:dyDescent="0.25">
      <c r="B2011" s="64"/>
      <c r="C2011" s="64"/>
      <c r="D2011" s="64"/>
      <c r="E2011" s="64"/>
      <c r="F2011" s="64"/>
      <c r="G2011" s="64"/>
    </row>
    <row r="2012" spans="2:7" ht="32.25" customHeight="1" x14ac:dyDescent="0.25">
      <c r="B2012" s="64"/>
      <c r="C2012" s="64"/>
      <c r="D2012" s="64"/>
      <c r="E2012" s="64"/>
      <c r="F2012" s="64"/>
      <c r="G2012" s="64"/>
    </row>
    <row r="2013" spans="2:7" ht="32.25" customHeight="1" x14ac:dyDescent="0.25">
      <c r="B2013" s="64"/>
      <c r="C2013" s="64"/>
      <c r="D2013" s="64"/>
      <c r="E2013" s="64"/>
      <c r="F2013" s="64"/>
      <c r="G2013" s="64"/>
    </row>
    <row r="2014" spans="2:7" ht="32.25" customHeight="1" x14ac:dyDescent="0.25">
      <c r="B2014" s="64"/>
      <c r="C2014" s="64"/>
      <c r="D2014" s="64"/>
      <c r="E2014" s="64"/>
      <c r="F2014" s="64"/>
      <c r="G2014" s="64"/>
    </row>
    <row r="2015" spans="2:7" ht="32.25" customHeight="1" x14ac:dyDescent="0.25">
      <c r="B2015" s="64"/>
      <c r="C2015" s="64"/>
      <c r="D2015" s="64"/>
      <c r="E2015" s="64"/>
      <c r="F2015" s="64"/>
      <c r="G2015" s="64"/>
    </row>
    <row r="2016" spans="2:7" ht="32.25" customHeight="1" x14ac:dyDescent="0.25">
      <c r="B2016" s="64"/>
      <c r="C2016" s="64"/>
      <c r="D2016" s="64"/>
      <c r="E2016" s="64"/>
      <c r="F2016" s="64"/>
      <c r="G2016" s="64"/>
    </row>
    <row r="2017" spans="2:7" ht="32.25" customHeight="1" x14ac:dyDescent="0.25">
      <c r="B2017" s="64"/>
      <c r="C2017" s="64"/>
      <c r="D2017" s="64"/>
      <c r="E2017" s="64"/>
      <c r="F2017" s="64"/>
      <c r="G2017" s="64"/>
    </row>
    <row r="2018" spans="2:7" ht="32.25" customHeight="1" x14ac:dyDescent="0.25">
      <c r="B2018" s="64"/>
      <c r="C2018" s="64"/>
      <c r="D2018" s="64"/>
      <c r="E2018" s="64"/>
      <c r="F2018" s="64"/>
      <c r="G2018" s="64"/>
    </row>
    <row r="2019" spans="2:7" ht="32.25" customHeight="1" x14ac:dyDescent="0.25">
      <c r="B2019" s="64"/>
      <c r="C2019" s="64"/>
      <c r="D2019" s="64"/>
      <c r="E2019" s="64"/>
      <c r="F2019" s="64"/>
      <c r="G2019" s="64"/>
    </row>
    <row r="2020" spans="2:7" ht="32.25" customHeight="1" x14ac:dyDescent="0.25">
      <c r="B2020" s="64"/>
      <c r="C2020" s="64"/>
      <c r="D2020" s="64"/>
      <c r="E2020" s="64"/>
      <c r="F2020" s="64"/>
      <c r="G2020" s="64"/>
    </row>
    <row r="2021" spans="2:7" ht="32.25" customHeight="1" x14ac:dyDescent="0.25">
      <c r="B2021" s="64"/>
      <c r="C2021" s="64"/>
      <c r="D2021" s="64"/>
      <c r="E2021" s="64"/>
      <c r="F2021" s="64"/>
      <c r="G2021" s="64"/>
    </row>
    <row r="2022" spans="2:7" ht="32.25" customHeight="1" x14ac:dyDescent="0.25">
      <c r="B2022" s="64"/>
      <c r="C2022" s="64"/>
      <c r="D2022" s="64"/>
      <c r="E2022" s="64"/>
      <c r="F2022" s="64"/>
      <c r="G2022" s="64"/>
    </row>
    <row r="2023" spans="2:7" ht="32.25" customHeight="1" x14ac:dyDescent="0.25">
      <c r="B2023" s="64"/>
      <c r="C2023" s="64"/>
      <c r="D2023" s="64"/>
      <c r="E2023" s="64"/>
      <c r="F2023" s="64"/>
      <c r="G2023" s="64"/>
    </row>
    <row r="2024" spans="2:7" ht="32.25" customHeight="1" x14ac:dyDescent="0.25">
      <c r="B2024" s="64"/>
      <c r="C2024" s="64"/>
      <c r="D2024" s="64"/>
      <c r="E2024" s="64"/>
      <c r="F2024" s="64"/>
      <c r="G2024" s="64"/>
    </row>
    <row r="2025" spans="2:7" ht="32.25" customHeight="1" x14ac:dyDescent="0.25">
      <c r="B2025" s="64"/>
      <c r="C2025" s="64"/>
      <c r="D2025" s="64"/>
      <c r="E2025" s="64"/>
      <c r="F2025" s="64"/>
      <c r="G2025" s="64"/>
    </row>
    <row r="2026" spans="2:7" ht="32.25" customHeight="1" x14ac:dyDescent="0.25">
      <c r="B2026" s="64"/>
      <c r="C2026" s="64"/>
      <c r="D2026" s="64"/>
      <c r="E2026" s="64"/>
      <c r="F2026" s="64"/>
      <c r="G2026" s="64"/>
    </row>
    <row r="2027" spans="2:7" ht="32.25" customHeight="1" x14ac:dyDescent="0.25">
      <c r="B2027" s="64"/>
      <c r="C2027" s="64"/>
      <c r="D2027" s="64"/>
      <c r="E2027" s="64"/>
      <c r="F2027" s="64"/>
      <c r="G2027" s="64"/>
    </row>
    <row r="2028" spans="2:7" ht="32.25" customHeight="1" x14ac:dyDescent="0.25">
      <c r="B2028" s="64"/>
      <c r="C2028" s="64"/>
      <c r="D2028" s="64"/>
      <c r="E2028" s="64"/>
      <c r="F2028" s="64"/>
      <c r="G2028" s="64"/>
    </row>
    <row r="2029" spans="2:7" ht="32.25" customHeight="1" x14ac:dyDescent="0.25">
      <c r="B2029" s="64"/>
      <c r="C2029" s="64"/>
      <c r="D2029" s="64"/>
      <c r="E2029" s="64"/>
      <c r="F2029" s="64"/>
      <c r="G2029" s="64"/>
    </row>
    <row r="2030" spans="2:7" ht="32.25" customHeight="1" x14ac:dyDescent="0.25">
      <c r="B2030" s="64"/>
      <c r="C2030" s="64"/>
      <c r="D2030" s="64"/>
      <c r="E2030" s="64"/>
      <c r="F2030" s="64"/>
      <c r="G2030" s="64"/>
    </row>
    <row r="2031" spans="2:7" ht="32.25" customHeight="1" x14ac:dyDescent="0.25">
      <c r="B2031" s="64"/>
      <c r="C2031" s="64"/>
      <c r="D2031" s="64"/>
      <c r="E2031" s="64"/>
      <c r="F2031" s="64"/>
      <c r="G2031" s="64"/>
    </row>
    <row r="2032" spans="2:7" ht="32.25" customHeight="1" x14ac:dyDescent="0.25">
      <c r="B2032" s="64"/>
      <c r="C2032" s="64"/>
      <c r="D2032" s="64"/>
      <c r="E2032" s="64"/>
      <c r="F2032" s="64"/>
      <c r="G2032" s="64"/>
    </row>
    <row r="2033" spans="2:7" ht="32.25" customHeight="1" x14ac:dyDescent="0.25">
      <c r="B2033" s="64"/>
      <c r="C2033" s="64"/>
      <c r="D2033" s="64"/>
      <c r="E2033" s="64"/>
      <c r="F2033" s="64"/>
      <c r="G2033" s="64"/>
    </row>
    <row r="2034" spans="2:7" ht="32.25" customHeight="1" x14ac:dyDescent="0.25">
      <c r="B2034" s="64"/>
      <c r="C2034" s="64"/>
      <c r="D2034" s="64"/>
      <c r="E2034" s="64"/>
      <c r="F2034" s="64"/>
      <c r="G2034" s="64"/>
    </row>
    <row r="2035" spans="2:7" ht="32.25" customHeight="1" x14ac:dyDescent="0.25">
      <c r="B2035" s="64"/>
      <c r="C2035" s="64"/>
      <c r="D2035" s="64"/>
      <c r="E2035" s="64"/>
      <c r="F2035" s="64"/>
      <c r="G2035" s="64"/>
    </row>
    <row r="2036" spans="2:7" ht="32.25" customHeight="1" x14ac:dyDescent="0.25">
      <c r="B2036" s="64"/>
      <c r="C2036" s="64"/>
      <c r="D2036" s="64"/>
      <c r="E2036" s="64"/>
      <c r="F2036" s="64"/>
      <c r="G2036" s="64"/>
    </row>
    <row r="2037" spans="2:7" ht="32.25" customHeight="1" x14ac:dyDescent="0.25">
      <c r="B2037" s="64"/>
      <c r="C2037" s="64"/>
      <c r="D2037" s="64"/>
      <c r="E2037" s="64"/>
      <c r="F2037" s="64"/>
      <c r="G2037" s="64"/>
    </row>
    <row r="2038" spans="2:7" ht="32.25" customHeight="1" x14ac:dyDescent="0.25">
      <c r="B2038" s="64"/>
      <c r="C2038" s="64"/>
      <c r="D2038" s="64"/>
      <c r="E2038" s="64"/>
      <c r="F2038" s="64"/>
      <c r="G2038" s="64"/>
    </row>
    <row r="2039" spans="2:7" ht="32.25" customHeight="1" x14ac:dyDescent="0.25">
      <c r="B2039" s="64"/>
      <c r="C2039" s="64"/>
      <c r="D2039" s="64"/>
      <c r="E2039" s="64"/>
      <c r="F2039" s="64"/>
      <c r="G2039" s="64"/>
    </row>
    <row r="2040" spans="2:7" ht="32.25" customHeight="1" x14ac:dyDescent="0.25">
      <c r="B2040" s="64"/>
      <c r="C2040" s="64"/>
      <c r="D2040" s="64"/>
      <c r="E2040" s="64"/>
      <c r="F2040" s="64"/>
      <c r="G2040" s="64"/>
    </row>
    <row r="2041" spans="2:7" ht="32.25" customHeight="1" x14ac:dyDescent="0.25">
      <c r="B2041" s="64"/>
      <c r="C2041" s="64"/>
      <c r="D2041" s="64"/>
      <c r="E2041" s="64"/>
      <c r="F2041" s="64"/>
      <c r="G2041" s="64"/>
    </row>
    <row r="2042" spans="2:7" ht="32.25" customHeight="1" x14ac:dyDescent="0.25">
      <c r="B2042" s="64"/>
      <c r="C2042" s="64"/>
      <c r="D2042" s="64"/>
      <c r="E2042" s="64"/>
      <c r="F2042" s="64"/>
      <c r="G2042" s="64"/>
    </row>
    <row r="2043" spans="2:7" ht="32.25" customHeight="1" x14ac:dyDescent="0.25">
      <c r="B2043" s="64"/>
      <c r="C2043" s="64"/>
      <c r="D2043" s="64"/>
      <c r="E2043" s="64"/>
      <c r="F2043" s="64"/>
      <c r="G2043" s="64"/>
    </row>
    <row r="2044" spans="2:7" ht="32.25" customHeight="1" x14ac:dyDescent="0.25">
      <c r="B2044" s="64"/>
      <c r="C2044" s="64"/>
      <c r="D2044" s="64"/>
      <c r="E2044" s="64"/>
      <c r="F2044" s="64"/>
      <c r="G2044" s="64"/>
    </row>
    <row r="2045" spans="2:7" ht="32.25" customHeight="1" x14ac:dyDescent="0.25">
      <c r="B2045" s="64"/>
      <c r="C2045" s="64"/>
      <c r="D2045" s="64"/>
      <c r="E2045" s="64"/>
      <c r="F2045" s="64"/>
      <c r="G2045" s="64"/>
    </row>
    <row r="2046" spans="2:7" ht="32.25" customHeight="1" x14ac:dyDescent="0.25">
      <c r="B2046" s="64"/>
      <c r="C2046" s="64"/>
      <c r="D2046" s="64"/>
      <c r="E2046" s="64"/>
      <c r="F2046" s="64"/>
      <c r="G2046" s="64"/>
    </row>
    <row r="2047" spans="2:7" ht="32.25" customHeight="1" x14ac:dyDescent="0.25">
      <c r="B2047" s="64"/>
      <c r="C2047" s="64"/>
      <c r="D2047" s="64"/>
      <c r="E2047" s="64"/>
      <c r="F2047" s="64"/>
      <c r="G2047" s="64"/>
    </row>
    <row r="2048" spans="2:7" ht="32.25" customHeight="1" x14ac:dyDescent="0.25">
      <c r="B2048" s="64"/>
      <c r="C2048" s="64"/>
      <c r="D2048" s="64"/>
      <c r="E2048" s="64"/>
      <c r="F2048" s="64"/>
      <c r="G2048" s="64"/>
    </row>
    <row r="2049" spans="2:7" ht="32.25" customHeight="1" x14ac:dyDescent="0.25">
      <c r="B2049" s="64"/>
      <c r="C2049" s="64"/>
      <c r="D2049" s="64"/>
      <c r="E2049" s="64"/>
      <c r="F2049" s="64"/>
      <c r="G2049" s="64"/>
    </row>
    <row r="2050" spans="2:7" ht="32.25" customHeight="1" x14ac:dyDescent="0.25">
      <c r="B2050" s="64"/>
      <c r="C2050" s="64"/>
      <c r="D2050" s="64"/>
      <c r="E2050" s="64"/>
      <c r="F2050" s="64"/>
      <c r="G2050" s="64"/>
    </row>
    <row r="2051" spans="2:7" ht="32.25" customHeight="1" x14ac:dyDescent="0.25">
      <c r="B2051" s="64"/>
      <c r="C2051" s="64"/>
      <c r="D2051" s="64"/>
      <c r="E2051" s="64"/>
      <c r="F2051" s="64"/>
      <c r="G2051" s="64"/>
    </row>
    <row r="2052" spans="2:7" ht="32.25" customHeight="1" x14ac:dyDescent="0.25">
      <c r="B2052" s="64"/>
      <c r="C2052" s="64"/>
      <c r="D2052" s="64"/>
      <c r="E2052" s="64"/>
      <c r="F2052" s="64"/>
      <c r="G2052" s="64"/>
    </row>
    <row r="2053" spans="2:7" ht="32.25" customHeight="1" x14ac:dyDescent="0.25">
      <c r="B2053" s="64"/>
      <c r="C2053" s="64"/>
      <c r="D2053" s="64"/>
      <c r="E2053" s="64"/>
      <c r="F2053" s="64"/>
      <c r="G2053" s="64"/>
    </row>
    <row r="2054" spans="2:7" ht="32.25" customHeight="1" x14ac:dyDescent="0.25">
      <c r="B2054" s="64"/>
      <c r="C2054" s="64"/>
      <c r="D2054" s="64"/>
      <c r="E2054" s="64"/>
      <c r="F2054" s="64"/>
      <c r="G2054" s="64"/>
    </row>
    <row r="2055" spans="2:7" ht="32.25" customHeight="1" x14ac:dyDescent="0.25">
      <c r="B2055" s="64"/>
      <c r="C2055" s="64"/>
      <c r="D2055" s="64"/>
      <c r="E2055" s="64"/>
      <c r="F2055" s="64"/>
      <c r="G2055" s="64"/>
    </row>
    <row r="2056" spans="2:7" ht="32.25" customHeight="1" x14ac:dyDescent="0.25">
      <c r="B2056" s="64"/>
      <c r="C2056" s="64"/>
      <c r="D2056" s="64"/>
      <c r="E2056" s="64"/>
      <c r="F2056" s="64"/>
      <c r="G2056" s="64"/>
    </row>
    <row r="2057" spans="2:7" ht="32.25" customHeight="1" x14ac:dyDescent="0.25">
      <c r="B2057" s="64"/>
      <c r="C2057" s="64"/>
      <c r="D2057" s="64"/>
      <c r="E2057" s="64"/>
      <c r="F2057" s="64"/>
      <c r="G2057" s="64"/>
    </row>
    <row r="2058" spans="2:7" ht="32.25" customHeight="1" x14ac:dyDescent="0.25">
      <c r="B2058" s="64"/>
      <c r="C2058" s="64"/>
      <c r="D2058" s="64"/>
      <c r="E2058" s="64"/>
      <c r="F2058" s="64"/>
      <c r="G2058" s="64"/>
    </row>
    <row r="2059" spans="2:7" ht="32.25" customHeight="1" x14ac:dyDescent="0.25">
      <c r="B2059" s="64"/>
      <c r="C2059" s="64"/>
      <c r="D2059" s="64"/>
      <c r="E2059" s="64"/>
      <c r="F2059" s="64"/>
      <c r="G2059" s="64"/>
    </row>
    <row r="2060" spans="2:7" ht="32.25" customHeight="1" x14ac:dyDescent="0.25">
      <c r="B2060" s="64"/>
      <c r="C2060" s="64"/>
      <c r="D2060" s="64"/>
      <c r="E2060" s="64"/>
      <c r="F2060" s="64"/>
      <c r="G2060" s="64"/>
    </row>
    <row r="2061" spans="2:7" ht="32.25" customHeight="1" x14ac:dyDescent="0.25">
      <c r="B2061" s="64"/>
      <c r="C2061" s="64"/>
      <c r="D2061" s="64"/>
      <c r="E2061" s="64"/>
      <c r="F2061" s="64"/>
      <c r="G2061" s="64"/>
    </row>
    <row r="2062" spans="2:7" ht="32.25" customHeight="1" x14ac:dyDescent="0.25">
      <c r="B2062" s="64"/>
      <c r="C2062" s="64"/>
      <c r="D2062" s="64"/>
      <c r="E2062" s="64"/>
      <c r="F2062" s="64"/>
      <c r="G2062" s="64"/>
    </row>
    <row r="2063" spans="2:7" ht="32.25" customHeight="1" x14ac:dyDescent="0.25">
      <c r="B2063" s="64"/>
      <c r="C2063" s="64"/>
      <c r="D2063" s="64"/>
      <c r="E2063" s="64"/>
      <c r="F2063" s="64"/>
      <c r="G2063" s="64"/>
    </row>
    <row r="2064" spans="2:7" ht="32.25" customHeight="1" x14ac:dyDescent="0.25">
      <c r="B2064" s="64"/>
      <c r="C2064" s="64"/>
      <c r="D2064" s="64"/>
      <c r="E2064" s="64"/>
      <c r="F2064" s="64"/>
      <c r="G2064" s="64"/>
    </row>
    <row r="2065" spans="2:7" ht="32.25" customHeight="1" x14ac:dyDescent="0.25">
      <c r="B2065" s="64"/>
      <c r="C2065" s="64"/>
      <c r="D2065" s="64"/>
      <c r="E2065" s="64"/>
      <c r="F2065" s="64"/>
      <c r="G2065" s="64"/>
    </row>
    <row r="2066" spans="2:7" ht="32.25" customHeight="1" x14ac:dyDescent="0.25">
      <c r="B2066" s="64"/>
      <c r="C2066" s="64"/>
      <c r="D2066" s="64"/>
      <c r="E2066" s="64"/>
      <c r="F2066" s="64"/>
      <c r="G2066" s="64"/>
    </row>
    <row r="2067" spans="2:7" ht="32.25" customHeight="1" x14ac:dyDescent="0.25">
      <c r="B2067" s="64"/>
      <c r="C2067" s="64"/>
      <c r="D2067" s="64"/>
      <c r="E2067" s="64"/>
      <c r="F2067" s="64"/>
      <c r="G2067" s="64"/>
    </row>
    <row r="2068" spans="2:7" ht="32.25" customHeight="1" x14ac:dyDescent="0.25">
      <c r="B2068" s="64"/>
      <c r="C2068" s="64"/>
      <c r="D2068" s="64"/>
      <c r="E2068" s="64"/>
      <c r="F2068" s="64"/>
      <c r="G2068" s="64"/>
    </row>
    <row r="2069" spans="2:7" ht="32.25" customHeight="1" x14ac:dyDescent="0.25">
      <c r="B2069" s="64"/>
      <c r="C2069" s="64"/>
      <c r="D2069" s="64"/>
      <c r="E2069" s="64"/>
      <c r="F2069" s="64"/>
      <c r="G2069" s="64"/>
    </row>
    <row r="2070" spans="2:7" ht="32.25" customHeight="1" x14ac:dyDescent="0.25">
      <c r="B2070" s="64"/>
      <c r="C2070" s="64"/>
      <c r="D2070" s="64"/>
      <c r="E2070" s="64"/>
      <c r="F2070" s="64"/>
      <c r="G2070" s="64"/>
    </row>
    <row r="2071" spans="2:7" ht="32.25" customHeight="1" x14ac:dyDescent="0.25">
      <c r="B2071" s="64"/>
      <c r="C2071" s="64"/>
      <c r="D2071" s="64"/>
      <c r="E2071" s="64"/>
      <c r="F2071" s="64"/>
      <c r="G2071" s="64"/>
    </row>
    <row r="2072" spans="2:7" ht="32.25" customHeight="1" x14ac:dyDescent="0.25">
      <c r="B2072" s="64"/>
      <c r="C2072" s="64"/>
      <c r="D2072" s="64"/>
      <c r="E2072" s="64"/>
      <c r="F2072" s="64"/>
      <c r="G2072" s="64"/>
    </row>
    <row r="2073" spans="2:7" ht="32.25" customHeight="1" x14ac:dyDescent="0.25">
      <c r="B2073" s="64"/>
      <c r="C2073" s="64"/>
      <c r="D2073" s="64"/>
      <c r="E2073" s="64"/>
      <c r="F2073" s="64"/>
      <c r="G2073" s="64"/>
    </row>
    <row r="2074" spans="2:7" ht="32.25" customHeight="1" x14ac:dyDescent="0.25">
      <c r="B2074" s="64"/>
      <c r="C2074" s="64"/>
      <c r="D2074" s="64"/>
      <c r="E2074" s="64"/>
      <c r="F2074" s="64"/>
      <c r="G2074" s="64"/>
    </row>
    <row r="2075" spans="2:7" ht="32.25" customHeight="1" x14ac:dyDescent="0.25">
      <c r="B2075" s="64"/>
      <c r="C2075" s="64"/>
      <c r="D2075" s="64"/>
      <c r="E2075" s="64"/>
      <c r="F2075" s="64"/>
      <c r="G2075" s="64"/>
    </row>
    <row r="2076" spans="2:7" ht="32.25" customHeight="1" x14ac:dyDescent="0.25">
      <c r="B2076" s="64"/>
      <c r="C2076" s="64"/>
      <c r="D2076" s="64"/>
      <c r="E2076" s="64"/>
      <c r="F2076" s="64"/>
      <c r="G2076" s="64"/>
    </row>
    <row r="2077" spans="2:7" ht="32.25" customHeight="1" x14ac:dyDescent="0.25">
      <c r="B2077" s="64"/>
      <c r="C2077" s="64"/>
      <c r="D2077" s="64"/>
      <c r="E2077" s="64"/>
      <c r="F2077" s="64"/>
      <c r="G2077" s="64"/>
    </row>
    <row r="2078" spans="2:7" ht="32.25" customHeight="1" x14ac:dyDescent="0.25">
      <c r="B2078" s="64"/>
      <c r="C2078" s="64"/>
      <c r="D2078" s="64"/>
      <c r="E2078" s="64"/>
      <c r="F2078" s="64"/>
      <c r="G2078" s="64"/>
    </row>
    <row r="2079" spans="2:7" ht="32.25" customHeight="1" x14ac:dyDescent="0.25">
      <c r="B2079" s="64"/>
      <c r="C2079" s="64"/>
      <c r="D2079" s="64"/>
      <c r="E2079" s="64"/>
      <c r="F2079" s="64"/>
      <c r="G2079" s="64"/>
    </row>
    <row r="2080" spans="2:7" ht="32.25" customHeight="1" x14ac:dyDescent="0.25">
      <c r="B2080" s="64"/>
      <c r="C2080" s="64"/>
      <c r="D2080" s="64"/>
      <c r="E2080" s="64"/>
      <c r="F2080" s="64"/>
      <c r="G2080" s="64"/>
    </row>
    <row r="2081" spans="2:7" ht="32.25" customHeight="1" x14ac:dyDescent="0.25">
      <c r="B2081" s="64"/>
      <c r="C2081" s="64"/>
      <c r="D2081" s="64"/>
      <c r="E2081" s="64"/>
      <c r="F2081" s="64"/>
      <c r="G2081" s="64"/>
    </row>
    <row r="2082" spans="2:7" ht="32.25" customHeight="1" x14ac:dyDescent="0.25">
      <c r="B2082" s="64"/>
      <c r="C2082" s="64"/>
      <c r="D2082" s="64"/>
      <c r="E2082" s="64"/>
      <c r="F2082" s="64"/>
      <c r="G2082" s="64"/>
    </row>
    <row r="2083" spans="2:7" ht="32.25" customHeight="1" x14ac:dyDescent="0.25">
      <c r="B2083" s="64"/>
      <c r="C2083" s="64"/>
      <c r="D2083" s="64"/>
      <c r="E2083" s="64"/>
      <c r="F2083" s="64"/>
      <c r="G2083" s="64"/>
    </row>
    <row r="2084" spans="2:7" ht="32.25" customHeight="1" x14ac:dyDescent="0.25">
      <c r="B2084" s="64"/>
      <c r="C2084" s="64"/>
      <c r="D2084" s="64"/>
      <c r="E2084" s="64"/>
      <c r="F2084" s="64"/>
      <c r="G2084" s="64"/>
    </row>
    <row r="2085" spans="2:7" ht="32.25" customHeight="1" x14ac:dyDescent="0.25">
      <c r="B2085" s="64"/>
      <c r="C2085" s="64"/>
      <c r="D2085" s="64"/>
      <c r="E2085" s="64"/>
      <c r="F2085" s="64"/>
      <c r="G2085" s="64"/>
    </row>
    <row r="2086" spans="2:7" ht="32.25" customHeight="1" x14ac:dyDescent="0.25">
      <c r="B2086" s="64"/>
      <c r="C2086" s="64"/>
      <c r="D2086" s="64"/>
      <c r="E2086" s="64"/>
      <c r="F2086" s="64"/>
      <c r="G2086" s="64"/>
    </row>
    <row r="2087" spans="2:7" ht="32.25" customHeight="1" x14ac:dyDescent="0.25">
      <c r="B2087" s="64"/>
      <c r="C2087" s="64"/>
      <c r="D2087" s="64"/>
      <c r="E2087" s="64"/>
      <c r="F2087" s="64"/>
      <c r="G2087" s="64"/>
    </row>
    <row r="2088" spans="2:7" ht="32.25" customHeight="1" x14ac:dyDescent="0.25">
      <c r="B2088" s="64"/>
      <c r="C2088" s="64"/>
      <c r="D2088" s="64"/>
      <c r="E2088" s="64"/>
      <c r="F2088" s="64"/>
      <c r="G2088" s="64"/>
    </row>
    <row r="2089" spans="2:7" ht="32.25" customHeight="1" x14ac:dyDescent="0.25">
      <c r="B2089" s="64"/>
      <c r="C2089" s="64"/>
      <c r="D2089" s="64"/>
      <c r="E2089" s="64"/>
      <c r="F2089" s="64"/>
      <c r="G2089" s="64"/>
    </row>
    <row r="2090" spans="2:7" ht="32.25" customHeight="1" x14ac:dyDescent="0.25">
      <c r="B2090" s="64"/>
      <c r="C2090" s="64"/>
      <c r="D2090" s="64"/>
      <c r="E2090" s="64"/>
      <c r="F2090" s="64"/>
      <c r="G2090" s="64"/>
    </row>
    <row r="2091" spans="2:7" ht="32.25" customHeight="1" x14ac:dyDescent="0.25">
      <c r="B2091" s="64"/>
      <c r="C2091" s="64"/>
      <c r="D2091" s="64"/>
      <c r="E2091" s="64"/>
      <c r="F2091" s="64"/>
      <c r="G2091" s="64"/>
    </row>
    <row r="2092" spans="2:7" ht="32.25" customHeight="1" x14ac:dyDescent="0.25">
      <c r="B2092" s="64"/>
      <c r="C2092" s="64"/>
      <c r="D2092" s="64"/>
      <c r="E2092" s="64"/>
      <c r="F2092" s="64"/>
      <c r="G2092" s="64"/>
    </row>
    <row r="2093" spans="2:7" ht="32.25" customHeight="1" x14ac:dyDescent="0.25">
      <c r="B2093" s="64"/>
      <c r="C2093" s="64"/>
      <c r="D2093" s="64"/>
      <c r="E2093" s="64"/>
      <c r="F2093" s="64"/>
      <c r="G2093" s="64"/>
    </row>
    <row r="2094" spans="2:7" ht="32.25" customHeight="1" x14ac:dyDescent="0.25">
      <c r="B2094" s="64"/>
      <c r="C2094" s="64"/>
      <c r="D2094" s="64"/>
      <c r="E2094" s="64"/>
      <c r="F2094" s="64"/>
      <c r="G2094" s="64"/>
    </row>
    <row r="2095" spans="2:7" ht="32.25" customHeight="1" x14ac:dyDescent="0.25">
      <c r="B2095" s="64"/>
      <c r="C2095" s="64"/>
      <c r="D2095" s="64"/>
      <c r="E2095" s="64"/>
      <c r="F2095" s="64"/>
      <c r="G2095" s="64"/>
    </row>
    <row r="2096" spans="2:7" ht="32.25" customHeight="1" x14ac:dyDescent="0.25">
      <c r="B2096" s="64"/>
      <c r="C2096" s="64"/>
      <c r="D2096" s="64"/>
      <c r="E2096" s="64"/>
      <c r="F2096" s="64"/>
      <c r="G2096" s="64"/>
    </row>
    <row r="2097" spans="2:7" ht="32.25" customHeight="1" x14ac:dyDescent="0.25">
      <c r="B2097" s="64"/>
      <c r="C2097" s="64"/>
      <c r="D2097" s="64"/>
      <c r="E2097" s="64"/>
      <c r="F2097" s="64"/>
      <c r="G2097" s="64"/>
    </row>
    <row r="2098" spans="2:7" ht="32.25" customHeight="1" x14ac:dyDescent="0.25">
      <c r="B2098" s="64"/>
      <c r="C2098" s="64"/>
      <c r="D2098" s="64"/>
      <c r="E2098" s="64"/>
      <c r="F2098" s="64"/>
      <c r="G2098" s="64"/>
    </row>
    <row r="2099" spans="2:7" ht="32.25" customHeight="1" x14ac:dyDescent="0.25">
      <c r="B2099" s="64"/>
      <c r="C2099" s="64"/>
      <c r="D2099" s="64"/>
      <c r="E2099" s="64"/>
      <c r="F2099" s="64"/>
      <c r="G2099" s="64"/>
    </row>
    <row r="2100" spans="2:7" ht="32.25" customHeight="1" x14ac:dyDescent="0.25">
      <c r="B2100" s="64"/>
      <c r="C2100" s="64"/>
      <c r="D2100" s="64"/>
      <c r="E2100" s="64"/>
      <c r="F2100" s="64"/>
      <c r="G2100" s="64"/>
    </row>
    <row r="2101" spans="2:7" ht="32.25" customHeight="1" x14ac:dyDescent="0.25">
      <c r="B2101" s="64"/>
      <c r="C2101" s="64"/>
      <c r="D2101" s="64"/>
      <c r="E2101" s="64"/>
      <c r="F2101" s="64"/>
      <c r="G2101" s="64"/>
    </row>
    <row r="2102" spans="2:7" ht="32.25" customHeight="1" x14ac:dyDescent="0.25">
      <c r="B2102" s="64"/>
      <c r="C2102" s="64"/>
      <c r="D2102" s="64"/>
      <c r="E2102" s="64"/>
      <c r="F2102" s="64"/>
      <c r="G2102" s="64"/>
    </row>
    <row r="2103" spans="2:7" ht="32.25" customHeight="1" x14ac:dyDescent="0.25">
      <c r="B2103" s="64"/>
      <c r="C2103" s="64"/>
      <c r="D2103" s="64"/>
      <c r="E2103" s="64"/>
      <c r="F2103" s="64"/>
      <c r="G2103" s="64"/>
    </row>
    <row r="2104" spans="2:7" ht="32.25" customHeight="1" x14ac:dyDescent="0.25">
      <c r="B2104" s="64"/>
      <c r="C2104" s="64"/>
      <c r="D2104" s="64"/>
      <c r="E2104" s="64"/>
      <c r="F2104" s="64"/>
      <c r="G2104" s="64"/>
    </row>
    <row r="2105" spans="2:7" ht="32.25" customHeight="1" x14ac:dyDescent="0.25">
      <c r="B2105" s="64"/>
      <c r="C2105" s="64"/>
      <c r="D2105" s="64"/>
      <c r="E2105" s="64"/>
      <c r="F2105" s="64"/>
      <c r="G2105" s="64"/>
    </row>
    <row r="2106" spans="2:7" ht="32.25" customHeight="1" x14ac:dyDescent="0.25">
      <c r="B2106" s="64"/>
      <c r="C2106" s="64"/>
      <c r="D2106" s="64"/>
      <c r="E2106" s="64"/>
      <c r="F2106" s="64"/>
      <c r="G2106" s="64"/>
    </row>
    <row r="2107" spans="2:7" ht="32.25" customHeight="1" x14ac:dyDescent="0.25">
      <c r="B2107" s="64"/>
      <c r="C2107" s="64"/>
      <c r="D2107" s="64"/>
      <c r="E2107" s="64"/>
      <c r="F2107" s="64"/>
      <c r="G2107" s="64"/>
    </row>
    <row r="2108" spans="2:7" ht="32.25" customHeight="1" x14ac:dyDescent="0.25">
      <c r="B2108" s="64"/>
      <c r="C2108" s="64"/>
      <c r="D2108" s="64"/>
      <c r="E2108" s="64"/>
      <c r="F2108" s="64"/>
      <c r="G2108" s="64"/>
    </row>
    <row r="2109" spans="2:7" ht="32.25" customHeight="1" x14ac:dyDescent="0.25">
      <c r="B2109" s="64"/>
      <c r="C2109" s="64"/>
      <c r="D2109" s="64"/>
      <c r="E2109" s="64"/>
      <c r="F2109" s="64"/>
      <c r="G2109" s="64"/>
    </row>
    <row r="2110" spans="2:7" ht="32.25" customHeight="1" x14ac:dyDescent="0.25">
      <c r="B2110" s="64"/>
      <c r="C2110" s="64"/>
      <c r="D2110" s="64"/>
      <c r="E2110" s="64"/>
      <c r="F2110" s="64"/>
      <c r="G2110" s="64"/>
    </row>
    <row r="2111" spans="2:7" ht="32.25" customHeight="1" x14ac:dyDescent="0.25">
      <c r="B2111" s="64"/>
      <c r="C2111" s="64"/>
      <c r="D2111" s="64"/>
      <c r="E2111" s="64"/>
      <c r="F2111" s="64"/>
      <c r="G2111" s="64"/>
    </row>
    <row r="2112" spans="2:7" ht="32.25" customHeight="1" x14ac:dyDescent="0.25">
      <c r="B2112" s="64"/>
      <c r="C2112" s="64"/>
      <c r="D2112" s="64"/>
      <c r="E2112" s="64"/>
      <c r="F2112" s="64"/>
      <c r="G2112" s="64"/>
    </row>
    <row r="2113" spans="2:7" ht="32.25" customHeight="1" x14ac:dyDescent="0.25">
      <c r="B2113" s="64"/>
      <c r="C2113" s="64"/>
      <c r="D2113" s="64"/>
      <c r="E2113" s="64"/>
      <c r="F2113" s="64"/>
      <c r="G2113" s="64"/>
    </row>
    <row r="2114" spans="2:7" ht="32.25" customHeight="1" x14ac:dyDescent="0.25">
      <c r="B2114" s="64"/>
      <c r="C2114" s="64"/>
      <c r="D2114" s="64"/>
      <c r="E2114" s="64"/>
      <c r="F2114" s="64"/>
      <c r="G2114" s="64"/>
    </row>
    <row r="2115" spans="2:7" ht="32.25" customHeight="1" x14ac:dyDescent="0.25">
      <c r="B2115" s="64"/>
      <c r="C2115" s="64"/>
      <c r="D2115" s="64"/>
      <c r="E2115" s="64"/>
      <c r="F2115" s="64"/>
      <c r="G2115" s="64"/>
    </row>
    <row r="2116" spans="2:7" ht="32.25" customHeight="1" x14ac:dyDescent="0.25">
      <c r="B2116" s="64"/>
      <c r="C2116" s="64"/>
      <c r="D2116" s="64"/>
      <c r="E2116" s="64"/>
      <c r="F2116" s="64"/>
      <c r="G2116" s="64"/>
    </row>
    <row r="2117" spans="2:7" ht="32.25" customHeight="1" x14ac:dyDescent="0.25">
      <c r="B2117" s="64"/>
      <c r="C2117" s="64"/>
      <c r="D2117" s="64"/>
      <c r="E2117" s="64"/>
      <c r="F2117" s="64"/>
      <c r="G2117" s="64"/>
    </row>
    <row r="2118" spans="2:7" ht="32.25" customHeight="1" x14ac:dyDescent="0.25">
      <c r="B2118" s="64"/>
      <c r="C2118" s="64"/>
      <c r="D2118" s="64"/>
      <c r="E2118" s="64"/>
      <c r="F2118" s="64"/>
      <c r="G2118" s="64"/>
    </row>
    <row r="2119" spans="2:7" ht="32.25" customHeight="1" x14ac:dyDescent="0.25">
      <c r="B2119" s="64"/>
      <c r="C2119" s="64"/>
      <c r="D2119" s="64"/>
      <c r="E2119" s="64"/>
      <c r="F2119" s="64"/>
      <c r="G2119" s="64"/>
    </row>
    <row r="2120" spans="2:7" ht="32.25" customHeight="1" x14ac:dyDescent="0.25">
      <c r="B2120" s="64"/>
      <c r="C2120" s="64"/>
      <c r="D2120" s="64"/>
      <c r="E2120" s="64"/>
      <c r="F2120" s="64"/>
      <c r="G2120" s="64"/>
    </row>
    <row r="2121" spans="2:7" ht="32.25" customHeight="1" x14ac:dyDescent="0.25">
      <c r="B2121" s="64"/>
      <c r="C2121" s="64"/>
      <c r="D2121" s="64"/>
      <c r="E2121" s="64"/>
      <c r="F2121" s="64"/>
      <c r="G2121" s="64"/>
    </row>
    <row r="2122" spans="2:7" ht="32.25" customHeight="1" x14ac:dyDescent="0.25">
      <c r="B2122" s="64"/>
      <c r="C2122" s="64"/>
      <c r="D2122" s="64"/>
      <c r="E2122" s="64"/>
      <c r="F2122" s="64"/>
      <c r="G2122" s="64"/>
    </row>
    <row r="2123" spans="2:7" ht="32.25" customHeight="1" x14ac:dyDescent="0.25">
      <c r="B2123" s="64"/>
      <c r="C2123" s="64"/>
      <c r="D2123" s="64"/>
      <c r="E2123" s="64"/>
      <c r="F2123" s="64"/>
      <c r="G2123" s="64"/>
    </row>
    <row r="2124" spans="2:7" ht="32.25" customHeight="1" x14ac:dyDescent="0.25">
      <c r="B2124" s="64"/>
      <c r="C2124" s="64"/>
      <c r="D2124" s="64"/>
      <c r="E2124" s="64"/>
      <c r="F2124" s="64"/>
      <c r="G2124" s="64"/>
    </row>
    <row r="2125" spans="2:7" ht="32.25" customHeight="1" x14ac:dyDescent="0.25">
      <c r="B2125" s="64"/>
      <c r="C2125" s="64"/>
      <c r="D2125" s="64"/>
      <c r="E2125" s="64"/>
      <c r="F2125" s="64"/>
      <c r="G2125" s="64"/>
    </row>
    <row r="2126" spans="2:7" ht="32.25" customHeight="1" x14ac:dyDescent="0.25">
      <c r="B2126" s="64"/>
      <c r="C2126" s="64"/>
      <c r="D2126" s="64"/>
      <c r="E2126" s="64"/>
      <c r="F2126" s="64"/>
      <c r="G2126" s="64"/>
    </row>
    <row r="2127" spans="2:7" ht="32.25" customHeight="1" x14ac:dyDescent="0.25">
      <c r="B2127" s="64"/>
      <c r="C2127" s="64"/>
      <c r="D2127" s="64"/>
      <c r="E2127" s="64"/>
      <c r="F2127" s="64"/>
      <c r="G2127" s="64"/>
    </row>
    <row r="2128" spans="2:7" ht="32.25" customHeight="1" x14ac:dyDescent="0.25">
      <c r="B2128" s="64"/>
      <c r="C2128" s="64"/>
      <c r="D2128" s="64"/>
      <c r="E2128" s="64"/>
      <c r="F2128" s="64"/>
      <c r="G2128" s="64"/>
    </row>
    <row r="2129" spans="2:7" ht="32.25" customHeight="1" x14ac:dyDescent="0.25">
      <c r="B2129" s="64"/>
      <c r="C2129" s="64"/>
      <c r="D2129" s="64"/>
      <c r="E2129" s="64"/>
      <c r="F2129" s="64"/>
      <c r="G2129" s="64"/>
    </row>
    <row r="2130" spans="2:7" ht="32.25" customHeight="1" x14ac:dyDescent="0.25">
      <c r="B2130" s="64"/>
      <c r="C2130" s="64"/>
      <c r="D2130" s="64"/>
      <c r="E2130" s="64"/>
      <c r="F2130" s="64"/>
      <c r="G2130" s="64"/>
    </row>
    <row r="2131" spans="2:7" ht="32.25" customHeight="1" x14ac:dyDescent="0.25">
      <c r="B2131" s="64"/>
      <c r="C2131" s="64"/>
      <c r="D2131" s="64"/>
      <c r="E2131" s="64"/>
      <c r="F2131" s="64"/>
      <c r="G2131" s="64"/>
    </row>
    <row r="2132" spans="2:7" ht="32.25" customHeight="1" x14ac:dyDescent="0.25">
      <c r="B2132" s="64"/>
      <c r="C2132" s="64"/>
      <c r="D2132" s="64"/>
      <c r="E2132" s="64"/>
      <c r="F2132" s="64"/>
      <c r="G2132" s="64"/>
    </row>
    <row r="2133" spans="2:7" ht="32.25" customHeight="1" x14ac:dyDescent="0.25">
      <c r="B2133" s="64"/>
      <c r="C2133" s="64"/>
      <c r="D2133" s="64"/>
      <c r="E2133" s="64"/>
      <c r="F2133" s="64"/>
      <c r="G2133" s="64"/>
    </row>
    <row r="2134" spans="2:7" ht="32.25" customHeight="1" x14ac:dyDescent="0.25">
      <c r="B2134" s="64"/>
      <c r="C2134" s="64"/>
      <c r="D2134" s="64"/>
      <c r="E2134" s="64"/>
      <c r="F2134" s="64"/>
      <c r="G2134" s="64"/>
    </row>
    <row r="2135" spans="2:7" ht="32.25" customHeight="1" x14ac:dyDescent="0.25">
      <c r="B2135" s="64"/>
      <c r="C2135" s="64"/>
      <c r="D2135" s="64"/>
      <c r="E2135" s="64"/>
      <c r="F2135" s="64"/>
      <c r="G2135" s="64"/>
    </row>
    <row r="2136" spans="2:7" ht="32.25" customHeight="1" x14ac:dyDescent="0.25">
      <c r="B2136" s="64"/>
      <c r="C2136" s="64"/>
      <c r="D2136" s="64"/>
      <c r="E2136" s="64"/>
      <c r="F2136" s="64"/>
      <c r="G2136" s="64"/>
    </row>
    <row r="2137" spans="2:7" ht="32.25" customHeight="1" x14ac:dyDescent="0.25">
      <c r="B2137" s="64"/>
      <c r="C2137" s="64"/>
      <c r="D2137" s="64"/>
      <c r="E2137" s="64"/>
      <c r="F2137" s="64"/>
      <c r="G2137" s="64"/>
    </row>
    <row r="2138" spans="2:7" ht="32.25" customHeight="1" x14ac:dyDescent="0.25">
      <c r="B2138" s="64"/>
      <c r="C2138" s="64"/>
      <c r="D2138" s="64"/>
      <c r="E2138" s="64"/>
      <c r="F2138" s="64"/>
      <c r="G2138" s="64"/>
    </row>
    <row r="2139" spans="2:7" ht="32.25" customHeight="1" x14ac:dyDescent="0.25">
      <c r="B2139" s="64"/>
      <c r="C2139" s="64"/>
      <c r="D2139" s="64"/>
      <c r="E2139" s="64"/>
      <c r="F2139" s="64"/>
      <c r="G2139" s="64"/>
    </row>
    <row r="2140" spans="2:7" ht="32.25" customHeight="1" x14ac:dyDescent="0.25">
      <c r="B2140" s="64"/>
      <c r="C2140" s="64"/>
      <c r="D2140" s="64"/>
      <c r="E2140" s="64"/>
      <c r="F2140" s="64"/>
      <c r="G2140" s="64"/>
    </row>
    <row r="2141" spans="2:7" ht="32.25" customHeight="1" x14ac:dyDescent="0.25">
      <c r="B2141" s="64"/>
      <c r="C2141" s="64"/>
      <c r="D2141" s="64"/>
      <c r="E2141" s="64"/>
      <c r="F2141" s="64"/>
      <c r="G2141" s="64"/>
    </row>
    <row r="2142" spans="2:7" ht="32.25" customHeight="1" x14ac:dyDescent="0.25">
      <c r="B2142" s="64"/>
      <c r="C2142" s="64"/>
      <c r="D2142" s="64"/>
      <c r="E2142" s="64"/>
      <c r="F2142" s="64"/>
      <c r="G2142" s="64"/>
    </row>
    <row r="2143" spans="2:7" ht="32.25" customHeight="1" x14ac:dyDescent="0.25">
      <c r="B2143" s="64"/>
      <c r="C2143" s="64"/>
      <c r="D2143" s="64"/>
      <c r="E2143" s="64"/>
      <c r="F2143" s="64"/>
      <c r="G2143" s="64"/>
    </row>
    <row r="2144" spans="2:7" ht="32.25" customHeight="1" x14ac:dyDescent="0.25">
      <c r="B2144" s="64"/>
      <c r="C2144" s="64"/>
      <c r="D2144" s="64"/>
      <c r="E2144" s="64"/>
      <c r="F2144" s="64"/>
      <c r="G2144" s="64"/>
    </row>
    <row r="2145" spans="2:7" ht="32.25" customHeight="1" x14ac:dyDescent="0.25">
      <c r="B2145" s="64"/>
      <c r="C2145" s="64"/>
      <c r="D2145" s="64"/>
      <c r="E2145" s="64"/>
      <c r="F2145" s="64"/>
      <c r="G2145" s="64"/>
    </row>
    <row r="2146" spans="2:7" ht="32.25" customHeight="1" x14ac:dyDescent="0.25">
      <c r="B2146" s="64"/>
      <c r="C2146" s="64"/>
      <c r="D2146" s="64"/>
      <c r="E2146" s="64"/>
      <c r="F2146" s="64"/>
      <c r="G2146" s="64"/>
    </row>
    <row r="2147" spans="2:7" ht="32.25" customHeight="1" x14ac:dyDescent="0.25">
      <c r="B2147" s="64"/>
      <c r="C2147" s="64"/>
      <c r="D2147" s="64"/>
      <c r="E2147" s="64"/>
      <c r="F2147" s="64"/>
      <c r="G2147" s="64"/>
    </row>
    <row r="2148" spans="2:7" ht="32.25" customHeight="1" x14ac:dyDescent="0.25">
      <c r="B2148" s="64"/>
      <c r="C2148" s="64"/>
      <c r="D2148" s="64"/>
      <c r="E2148" s="64"/>
      <c r="F2148" s="64"/>
      <c r="G2148" s="64"/>
    </row>
    <row r="2149" spans="2:7" ht="32.25" customHeight="1" x14ac:dyDescent="0.25">
      <c r="B2149" s="64"/>
      <c r="C2149" s="64"/>
      <c r="D2149" s="64"/>
      <c r="E2149" s="64"/>
      <c r="F2149" s="64"/>
      <c r="G2149" s="64"/>
    </row>
    <row r="2150" spans="2:7" ht="32.25" customHeight="1" x14ac:dyDescent="0.25">
      <c r="B2150" s="64"/>
      <c r="C2150" s="64"/>
      <c r="D2150" s="64"/>
      <c r="E2150" s="64"/>
      <c r="F2150" s="64"/>
      <c r="G2150" s="64"/>
    </row>
    <row r="2151" spans="2:7" ht="32.25" customHeight="1" x14ac:dyDescent="0.25">
      <c r="B2151" s="64"/>
      <c r="C2151" s="64"/>
      <c r="D2151" s="64"/>
      <c r="E2151" s="64"/>
      <c r="F2151" s="64"/>
      <c r="G2151" s="64"/>
    </row>
    <row r="2152" spans="2:7" ht="32.25" customHeight="1" x14ac:dyDescent="0.25">
      <c r="B2152" s="64"/>
      <c r="C2152" s="64"/>
      <c r="D2152" s="64"/>
      <c r="E2152" s="64"/>
      <c r="F2152" s="64"/>
      <c r="G2152" s="64"/>
    </row>
    <row r="2153" spans="2:7" ht="32.25" customHeight="1" x14ac:dyDescent="0.25">
      <c r="B2153" s="64"/>
      <c r="C2153" s="64"/>
      <c r="D2153" s="64"/>
      <c r="E2153" s="64"/>
      <c r="F2153" s="64"/>
      <c r="G2153" s="64"/>
    </row>
    <row r="2154" spans="2:7" ht="32.25" customHeight="1" x14ac:dyDescent="0.25">
      <c r="B2154" s="64"/>
      <c r="C2154" s="64"/>
      <c r="D2154" s="64"/>
      <c r="E2154" s="64"/>
      <c r="F2154" s="64"/>
      <c r="G2154" s="64"/>
    </row>
    <row r="2155" spans="2:7" ht="32.25" customHeight="1" x14ac:dyDescent="0.25">
      <c r="B2155" s="64"/>
      <c r="C2155" s="64"/>
      <c r="D2155" s="64"/>
      <c r="E2155" s="64"/>
      <c r="F2155" s="64"/>
      <c r="G2155" s="64"/>
    </row>
    <row r="2156" spans="2:7" ht="32.25" customHeight="1" x14ac:dyDescent="0.25">
      <c r="B2156" s="64"/>
      <c r="C2156" s="64"/>
      <c r="D2156" s="64"/>
      <c r="E2156" s="64"/>
      <c r="F2156" s="64"/>
      <c r="G2156" s="64"/>
    </row>
    <row r="2157" spans="2:7" ht="32.25" customHeight="1" x14ac:dyDescent="0.25">
      <c r="B2157" s="64"/>
      <c r="C2157" s="64"/>
      <c r="D2157" s="64"/>
      <c r="E2157" s="64"/>
      <c r="F2157" s="64"/>
      <c r="G2157" s="64"/>
    </row>
    <row r="2158" spans="2:7" ht="32.25" customHeight="1" x14ac:dyDescent="0.25">
      <c r="B2158" s="64"/>
      <c r="C2158" s="64"/>
      <c r="D2158" s="64"/>
      <c r="E2158" s="64"/>
      <c r="F2158" s="64"/>
      <c r="G2158" s="64"/>
    </row>
    <row r="2159" spans="2:7" ht="32.25" customHeight="1" x14ac:dyDescent="0.25">
      <c r="B2159" s="64"/>
      <c r="C2159" s="64"/>
      <c r="D2159" s="64"/>
      <c r="E2159" s="64"/>
      <c r="F2159" s="64"/>
      <c r="G2159" s="64"/>
    </row>
    <row r="2160" spans="2:7" ht="32.25" customHeight="1" x14ac:dyDescent="0.25">
      <c r="B2160" s="64"/>
      <c r="C2160" s="64"/>
      <c r="D2160" s="64"/>
      <c r="E2160" s="64"/>
      <c r="F2160" s="64"/>
      <c r="G2160" s="64"/>
    </row>
    <row r="2161" spans="2:7" ht="32.25" customHeight="1" x14ac:dyDescent="0.25">
      <c r="B2161" s="64"/>
      <c r="C2161" s="64"/>
      <c r="D2161" s="64"/>
      <c r="E2161" s="64"/>
      <c r="F2161" s="64"/>
      <c r="G2161" s="64"/>
    </row>
    <row r="2162" spans="2:7" ht="32.25" customHeight="1" x14ac:dyDescent="0.25">
      <c r="B2162" s="64"/>
      <c r="C2162" s="64"/>
      <c r="D2162" s="64"/>
      <c r="E2162" s="64"/>
      <c r="F2162" s="64"/>
      <c r="G2162" s="64"/>
    </row>
    <row r="2163" spans="2:7" ht="32.25" customHeight="1" x14ac:dyDescent="0.25">
      <c r="B2163" s="64"/>
      <c r="C2163" s="64"/>
      <c r="D2163" s="64"/>
      <c r="E2163" s="64"/>
      <c r="F2163" s="64"/>
      <c r="G2163" s="64"/>
    </row>
    <row r="2164" spans="2:7" ht="32.25" customHeight="1" x14ac:dyDescent="0.25">
      <c r="B2164" s="64"/>
      <c r="C2164" s="64"/>
      <c r="D2164" s="64"/>
      <c r="E2164" s="64"/>
      <c r="F2164" s="64"/>
      <c r="G2164" s="64"/>
    </row>
    <row r="2165" spans="2:7" ht="32.25" customHeight="1" x14ac:dyDescent="0.25">
      <c r="B2165" s="64"/>
      <c r="C2165" s="64"/>
      <c r="D2165" s="64"/>
      <c r="E2165" s="64"/>
      <c r="F2165" s="64"/>
      <c r="G2165" s="64"/>
    </row>
    <row r="2166" spans="2:7" ht="32.25" customHeight="1" x14ac:dyDescent="0.25">
      <c r="B2166" s="64"/>
      <c r="C2166" s="64"/>
      <c r="D2166" s="64"/>
      <c r="E2166" s="64"/>
      <c r="F2166" s="64"/>
      <c r="G2166" s="64"/>
    </row>
    <row r="2167" spans="2:7" ht="32.25" customHeight="1" x14ac:dyDescent="0.25">
      <c r="B2167" s="64"/>
      <c r="C2167" s="64"/>
      <c r="D2167" s="64"/>
      <c r="E2167" s="64"/>
      <c r="F2167" s="64"/>
      <c r="G2167" s="64"/>
    </row>
    <row r="2168" spans="2:7" ht="32.25" customHeight="1" x14ac:dyDescent="0.25">
      <c r="B2168" s="64"/>
      <c r="C2168" s="64"/>
      <c r="D2168" s="64"/>
      <c r="E2168" s="64"/>
      <c r="F2168" s="64"/>
      <c r="G2168" s="64"/>
    </row>
    <row r="2169" spans="2:7" ht="32.25" customHeight="1" x14ac:dyDescent="0.25">
      <c r="B2169" s="64"/>
      <c r="C2169" s="64"/>
      <c r="D2169" s="64"/>
      <c r="E2169" s="64"/>
      <c r="F2169" s="64"/>
      <c r="G2169" s="64"/>
    </row>
    <row r="2170" spans="2:7" ht="32.25" customHeight="1" x14ac:dyDescent="0.25">
      <c r="B2170" s="64"/>
      <c r="C2170" s="64"/>
      <c r="D2170" s="64"/>
      <c r="E2170" s="64"/>
      <c r="F2170" s="64"/>
      <c r="G2170" s="64"/>
    </row>
    <row r="2171" spans="2:7" ht="32.25" customHeight="1" x14ac:dyDescent="0.25">
      <c r="B2171" s="64"/>
      <c r="C2171" s="64"/>
      <c r="D2171" s="64"/>
      <c r="E2171" s="64"/>
      <c r="F2171" s="64"/>
      <c r="G2171" s="64"/>
    </row>
    <row r="2172" spans="2:7" ht="32.25" customHeight="1" x14ac:dyDescent="0.25">
      <c r="B2172" s="64"/>
      <c r="C2172" s="64"/>
      <c r="D2172" s="64"/>
      <c r="E2172" s="64"/>
      <c r="F2172" s="64"/>
      <c r="G2172" s="64"/>
    </row>
    <row r="2173" spans="2:7" ht="32.25" customHeight="1" x14ac:dyDescent="0.25">
      <c r="B2173" s="64"/>
      <c r="C2173" s="64"/>
      <c r="D2173" s="64"/>
      <c r="E2173" s="64"/>
      <c r="F2173" s="64"/>
      <c r="G2173" s="64"/>
    </row>
    <row r="2174" spans="2:7" ht="32.25" customHeight="1" x14ac:dyDescent="0.25">
      <c r="B2174" s="64"/>
      <c r="C2174" s="64"/>
      <c r="D2174" s="64"/>
      <c r="E2174" s="64"/>
      <c r="F2174" s="64"/>
      <c r="G2174" s="64"/>
    </row>
    <row r="2175" spans="2:7" ht="32.25" customHeight="1" x14ac:dyDescent="0.25">
      <c r="B2175" s="64"/>
      <c r="C2175" s="64"/>
      <c r="D2175" s="64"/>
      <c r="E2175" s="64"/>
      <c r="F2175" s="64"/>
      <c r="G2175" s="64"/>
    </row>
    <row r="2176" spans="2:7" ht="32.25" customHeight="1" x14ac:dyDescent="0.25">
      <c r="B2176" s="64"/>
      <c r="C2176" s="64"/>
      <c r="D2176" s="64"/>
      <c r="E2176" s="64"/>
      <c r="F2176" s="64"/>
      <c r="G2176" s="64"/>
    </row>
    <row r="2177" spans="2:7" ht="32.25" customHeight="1" x14ac:dyDescent="0.25">
      <c r="B2177" s="64"/>
      <c r="C2177" s="64"/>
      <c r="D2177" s="64"/>
      <c r="E2177" s="64"/>
      <c r="F2177" s="64"/>
      <c r="G2177" s="64"/>
    </row>
    <row r="2178" spans="2:7" ht="32.25" customHeight="1" x14ac:dyDescent="0.25">
      <c r="B2178" s="64"/>
      <c r="C2178" s="64"/>
      <c r="D2178" s="64"/>
      <c r="E2178" s="64"/>
      <c r="F2178" s="64"/>
      <c r="G2178" s="64"/>
    </row>
    <row r="2179" spans="2:7" ht="32.25" customHeight="1" x14ac:dyDescent="0.25">
      <c r="B2179" s="64"/>
      <c r="C2179" s="64"/>
      <c r="D2179" s="64"/>
      <c r="E2179" s="64"/>
      <c r="F2179" s="64"/>
      <c r="G2179" s="64"/>
    </row>
    <row r="2180" spans="2:7" ht="32.25" customHeight="1" x14ac:dyDescent="0.25">
      <c r="B2180" s="64"/>
      <c r="C2180" s="64"/>
      <c r="D2180" s="64"/>
      <c r="E2180" s="64"/>
      <c r="F2180" s="64"/>
      <c r="G2180" s="64"/>
    </row>
    <row r="2181" spans="2:7" ht="32.25" customHeight="1" x14ac:dyDescent="0.25">
      <c r="B2181" s="64"/>
      <c r="C2181" s="64"/>
      <c r="D2181" s="64"/>
      <c r="E2181" s="64"/>
      <c r="F2181" s="64"/>
      <c r="G2181" s="64"/>
    </row>
    <row r="2182" spans="2:7" ht="32.25" customHeight="1" x14ac:dyDescent="0.25">
      <c r="B2182" s="64"/>
      <c r="C2182" s="64"/>
      <c r="D2182" s="64"/>
      <c r="E2182" s="64"/>
      <c r="F2182" s="64"/>
      <c r="G2182" s="64"/>
    </row>
    <row r="2183" spans="2:7" ht="32.25" customHeight="1" x14ac:dyDescent="0.25">
      <c r="B2183" s="64"/>
      <c r="C2183" s="64"/>
      <c r="D2183" s="64"/>
      <c r="E2183" s="64"/>
      <c r="F2183" s="64"/>
      <c r="G2183" s="64"/>
    </row>
    <row r="2184" spans="2:7" ht="32.25" customHeight="1" x14ac:dyDescent="0.25">
      <c r="B2184" s="64"/>
      <c r="C2184" s="64"/>
      <c r="D2184" s="64"/>
      <c r="E2184" s="64"/>
      <c r="F2184" s="64"/>
      <c r="G2184" s="64"/>
    </row>
    <row r="2185" spans="2:7" ht="32.25" customHeight="1" x14ac:dyDescent="0.25">
      <c r="B2185" s="64"/>
      <c r="C2185" s="64"/>
      <c r="D2185" s="64"/>
      <c r="E2185" s="64"/>
      <c r="F2185" s="64"/>
      <c r="G2185" s="64"/>
    </row>
    <row r="2186" spans="2:7" ht="32.25" customHeight="1" x14ac:dyDescent="0.25">
      <c r="B2186" s="64"/>
      <c r="C2186" s="64"/>
      <c r="D2186" s="64"/>
      <c r="E2186" s="64"/>
      <c r="F2186" s="64"/>
      <c r="G2186" s="64"/>
    </row>
    <row r="2187" spans="2:7" ht="32.25" customHeight="1" x14ac:dyDescent="0.25">
      <c r="B2187" s="64"/>
      <c r="C2187" s="64"/>
      <c r="D2187" s="64"/>
      <c r="E2187" s="64"/>
      <c r="F2187" s="64"/>
      <c r="G2187" s="64"/>
    </row>
    <row r="2188" spans="2:7" ht="32.25" customHeight="1" x14ac:dyDescent="0.25">
      <c r="B2188" s="64"/>
      <c r="C2188" s="64"/>
      <c r="D2188" s="64"/>
      <c r="E2188" s="64"/>
      <c r="F2188" s="64"/>
      <c r="G2188" s="64"/>
    </row>
    <row r="2189" spans="2:7" ht="32.25" customHeight="1" x14ac:dyDescent="0.25">
      <c r="B2189" s="64"/>
      <c r="C2189" s="64"/>
      <c r="D2189" s="64"/>
      <c r="E2189" s="64"/>
      <c r="F2189" s="64"/>
      <c r="G2189" s="64"/>
    </row>
    <row r="2190" spans="2:7" ht="32.25" customHeight="1" x14ac:dyDescent="0.25">
      <c r="B2190" s="64"/>
      <c r="C2190" s="64"/>
      <c r="D2190" s="64"/>
      <c r="E2190" s="64"/>
      <c r="F2190" s="64"/>
      <c r="G2190" s="64"/>
    </row>
    <row r="2191" spans="2:7" ht="32.25" customHeight="1" x14ac:dyDescent="0.25">
      <c r="B2191" s="64"/>
      <c r="C2191" s="64"/>
      <c r="D2191" s="64"/>
      <c r="E2191" s="64"/>
      <c r="F2191" s="64"/>
      <c r="G2191" s="64"/>
    </row>
    <row r="2192" spans="2:7" ht="32.25" customHeight="1" x14ac:dyDescent="0.25">
      <c r="B2192" s="64"/>
      <c r="C2192" s="64"/>
      <c r="D2192" s="64"/>
      <c r="E2192" s="64"/>
      <c r="F2192" s="64"/>
      <c r="G2192" s="64"/>
    </row>
    <row r="2193" spans="2:7" ht="32.25" customHeight="1" x14ac:dyDescent="0.25">
      <c r="B2193" s="64"/>
      <c r="C2193" s="64"/>
      <c r="D2193" s="64"/>
      <c r="E2193" s="64"/>
      <c r="F2193" s="64"/>
      <c r="G2193" s="64"/>
    </row>
    <row r="2194" spans="2:7" ht="32.25" customHeight="1" x14ac:dyDescent="0.25">
      <c r="B2194" s="64"/>
      <c r="C2194" s="64"/>
      <c r="D2194" s="64"/>
      <c r="E2194" s="64"/>
      <c r="F2194" s="64"/>
      <c r="G2194" s="64"/>
    </row>
    <row r="2195" spans="2:7" ht="32.25" customHeight="1" x14ac:dyDescent="0.25">
      <c r="B2195" s="64"/>
      <c r="C2195" s="64"/>
      <c r="D2195" s="64"/>
      <c r="E2195" s="64"/>
      <c r="F2195" s="64"/>
      <c r="G2195" s="64"/>
    </row>
    <row r="2196" spans="2:7" ht="32.25" customHeight="1" x14ac:dyDescent="0.25">
      <c r="B2196" s="64"/>
      <c r="C2196" s="64"/>
      <c r="D2196" s="64"/>
      <c r="E2196" s="64"/>
      <c r="F2196" s="64"/>
      <c r="G2196" s="64"/>
    </row>
    <row r="2197" spans="2:7" ht="32.25" customHeight="1" x14ac:dyDescent="0.25">
      <c r="B2197" s="64"/>
      <c r="C2197" s="64"/>
      <c r="D2197" s="64"/>
      <c r="E2197" s="64"/>
      <c r="F2197" s="64"/>
      <c r="G2197" s="64"/>
    </row>
    <row r="2198" spans="2:7" ht="32.25" customHeight="1" x14ac:dyDescent="0.25">
      <c r="B2198" s="64"/>
      <c r="C2198" s="64"/>
      <c r="D2198" s="64"/>
      <c r="E2198" s="64"/>
      <c r="F2198" s="64"/>
      <c r="G2198" s="64"/>
    </row>
    <row r="2199" spans="2:7" ht="32.25" customHeight="1" x14ac:dyDescent="0.25">
      <c r="B2199" s="64"/>
      <c r="C2199" s="64"/>
      <c r="D2199" s="64"/>
      <c r="E2199" s="64"/>
      <c r="F2199" s="64"/>
      <c r="G2199" s="64"/>
    </row>
    <row r="2200" spans="2:7" ht="32.25" customHeight="1" x14ac:dyDescent="0.25">
      <c r="B2200" s="64"/>
      <c r="C2200" s="64"/>
      <c r="D2200" s="64"/>
      <c r="E2200" s="64"/>
      <c r="F2200" s="64"/>
      <c r="G2200" s="64"/>
    </row>
    <row r="2201" spans="2:7" ht="32.25" customHeight="1" x14ac:dyDescent="0.25">
      <c r="B2201" s="64"/>
      <c r="C2201" s="64"/>
      <c r="D2201" s="64"/>
      <c r="E2201" s="64"/>
      <c r="F2201" s="64"/>
      <c r="G2201" s="64"/>
    </row>
    <row r="2202" spans="2:7" ht="32.25" customHeight="1" x14ac:dyDescent="0.25">
      <c r="B2202" s="64"/>
      <c r="C2202" s="64"/>
      <c r="D2202" s="64"/>
      <c r="E2202" s="64"/>
      <c r="F2202" s="64"/>
      <c r="G2202" s="64"/>
    </row>
    <row r="2203" spans="2:7" ht="32.25" customHeight="1" x14ac:dyDescent="0.25">
      <c r="B2203" s="64"/>
      <c r="C2203" s="64"/>
      <c r="D2203" s="64"/>
      <c r="E2203" s="64"/>
      <c r="F2203" s="64"/>
      <c r="G2203" s="64"/>
    </row>
    <row r="2204" spans="2:7" ht="32.25" customHeight="1" x14ac:dyDescent="0.25">
      <c r="B2204" s="64"/>
      <c r="C2204" s="64"/>
      <c r="D2204" s="64"/>
      <c r="E2204" s="64"/>
      <c r="F2204" s="64"/>
      <c r="G2204" s="64"/>
    </row>
    <row r="2205" spans="2:7" ht="32.25" customHeight="1" x14ac:dyDescent="0.25">
      <c r="B2205" s="64"/>
      <c r="C2205" s="64"/>
      <c r="D2205" s="64"/>
      <c r="E2205" s="64"/>
      <c r="F2205" s="64"/>
      <c r="G2205" s="64"/>
    </row>
    <row r="2206" spans="2:7" ht="32.25" customHeight="1" x14ac:dyDescent="0.25">
      <c r="B2206" s="64"/>
      <c r="C2206" s="64"/>
      <c r="D2206" s="64"/>
      <c r="E2206" s="64"/>
      <c r="F2206" s="64"/>
      <c r="G2206" s="64"/>
    </row>
    <row r="2207" spans="2:7" ht="32.25" customHeight="1" x14ac:dyDescent="0.25">
      <c r="B2207" s="64"/>
      <c r="C2207" s="64"/>
      <c r="D2207" s="64"/>
      <c r="E2207" s="64"/>
      <c r="F2207" s="64"/>
      <c r="G2207" s="64"/>
    </row>
    <row r="2208" spans="2:7" ht="32.25" customHeight="1" x14ac:dyDescent="0.25">
      <c r="B2208" s="64"/>
      <c r="C2208" s="64"/>
      <c r="D2208" s="64"/>
      <c r="E2208" s="64"/>
      <c r="F2208" s="64"/>
      <c r="G2208" s="64"/>
    </row>
    <row r="2209" spans="2:7" ht="32.25" customHeight="1" x14ac:dyDescent="0.25">
      <c r="B2209" s="64"/>
      <c r="C2209" s="64"/>
      <c r="D2209" s="64"/>
      <c r="E2209" s="64"/>
      <c r="F2209" s="64"/>
      <c r="G2209" s="64"/>
    </row>
    <row r="2210" spans="2:7" ht="32.25" customHeight="1" x14ac:dyDescent="0.25">
      <c r="B2210" s="64"/>
      <c r="C2210" s="64"/>
      <c r="D2210" s="64"/>
      <c r="E2210" s="64"/>
      <c r="F2210" s="64"/>
      <c r="G2210" s="64"/>
    </row>
    <row r="2211" spans="2:7" ht="32.25" customHeight="1" x14ac:dyDescent="0.25">
      <c r="B2211" s="64"/>
      <c r="C2211" s="64"/>
      <c r="D2211" s="64"/>
      <c r="E2211" s="64"/>
      <c r="F2211" s="64"/>
      <c r="G2211" s="64"/>
    </row>
    <row r="2212" spans="2:7" ht="32.25" customHeight="1" x14ac:dyDescent="0.25">
      <c r="B2212" s="64"/>
      <c r="C2212" s="64"/>
      <c r="D2212" s="64"/>
      <c r="E2212" s="64"/>
      <c r="F2212" s="64"/>
      <c r="G2212" s="64"/>
    </row>
    <row r="2213" spans="2:7" ht="32.25" customHeight="1" x14ac:dyDescent="0.25">
      <c r="B2213" s="64"/>
      <c r="C2213" s="64"/>
      <c r="D2213" s="64"/>
      <c r="E2213" s="64"/>
      <c r="F2213" s="64"/>
      <c r="G2213" s="64"/>
    </row>
    <row r="2214" spans="2:7" ht="32.25" customHeight="1" x14ac:dyDescent="0.25">
      <c r="B2214" s="64"/>
      <c r="C2214" s="64"/>
      <c r="D2214" s="64"/>
      <c r="E2214" s="64"/>
      <c r="F2214" s="64"/>
      <c r="G2214" s="64"/>
    </row>
    <row r="2215" spans="2:7" ht="32.25" customHeight="1" x14ac:dyDescent="0.25">
      <c r="B2215" s="64"/>
      <c r="C2215" s="64"/>
      <c r="D2215" s="64"/>
      <c r="E2215" s="64"/>
      <c r="F2215" s="64"/>
      <c r="G2215" s="64"/>
    </row>
    <row r="2216" spans="2:7" ht="32.25" customHeight="1" x14ac:dyDescent="0.25">
      <c r="B2216" s="64"/>
      <c r="C2216" s="64"/>
      <c r="D2216" s="64"/>
      <c r="E2216" s="64"/>
      <c r="F2216" s="64"/>
      <c r="G2216" s="64"/>
    </row>
    <row r="2217" spans="2:7" ht="32.25" customHeight="1" x14ac:dyDescent="0.25">
      <c r="B2217" s="64"/>
      <c r="C2217" s="64"/>
      <c r="D2217" s="64"/>
      <c r="E2217" s="64"/>
      <c r="F2217" s="64"/>
      <c r="G2217" s="64"/>
    </row>
    <row r="2218" spans="2:7" ht="32.25" customHeight="1" x14ac:dyDescent="0.25">
      <c r="B2218" s="64"/>
      <c r="C2218" s="64"/>
      <c r="D2218" s="64"/>
      <c r="E2218" s="64"/>
      <c r="F2218" s="64"/>
      <c r="G2218" s="64"/>
    </row>
    <row r="2219" spans="2:7" ht="32.25" customHeight="1" x14ac:dyDescent="0.25">
      <c r="B2219" s="64"/>
      <c r="C2219" s="64"/>
      <c r="D2219" s="64"/>
      <c r="E2219" s="64"/>
      <c r="F2219" s="64"/>
      <c r="G2219" s="64"/>
    </row>
    <row r="2220" spans="2:7" ht="32.25" customHeight="1" x14ac:dyDescent="0.25">
      <c r="B2220" s="64"/>
      <c r="C2220" s="64"/>
      <c r="D2220" s="64"/>
      <c r="E2220" s="64"/>
      <c r="F2220" s="64"/>
      <c r="G2220" s="64"/>
    </row>
    <row r="2221" spans="2:7" ht="32.25" customHeight="1" x14ac:dyDescent="0.25">
      <c r="B2221" s="64"/>
      <c r="C2221" s="64"/>
      <c r="D2221" s="64"/>
      <c r="E2221" s="64"/>
      <c r="F2221" s="64"/>
      <c r="G2221" s="64"/>
    </row>
    <row r="2222" spans="2:7" ht="32.25" customHeight="1" x14ac:dyDescent="0.25">
      <c r="B2222" s="64"/>
      <c r="C2222" s="64"/>
      <c r="D2222" s="64"/>
      <c r="E2222" s="64"/>
      <c r="F2222" s="64"/>
      <c r="G2222" s="64"/>
    </row>
    <row r="2223" spans="2:7" ht="32.25" customHeight="1" x14ac:dyDescent="0.25">
      <c r="B2223" s="64"/>
      <c r="C2223" s="64"/>
      <c r="D2223" s="64"/>
      <c r="E2223" s="64"/>
      <c r="F2223" s="64"/>
      <c r="G2223" s="64"/>
    </row>
    <row r="2224" spans="2:7" ht="32.25" customHeight="1" x14ac:dyDescent="0.25">
      <c r="B2224" s="64"/>
      <c r="C2224" s="64"/>
      <c r="D2224" s="64"/>
      <c r="E2224" s="64"/>
      <c r="F2224" s="64"/>
      <c r="G2224" s="64"/>
    </row>
    <row r="2225" spans="2:7" ht="32.25" customHeight="1" x14ac:dyDescent="0.25">
      <c r="B2225" s="64"/>
      <c r="C2225" s="64"/>
      <c r="D2225" s="64"/>
      <c r="E2225" s="64"/>
      <c r="F2225" s="64"/>
      <c r="G2225" s="64"/>
    </row>
    <row r="2226" spans="2:7" ht="32.25" customHeight="1" x14ac:dyDescent="0.25">
      <c r="B2226" s="64"/>
      <c r="C2226" s="64"/>
      <c r="D2226" s="64"/>
      <c r="E2226" s="64"/>
      <c r="F2226" s="64"/>
      <c r="G2226" s="64"/>
    </row>
    <row r="2227" spans="2:7" ht="32.25" customHeight="1" x14ac:dyDescent="0.25">
      <c r="B2227" s="64"/>
      <c r="C2227" s="64"/>
      <c r="D2227" s="64"/>
      <c r="E2227" s="64"/>
      <c r="F2227" s="64"/>
      <c r="G2227" s="64"/>
    </row>
    <row r="2228" spans="2:7" ht="32.25" customHeight="1" x14ac:dyDescent="0.25">
      <c r="B2228" s="64"/>
      <c r="C2228" s="64"/>
      <c r="D2228" s="64"/>
      <c r="E2228" s="64"/>
      <c r="F2228" s="64"/>
      <c r="G2228" s="64"/>
    </row>
    <row r="2229" spans="2:7" ht="32.25" customHeight="1" x14ac:dyDescent="0.25">
      <c r="B2229" s="64"/>
      <c r="C2229" s="64"/>
      <c r="D2229" s="64"/>
      <c r="E2229" s="64"/>
      <c r="F2229" s="64"/>
      <c r="G2229" s="64"/>
    </row>
    <row r="2230" spans="2:7" ht="32.25" customHeight="1" x14ac:dyDescent="0.25">
      <c r="B2230" s="64"/>
      <c r="C2230" s="64"/>
      <c r="D2230" s="64"/>
      <c r="E2230" s="64"/>
      <c r="F2230" s="64"/>
      <c r="G2230" s="64"/>
    </row>
    <row r="2231" spans="2:7" ht="32.25" customHeight="1" x14ac:dyDescent="0.25">
      <c r="B2231" s="64"/>
      <c r="C2231" s="64"/>
      <c r="D2231" s="64"/>
      <c r="E2231" s="64"/>
      <c r="F2231" s="64"/>
      <c r="G2231" s="64"/>
    </row>
    <row r="2232" spans="2:7" ht="32.25" customHeight="1" x14ac:dyDescent="0.25">
      <c r="B2232" s="64"/>
      <c r="C2232" s="64"/>
      <c r="D2232" s="64"/>
      <c r="E2232" s="64"/>
      <c r="F2232" s="64"/>
      <c r="G2232" s="64"/>
    </row>
    <row r="2233" spans="2:7" ht="32.25" customHeight="1" x14ac:dyDescent="0.25">
      <c r="B2233" s="64"/>
      <c r="C2233" s="64"/>
      <c r="D2233" s="64"/>
      <c r="E2233" s="64"/>
      <c r="F2233" s="64"/>
      <c r="G2233" s="64"/>
    </row>
    <row r="2234" spans="2:7" ht="32.25" customHeight="1" x14ac:dyDescent="0.25">
      <c r="B2234" s="64"/>
      <c r="C2234" s="64"/>
      <c r="D2234" s="64"/>
      <c r="E2234" s="64"/>
      <c r="F2234" s="64"/>
      <c r="G2234" s="64"/>
    </row>
    <row r="2235" spans="2:7" ht="32.25" customHeight="1" x14ac:dyDescent="0.25">
      <c r="B2235" s="64"/>
      <c r="C2235" s="64"/>
      <c r="D2235" s="64"/>
      <c r="E2235" s="64"/>
      <c r="F2235" s="64"/>
      <c r="G2235" s="64"/>
    </row>
    <row r="2236" spans="2:7" ht="32.25" customHeight="1" x14ac:dyDescent="0.25">
      <c r="B2236" s="64"/>
      <c r="C2236" s="64"/>
      <c r="D2236" s="64"/>
      <c r="E2236" s="64"/>
      <c r="F2236" s="64"/>
      <c r="G2236" s="64"/>
    </row>
    <row r="2237" spans="2:7" ht="32.25" customHeight="1" x14ac:dyDescent="0.25">
      <c r="B2237" s="64"/>
      <c r="C2237" s="64"/>
      <c r="D2237" s="64"/>
      <c r="E2237" s="64"/>
      <c r="F2237" s="64"/>
      <c r="G2237" s="64"/>
    </row>
    <row r="2238" spans="2:7" ht="32.25" customHeight="1" x14ac:dyDescent="0.25">
      <c r="B2238" s="64"/>
      <c r="C2238" s="64"/>
      <c r="D2238" s="64"/>
      <c r="E2238" s="64"/>
      <c r="F2238" s="64"/>
      <c r="G2238" s="64"/>
    </row>
    <row r="2239" spans="2:7" ht="32.25" customHeight="1" x14ac:dyDescent="0.25">
      <c r="B2239" s="64"/>
      <c r="C2239" s="64"/>
      <c r="D2239" s="64"/>
      <c r="E2239" s="64"/>
      <c r="F2239" s="64"/>
      <c r="G2239" s="64"/>
    </row>
    <row r="2240" spans="2:7" ht="32.25" customHeight="1" x14ac:dyDescent="0.25">
      <c r="B2240" s="64"/>
      <c r="C2240" s="64"/>
      <c r="D2240" s="64"/>
      <c r="E2240" s="64"/>
      <c r="F2240" s="64"/>
      <c r="G2240" s="64"/>
    </row>
    <row r="2241" spans="2:7" ht="32.25" customHeight="1" x14ac:dyDescent="0.25">
      <c r="B2241" s="64"/>
      <c r="C2241" s="64"/>
      <c r="D2241" s="64"/>
      <c r="E2241" s="64"/>
      <c r="F2241" s="64"/>
      <c r="G2241" s="64"/>
    </row>
    <row r="2242" spans="2:7" ht="32.25" customHeight="1" x14ac:dyDescent="0.25">
      <c r="B2242" s="64"/>
      <c r="C2242" s="64"/>
      <c r="D2242" s="64"/>
      <c r="E2242" s="64"/>
      <c r="F2242" s="64"/>
      <c r="G2242" s="64"/>
    </row>
    <row r="2243" spans="2:7" ht="32.25" customHeight="1" x14ac:dyDescent="0.25">
      <c r="B2243" s="64"/>
      <c r="C2243" s="64"/>
      <c r="D2243" s="64"/>
      <c r="E2243" s="64"/>
      <c r="F2243" s="64"/>
      <c r="G2243" s="64"/>
    </row>
    <row r="2244" spans="2:7" ht="32.25" customHeight="1" x14ac:dyDescent="0.25">
      <c r="B2244" s="64"/>
      <c r="C2244" s="64"/>
      <c r="D2244" s="64"/>
      <c r="E2244" s="64"/>
      <c r="F2244" s="64"/>
      <c r="G2244" s="64"/>
    </row>
    <row r="2245" spans="2:7" ht="32.25" customHeight="1" x14ac:dyDescent="0.25">
      <c r="B2245" s="64"/>
      <c r="C2245" s="64"/>
      <c r="D2245" s="64"/>
      <c r="E2245" s="64"/>
      <c r="F2245" s="64"/>
      <c r="G2245" s="64"/>
    </row>
    <row r="2246" spans="2:7" ht="32.25" customHeight="1" x14ac:dyDescent="0.25">
      <c r="B2246" s="64"/>
      <c r="C2246" s="64"/>
      <c r="D2246" s="64"/>
      <c r="E2246" s="64"/>
      <c r="F2246" s="64"/>
      <c r="G2246" s="64"/>
    </row>
    <row r="2247" spans="2:7" ht="32.25" customHeight="1" x14ac:dyDescent="0.25">
      <c r="B2247" s="64"/>
      <c r="C2247" s="64"/>
      <c r="D2247" s="64"/>
      <c r="E2247" s="64"/>
      <c r="F2247" s="64"/>
      <c r="G2247" s="64"/>
    </row>
    <row r="2248" spans="2:7" ht="32.25" customHeight="1" x14ac:dyDescent="0.25">
      <c r="B2248" s="64"/>
      <c r="C2248" s="64"/>
      <c r="D2248" s="64"/>
      <c r="E2248" s="64"/>
      <c r="F2248" s="64"/>
      <c r="G2248" s="64"/>
    </row>
    <row r="2249" spans="2:7" ht="32.25" customHeight="1" x14ac:dyDescent="0.25">
      <c r="B2249" s="64"/>
      <c r="C2249" s="64"/>
      <c r="D2249" s="64"/>
      <c r="E2249" s="64"/>
      <c r="F2249" s="64"/>
      <c r="G2249" s="64"/>
    </row>
    <row r="2250" spans="2:7" ht="32.25" customHeight="1" x14ac:dyDescent="0.25">
      <c r="B2250" s="64"/>
      <c r="C2250" s="64"/>
      <c r="D2250" s="64"/>
      <c r="E2250" s="64"/>
      <c r="F2250" s="64"/>
      <c r="G2250" s="64"/>
    </row>
    <row r="2251" spans="2:7" ht="32.25" customHeight="1" x14ac:dyDescent="0.25">
      <c r="B2251" s="64"/>
      <c r="C2251" s="64"/>
      <c r="D2251" s="64"/>
      <c r="E2251" s="64"/>
      <c r="F2251" s="64"/>
      <c r="G2251" s="64"/>
    </row>
    <row r="2252" spans="2:7" ht="32.25" customHeight="1" x14ac:dyDescent="0.25">
      <c r="B2252" s="64"/>
      <c r="C2252" s="64"/>
      <c r="D2252" s="64"/>
      <c r="E2252" s="64"/>
      <c r="F2252" s="64"/>
      <c r="G2252" s="64"/>
    </row>
    <row r="2253" spans="2:7" ht="32.25" customHeight="1" x14ac:dyDescent="0.25">
      <c r="B2253" s="64"/>
      <c r="C2253" s="64"/>
      <c r="D2253" s="64"/>
      <c r="E2253" s="64"/>
      <c r="F2253" s="64"/>
      <c r="G2253" s="64"/>
    </row>
    <row r="2254" spans="2:7" ht="32.25" customHeight="1" x14ac:dyDescent="0.25">
      <c r="B2254" s="64"/>
      <c r="C2254" s="64"/>
      <c r="D2254" s="64"/>
      <c r="E2254" s="64"/>
      <c r="F2254" s="64"/>
      <c r="G2254" s="64"/>
    </row>
    <row r="2255" spans="2:7" ht="32.25" customHeight="1" x14ac:dyDescent="0.25">
      <c r="B2255" s="64"/>
      <c r="C2255" s="64"/>
      <c r="D2255" s="64"/>
      <c r="E2255" s="64"/>
      <c r="F2255" s="64"/>
      <c r="G2255" s="64"/>
    </row>
    <row r="2256" spans="2:7" ht="32.25" customHeight="1" x14ac:dyDescent="0.25">
      <c r="B2256" s="64"/>
      <c r="C2256" s="64"/>
      <c r="D2256" s="64"/>
      <c r="E2256" s="64"/>
      <c r="F2256" s="64"/>
      <c r="G2256" s="64"/>
    </row>
    <row r="2257" spans="2:7" ht="32.25" customHeight="1" x14ac:dyDescent="0.25">
      <c r="B2257" s="64"/>
      <c r="C2257" s="64"/>
      <c r="D2257" s="64"/>
      <c r="E2257" s="64"/>
      <c r="F2257" s="64"/>
      <c r="G2257" s="64"/>
    </row>
    <row r="2258" spans="2:7" ht="32.25" customHeight="1" x14ac:dyDescent="0.25">
      <c r="B2258" s="64"/>
      <c r="C2258" s="64"/>
      <c r="D2258" s="64"/>
      <c r="E2258" s="64"/>
      <c r="F2258" s="64"/>
      <c r="G2258" s="64"/>
    </row>
    <row r="2259" spans="2:7" ht="32.25" customHeight="1" x14ac:dyDescent="0.25">
      <c r="B2259" s="64"/>
      <c r="C2259" s="64"/>
      <c r="D2259" s="64"/>
      <c r="E2259" s="64"/>
      <c r="F2259" s="64"/>
      <c r="G2259" s="64"/>
    </row>
    <row r="2260" spans="2:7" ht="32.25" customHeight="1" x14ac:dyDescent="0.25">
      <c r="B2260" s="64"/>
      <c r="C2260" s="64"/>
      <c r="D2260" s="64"/>
      <c r="E2260" s="64"/>
      <c r="F2260" s="64"/>
      <c r="G2260" s="64"/>
    </row>
    <row r="2261" spans="2:7" ht="32.25" customHeight="1" x14ac:dyDescent="0.25">
      <c r="B2261" s="64"/>
      <c r="C2261" s="64"/>
      <c r="D2261" s="64"/>
      <c r="E2261" s="64"/>
      <c r="F2261" s="64"/>
      <c r="G2261" s="64"/>
    </row>
    <row r="2262" spans="2:7" ht="32.25" customHeight="1" x14ac:dyDescent="0.25">
      <c r="B2262" s="64"/>
      <c r="C2262" s="64"/>
      <c r="D2262" s="64"/>
      <c r="E2262" s="64"/>
      <c r="F2262" s="64"/>
      <c r="G2262" s="64"/>
    </row>
    <row r="2263" spans="2:7" ht="32.25" customHeight="1" x14ac:dyDescent="0.25">
      <c r="B2263" s="64"/>
      <c r="C2263" s="64"/>
      <c r="D2263" s="64"/>
      <c r="E2263" s="64"/>
      <c r="F2263" s="64"/>
      <c r="G2263" s="64"/>
    </row>
    <row r="2264" spans="2:7" ht="32.25" customHeight="1" x14ac:dyDescent="0.25">
      <c r="B2264" s="64"/>
      <c r="C2264" s="64"/>
      <c r="D2264" s="64"/>
      <c r="E2264" s="64"/>
      <c r="F2264" s="64"/>
      <c r="G2264" s="64"/>
    </row>
    <row r="2265" spans="2:7" ht="32.25" customHeight="1" x14ac:dyDescent="0.25">
      <c r="B2265" s="64"/>
      <c r="C2265" s="64"/>
      <c r="D2265" s="64"/>
      <c r="E2265" s="64"/>
      <c r="F2265" s="64"/>
      <c r="G2265" s="64"/>
    </row>
    <row r="2266" spans="2:7" ht="32.25" customHeight="1" x14ac:dyDescent="0.25">
      <c r="B2266" s="64"/>
      <c r="C2266" s="64"/>
      <c r="D2266" s="64"/>
      <c r="E2266" s="64"/>
      <c r="F2266" s="64"/>
      <c r="G2266" s="64"/>
    </row>
    <row r="2267" spans="2:7" ht="32.25" customHeight="1" x14ac:dyDescent="0.25">
      <c r="B2267" s="64"/>
      <c r="C2267" s="64"/>
      <c r="D2267" s="64"/>
      <c r="E2267" s="64"/>
      <c r="F2267" s="64"/>
      <c r="G2267" s="64"/>
    </row>
    <row r="2268" spans="2:7" ht="32.25" customHeight="1" x14ac:dyDescent="0.25">
      <c r="B2268" s="64"/>
      <c r="C2268" s="64"/>
      <c r="D2268" s="64"/>
      <c r="E2268" s="64"/>
      <c r="F2268" s="64"/>
      <c r="G2268" s="64"/>
    </row>
    <row r="2269" spans="2:7" ht="32.25" customHeight="1" x14ac:dyDescent="0.25">
      <c r="B2269" s="64"/>
      <c r="C2269" s="64"/>
      <c r="D2269" s="64"/>
      <c r="E2269" s="64"/>
      <c r="F2269" s="64"/>
      <c r="G2269" s="64"/>
    </row>
    <row r="2270" spans="2:7" ht="32.25" customHeight="1" x14ac:dyDescent="0.25">
      <c r="B2270" s="64"/>
      <c r="C2270" s="64"/>
      <c r="D2270" s="64"/>
      <c r="E2270" s="64"/>
      <c r="F2270" s="64"/>
      <c r="G2270" s="64"/>
    </row>
    <row r="2271" spans="2:7" ht="32.25" customHeight="1" x14ac:dyDescent="0.25">
      <c r="B2271" s="64"/>
      <c r="C2271" s="64"/>
      <c r="D2271" s="64"/>
      <c r="E2271" s="64"/>
      <c r="F2271" s="64"/>
      <c r="G2271" s="64"/>
    </row>
    <row r="2272" spans="2:7" ht="32.25" customHeight="1" x14ac:dyDescent="0.25">
      <c r="B2272" s="64"/>
      <c r="C2272" s="64"/>
      <c r="D2272" s="64"/>
      <c r="E2272" s="64"/>
      <c r="F2272" s="64"/>
      <c r="G2272" s="64"/>
    </row>
    <row r="2273" spans="2:7" ht="32.25" customHeight="1" x14ac:dyDescent="0.25">
      <c r="B2273" s="64"/>
      <c r="C2273" s="64"/>
      <c r="D2273" s="64"/>
      <c r="E2273" s="64"/>
      <c r="F2273" s="64"/>
      <c r="G2273" s="64"/>
    </row>
    <row r="2274" spans="2:7" ht="32.25" customHeight="1" x14ac:dyDescent="0.25">
      <c r="B2274" s="64"/>
      <c r="C2274" s="64"/>
      <c r="D2274" s="64"/>
      <c r="E2274" s="64"/>
      <c r="F2274" s="64"/>
      <c r="G2274" s="64"/>
    </row>
    <row r="2275" spans="2:7" ht="32.25" customHeight="1" x14ac:dyDescent="0.25">
      <c r="B2275" s="64"/>
      <c r="C2275" s="64"/>
      <c r="D2275" s="64"/>
      <c r="E2275" s="64"/>
      <c r="F2275" s="64"/>
      <c r="G2275" s="64"/>
    </row>
    <row r="2276" spans="2:7" ht="32.25" customHeight="1" x14ac:dyDescent="0.25">
      <c r="B2276" s="64"/>
      <c r="C2276" s="64"/>
      <c r="D2276" s="64"/>
      <c r="E2276" s="64"/>
      <c r="F2276" s="64"/>
      <c r="G2276" s="64"/>
    </row>
    <row r="2277" spans="2:7" ht="32.25" customHeight="1" x14ac:dyDescent="0.25">
      <c r="B2277" s="64"/>
      <c r="C2277" s="64"/>
      <c r="D2277" s="64"/>
      <c r="E2277" s="64"/>
      <c r="F2277" s="64"/>
      <c r="G2277" s="64"/>
    </row>
    <row r="2278" spans="2:7" ht="32.25" customHeight="1" x14ac:dyDescent="0.25">
      <c r="B2278" s="64"/>
      <c r="C2278" s="64"/>
      <c r="D2278" s="64"/>
      <c r="E2278" s="64"/>
      <c r="F2278" s="64"/>
      <c r="G2278" s="64"/>
    </row>
    <row r="2279" spans="2:7" ht="32.25" customHeight="1" x14ac:dyDescent="0.25">
      <c r="B2279" s="64"/>
      <c r="C2279" s="64"/>
      <c r="D2279" s="64"/>
      <c r="E2279" s="64"/>
      <c r="F2279" s="64"/>
      <c r="G2279" s="64"/>
    </row>
    <row r="2280" spans="2:7" ht="32.25" customHeight="1" x14ac:dyDescent="0.25">
      <c r="B2280" s="64"/>
      <c r="C2280" s="64"/>
      <c r="D2280" s="64"/>
      <c r="E2280" s="64"/>
      <c r="F2280" s="64"/>
      <c r="G2280" s="64"/>
    </row>
    <row r="2281" spans="2:7" ht="32.25" customHeight="1" x14ac:dyDescent="0.25">
      <c r="B2281" s="64"/>
      <c r="C2281" s="64"/>
      <c r="D2281" s="64"/>
      <c r="E2281" s="64"/>
      <c r="F2281" s="64"/>
      <c r="G2281" s="64"/>
    </row>
    <row r="2282" spans="2:7" ht="32.25" customHeight="1" x14ac:dyDescent="0.25">
      <c r="B2282" s="64"/>
      <c r="C2282" s="64"/>
      <c r="D2282" s="64"/>
      <c r="E2282" s="64"/>
      <c r="F2282" s="64"/>
      <c r="G2282" s="64"/>
    </row>
    <row r="2283" spans="2:7" ht="32.25" customHeight="1" x14ac:dyDescent="0.25">
      <c r="B2283" s="64"/>
      <c r="C2283" s="64"/>
      <c r="D2283" s="64"/>
      <c r="E2283" s="64"/>
      <c r="F2283" s="64"/>
      <c r="G2283" s="64"/>
    </row>
    <row r="2284" spans="2:7" ht="32.25" customHeight="1" x14ac:dyDescent="0.25">
      <c r="B2284" s="64"/>
      <c r="C2284" s="64"/>
      <c r="D2284" s="64"/>
      <c r="E2284" s="64"/>
      <c r="F2284" s="64"/>
      <c r="G2284" s="64"/>
    </row>
    <row r="2285" spans="2:7" ht="32.25" customHeight="1" x14ac:dyDescent="0.25">
      <c r="B2285" s="64"/>
      <c r="C2285" s="64"/>
      <c r="D2285" s="64"/>
      <c r="E2285" s="64"/>
      <c r="F2285" s="64"/>
      <c r="G2285" s="64"/>
    </row>
    <row r="2286" spans="2:7" ht="32.25" customHeight="1" x14ac:dyDescent="0.25">
      <c r="B2286" s="64"/>
      <c r="C2286" s="64"/>
      <c r="D2286" s="64"/>
      <c r="E2286" s="64"/>
      <c r="F2286" s="64"/>
      <c r="G2286" s="64"/>
    </row>
    <row r="2287" spans="2:7" ht="32.25" customHeight="1" x14ac:dyDescent="0.25">
      <c r="B2287" s="64"/>
      <c r="C2287" s="64"/>
      <c r="D2287" s="64"/>
      <c r="E2287" s="64"/>
      <c r="F2287" s="64"/>
      <c r="G2287" s="64"/>
    </row>
    <row r="2288" spans="2:7" ht="32.25" customHeight="1" x14ac:dyDescent="0.25">
      <c r="B2288" s="64"/>
      <c r="C2288" s="64"/>
      <c r="D2288" s="64"/>
      <c r="E2288" s="64"/>
      <c r="F2288" s="64"/>
      <c r="G2288" s="64"/>
    </row>
    <row r="2289" spans="2:7" ht="32.25" customHeight="1" x14ac:dyDescent="0.25">
      <c r="B2289" s="64"/>
      <c r="C2289" s="64"/>
      <c r="D2289" s="64"/>
      <c r="E2289" s="64"/>
      <c r="F2289" s="64"/>
      <c r="G2289" s="64"/>
    </row>
    <row r="2290" spans="2:7" ht="32.25" customHeight="1" x14ac:dyDescent="0.25">
      <c r="B2290" s="64"/>
      <c r="C2290" s="64"/>
      <c r="D2290" s="64"/>
      <c r="E2290" s="64"/>
      <c r="F2290" s="64"/>
      <c r="G2290" s="64"/>
    </row>
    <row r="2291" spans="2:7" ht="32.25" customHeight="1" x14ac:dyDescent="0.25">
      <c r="B2291" s="64"/>
      <c r="C2291" s="64"/>
      <c r="D2291" s="64"/>
      <c r="E2291" s="64"/>
      <c r="F2291" s="64"/>
      <c r="G2291" s="64"/>
    </row>
    <row r="2292" spans="2:7" ht="32.25" customHeight="1" x14ac:dyDescent="0.25">
      <c r="B2292" s="64"/>
      <c r="C2292" s="64"/>
      <c r="D2292" s="64"/>
      <c r="E2292" s="64"/>
      <c r="F2292" s="64"/>
      <c r="G2292" s="64"/>
    </row>
    <row r="2293" spans="2:7" ht="32.25" customHeight="1" x14ac:dyDescent="0.25">
      <c r="B2293" s="64"/>
      <c r="C2293" s="64"/>
      <c r="D2293" s="64"/>
      <c r="E2293" s="64"/>
      <c r="F2293" s="64"/>
      <c r="G2293" s="64"/>
    </row>
    <row r="2294" spans="2:7" ht="32.25" customHeight="1" x14ac:dyDescent="0.25">
      <c r="B2294" s="64"/>
      <c r="C2294" s="64"/>
      <c r="D2294" s="64"/>
      <c r="E2294" s="64"/>
      <c r="F2294" s="64"/>
      <c r="G2294" s="64"/>
    </row>
    <row r="2295" spans="2:7" ht="32.25" customHeight="1" x14ac:dyDescent="0.25">
      <c r="B2295" s="64"/>
      <c r="C2295" s="64"/>
      <c r="D2295" s="64"/>
      <c r="E2295" s="64"/>
      <c r="F2295" s="64"/>
      <c r="G2295" s="64"/>
    </row>
    <row r="2296" spans="2:7" ht="32.25" customHeight="1" x14ac:dyDescent="0.25">
      <c r="B2296" s="64"/>
      <c r="C2296" s="64"/>
      <c r="D2296" s="64"/>
      <c r="E2296" s="64"/>
      <c r="F2296" s="64"/>
      <c r="G2296" s="64"/>
    </row>
    <row r="2297" spans="2:7" ht="32.25" customHeight="1" x14ac:dyDescent="0.25">
      <c r="B2297" s="64"/>
      <c r="C2297" s="64"/>
      <c r="D2297" s="64"/>
      <c r="E2297" s="64"/>
      <c r="F2297" s="64"/>
      <c r="G2297" s="64"/>
    </row>
    <row r="2298" spans="2:7" ht="32.25" customHeight="1" x14ac:dyDescent="0.25">
      <c r="B2298" s="64"/>
      <c r="C2298" s="64"/>
      <c r="D2298" s="64"/>
      <c r="E2298" s="64"/>
      <c r="F2298" s="64"/>
      <c r="G2298" s="64"/>
    </row>
    <row r="2299" spans="2:7" ht="32.25" customHeight="1" x14ac:dyDescent="0.25">
      <c r="B2299" s="64"/>
      <c r="C2299" s="64"/>
      <c r="D2299" s="64"/>
      <c r="E2299" s="64"/>
      <c r="F2299" s="64"/>
      <c r="G2299" s="64"/>
    </row>
    <row r="2300" spans="2:7" ht="32.25" customHeight="1" x14ac:dyDescent="0.25">
      <c r="B2300" s="64"/>
      <c r="C2300" s="64"/>
      <c r="D2300" s="64"/>
      <c r="E2300" s="64"/>
      <c r="F2300" s="64"/>
      <c r="G2300" s="64"/>
    </row>
    <row r="2301" spans="2:7" ht="32.25" customHeight="1" x14ac:dyDescent="0.25">
      <c r="B2301" s="64"/>
      <c r="C2301" s="64"/>
      <c r="D2301" s="64"/>
      <c r="E2301" s="64"/>
      <c r="F2301" s="64"/>
      <c r="G2301" s="64"/>
    </row>
    <row r="2302" spans="2:7" ht="32.25" customHeight="1" x14ac:dyDescent="0.25">
      <c r="B2302" s="64"/>
      <c r="C2302" s="64"/>
      <c r="D2302" s="64"/>
      <c r="E2302" s="64"/>
      <c r="F2302" s="64"/>
      <c r="G2302" s="64"/>
    </row>
    <row r="2303" spans="2:7" ht="32.25" customHeight="1" x14ac:dyDescent="0.25">
      <c r="B2303" s="64"/>
      <c r="C2303" s="64"/>
      <c r="D2303" s="64"/>
      <c r="E2303" s="64"/>
      <c r="F2303" s="64"/>
      <c r="G2303" s="64"/>
    </row>
    <row r="2304" spans="2:7" ht="32.25" customHeight="1" x14ac:dyDescent="0.25">
      <c r="B2304" s="64"/>
      <c r="C2304" s="64"/>
      <c r="D2304" s="64"/>
      <c r="E2304" s="64"/>
      <c r="F2304" s="64"/>
      <c r="G2304" s="64"/>
    </row>
    <row r="2305" spans="2:7" ht="32.25" customHeight="1" x14ac:dyDescent="0.25">
      <c r="B2305" s="64"/>
      <c r="C2305" s="64"/>
      <c r="D2305" s="64"/>
      <c r="E2305" s="64"/>
      <c r="F2305" s="64"/>
      <c r="G2305" s="64"/>
    </row>
    <row r="2306" spans="2:7" ht="32.25" customHeight="1" x14ac:dyDescent="0.25">
      <c r="B2306" s="64"/>
      <c r="C2306" s="64"/>
      <c r="D2306" s="64"/>
      <c r="E2306" s="64"/>
      <c r="F2306" s="64"/>
      <c r="G2306" s="64"/>
    </row>
    <row r="2307" spans="2:7" ht="32.25" customHeight="1" x14ac:dyDescent="0.25">
      <c r="B2307" s="64"/>
      <c r="C2307" s="64"/>
      <c r="D2307" s="64"/>
      <c r="E2307" s="64"/>
      <c r="F2307" s="64"/>
      <c r="G2307" s="64"/>
    </row>
    <row r="2308" spans="2:7" ht="32.25" customHeight="1" x14ac:dyDescent="0.25">
      <c r="B2308" s="64"/>
      <c r="C2308" s="64"/>
      <c r="D2308" s="64"/>
      <c r="E2308" s="64"/>
      <c r="F2308" s="64"/>
      <c r="G2308" s="64"/>
    </row>
    <row r="2309" spans="2:7" ht="32.25" customHeight="1" x14ac:dyDescent="0.25">
      <c r="B2309" s="64"/>
      <c r="C2309" s="64"/>
      <c r="D2309" s="64"/>
      <c r="E2309" s="64"/>
      <c r="F2309" s="64"/>
      <c r="G2309" s="64"/>
    </row>
    <row r="2310" spans="2:7" ht="32.25" customHeight="1" x14ac:dyDescent="0.25">
      <c r="B2310" s="64"/>
      <c r="C2310" s="64"/>
      <c r="D2310" s="64"/>
      <c r="E2310" s="64"/>
      <c r="F2310" s="64"/>
      <c r="G2310" s="64"/>
    </row>
    <row r="2311" spans="2:7" ht="32.25" customHeight="1" x14ac:dyDescent="0.25">
      <c r="B2311" s="64"/>
      <c r="C2311" s="64"/>
      <c r="D2311" s="64"/>
      <c r="E2311" s="64"/>
      <c r="F2311" s="64"/>
      <c r="G2311" s="64"/>
    </row>
    <row r="2312" spans="2:7" ht="32.25" customHeight="1" x14ac:dyDescent="0.25">
      <c r="B2312" s="64"/>
      <c r="C2312" s="64"/>
      <c r="D2312" s="64"/>
      <c r="E2312" s="64"/>
      <c r="F2312" s="64"/>
      <c r="G2312" s="64"/>
    </row>
    <row r="2313" spans="2:7" ht="32.25" customHeight="1" x14ac:dyDescent="0.25">
      <c r="B2313" s="64"/>
      <c r="C2313" s="64"/>
      <c r="D2313" s="64"/>
      <c r="E2313" s="64"/>
      <c r="F2313" s="64"/>
      <c r="G2313" s="64"/>
    </row>
    <row r="2314" spans="2:7" ht="32.25" customHeight="1" x14ac:dyDescent="0.25">
      <c r="B2314" s="64"/>
      <c r="C2314" s="64"/>
      <c r="D2314" s="64"/>
      <c r="E2314" s="64"/>
      <c r="F2314" s="64"/>
      <c r="G2314" s="64"/>
    </row>
    <row r="2315" spans="2:7" ht="32.25" customHeight="1" x14ac:dyDescent="0.25">
      <c r="B2315" s="64"/>
      <c r="C2315" s="64"/>
      <c r="D2315" s="64"/>
      <c r="E2315" s="64"/>
      <c r="F2315" s="64"/>
      <c r="G2315" s="64"/>
    </row>
    <row r="2316" spans="2:7" ht="32.25" customHeight="1" x14ac:dyDescent="0.25">
      <c r="B2316" s="64"/>
      <c r="C2316" s="64"/>
      <c r="D2316" s="64"/>
      <c r="E2316" s="64"/>
      <c r="F2316" s="64"/>
      <c r="G2316" s="64"/>
    </row>
    <row r="2317" spans="2:7" ht="32.25" customHeight="1" x14ac:dyDescent="0.25">
      <c r="B2317" s="64"/>
      <c r="C2317" s="64"/>
      <c r="D2317" s="64"/>
      <c r="E2317" s="64"/>
      <c r="F2317" s="64"/>
      <c r="G2317" s="64"/>
    </row>
    <row r="2318" spans="2:7" ht="32.25" customHeight="1" x14ac:dyDescent="0.25">
      <c r="B2318" s="64"/>
      <c r="C2318" s="64"/>
      <c r="D2318" s="64"/>
      <c r="E2318" s="64"/>
      <c r="F2318" s="64"/>
      <c r="G2318" s="64"/>
    </row>
    <row r="2319" spans="2:7" ht="32.25" customHeight="1" x14ac:dyDescent="0.25">
      <c r="B2319" s="64"/>
      <c r="C2319" s="64"/>
      <c r="D2319" s="64"/>
      <c r="E2319" s="64"/>
      <c r="F2319" s="64"/>
      <c r="G2319" s="64"/>
    </row>
    <row r="2320" spans="2:7" ht="32.25" customHeight="1" x14ac:dyDescent="0.25">
      <c r="B2320" s="64"/>
      <c r="C2320" s="64"/>
      <c r="D2320" s="64"/>
      <c r="E2320" s="64"/>
      <c r="F2320" s="64"/>
      <c r="G2320" s="64"/>
    </row>
    <row r="2321" spans="2:7" ht="32.25" customHeight="1" x14ac:dyDescent="0.25">
      <c r="B2321" s="64"/>
      <c r="C2321" s="64"/>
      <c r="D2321" s="64"/>
      <c r="E2321" s="64"/>
      <c r="F2321" s="64"/>
      <c r="G2321" s="64"/>
    </row>
    <row r="2322" spans="2:7" ht="32.25" customHeight="1" x14ac:dyDescent="0.25">
      <c r="B2322" s="64"/>
      <c r="C2322" s="64"/>
      <c r="D2322" s="64"/>
      <c r="E2322" s="64"/>
      <c r="F2322" s="64"/>
      <c r="G2322" s="64"/>
    </row>
    <row r="2323" spans="2:7" ht="32.25" customHeight="1" x14ac:dyDescent="0.25">
      <c r="B2323" s="64"/>
      <c r="C2323" s="64"/>
      <c r="D2323" s="64"/>
      <c r="E2323" s="64"/>
      <c r="F2323" s="64"/>
      <c r="G2323" s="64"/>
    </row>
    <row r="2324" spans="2:7" ht="32.25" customHeight="1" x14ac:dyDescent="0.25">
      <c r="B2324" s="64"/>
      <c r="C2324" s="64"/>
      <c r="D2324" s="64"/>
      <c r="E2324" s="64"/>
      <c r="F2324" s="64"/>
      <c r="G2324" s="64"/>
    </row>
    <row r="2325" spans="2:7" ht="32.25" customHeight="1" x14ac:dyDescent="0.25">
      <c r="B2325" s="64"/>
      <c r="C2325" s="64"/>
      <c r="D2325" s="64"/>
      <c r="E2325" s="64"/>
      <c r="F2325" s="64"/>
      <c r="G2325" s="64"/>
    </row>
    <row r="2326" spans="2:7" ht="32.25" customHeight="1" x14ac:dyDescent="0.25">
      <c r="B2326" s="64"/>
      <c r="C2326" s="64"/>
      <c r="D2326" s="64"/>
      <c r="E2326" s="64"/>
      <c r="F2326" s="64"/>
      <c r="G2326" s="64"/>
    </row>
    <row r="2327" spans="2:7" ht="32.25" customHeight="1" x14ac:dyDescent="0.25">
      <c r="B2327" s="64"/>
      <c r="C2327" s="64"/>
      <c r="D2327" s="64"/>
      <c r="E2327" s="64"/>
      <c r="F2327" s="64"/>
      <c r="G2327" s="64"/>
    </row>
    <row r="2328" spans="2:7" ht="32.25" customHeight="1" x14ac:dyDescent="0.25">
      <c r="B2328" s="64"/>
      <c r="C2328" s="64"/>
      <c r="D2328" s="64"/>
      <c r="E2328" s="64"/>
      <c r="F2328" s="64"/>
      <c r="G2328" s="64"/>
    </row>
    <row r="2329" spans="2:7" ht="32.25" customHeight="1" x14ac:dyDescent="0.25">
      <c r="B2329" s="64"/>
      <c r="C2329" s="64"/>
      <c r="D2329" s="64"/>
      <c r="E2329" s="64"/>
      <c r="F2329" s="64"/>
      <c r="G2329" s="64"/>
    </row>
    <row r="2330" spans="2:7" ht="32.25" customHeight="1" x14ac:dyDescent="0.25">
      <c r="B2330" s="64"/>
      <c r="C2330" s="64"/>
      <c r="D2330" s="64"/>
      <c r="E2330" s="64"/>
      <c r="F2330" s="64"/>
      <c r="G2330" s="64"/>
    </row>
    <row r="2331" spans="2:7" ht="32.25" customHeight="1" x14ac:dyDescent="0.25">
      <c r="B2331" s="64"/>
      <c r="C2331" s="64"/>
      <c r="D2331" s="64"/>
      <c r="E2331" s="64"/>
      <c r="F2331" s="64"/>
      <c r="G2331" s="64"/>
    </row>
    <row r="2332" spans="2:7" ht="32.25" customHeight="1" x14ac:dyDescent="0.25">
      <c r="B2332" s="64"/>
      <c r="C2332" s="64"/>
      <c r="D2332" s="64"/>
      <c r="E2332" s="64"/>
      <c r="F2332" s="64"/>
      <c r="G2332" s="64"/>
    </row>
    <row r="2333" spans="2:7" ht="32.25" customHeight="1" x14ac:dyDescent="0.25">
      <c r="B2333" s="64"/>
      <c r="C2333" s="64"/>
      <c r="D2333" s="64"/>
      <c r="E2333" s="64"/>
      <c r="F2333" s="64"/>
      <c r="G2333" s="64"/>
    </row>
    <row r="2334" spans="2:7" ht="32.25" customHeight="1" x14ac:dyDescent="0.25">
      <c r="B2334" s="64"/>
      <c r="C2334" s="64"/>
      <c r="D2334" s="64"/>
      <c r="E2334" s="64"/>
      <c r="F2334" s="64"/>
      <c r="G2334" s="64"/>
    </row>
    <row r="2335" spans="2:7" ht="32.25" customHeight="1" x14ac:dyDescent="0.25">
      <c r="B2335" s="64"/>
      <c r="C2335" s="64"/>
      <c r="D2335" s="64"/>
      <c r="E2335" s="64"/>
      <c r="F2335" s="64"/>
      <c r="G2335" s="64"/>
    </row>
    <row r="2336" spans="2:7" ht="32.25" customHeight="1" x14ac:dyDescent="0.25">
      <c r="B2336" s="64"/>
      <c r="C2336" s="64"/>
      <c r="D2336" s="64"/>
      <c r="E2336" s="64"/>
      <c r="F2336" s="64"/>
      <c r="G2336" s="64"/>
    </row>
    <row r="2337" spans="2:7" ht="32.25" customHeight="1" x14ac:dyDescent="0.25">
      <c r="B2337" s="64"/>
      <c r="C2337" s="64"/>
      <c r="D2337" s="64"/>
      <c r="E2337" s="64"/>
      <c r="F2337" s="64"/>
      <c r="G2337" s="64"/>
    </row>
    <row r="2338" spans="2:7" ht="32.25" customHeight="1" x14ac:dyDescent="0.25">
      <c r="B2338" s="64"/>
      <c r="C2338" s="64"/>
      <c r="D2338" s="64"/>
      <c r="E2338" s="64"/>
      <c r="F2338" s="64"/>
      <c r="G2338" s="64"/>
    </row>
    <row r="2339" spans="2:7" ht="32.25" customHeight="1" x14ac:dyDescent="0.25">
      <c r="B2339" s="64"/>
      <c r="C2339" s="64"/>
      <c r="D2339" s="64"/>
      <c r="E2339" s="64"/>
      <c r="F2339" s="64"/>
      <c r="G2339" s="64"/>
    </row>
    <row r="2340" spans="2:7" ht="32.25" customHeight="1" x14ac:dyDescent="0.25">
      <c r="B2340" s="64"/>
      <c r="C2340" s="64"/>
      <c r="D2340" s="64"/>
      <c r="E2340" s="64"/>
      <c r="F2340" s="64"/>
      <c r="G2340" s="64"/>
    </row>
    <row r="2341" spans="2:7" ht="32.25" customHeight="1" x14ac:dyDescent="0.25">
      <c r="B2341" s="64"/>
      <c r="C2341" s="64"/>
      <c r="D2341" s="64"/>
      <c r="E2341" s="64"/>
      <c r="F2341" s="64"/>
      <c r="G2341" s="64"/>
    </row>
    <row r="2342" spans="2:7" ht="32.25" customHeight="1" x14ac:dyDescent="0.25">
      <c r="B2342" s="64"/>
      <c r="C2342" s="64"/>
      <c r="D2342" s="64"/>
      <c r="E2342" s="64"/>
      <c r="F2342" s="64"/>
      <c r="G2342" s="64"/>
    </row>
    <row r="2343" spans="2:7" ht="32.25" customHeight="1" x14ac:dyDescent="0.25">
      <c r="B2343" s="64"/>
      <c r="C2343" s="64"/>
      <c r="D2343" s="64"/>
      <c r="E2343" s="64"/>
      <c r="F2343" s="64"/>
      <c r="G2343" s="64"/>
    </row>
    <row r="2344" spans="2:7" ht="32.25" customHeight="1" x14ac:dyDescent="0.25">
      <c r="B2344" s="64"/>
      <c r="C2344" s="64"/>
      <c r="D2344" s="64"/>
      <c r="E2344" s="64"/>
      <c r="F2344" s="64"/>
      <c r="G2344" s="64"/>
    </row>
    <row r="2345" spans="2:7" ht="32.25" customHeight="1" x14ac:dyDescent="0.25">
      <c r="B2345" s="64"/>
      <c r="C2345" s="64"/>
      <c r="D2345" s="64"/>
      <c r="E2345" s="64"/>
      <c r="F2345" s="64"/>
      <c r="G2345" s="64"/>
    </row>
    <row r="2346" spans="2:7" ht="32.25" customHeight="1" x14ac:dyDescent="0.25">
      <c r="B2346" s="64"/>
      <c r="C2346" s="64"/>
      <c r="D2346" s="64"/>
      <c r="E2346" s="64"/>
      <c r="F2346" s="64"/>
      <c r="G2346" s="64"/>
    </row>
    <row r="2347" spans="2:7" ht="32.25" customHeight="1" x14ac:dyDescent="0.25">
      <c r="B2347" s="64"/>
      <c r="C2347" s="64"/>
      <c r="D2347" s="64"/>
      <c r="E2347" s="64"/>
      <c r="F2347" s="64"/>
      <c r="G2347" s="64"/>
    </row>
    <row r="2348" spans="2:7" ht="32.25" customHeight="1" x14ac:dyDescent="0.25">
      <c r="B2348" s="64"/>
      <c r="C2348" s="64"/>
      <c r="D2348" s="64"/>
      <c r="E2348" s="64"/>
      <c r="F2348" s="64"/>
      <c r="G2348" s="64"/>
    </row>
    <row r="2349" spans="2:7" ht="32.25" customHeight="1" x14ac:dyDescent="0.25">
      <c r="B2349" s="64"/>
      <c r="C2349" s="64"/>
      <c r="D2349" s="64"/>
      <c r="E2349" s="64"/>
      <c r="F2349" s="64"/>
      <c r="G2349" s="64"/>
    </row>
    <row r="2350" spans="2:7" ht="32.25" customHeight="1" x14ac:dyDescent="0.25">
      <c r="B2350" s="64"/>
      <c r="C2350" s="64"/>
      <c r="D2350" s="64"/>
      <c r="E2350" s="64"/>
      <c r="F2350" s="64"/>
      <c r="G2350" s="64"/>
    </row>
    <row r="2351" spans="2:7" ht="32.25" customHeight="1" x14ac:dyDescent="0.25">
      <c r="B2351" s="64"/>
      <c r="C2351" s="64"/>
      <c r="D2351" s="64"/>
      <c r="E2351" s="64"/>
      <c r="F2351" s="64"/>
      <c r="G2351" s="64"/>
    </row>
    <row r="2352" spans="2:7" ht="32.25" customHeight="1" x14ac:dyDescent="0.25">
      <c r="B2352" s="64"/>
      <c r="C2352" s="64"/>
      <c r="D2352" s="64"/>
      <c r="E2352" s="64"/>
      <c r="F2352" s="64"/>
      <c r="G2352" s="64"/>
    </row>
    <row r="2353" spans="2:7" ht="32.25" customHeight="1" x14ac:dyDescent="0.25">
      <c r="B2353" s="64"/>
      <c r="C2353" s="64"/>
      <c r="D2353" s="64"/>
      <c r="E2353" s="64"/>
      <c r="F2353" s="64"/>
      <c r="G2353" s="64"/>
    </row>
    <row r="2354" spans="2:7" ht="32.25" customHeight="1" x14ac:dyDescent="0.25">
      <c r="B2354" s="64"/>
      <c r="C2354" s="64"/>
      <c r="D2354" s="64"/>
      <c r="E2354" s="64"/>
      <c r="F2354" s="64"/>
      <c r="G2354" s="64"/>
    </row>
    <row r="2355" spans="2:7" ht="32.25" customHeight="1" x14ac:dyDescent="0.25">
      <c r="B2355" s="64"/>
      <c r="C2355" s="64"/>
      <c r="D2355" s="64"/>
      <c r="E2355" s="64"/>
      <c r="F2355" s="64"/>
      <c r="G2355" s="64"/>
    </row>
    <row r="2356" spans="2:7" ht="32.25" customHeight="1" x14ac:dyDescent="0.25">
      <c r="B2356" s="64"/>
      <c r="C2356" s="64"/>
      <c r="D2356" s="64"/>
      <c r="E2356" s="64"/>
      <c r="F2356" s="64"/>
      <c r="G2356" s="64"/>
    </row>
    <row r="2357" spans="2:7" ht="32.25" customHeight="1" x14ac:dyDescent="0.25">
      <c r="B2357" s="64"/>
      <c r="C2357" s="64"/>
      <c r="D2357" s="64"/>
      <c r="E2357" s="64"/>
      <c r="F2357" s="64"/>
      <c r="G2357" s="64"/>
    </row>
    <row r="2358" spans="2:7" ht="32.25" customHeight="1" x14ac:dyDescent="0.25">
      <c r="B2358" s="64"/>
      <c r="C2358" s="64"/>
      <c r="D2358" s="64"/>
      <c r="E2358" s="64"/>
      <c r="F2358" s="64"/>
      <c r="G2358" s="64"/>
    </row>
    <row r="2359" spans="2:7" ht="32.25" customHeight="1" x14ac:dyDescent="0.25">
      <c r="B2359" s="64"/>
      <c r="C2359" s="64"/>
      <c r="D2359" s="64"/>
      <c r="E2359" s="64"/>
      <c r="F2359" s="64"/>
      <c r="G2359" s="64"/>
    </row>
    <row r="2360" spans="2:7" ht="32.25" customHeight="1" x14ac:dyDescent="0.25">
      <c r="B2360" s="64"/>
      <c r="C2360" s="64"/>
      <c r="D2360" s="64"/>
      <c r="E2360" s="64"/>
      <c r="F2360" s="64"/>
      <c r="G2360" s="64"/>
    </row>
    <row r="2361" spans="2:7" ht="32.25" customHeight="1" x14ac:dyDescent="0.25">
      <c r="B2361" s="64"/>
      <c r="C2361" s="64"/>
      <c r="D2361" s="64"/>
      <c r="E2361" s="64"/>
      <c r="F2361" s="64"/>
      <c r="G2361" s="64"/>
    </row>
    <row r="2362" spans="2:7" ht="32.25" customHeight="1" x14ac:dyDescent="0.25">
      <c r="B2362" s="64"/>
      <c r="C2362" s="64"/>
      <c r="D2362" s="64"/>
      <c r="E2362" s="64"/>
      <c r="F2362" s="64"/>
      <c r="G2362" s="64"/>
    </row>
    <row r="2363" spans="2:7" ht="32.25" customHeight="1" x14ac:dyDescent="0.25">
      <c r="B2363" s="64"/>
      <c r="C2363" s="64"/>
      <c r="D2363" s="64"/>
      <c r="E2363" s="64"/>
      <c r="F2363" s="64"/>
      <c r="G2363" s="64"/>
    </row>
    <row r="2364" spans="2:7" ht="32.25" customHeight="1" x14ac:dyDescent="0.25">
      <c r="B2364" s="64"/>
      <c r="C2364" s="64"/>
      <c r="D2364" s="64"/>
      <c r="E2364" s="64"/>
      <c r="F2364" s="64"/>
      <c r="G2364" s="64"/>
    </row>
    <row r="2365" spans="2:7" ht="32.25" customHeight="1" x14ac:dyDescent="0.25">
      <c r="B2365" s="64"/>
      <c r="C2365" s="64"/>
      <c r="D2365" s="64"/>
      <c r="E2365" s="64"/>
      <c r="F2365" s="64"/>
      <c r="G2365" s="64"/>
    </row>
    <row r="2366" spans="2:7" ht="32.25" customHeight="1" x14ac:dyDescent="0.25">
      <c r="B2366" s="64"/>
      <c r="C2366" s="64"/>
      <c r="D2366" s="64"/>
      <c r="E2366" s="64"/>
      <c r="F2366" s="64"/>
      <c r="G2366" s="64"/>
    </row>
    <row r="2367" spans="2:7" ht="32.25" customHeight="1" x14ac:dyDescent="0.25">
      <c r="B2367" s="64"/>
      <c r="C2367" s="64"/>
      <c r="D2367" s="64"/>
      <c r="E2367" s="64"/>
      <c r="F2367" s="64"/>
      <c r="G2367" s="64"/>
    </row>
    <row r="2368" spans="2:7" ht="32.25" customHeight="1" x14ac:dyDescent="0.25">
      <c r="B2368" s="64"/>
      <c r="C2368" s="64"/>
      <c r="D2368" s="64"/>
      <c r="E2368" s="64"/>
      <c r="F2368" s="64"/>
      <c r="G2368" s="64"/>
    </row>
    <row r="2369" spans="2:7" ht="32.25" customHeight="1" x14ac:dyDescent="0.25">
      <c r="B2369" s="64"/>
      <c r="C2369" s="64"/>
      <c r="D2369" s="64"/>
      <c r="E2369" s="64"/>
      <c r="F2369" s="64"/>
      <c r="G2369" s="64"/>
    </row>
    <row r="2370" spans="2:7" ht="32.25" customHeight="1" x14ac:dyDescent="0.25">
      <c r="B2370" s="64"/>
      <c r="C2370" s="64"/>
      <c r="D2370" s="64"/>
      <c r="E2370" s="64"/>
      <c r="F2370" s="64"/>
      <c r="G2370" s="64"/>
    </row>
    <row r="2371" spans="2:7" ht="32.25" customHeight="1" x14ac:dyDescent="0.25">
      <c r="B2371" s="64"/>
      <c r="C2371" s="64"/>
      <c r="D2371" s="64"/>
      <c r="E2371" s="64"/>
      <c r="F2371" s="64"/>
      <c r="G2371" s="64"/>
    </row>
    <row r="2372" spans="2:7" ht="32.25" customHeight="1" x14ac:dyDescent="0.25">
      <c r="B2372" s="64"/>
      <c r="C2372" s="64"/>
      <c r="D2372" s="64"/>
      <c r="E2372" s="64"/>
      <c r="F2372" s="64"/>
      <c r="G2372" s="64"/>
    </row>
    <row r="2373" spans="2:7" ht="32.25" customHeight="1" x14ac:dyDescent="0.25">
      <c r="B2373" s="64"/>
      <c r="C2373" s="64"/>
      <c r="D2373" s="64"/>
      <c r="E2373" s="64"/>
      <c r="F2373" s="64"/>
      <c r="G2373" s="64"/>
    </row>
    <row r="2374" spans="2:7" ht="32.25" customHeight="1" x14ac:dyDescent="0.25">
      <c r="B2374" s="64"/>
      <c r="C2374" s="64"/>
      <c r="D2374" s="64"/>
      <c r="E2374" s="64"/>
      <c r="F2374" s="64"/>
      <c r="G2374" s="64"/>
    </row>
    <row r="2375" spans="2:7" ht="32.25" customHeight="1" x14ac:dyDescent="0.25">
      <c r="B2375" s="64"/>
      <c r="C2375" s="64"/>
      <c r="D2375" s="64"/>
      <c r="E2375" s="64"/>
      <c r="F2375" s="64"/>
      <c r="G2375" s="64"/>
    </row>
    <row r="2376" spans="2:7" ht="32.25" customHeight="1" x14ac:dyDescent="0.25">
      <c r="B2376" s="64"/>
      <c r="C2376" s="64"/>
      <c r="D2376" s="64"/>
      <c r="E2376" s="64"/>
      <c r="F2376" s="64"/>
      <c r="G2376" s="64"/>
    </row>
    <row r="2377" spans="2:7" ht="32.25" customHeight="1" x14ac:dyDescent="0.25">
      <c r="B2377" s="64"/>
      <c r="C2377" s="64"/>
      <c r="D2377" s="64"/>
      <c r="E2377" s="64"/>
      <c r="F2377" s="64"/>
      <c r="G2377" s="64"/>
    </row>
    <row r="2378" spans="2:7" ht="32.25" customHeight="1" x14ac:dyDescent="0.25">
      <c r="B2378" s="64"/>
      <c r="C2378" s="64"/>
      <c r="D2378" s="64"/>
      <c r="E2378" s="64"/>
      <c r="F2378" s="64"/>
      <c r="G2378" s="64"/>
    </row>
    <row r="2379" spans="2:7" ht="32.25" customHeight="1" x14ac:dyDescent="0.25">
      <c r="B2379" s="64"/>
      <c r="C2379" s="64"/>
      <c r="D2379" s="64"/>
      <c r="E2379" s="64"/>
      <c r="F2379" s="64"/>
      <c r="G2379" s="64"/>
    </row>
    <row r="2380" spans="2:7" ht="32.25" customHeight="1" x14ac:dyDescent="0.25">
      <c r="B2380" s="64"/>
      <c r="C2380" s="64"/>
      <c r="D2380" s="64"/>
      <c r="E2380" s="64"/>
      <c r="F2380" s="64"/>
      <c r="G2380" s="64"/>
    </row>
    <row r="2381" spans="2:7" ht="32.25" customHeight="1" x14ac:dyDescent="0.25">
      <c r="B2381" s="64"/>
      <c r="C2381" s="64"/>
      <c r="D2381" s="64"/>
      <c r="E2381" s="64"/>
      <c r="F2381" s="64"/>
      <c r="G2381" s="64"/>
    </row>
    <row r="2382" spans="2:7" ht="32.25" customHeight="1" x14ac:dyDescent="0.25">
      <c r="B2382" s="64"/>
      <c r="C2382" s="64"/>
      <c r="D2382" s="64"/>
      <c r="E2382" s="64"/>
      <c r="F2382" s="64"/>
      <c r="G2382" s="64"/>
    </row>
    <row r="2383" spans="2:7" ht="32.25" customHeight="1" x14ac:dyDescent="0.25">
      <c r="B2383" s="64"/>
      <c r="C2383" s="64"/>
      <c r="D2383" s="64"/>
      <c r="E2383" s="64"/>
      <c r="F2383" s="64"/>
      <c r="G2383" s="64"/>
    </row>
    <row r="2384" spans="2:7" ht="32.25" customHeight="1" x14ac:dyDescent="0.25">
      <c r="B2384" s="64"/>
      <c r="C2384" s="64"/>
      <c r="D2384" s="64"/>
      <c r="E2384" s="64"/>
      <c r="F2384" s="64"/>
      <c r="G2384" s="64"/>
    </row>
    <row r="2385" spans="2:7" ht="32.25" customHeight="1" x14ac:dyDescent="0.25">
      <c r="B2385" s="64"/>
      <c r="C2385" s="64"/>
      <c r="D2385" s="64"/>
      <c r="E2385" s="64"/>
      <c r="F2385" s="64"/>
      <c r="G2385" s="64"/>
    </row>
    <row r="2386" spans="2:7" ht="32.25" customHeight="1" x14ac:dyDescent="0.25">
      <c r="B2386" s="64"/>
      <c r="C2386" s="64"/>
      <c r="D2386" s="64"/>
      <c r="E2386" s="64"/>
      <c r="F2386" s="64"/>
      <c r="G2386" s="64"/>
    </row>
    <row r="2387" spans="2:7" ht="32.25" customHeight="1" x14ac:dyDescent="0.25">
      <c r="B2387" s="64"/>
      <c r="C2387" s="64"/>
      <c r="D2387" s="64"/>
      <c r="E2387" s="64"/>
      <c r="F2387" s="64"/>
      <c r="G2387" s="64"/>
    </row>
    <row r="2388" spans="2:7" ht="32.25" customHeight="1" x14ac:dyDescent="0.25">
      <c r="B2388" s="64"/>
      <c r="C2388" s="64"/>
      <c r="D2388" s="64"/>
      <c r="E2388" s="64"/>
      <c r="F2388" s="64"/>
      <c r="G2388" s="64"/>
    </row>
    <row r="2389" spans="2:7" ht="32.25" customHeight="1" x14ac:dyDescent="0.25">
      <c r="B2389" s="64"/>
      <c r="C2389" s="64"/>
      <c r="D2389" s="64"/>
      <c r="E2389" s="64"/>
      <c r="F2389" s="64"/>
      <c r="G2389" s="64"/>
    </row>
    <row r="2390" spans="2:7" ht="32.25" customHeight="1" x14ac:dyDescent="0.25">
      <c r="B2390" s="64"/>
      <c r="C2390" s="64"/>
      <c r="D2390" s="64"/>
      <c r="E2390" s="64"/>
      <c r="F2390" s="64"/>
      <c r="G2390" s="64"/>
    </row>
    <row r="2391" spans="2:7" ht="32.25" customHeight="1" x14ac:dyDescent="0.25">
      <c r="B2391" s="64"/>
      <c r="C2391" s="64"/>
      <c r="D2391" s="64"/>
      <c r="E2391" s="64"/>
      <c r="F2391" s="64"/>
      <c r="G2391" s="64"/>
    </row>
    <row r="2392" spans="2:7" ht="32.25" customHeight="1" x14ac:dyDescent="0.25">
      <c r="B2392" s="64"/>
      <c r="C2392" s="64"/>
      <c r="D2392" s="64"/>
      <c r="E2392" s="64"/>
      <c r="F2392" s="64"/>
      <c r="G2392" s="64"/>
    </row>
    <row r="2393" spans="2:7" ht="32.25" customHeight="1" x14ac:dyDescent="0.25">
      <c r="B2393" s="64"/>
      <c r="C2393" s="64"/>
      <c r="D2393" s="64"/>
      <c r="E2393" s="64"/>
      <c r="F2393" s="64"/>
      <c r="G2393" s="64"/>
    </row>
    <row r="2394" spans="2:7" ht="32.25" customHeight="1" x14ac:dyDescent="0.25">
      <c r="B2394" s="64"/>
      <c r="C2394" s="64"/>
      <c r="D2394" s="64"/>
      <c r="E2394" s="64"/>
      <c r="F2394" s="64"/>
      <c r="G2394" s="64"/>
    </row>
    <row r="2395" spans="2:7" ht="32.25" customHeight="1" x14ac:dyDescent="0.25">
      <c r="B2395" s="64"/>
      <c r="C2395" s="64"/>
      <c r="D2395" s="64"/>
      <c r="E2395" s="64"/>
      <c r="F2395" s="64"/>
      <c r="G2395" s="64"/>
    </row>
    <row r="2396" spans="2:7" ht="32.25" customHeight="1" x14ac:dyDescent="0.25">
      <c r="B2396" s="64"/>
      <c r="C2396" s="64"/>
      <c r="D2396" s="64"/>
      <c r="E2396" s="64"/>
      <c r="F2396" s="64"/>
      <c r="G2396" s="64"/>
    </row>
    <row r="2397" spans="2:7" ht="32.25" customHeight="1" x14ac:dyDescent="0.25">
      <c r="B2397" s="64"/>
      <c r="C2397" s="64"/>
      <c r="D2397" s="64"/>
      <c r="E2397" s="64"/>
      <c r="F2397" s="64"/>
      <c r="G2397" s="64"/>
    </row>
    <row r="2398" spans="2:7" ht="32.25" customHeight="1" x14ac:dyDescent="0.25">
      <c r="B2398" s="64"/>
      <c r="C2398" s="64"/>
      <c r="D2398" s="64"/>
      <c r="E2398" s="64"/>
      <c r="F2398" s="64"/>
      <c r="G2398" s="64"/>
    </row>
    <row r="2399" spans="2:7" ht="32.25" customHeight="1" x14ac:dyDescent="0.25">
      <c r="B2399" s="64"/>
      <c r="C2399" s="64"/>
      <c r="D2399" s="64"/>
      <c r="E2399" s="64"/>
      <c r="F2399" s="64"/>
      <c r="G2399" s="64"/>
    </row>
    <row r="2400" spans="2:7" ht="32.25" customHeight="1" x14ac:dyDescent="0.25">
      <c r="B2400" s="64"/>
      <c r="C2400" s="64"/>
      <c r="D2400" s="64"/>
      <c r="E2400" s="64"/>
      <c r="F2400" s="64"/>
      <c r="G2400" s="64"/>
    </row>
    <row r="2401" spans="2:7" ht="32.25" customHeight="1" x14ac:dyDescent="0.25">
      <c r="B2401" s="64"/>
      <c r="C2401" s="64"/>
      <c r="D2401" s="64"/>
      <c r="E2401" s="64"/>
      <c r="F2401" s="64"/>
      <c r="G2401" s="64"/>
    </row>
    <row r="2402" spans="2:7" ht="32.25" customHeight="1" x14ac:dyDescent="0.25">
      <c r="B2402" s="64"/>
      <c r="C2402" s="64"/>
      <c r="D2402" s="64"/>
      <c r="E2402" s="64"/>
      <c r="F2402" s="64"/>
      <c r="G2402" s="64"/>
    </row>
    <row r="2403" spans="2:7" ht="32.25" customHeight="1" x14ac:dyDescent="0.25">
      <c r="B2403" s="64"/>
      <c r="C2403" s="64"/>
      <c r="D2403" s="64"/>
      <c r="E2403" s="64"/>
      <c r="F2403" s="64"/>
      <c r="G2403" s="64"/>
    </row>
    <row r="2404" spans="2:7" ht="32.25" customHeight="1" x14ac:dyDescent="0.25">
      <c r="B2404" s="64"/>
      <c r="C2404" s="64"/>
      <c r="D2404" s="64"/>
      <c r="E2404" s="64"/>
      <c r="F2404" s="64"/>
      <c r="G2404" s="64"/>
    </row>
    <row r="2405" spans="2:7" ht="32.25" customHeight="1" x14ac:dyDescent="0.25">
      <c r="B2405" s="64"/>
      <c r="C2405" s="64"/>
      <c r="D2405" s="64"/>
      <c r="E2405" s="64"/>
      <c r="F2405" s="64"/>
      <c r="G2405" s="64"/>
    </row>
    <row r="2406" spans="2:7" ht="32.25" customHeight="1" x14ac:dyDescent="0.25">
      <c r="B2406" s="64"/>
      <c r="C2406" s="64"/>
      <c r="D2406" s="64"/>
      <c r="E2406" s="64"/>
      <c r="F2406" s="64"/>
      <c r="G2406" s="64"/>
    </row>
    <row r="2407" spans="2:7" ht="32.25" customHeight="1" x14ac:dyDescent="0.25">
      <c r="B2407" s="64"/>
      <c r="C2407" s="64"/>
      <c r="D2407" s="64"/>
      <c r="E2407" s="64"/>
      <c r="F2407" s="64"/>
      <c r="G2407" s="64"/>
    </row>
    <row r="2408" spans="2:7" ht="32.25" customHeight="1" x14ac:dyDescent="0.25">
      <c r="B2408" s="64"/>
      <c r="C2408" s="64"/>
      <c r="D2408" s="64"/>
      <c r="E2408" s="64"/>
      <c r="F2408" s="64"/>
      <c r="G2408" s="64"/>
    </row>
    <row r="2409" spans="2:7" ht="32.25" customHeight="1" x14ac:dyDescent="0.25">
      <c r="B2409" s="64"/>
      <c r="C2409" s="64"/>
      <c r="D2409" s="64"/>
      <c r="E2409" s="64"/>
      <c r="F2409" s="64"/>
      <c r="G2409" s="64"/>
    </row>
    <row r="2410" spans="2:7" ht="32.25" customHeight="1" x14ac:dyDescent="0.25">
      <c r="B2410" s="64"/>
      <c r="C2410" s="64"/>
      <c r="D2410" s="64"/>
      <c r="E2410" s="64"/>
      <c r="F2410" s="64"/>
      <c r="G2410" s="64"/>
    </row>
    <row r="2411" spans="2:7" ht="32.25" customHeight="1" x14ac:dyDescent="0.25">
      <c r="B2411" s="64"/>
      <c r="C2411" s="64"/>
      <c r="D2411" s="64"/>
      <c r="E2411" s="64"/>
      <c r="F2411" s="64"/>
      <c r="G2411" s="64"/>
    </row>
    <row r="2412" spans="2:7" ht="32.25" customHeight="1" x14ac:dyDescent="0.25">
      <c r="B2412" s="64"/>
      <c r="C2412" s="64"/>
      <c r="D2412" s="64"/>
      <c r="E2412" s="64"/>
      <c r="F2412" s="64"/>
      <c r="G2412" s="64"/>
    </row>
    <row r="2413" spans="2:7" ht="32.25" customHeight="1" x14ac:dyDescent="0.25">
      <c r="B2413" s="64"/>
      <c r="C2413" s="64"/>
      <c r="D2413" s="64"/>
      <c r="E2413" s="64"/>
      <c r="F2413" s="64"/>
      <c r="G2413" s="64"/>
    </row>
    <row r="2414" spans="2:7" ht="32.25" customHeight="1" x14ac:dyDescent="0.25">
      <c r="B2414" s="64"/>
      <c r="C2414" s="64"/>
      <c r="D2414" s="64"/>
      <c r="E2414" s="64"/>
      <c r="F2414" s="64"/>
      <c r="G2414" s="64"/>
    </row>
    <row r="2415" spans="2:7" ht="32.25" customHeight="1" x14ac:dyDescent="0.25">
      <c r="B2415" s="64"/>
      <c r="C2415" s="64"/>
      <c r="D2415" s="64"/>
      <c r="E2415" s="64"/>
      <c r="F2415" s="64"/>
      <c r="G2415" s="64"/>
    </row>
    <row r="2416" spans="2:7" ht="32.25" customHeight="1" x14ac:dyDescent="0.25">
      <c r="B2416" s="64"/>
      <c r="C2416" s="64"/>
      <c r="D2416" s="64"/>
      <c r="E2416" s="64"/>
      <c r="F2416" s="64"/>
      <c r="G2416" s="64"/>
    </row>
    <row r="2417" spans="2:7" ht="32.25" customHeight="1" x14ac:dyDescent="0.25">
      <c r="B2417" s="64"/>
      <c r="C2417" s="64"/>
      <c r="D2417" s="64"/>
      <c r="E2417" s="64"/>
      <c r="F2417" s="64"/>
      <c r="G2417" s="64"/>
    </row>
    <row r="2418" spans="2:7" ht="32.25" customHeight="1" x14ac:dyDescent="0.25">
      <c r="B2418" s="64"/>
      <c r="C2418" s="64"/>
      <c r="D2418" s="64"/>
      <c r="E2418" s="64"/>
      <c r="F2418" s="64"/>
      <c r="G2418" s="64"/>
    </row>
    <row r="2419" spans="2:7" ht="32.25" customHeight="1" x14ac:dyDescent="0.25">
      <c r="B2419" s="64"/>
      <c r="C2419" s="64"/>
      <c r="D2419" s="64"/>
      <c r="E2419" s="64"/>
      <c r="F2419" s="64"/>
      <c r="G2419" s="64"/>
    </row>
    <row r="2420" spans="2:7" ht="32.25" customHeight="1" x14ac:dyDescent="0.25">
      <c r="B2420" s="64"/>
      <c r="C2420" s="64"/>
      <c r="D2420" s="64"/>
      <c r="E2420" s="64"/>
      <c r="F2420" s="64"/>
      <c r="G2420" s="64"/>
    </row>
    <row r="2421" spans="2:7" ht="32.25" customHeight="1" x14ac:dyDescent="0.25">
      <c r="B2421" s="64"/>
      <c r="C2421" s="64"/>
      <c r="D2421" s="64"/>
      <c r="E2421" s="64"/>
      <c r="F2421" s="64"/>
      <c r="G2421" s="64"/>
    </row>
    <row r="2422" spans="2:7" ht="32.25" customHeight="1" x14ac:dyDescent="0.25">
      <c r="B2422" s="64"/>
      <c r="C2422" s="64"/>
      <c r="D2422" s="64"/>
      <c r="E2422" s="64"/>
      <c r="F2422" s="64"/>
      <c r="G2422" s="64"/>
    </row>
    <row r="2423" spans="2:7" ht="32.25" customHeight="1" x14ac:dyDescent="0.25">
      <c r="B2423" s="64"/>
      <c r="C2423" s="64"/>
      <c r="D2423" s="64"/>
      <c r="E2423" s="64"/>
      <c r="F2423" s="64"/>
      <c r="G2423" s="64"/>
    </row>
    <row r="2424" spans="2:7" ht="32.25" customHeight="1" x14ac:dyDescent="0.25">
      <c r="B2424" s="64"/>
      <c r="C2424" s="64"/>
      <c r="D2424" s="64"/>
      <c r="E2424" s="64"/>
      <c r="F2424" s="64"/>
      <c r="G2424" s="64"/>
    </row>
    <row r="2425" spans="2:7" ht="32.25" customHeight="1" x14ac:dyDescent="0.25">
      <c r="B2425" s="64"/>
      <c r="C2425" s="64"/>
      <c r="D2425" s="64"/>
      <c r="E2425" s="64"/>
      <c r="F2425" s="64"/>
      <c r="G2425" s="64"/>
    </row>
    <row r="2426" spans="2:7" ht="32.25" customHeight="1" x14ac:dyDescent="0.25">
      <c r="B2426" s="64"/>
      <c r="C2426" s="64"/>
      <c r="D2426" s="64"/>
      <c r="E2426" s="64"/>
      <c r="F2426" s="64"/>
      <c r="G2426" s="64"/>
    </row>
    <row r="2427" spans="2:7" ht="32.25" customHeight="1" x14ac:dyDescent="0.25">
      <c r="B2427" s="64"/>
      <c r="C2427" s="64"/>
      <c r="D2427" s="64"/>
      <c r="E2427" s="64"/>
      <c r="F2427" s="64"/>
      <c r="G2427" s="64"/>
    </row>
    <row r="2428" spans="2:7" ht="32.25" customHeight="1" x14ac:dyDescent="0.25">
      <c r="B2428" s="64"/>
      <c r="C2428" s="64"/>
      <c r="D2428" s="64"/>
      <c r="E2428" s="64"/>
      <c r="F2428" s="64"/>
      <c r="G2428" s="64"/>
    </row>
    <row r="2429" spans="2:7" ht="32.25" customHeight="1" x14ac:dyDescent="0.25">
      <c r="B2429" s="64"/>
      <c r="C2429" s="64"/>
      <c r="D2429" s="64"/>
      <c r="E2429" s="64"/>
      <c r="F2429" s="64"/>
      <c r="G2429" s="64"/>
    </row>
    <row r="2430" spans="2:7" ht="32.25" customHeight="1" x14ac:dyDescent="0.25">
      <c r="B2430" s="64"/>
      <c r="C2430" s="64"/>
      <c r="D2430" s="64"/>
      <c r="E2430" s="64"/>
      <c r="F2430" s="64"/>
      <c r="G2430" s="64"/>
    </row>
    <row r="2431" spans="2:7" ht="32.25" customHeight="1" x14ac:dyDescent="0.25">
      <c r="B2431" s="64"/>
      <c r="C2431" s="64"/>
      <c r="D2431" s="64"/>
      <c r="E2431" s="64"/>
      <c r="F2431" s="64"/>
      <c r="G2431" s="64"/>
    </row>
    <row r="2432" spans="2:7" ht="32.25" customHeight="1" x14ac:dyDescent="0.25">
      <c r="B2432" s="64"/>
      <c r="C2432" s="64"/>
      <c r="D2432" s="64"/>
      <c r="E2432" s="64"/>
      <c r="F2432" s="64"/>
      <c r="G2432" s="64"/>
    </row>
    <row r="2433" spans="2:7" ht="32.25" customHeight="1" x14ac:dyDescent="0.25">
      <c r="B2433" s="64"/>
      <c r="C2433" s="64"/>
      <c r="D2433" s="64"/>
      <c r="E2433" s="64"/>
      <c r="F2433" s="64"/>
      <c r="G2433" s="64"/>
    </row>
    <row r="2434" spans="2:7" ht="32.25" customHeight="1" x14ac:dyDescent="0.25">
      <c r="B2434" s="64"/>
      <c r="C2434" s="64"/>
      <c r="D2434" s="64"/>
      <c r="E2434" s="64"/>
      <c r="F2434" s="64"/>
      <c r="G2434" s="64"/>
    </row>
    <row r="2435" spans="2:7" ht="32.25" customHeight="1" x14ac:dyDescent="0.25">
      <c r="B2435" s="64"/>
      <c r="C2435" s="64"/>
      <c r="D2435" s="64"/>
      <c r="E2435" s="64"/>
      <c r="F2435" s="64"/>
      <c r="G2435" s="64"/>
    </row>
    <row r="2436" spans="2:7" ht="32.25" customHeight="1" x14ac:dyDescent="0.25">
      <c r="B2436" s="64"/>
      <c r="C2436" s="64"/>
      <c r="D2436" s="64"/>
      <c r="E2436" s="64"/>
      <c r="F2436" s="64"/>
      <c r="G2436" s="64"/>
    </row>
    <row r="2437" spans="2:7" ht="32.25" customHeight="1" x14ac:dyDescent="0.25">
      <c r="B2437" s="64"/>
      <c r="C2437" s="64"/>
      <c r="D2437" s="64"/>
      <c r="E2437" s="64"/>
      <c r="F2437" s="64"/>
      <c r="G2437" s="64"/>
    </row>
    <row r="2438" spans="2:7" ht="32.25" customHeight="1" x14ac:dyDescent="0.25">
      <c r="B2438" s="64"/>
      <c r="C2438" s="64"/>
      <c r="D2438" s="64"/>
      <c r="E2438" s="64"/>
      <c r="F2438" s="64"/>
      <c r="G2438" s="64"/>
    </row>
    <row r="2439" spans="2:7" ht="32.25" customHeight="1" x14ac:dyDescent="0.25">
      <c r="B2439" s="64"/>
      <c r="C2439" s="64"/>
      <c r="D2439" s="64"/>
      <c r="E2439" s="64"/>
      <c r="F2439" s="64"/>
      <c r="G2439" s="64"/>
    </row>
    <row r="2440" spans="2:7" ht="32.25" customHeight="1" x14ac:dyDescent="0.25">
      <c r="B2440" s="64"/>
      <c r="C2440" s="64"/>
      <c r="D2440" s="64"/>
      <c r="E2440" s="64"/>
      <c r="F2440" s="64"/>
      <c r="G2440" s="64"/>
    </row>
    <row r="2441" spans="2:7" ht="32.25" customHeight="1" x14ac:dyDescent="0.25">
      <c r="B2441" s="64"/>
      <c r="C2441" s="64"/>
      <c r="D2441" s="64"/>
      <c r="E2441" s="64"/>
      <c r="F2441" s="64"/>
      <c r="G2441" s="64"/>
    </row>
    <row r="2442" spans="2:7" ht="32.25" customHeight="1" x14ac:dyDescent="0.25">
      <c r="B2442" s="64"/>
      <c r="C2442" s="64"/>
      <c r="D2442" s="64"/>
      <c r="E2442" s="64"/>
      <c r="F2442" s="64"/>
      <c r="G2442" s="64"/>
    </row>
    <row r="2443" spans="2:7" ht="32.25" customHeight="1" x14ac:dyDescent="0.25">
      <c r="B2443" s="64"/>
      <c r="C2443" s="64"/>
      <c r="D2443" s="64"/>
      <c r="E2443" s="64"/>
      <c r="F2443" s="64"/>
      <c r="G2443" s="64"/>
    </row>
    <row r="2444" spans="2:7" ht="32.25" customHeight="1" x14ac:dyDescent="0.25">
      <c r="B2444" s="64"/>
      <c r="C2444" s="64"/>
      <c r="D2444" s="64"/>
      <c r="E2444" s="64"/>
      <c r="F2444" s="64"/>
      <c r="G2444" s="64"/>
    </row>
    <row r="2445" spans="2:7" ht="32.25" customHeight="1" x14ac:dyDescent="0.25">
      <c r="B2445" s="64"/>
      <c r="C2445" s="64"/>
      <c r="D2445" s="64"/>
      <c r="E2445" s="64"/>
      <c r="F2445" s="64"/>
      <c r="G2445" s="64"/>
    </row>
    <row r="2446" spans="2:7" ht="32.25" customHeight="1" x14ac:dyDescent="0.25">
      <c r="B2446" s="64"/>
      <c r="C2446" s="64"/>
      <c r="D2446" s="64"/>
      <c r="E2446" s="64"/>
      <c r="F2446" s="64"/>
      <c r="G2446" s="64"/>
    </row>
    <row r="2447" spans="2:7" ht="32.25" customHeight="1" x14ac:dyDescent="0.25">
      <c r="B2447" s="64"/>
      <c r="C2447" s="64"/>
      <c r="D2447" s="64"/>
      <c r="E2447" s="64"/>
      <c r="F2447" s="64"/>
      <c r="G2447" s="64"/>
    </row>
    <row r="2448" spans="2:7" ht="32.25" customHeight="1" x14ac:dyDescent="0.25">
      <c r="B2448" s="64"/>
      <c r="C2448" s="64"/>
      <c r="D2448" s="64"/>
      <c r="E2448" s="64"/>
      <c r="F2448" s="64"/>
      <c r="G2448" s="64"/>
    </row>
    <row r="2449" spans="2:7" ht="32.25" customHeight="1" x14ac:dyDescent="0.25">
      <c r="B2449" s="64"/>
      <c r="C2449" s="64"/>
      <c r="D2449" s="64"/>
      <c r="E2449" s="64"/>
      <c r="F2449" s="64"/>
      <c r="G2449" s="64"/>
    </row>
    <row r="2450" spans="2:7" ht="32.25" customHeight="1" x14ac:dyDescent="0.25">
      <c r="B2450" s="64"/>
      <c r="C2450" s="64"/>
      <c r="D2450" s="64"/>
      <c r="E2450" s="64"/>
      <c r="F2450" s="64"/>
      <c r="G2450" s="64"/>
    </row>
    <row r="2451" spans="2:7" ht="32.25" customHeight="1" x14ac:dyDescent="0.25">
      <c r="B2451" s="64"/>
      <c r="C2451" s="64"/>
      <c r="D2451" s="64"/>
      <c r="E2451" s="64"/>
      <c r="F2451" s="64"/>
      <c r="G2451" s="64"/>
    </row>
    <row r="2452" spans="2:7" ht="32.25" customHeight="1" x14ac:dyDescent="0.25">
      <c r="B2452" s="64"/>
      <c r="C2452" s="64"/>
      <c r="D2452" s="64"/>
      <c r="E2452" s="64"/>
      <c r="F2452" s="64"/>
      <c r="G2452" s="64"/>
    </row>
    <row r="2453" spans="2:7" ht="32.25" customHeight="1" x14ac:dyDescent="0.25">
      <c r="B2453" s="64"/>
      <c r="C2453" s="64"/>
      <c r="D2453" s="64"/>
      <c r="E2453" s="64"/>
      <c r="F2453" s="64"/>
      <c r="G2453" s="64"/>
    </row>
    <row r="2454" spans="2:7" ht="32.25" customHeight="1" x14ac:dyDescent="0.25">
      <c r="B2454" s="64"/>
      <c r="C2454" s="64"/>
      <c r="D2454" s="64"/>
      <c r="E2454" s="64"/>
      <c r="F2454" s="64"/>
      <c r="G2454" s="64"/>
    </row>
    <row r="2455" spans="2:7" ht="32.25" customHeight="1" x14ac:dyDescent="0.25">
      <c r="B2455" s="64"/>
      <c r="C2455" s="64"/>
      <c r="D2455" s="64"/>
      <c r="E2455" s="64"/>
      <c r="F2455" s="64"/>
      <c r="G2455" s="64"/>
    </row>
    <row r="2456" spans="2:7" ht="32.25" customHeight="1" x14ac:dyDescent="0.25">
      <c r="B2456" s="64"/>
      <c r="C2456" s="64"/>
      <c r="D2456" s="64"/>
      <c r="E2456" s="64"/>
      <c r="F2456" s="64"/>
      <c r="G2456" s="64"/>
    </row>
    <row r="2457" spans="2:7" ht="32.25" customHeight="1" x14ac:dyDescent="0.25">
      <c r="B2457" s="64"/>
      <c r="C2457" s="64"/>
      <c r="D2457" s="64"/>
      <c r="E2457" s="64"/>
      <c r="F2457" s="64"/>
      <c r="G2457" s="64"/>
    </row>
    <row r="2458" spans="2:7" ht="32.25" customHeight="1" x14ac:dyDescent="0.25">
      <c r="B2458" s="64"/>
      <c r="C2458" s="64"/>
      <c r="D2458" s="64"/>
      <c r="E2458" s="64"/>
      <c r="F2458" s="64"/>
      <c r="G2458" s="64"/>
    </row>
    <row r="2459" spans="2:7" ht="32.25" customHeight="1" x14ac:dyDescent="0.25">
      <c r="B2459" s="64"/>
      <c r="C2459" s="64"/>
      <c r="D2459" s="64"/>
      <c r="E2459" s="64"/>
      <c r="F2459" s="64"/>
      <c r="G2459" s="64"/>
    </row>
    <row r="2460" spans="2:7" ht="32.25" customHeight="1" x14ac:dyDescent="0.25">
      <c r="B2460" s="64"/>
      <c r="C2460" s="64"/>
      <c r="D2460" s="64"/>
      <c r="E2460" s="64"/>
      <c r="F2460" s="64"/>
      <c r="G2460" s="64"/>
    </row>
    <row r="2461" spans="2:7" ht="32.25" customHeight="1" x14ac:dyDescent="0.25">
      <c r="B2461" s="64"/>
      <c r="C2461" s="64"/>
      <c r="D2461" s="64"/>
      <c r="E2461" s="64"/>
      <c r="F2461" s="64"/>
      <c r="G2461" s="64"/>
    </row>
    <row r="2462" spans="2:7" ht="32.25" customHeight="1" x14ac:dyDescent="0.25">
      <c r="B2462" s="64"/>
      <c r="C2462" s="64"/>
      <c r="D2462" s="64"/>
      <c r="E2462" s="64"/>
      <c r="F2462" s="64"/>
      <c r="G2462" s="64"/>
    </row>
    <row r="2463" spans="2:7" ht="32.25" customHeight="1" x14ac:dyDescent="0.25">
      <c r="B2463" s="64"/>
      <c r="C2463" s="64"/>
      <c r="D2463" s="64"/>
      <c r="E2463" s="64"/>
      <c r="F2463" s="64"/>
      <c r="G2463" s="64"/>
    </row>
    <row r="2464" spans="2:7" ht="32.25" customHeight="1" x14ac:dyDescent="0.25">
      <c r="B2464" s="64"/>
      <c r="C2464" s="64"/>
      <c r="D2464" s="64"/>
      <c r="E2464" s="64"/>
      <c r="F2464" s="64"/>
      <c r="G2464" s="64"/>
    </row>
    <row r="2465" spans="2:7" ht="32.25" customHeight="1" x14ac:dyDescent="0.25">
      <c r="B2465" s="64"/>
      <c r="C2465" s="64"/>
      <c r="D2465" s="64"/>
      <c r="E2465" s="64"/>
      <c r="F2465" s="64"/>
      <c r="G2465" s="64"/>
    </row>
    <row r="2466" spans="2:7" ht="32.25" customHeight="1" x14ac:dyDescent="0.25">
      <c r="B2466" s="64"/>
      <c r="C2466" s="64"/>
      <c r="D2466" s="64"/>
      <c r="E2466" s="64"/>
      <c r="F2466" s="64"/>
      <c r="G2466" s="64"/>
    </row>
    <row r="2467" spans="2:7" ht="32.25" customHeight="1" x14ac:dyDescent="0.25">
      <c r="B2467" s="64"/>
      <c r="C2467" s="64"/>
      <c r="D2467" s="64"/>
      <c r="E2467" s="64"/>
      <c r="F2467" s="64"/>
      <c r="G2467" s="64"/>
    </row>
    <row r="2468" spans="2:7" ht="32.25" customHeight="1" x14ac:dyDescent="0.25">
      <c r="B2468" s="64"/>
      <c r="C2468" s="64"/>
      <c r="D2468" s="64"/>
      <c r="E2468" s="64"/>
      <c r="F2468" s="64"/>
      <c r="G2468" s="64"/>
    </row>
    <row r="2469" spans="2:7" ht="32.25" customHeight="1" x14ac:dyDescent="0.25">
      <c r="B2469" s="64"/>
      <c r="C2469" s="64"/>
      <c r="D2469" s="64"/>
      <c r="E2469" s="64"/>
      <c r="F2469" s="64"/>
      <c r="G2469" s="64"/>
    </row>
    <row r="2470" spans="2:7" ht="32.25" customHeight="1" x14ac:dyDescent="0.25">
      <c r="B2470" s="64"/>
      <c r="C2470" s="64"/>
      <c r="D2470" s="64"/>
      <c r="E2470" s="64"/>
      <c r="F2470" s="64"/>
      <c r="G2470" s="64"/>
    </row>
    <row r="2471" spans="2:7" ht="32.25" customHeight="1" x14ac:dyDescent="0.25">
      <c r="B2471" s="64"/>
      <c r="C2471" s="64"/>
      <c r="D2471" s="64"/>
      <c r="E2471" s="64"/>
      <c r="F2471" s="64"/>
      <c r="G2471" s="64"/>
    </row>
    <row r="2472" spans="2:7" ht="32.25" customHeight="1" x14ac:dyDescent="0.25">
      <c r="B2472" s="64"/>
      <c r="C2472" s="64"/>
      <c r="D2472" s="64"/>
      <c r="E2472" s="64"/>
      <c r="F2472" s="64"/>
      <c r="G2472" s="64"/>
    </row>
    <row r="2473" spans="2:7" ht="32.25" customHeight="1" x14ac:dyDescent="0.25">
      <c r="B2473" s="64"/>
      <c r="C2473" s="64"/>
      <c r="D2473" s="64"/>
      <c r="E2473" s="64"/>
      <c r="F2473" s="64"/>
      <c r="G2473" s="64"/>
    </row>
    <row r="2474" spans="2:7" ht="32.25" customHeight="1" x14ac:dyDescent="0.25">
      <c r="B2474" s="64"/>
      <c r="C2474" s="64"/>
      <c r="D2474" s="64"/>
      <c r="E2474" s="64"/>
      <c r="F2474" s="64"/>
      <c r="G2474" s="64"/>
    </row>
    <row r="2475" spans="2:7" ht="32.25" customHeight="1" x14ac:dyDescent="0.25">
      <c r="B2475" s="64"/>
      <c r="C2475" s="64"/>
      <c r="D2475" s="64"/>
      <c r="E2475" s="64"/>
      <c r="F2475" s="64"/>
      <c r="G2475" s="64"/>
    </row>
    <row r="2476" spans="2:7" ht="32.25" customHeight="1" x14ac:dyDescent="0.25">
      <c r="B2476" s="64"/>
      <c r="C2476" s="64"/>
      <c r="D2476" s="64"/>
      <c r="E2476" s="64"/>
      <c r="F2476" s="64"/>
      <c r="G2476" s="64"/>
    </row>
    <row r="2477" spans="2:7" ht="32.25" customHeight="1" x14ac:dyDescent="0.25">
      <c r="B2477" s="64"/>
      <c r="C2477" s="64"/>
      <c r="D2477" s="64"/>
      <c r="E2477" s="64"/>
      <c r="F2477" s="64"/>
      <c r="G2477" s="64"/>
    </row>
    <row r="2478" spans="2:7" ht="32.25" customHeight="1" x14ac:dyDescent="0.25">
      <c r="B2478" s="64"/>
      <c r="C2478" s="64"/>
      <c r="D2478" s="64"/>
      <c r="E2478" s="64"/>
      <c r="F2478" s="64"/>
      <c r="G2478" s="64"/>
    </row>
    <row r="2479" spans="2:7" ht="32.25" customHeight="1" x14ac:dyDescent="0.25">
      <c r="B2479" s="64"/>
      <c r="C2479" s="64"/>
      <c r="D2479" s="64"/>
      <c r="E2479" s="64"/>
      <c r="F2479" s="64"/>
      <c r="G2479" s="64"/>
    </row>
    <row r="2480" spans="2:7" ht="32.25" customHeight="1" x14ac:dyDescent="0.25">
      <c r="B2480" s="64"/>
      <c r="C2480" s="64"/>
      <c r="D2480" s="64"/>
      <c r="E2480" s="64"/>
      <c r="F2480" s="64"/>
      <c r="G2480" s="64"/>
    </row>
    <row r="2481" spans="2:7" ht="32.25" customHeight="1" x14ac:dyDescent="0.25">
      <c r="B2481" s="64"/>
      <c r="C2481" s="64"/>
      <c r="D2481" s="64"/>
      <c r="E2481" s="64"/>
      <c r="F2481" s="64"/>
      <c r="G2481" s="64"/>
    </row>
    <row r="2482" spans="2:7" ht="32.25" customHeight="1" x14ac:dyDescent="0.25">
      <c r="B2482" s="64"/>
      <c r="C2482" s="64"/>
      <c r="D2482" s="64"/>
      <c r="E2482" s="64"/>
      <c r="F2482" s="64"/>
      <c r="G2482" s="64"/>
    </row>
    <row r="2483" spans="2:7" ht="32.25" customHeight="1" x14ac:dyDescent="0.25">
      <c r="B2483" s="64"/>
      <c r="C2483" s="64"/>
      <c r="D2483" s="64"/>
      <c r="E2483" s="64"/>
      <c r="F2483" s="64"/>
      <c r="G2483" s="64"/>
    </row>
    <row r="2484" spans="2:7" ht="32.25" customHeight="1" x14ac:dyDescent="0.25">
      <c r="B2484" s="64"/>
      <c r="C2484" s="64"/>
      <c r="D2484" s="64"/>
      <c r="E2484" s="64"/>
      <c r="F2484" s="64"/>
      <c r="G2484" s="64"/>
    </row>
    <row r="2485" spans="2:7" ht="32.25" customHeight="1" x14ac:dyDescent="0.25">
      <c r="B2485" s="64"/>
      <c r="C2485" s="64"/>
      <c r="D2485" s="64"/>
      <c r="E2485" s="64"/>
      <c r="F2485" s="64"/>
      <c r="G2485" s="64"/>
    </row>
    <row r="2486" spans="2:7" ht="32.25" customHeight="1" x14ac:dyDescent="0.25">
      <c r="B2486" s="64"/>
      <c r="C2486" s="64"/>
      <c r="D2486" s="64"/>
      <c r="E2486" s="64"/>
      <c r="F2486" s="64"/>
      <c r="G2486" s="64"/>
    </row>
    <row r="2487" spans="2:7" ht="32.25" customHeight="1" x14ac:dyDescent="0.25">
      <c r="B2487" s="64"/>
      <c r="C2487" s="64"/>
      <c r="D2487" s="64"/>
      <c r="E2487" s="64"/>
      <c r="F2487" s="64"/>
      <c r="G2487" s="64"/>
    </row>
    <row r="2488" spans="2:7" ht="32.25" customHeight="1" x14ac:dyDescent="0.25">
      <c r="B2488" s="64"/>
      <c r="C2488" s="64"/>
      <c r="D2488" s="64"/>
      <c r="E2488" s="64"/>
      <c r="F2488" s="64"/>
      <c r="G2488" s="64"/>
    </row>
    <row r="2489" spans="2:7" ht="32.25" customHeight="1" x14ac:dyDescent="0.25">
      <c r="B2489" s="64"/>
      <c r="C2489" s="64"/>
      <c r="D2489" s="64"/>
      <c r="E2489" s="64"/>
      <c r="F2489" s="64"/>
      <c r="G2489" s="64"/>
    </row>
    <row r="2490" spans="2:7" ht="32.25" customHeight="1" x14ac:dyDescent="0.25">
      <c r="B2490" s="64"/>
      <c r="C2490" s="64"/>
      <c r="D2490" s="64"/>
      <c r="E2490" s="64"/>
      <c r="F2490" s="64"/>
      <c r="G2490" s="64"/>
    </row>
    <row r="2491" spans="2:7" ht="32.25" customHeight="1" x14ac:dyDescent="0.25">
      <c r="B2491" s="64"/>
      <c r="C2491" s="64"/>
      <c r="D2491" s="64"/>
      <c r="E2491" s="64"/>
      <c r="F2491" s="64"/>
      <c r="G2491" s="64"/>
    </row>
    <row r="2492" spans="2:7" ht="32.25" customHeight="1" x14ac:dyDescent="0.25">
      <c r="B2492" s="64"/>
      <c r="C2492" s="64"/>
      <c r="D2492" s="64"/>
      <c r="E2492" s="64"/>
      <c r="F2492" s="64"/>
      <c r="G2492" s="64"/>
    </row>
    <row r="2493" spans="2:7" ht="32.25" customHeight="1" x14ac:dyDescent="0.25">
      <c r="B2493" s="64"/>
      <c r="C2493" s="64"/>
      <c r="D2493" s="64"/>
      <c r="E2493" s="64"/>
      <c r="F2493" s="64"/>
      <c r="G2493" s="64"/>
    </row>
    <row r="2494" spans="2:7" ht="32.25" customHeight="1" x14ac:dyDescent="0.25">
      <c r="B2494" s="64"/>
      <c r="C2494" s="64"/>
      <c r="D2494" s="64"/>
      <c r="E2494" s="64"/>
      <c r="F2494" s="64"/>
      <c r="G2494" s="64"/>
    </row>
    <row r="2495" spans="2:7" ht="32.25" customHeight="1" x14ac:dyDescent="0.25">
      <c r="B2495" s="64"/>
      <c r="C2495" s="64"/>
      <c r="D2495" s="64"/>
      <c r="E2495" s="64"/>
      <c r="F2495" s="64"/>
      <c r="G2495" s="64"/>
    </row>
    <row r="2496" spans="2:7" ht="32.25" customHeight="1" x14ac:dyDescent="0.25">
      <c r="B2496" s="64"/>
      <c r="C2496" s="64"/>
      <c r="D2496" s="64"/>
      <c r="E2496" s="64"/>
      <c r="F2496" s="64"/>
      <c r="G2496" s="64"/>
    </row>
    <row r="2497" spans="2:7" ht="32.25" customHeight="1" x14ac:dyDescent="0.25">
      <c r="B2497" s="64"/>
      <c r="C2497" s="64"/>
      <c r="D2497" s="64"/>
      <c r="E2497" s="64"/>
      <c r="F2497" s="64"/>
      <c r="G2497" s="64"/>
    </row>
    <row r="2498" spans="2:7" ht="32.25" customHeight="1" x14ac:dyDescent="0.25">
      <c r="B2498" s="64"/>
      <c r="C2498" s="64"/>
      <c r="D2498" s="64"/>
      <c r="E2498" s="64"/>
      <c r="F2498" s="64"/>
      <c r="G2498" s="64"/>
    </row>
    <row r="2499" spans="2:7" ht="32.25" customHeight="1" x14ac:dyDescent="0.25">
      <c r="B2499" s="64"/>
      <c r="C2499" s="64"/>
      <c r="D2499" s="64"/>
      <c r="E2499" s="64"/>
      <c r="F2499" s="64"/>
      <c r="G2499" s="64"/>
    </row>
    <row r="2500" spans="2:7" ht="32.25" customHeight="1" x14ac:dyDescent="0.25">
      <c r="B2500" s="64"/>
      <c r="C2500" s="64"/>
      <c r="D2500" s="64"/>
      <c r="E2500" s="64"/>
      <c r="F2500" s="64"/>
      <c r="G2500" s="64"/>
    </row>
    <row r="2501" spans="2:7" ht="32.25" customHeight="1" x14ac:dyDescent="0.25">
      <c r="B2501" s="64"/>
      <c r="C2501" s="64"/>
      <c r="D2501" s="64"/>
      <c r="E2501" s="64"/>
      <c r="F2501" s="64"/>
      <c r="G2501" s="64"/>
    </row>
    <row r="2502" spans="2:7" ht="32.25" customHeight="1" x14ac:dyDescent="0.25">
      <c r="B2502" s="64"/>
      <c r="C2502" s="64"/>
      <c r="D2502" s="64"/>
      <c r="E2502" s="64"/>
      <c r="F2502" s="64"/>
      <c r="G2502" s="64"/>
    </row>
    <row r="2503" spans="2:7" ht="32.25" customHeight="1" x14ac:dyDescent="0.25">
      <c r="B2503" s="64"/>
      <c r="C2503" s="64"/>
      <c r="D2503" s="64"/>
      <c r="E2503" s="64"/>
      <c r="F2503" s="64"/>
      <c r="G2503" s="64"/>
    </row>
    <row r="2504" spans="2:7" ht="32.25" customHeight="1" x14ac:dyDescent="0.25">
      <c r="B2504" s="64"/>
      <c r="C2504" s="64"/>
      <c r="D2504" s="64"/>
      <c r="E2504" s="64"/>
      <c r="F2504" s="64"/>
      <c r="G2504" s="64"/>
    </row>
    <row r="2505" spans="2:7" ht="32.25" customHeight="1" x14ac:dyDescent="0.25">
      <c r="B2505" s="64"/>
      <c r="C2505" s="64"/>
      <c r="D2505" s="64"/>
      <c r="E2505" s="64"/>
      <c r="F2505" s="64"/>
      <c r="G2505" s="64"/>
    </row>
    <row r="2506" spans="2:7" ht="32.25" customHeight="1" x14ac:dyDescent="0.25">
      <c r="B2506" s="64"/>
      <c r="C2506" s="64"/>
      <c r="D2506" s="64"/>
      <c r="E2506" s="64"/>
      <c r="F2506" s="64"/>
      <c r="G2506" s="64"/>
    </row>
    <row r="2507" spans="2:7" ht="32.25" customHeight="1" x14ac:dyDescent="0.25">
      <c r="B2507" s="64"/>
      <c r="C2507" s="64"/>
      <c r="D2507" s="64"/>
      <c r="E2507" s="64"/>
      <c r="F2507" s="64"/>
      <c r="G2507" s="64"/>
    </row>
    <row r="2508" spans="2:7" ht="32.25" customHeight="1" x14ac:dyDescent="0.25">
      <c r="B2508" s="64"/>
      <c r="C2508" s="64"/>
      <c r="D2508" s="64"/>
      <c r="E2508" s="64"/>
      <c r="F2508" s="64"/>
      <c r="G2508" s="64"/>
    </row>
    <row r="2509" spans="2:7" ht="32.25" customHeight="1" x14ac:dyDescent="0.25">
      <c r="B2509" s="64"/>
      <c r="C2509" s="64"/>
      <c r="D2509" s="64"/>
      <c r="E2509" s="64"/>
      <c r="F2509" s="64"/>
      <c r="G2509" s="64"/>
    </row>
    <row r="2510" spans="2:7" ht="32.25" customHeight="1" x14ac:dyDescent="0.25">
      <c r="B2510" s="64"/>
      <c r="C2510" s="64"/>
      <c r="D2510" s="64"/>
      <c r="E2510" s="64"/>
      <c r="F2510" s="64"/>
      <c r="G2510" s="64"/>
    </row>
    <row r="2511" spans="2:7" ht="32.25" customHeight="1" x14ac:dyDescent="0.25">
      <c r="B2511" s="64"/>
      <c r="C2511" s="64"/>
      <c r="D2511" s="64"/>
      <c r="E2511" s="64"/>
      <c r="F2511" s="64"/>
      <c r="G2511" s="64"/>
    </row>
    <row r="2512" spans="2:7" ht="32.25" customHeight="1" x14ac:dyDescent="0.25">
      <c r="B2512" s="64"/>
      <c r="C2512" s="64"/>
      <c r="D2512" s="64"/>
      <c r="E2512" s="64"/>
      <c r="F2512" s="64"/>
      <c r="G2512" s="64"/>
    </row>
    <row r="2513" spans="2:7" ht="32.25" customHeight="1" x14ac:dyDescent="0.25">
      <c r="B2513" s="64"/>
      <c r="C2513" s="64"/>
      <c r="D2513" s="64"/>
      <c r="E2513" s="64"/>
      <c r="F2513" s="64"/>
      <c r="G2513" s="64"/>
    </row>
    <row r="2514" spans="2:7" ht="32.25" customHeight="1" x14ac:dyDescent="0.25">
      <c r="B2514" s="64"/>
      <c r="C2514" s="64"/>
      <c r="D2514" s="64"/>
      <c r="E2514" s="64"/>
      <c r="F2514" s="64"/>
      <c r="G2514" s="64"/>
    </row>
    <row r="2515" spans="2:7" ht="32.25" customHeight="1" x14ac:dyDescent="0.25">
      <c r="B2515" s="64"/>
      <c r="C2515" s="64"/>
      <c r="D2515" s="64"/>
      <c r="E2515" s="64"/>
      <c r="F2515" s="64"/>
      <c r="G2515" s="64"/>
    </row>
    <row r="2516" spans="2:7" ht="32.25" customHeight="1" x14ac:dyDescent="0.25">
      <c r="B2516" s="64"/>
      <c r="C2516" s="64"/>
      <c r="D2516" s="64"/>
      <c r="E2516" s="64"/>
      <c r="F2516" s="64"/>
      <c r="G2516" s="64"/>
    </row>
    <row r="2517" spans="2:7" ht="32.25" customHeight="1" x14ac:dyDescent="0.25">
      <c r="B2517" s="64"/>
      <c r="C2517" s="64"/>
      <c r="D2517" s="64"/>
      <c r="E2517" s="64"/>
      <c r="F2517" s="64"/>
      <c r="G2517" s="64"/>
    </row>
    <row r="2518" spans="2:7" ht="32.25" customHeight="1" x14ac:dyDescent="0.25">
      <c r="B2518" s="64"/>
      <c r="C2518" s="64"/>
      <c r="D2518" s="64"/>
      <c r="E2518" s="64"/>
      <c r="F2518" s="64"/>
      <c r="G2518" s="64"/>
    </row>
    <row r="2519" spans="2:7" ht="32.25" customHeight="1" x14ac:dyDescent="0.25">
      <c r="B2519" s="64"/>
      <c r="C2519" s="64"/>
      <c r="D2519" s="64"/>
      <c r="E2519" s="64"/>
      <c r="F2519" s="64"/>
      <c r="G2519" s="64"/>
    </row>
    <row r="2520" spans="2:7" ht="32.25" customHeight="1" x14ac:dyDescent="0.25">
      <c r="B2520" s="64"/>
      <c r="C2520" s="64"/>
      <c r="D2520" s="64"/>
      <c r="E2520" s="64"/>
      <c r="F2520" s="64"/>
      <c r="G2520" s="64"/>
    </row>
    <row r="2521" spans="2:7" ht="32.25" customHeight="1" x14ac:dyDescent="0.25">
      <c r="B2521" s="64"/>
      <c r="C2521" s="64"/>
      <c r="D2521" s="64"/>
      <c r="E2521" s="64"/>
      <c r="F2521" s="64"/>
      <c r="G2521" s="64"/>
    </row>
    <row r="2522" spans="2:7" ht="32.25" customHeight="1" x14ac:dyDescent="0.25">
      <c r="B2522" s="64"/>
      <c r="C2522" s="64"/>
      <c r="D2522" s="64"/>
      <c r="E2522" s="64"/>
      <c r="F2522" s="64"/>
      <c r="G2522" s="64"/>
    </row>
    <row r="2523" spans="2:7" ht="32.25" customHeight="1" x14ac:dyDescent="0.25">
      <c r="B2523" s="64"/>
      <c r="C2523" s="64"/>
      <c r="D2523" s="64"/>
      <c r="E2523" s="64"/>
      <c r="F2523" s="64"/>
      <c r="G2523" s="64"/>
    </row>
    <row r="2524" spans="2:7" ht="32.25" customHeight="1" x14ac:dyDescent="0.25">
      <c r="B2524" s="64"/>
      <c r="C2524" s="64"/>
      <c r="D2524" s="64"/>
      <c r="E2524" s="64"/>
      <c r="F2524" s="64"/>
      <c r="G2524" s="64"/>
    </row>
    <row r="2525" spans="2:7" ht="32.25" customHeight="1" x14ac:dyDescent="0.25">
      <c r="B2525" s="64"/>
      <c r="C2525" s="64"/>
      <c r="D2525" s="64"/>
      <c r="E2525" s="64"/>
      <c r="F2525" s="64"/>
      <c r="G2525" s="64"/>
    </row>
    <row r="2526" spans="2:7" ht="32.25" customHeight="1" x14ac:dyDescent="0.25">
      <c r="B2526" s="64"/>
      <c r="C2526" s="64"/>
      <c r="D2526" s="64"/>
      <c r="E2526" s="64"/>
      <c r="F2526" s="64"/>
      <c r="G2526" s="64"/>
    </row>
    <row r="2527" spans="2:7" ht="32.25" customHeight="1" x14ac:dyDescent="0.25">
      <c r="B2527" s="64"/>
      <c r="C2527" s="64"/>
      <c r="D2527" s="64"/>
      <c r="E2527" s="64"/>
      <c r="F2527" s="64"/>
      <c r="G2527" s="64"/>
    </row>
    <row r="2528" spans="2:7" ht="32.25" customHeight="1" x14ac:dyDescent="0.25">
      <c r="B2528" s="64"/>
      <c r="C2528" s="64"/>
      <c r="D2528" s="64"/>
      <c r="E2528" s="64"/>
      <c r="F2528" s="64"/>
      <c r="G2528" s="64"/>
    </row>
    <row r="2529" spans="2:7" ht="32.25" customHeight="1" x14ac:dyDescent="0.25">
      <c r="B2529" s="64"/>
      <c r="C2529" s="64"/>
      <c r="D2529" s="64"/>
      <c r="E2529" s="64"/>
      <c r="F2529" s="64"/>
      <c r="G2529" s="64"/>
    </row>
    <row r="2530" spans="2:7" ht="32.25" customHeight="1" x14ac:dyDescent="0.25">
      <c r="B2530" s="64"/>
      <c r="C2530" s="64"/>
      <c r="D2530" s="64"/>
      <c r="E2530" s="64"/>
      <c r="F2530" s="64"/>
      <c r="G2530" s="64"/>
    </row>
    <row r="2531" spans="2:7" ht="32.25" customHeight="1" x14ac:dyDescent="0.25">
      <c r="B2531" s="64"/>
      <c r="C2531" s="64"/>
      <c r="D2531" s="64"/>
      <c r="E2531" s="64"/>
      <c r="F2531" s="64"/>
      <c r="G2531" s="64"/>
    </row>
    <row r="2532" spans="2:7" ht="32.25" customHeight="1" x14ac:dyDescent="0.25">
      <c r="B2532" s="64"/>
      <c r="C2532" s="64"/>
      <c r="D2532" s="64"/>
      <c r="E2532" s="64"/>
      <c r="F2532" s="64"/>
      <c r="G2532" s="64"/>
    </row>
    <row r="2533" spans="2:7" ht="32.25" customHeight="1" x14ac:dyDescent="0.25">
      <c r="B2533" s="64"/>
      <c r="C2533" s="64"/>
      <c r="D2533" s="64"/>
      <c r="E2533" s="64"/>
      <c r="F2533" s="64"/>
      <c r="G2533" s="64"/>
    </row>
    <row r="2534" spans="2:7" ht="32.25" customHeight="1" x14ac:dyDescent="0.25">
      <c r="B2534" s="64"/>
      <c r="C2534" s="64"/>
      <c r="D2534" s="64"/>
      <c r="E2534" s="64"/>
      <c r="F2534" s="64"/>
      <c r="G2534" s="64"/>
    </row>
    <row r="2535" spans="2:7" ht="32.25" customHeight="1" x14ac:dyDescent="0.25">
      <c r="B2535" s="64"/>
      <c r="C2535" s="64"/>
      <c r="D2535" s="64"/>
      <c r="E2535" s="64"/>
      <c r="F2535" s="64"/>
      <c r="G2535" s="64"/>
    </row>
    <row r="2536" spans="2:7" ht="32.25" customHeight="1" x14ac:dyDescent="0.25">
      <c r="B2536" s="64"/>
      <c r="C2536" s="64"/>
      <c r="D2536" s="64"/>
      <c r="E2536" s="64"/>
      <c r="F2536" s="64"/>
      <c r="G2536" s="64"/>
    </row>
    <row r="2537" spans="2:7" ht="32.25" customHeight="1" x14ac:dyDescent="0.25">
      <c r="B2537" s="64"/>
      <c r="C2537" s="64"/>
      <c r="D2537" s="64"/>
      <c r="E2537" s="64"/>
      <c r="F2537" s="64"/>
      <c r="G2537" s="64"/>
    </row>
    <row r="2538" spans="2:7" ht="32.25" customHeight="1" x14ac:dyDescent="0.25">
      <c r="B2538" s="64"/>
      <c r="C2538" s="64"/>
      <c r="D2538" s="64"/>
      <c r="E2538" s="64"/>
      <c r="F2538" s="64"/>
      <c r="G2538" s="64"/>
    </row>
    <row r="2539" spans="2:7" ht="32.25" customHeight="1" x14ac:dyDescent="0.25">
      <c r="B2539" s="64"/>
      <c r="C2539" s="64"/>
      <c r="D2539" s="64"/>
      <c r="E2539" s="64"/>
      <c r="F2539" s="64"/>
      <c r="G2539" s="64"/>
    </row>
    <row r="2540" spans="2:7" ht="32.25" customHeight="1" x14ac:dyDescent="0.25">
      <c r="B2540" s="64"/>
      <c r="C2540" s="64"/>
      <c r="D2540" s="64"/>
      <c r="E2540" s="64"/>
      <c r="F2540" s="64"/>
      <c r="G2540" s="64"/>
    </row>
    <row r="2541" spans="2:7" ht="32.25" customHeight="1" x14ac:dyDescent="0.25">
      <c r="B2541" s="64"/>
      <c r="C2541" s="64"/>
      <c r="D2541" s="64"/>
      <c r="E2541" s="64"/>
      <c r="F2541" s="64"/>
      <c r="G2541" s="64"/>
    </row>
    <row r="2542" spans="2:7" ht="32.25" customHeight="1" x14ac:dyDescent="0.25">
      <c r="B2542" s="64"/>
      <c r="C2542" s="64"/>
      <c r="D2542" s="64"/>
      <c r="E2542" s="64"/>
      <c r="F2542" s="64"/>
      <c r="G2542" s="64"/>
    </row>
    <row r="2543" spans="2:7" ht="32.25" customHeight="1" x14ac:dyDescent="0.25">
      <c r="B2543" s="64"/>
      <c r="C2543" s="64"/>
      <c r="D2543" s="64"/>
      <c r="E2543" s="64"/>
      <c r="F2543" s="64"/>
      <c r="G2543" s="64"/>
    </row>
    <row r="2544" spans="2:7" ht="32.25" customHeight="1" x14ac:dyDescent="0.25">
      <c r="B2544" s="64"/>
      <c r="C2544" s="64"/>
      <c r="D2544" s="64"/>
      <c r="E2544" s="64"/>
      <c r="F2544" s="64"/>
      <c r="G2544" s="64"/>
    </row>
    <row r="2545" spans="2:7" ht="32.25" customHeight="1" x14ac:dyDescent="0.25">
      <c r="B2545" s="64"/>
      <c r="C2545" s="64"/>
      <c r="D2545" s="64"/>
      <c r="E2545" s="64"/>
      <c r="F2545" s="64"/>
      <c r="G2545" s="64"/>
    </row>
    <row r="2546" spans="2:7" ht="32.25" customHeight="1" x14ac:dyDescent="0.25">
      <c r="B2546" s="64"/>
      <c r="C2546" s="64"/>
      <c r="D2546" s="64"/>
      <c r="E2546" s="64"/>
      <c r="F2546" s="64"/>
      <c r="G2546" s="64"/>
    </row>
    <row r="2547" spans="2:7" ht="32.25" customHeight="1" x14ac:dyDescent="0.25">
      <c r="B2547" s="64"/>
      <c r="C2547" s="64"/>
      <c r="D2547" s="64"/>
      <c r="E2547" s="64"/>
      <c r="F2547" s="64"/>
      <c r="G2547" s="64"/>
    </row>
    <row r="2548" spans="2:7" ht="32.25" customHeight="1" x14ac:dyDescent="0.25">
      <c r="B2548" s="64"/>
      <c r="C2548" s="64"/>
      <c r="D2548" s="64"/>
      <c r="E2548" s="64"/>
      <c r="F2548" s="64"/>
      <c r="G2548" s="64"/>
    </row>
    <row r="2549" spans="2:7" ht="32.25" customHeight="1" x14ac:dyDescent="0.25">
      <c r="B2549" s="64"/>
      <c r="C2549" s="64"/>
      <c r="D2549" s="64"/>
      <c r="E2549" s="64"/>
      <c r="F2549" s="64"/>
      <c r="G2549" s="64"/>
    </row>
    <row r="2550" spans="2:7" ht="32.25" customHeight="1" x14ac:dyDescent="0.25">
      <c r="B2550" s="64"/>
      <c r="C2550" s="64"/>
      <c r="D2550" s="64"/>
      <c r="E2550" s="64"/>
      <c r="F2550" s="64"/>
      <c r="G2550" s="64"/>
    </row>
    <row r="2551" spans="2:7" ht="32.25" customHeight="1" x14ac:dyDescent="0.25">
      <c r="B2551" s="64"/>
      <c r="C2551" s="64"/>
      <c r="D2551" s="64"/>
      <c r="E2551" s="64"/>
      <c r="F2551" s="64"/>
      <c r="G2551" s="64"/>
    </row>
    <row r="2552" spans="2:7" ht="32.25" customHeight="1" x14ac:dyDescent="0.25">
      <c r="B2552" s="64"/>
      <c r="C2552" s="64"/>
      <c r="D2552" s="64"/>
      <c r="E2552" s="64"/>
      <c r="F2552" s="64"/>
      <c r="G2552" s="64"/>
    </row>
    <row r="2553" spans="2:7" ht="32.25" customHeight="1" x14ac:dyDescent="0.25">
      <c r="B2553" s="64"/>
      <c r="C2553" s="64"/>
      <c r="D2553" s="64"/>
      <c r="E2553" s="64"/>
      <c r="F2553" s="64"/>
      <c r="G2553" s="64"/>
    </row>
    <row r="2554" spans="2:7" ht="32.25" customHeight="1" x14ac:dyDescent="0.25">
      <c r="B2554" s="64"/>
      <c r="C2554" s="64"/>
      <c r="D2554" s="64"/>
      <c r="E2554" s="64"/>
      <c r="F2554" s="64"/>
      <c r="G2554" s="64"/>
    </row>
    <row r="2555" spans="2:7" ht="32.25" customHeight="1" x14ac:dyDescent="0.25">
      <c r="B2555" s="64"/>
      <c r="C2555" s="64"/>
      <c r="D2555" s="64"/>
      <c r="E2555" s="64"/>
      <c r="F2555" s="64"/>
      <c r="G2555" s="64"/>
    </row>
    <row r="2556" spans="2:7" ht="32.25" customHeight="1" x14ac:dyDescent="0.25">
      <c r="B2556" s="64"/>
      <c r="C2556" s="64"/>
      <c r="D2556" s="64"/>
      <c r="E2556" s="64"/>
      <c r="F2556" s="64"/>
      <c r="G2556" s="64"/>
    </row>
    <row r="2557" spans="2:7" ht="32.25" customHeight="1" x14ac:dyDescent="0.25">
      <c r="B2557" s="64"/>
      <c r="C2557" s="64"/>
      <c r="D2557" s="64"/>
      <c r="E2557" s="64"/>
      <c r="F2557" s="64"/>
      <c r="G2557" s="64"/>
    </row>
    <row r="2558" spans="2:7" ht="32.25" customHeight="1" x14ac:dyDescent="0.25">
      <c r="B2558" s="64"/>
      <c r="C2558" s="64"/>
      <c r="D2558" s="64"/>
      <c r="E2558" s="64"/>
      <c r="F2558" s="64"/>
      <c r="G2558" s="64"/>
    </row>
    <row r="2559" spans="2:7" ht="32.25" customHeight="1" x14ac:dyDescent="0.25">
      <c r="B2559" s="64"/>
      <c r="C2559" s="64"/>
      <c r="D2559" s="64"/>
      <c r="E2559" s="64"/>
      <c r="F2559" s="64"/>
      <c r="G2559" s="64"/>
    </row>
    <row r="2560" spans="2:7" ht="32.25" customHeight="1" x14ac:dyDescent="0.25">
      <c r="B2560" s="64"/>
      <c r="C2560" s="64"/>
      <c r="D2560" s="64"/>
      <c r="E2560" s="64"/>
      <c r="F2560" s="64"/>
      <c r="G2560" s="64"/>
    </row>
    <row r="2561" spans="2:7" ht="32.25" customHeight="1" x14ac:dyDescent="0.25">
      <c r="B2561" s="64"/>
      <c r="C2561" s="64"/>
      <c r="D2561" s="64"/>
      <c r="E2561" s="64"/>
      <c r="F2561" s="64"/>
      <c r="G2561" s="64"/>
    </row>
    <row r="2562" spans="2:7" ht="32.25" customHeight="1" x14ac:dyDescent="0.25">
      <c r="B2562" s="64"/>
      <c r="C2562" s="64"/>
      <c r="D2562" s="64"/>
      <c r="E2562" s="64"/>
      <c r="F2562" s="64"/>
      <c r="G2562" s="64"/>
    </row>
    <row r="2563" spans="2:7" ht="32.25" customHeight="1" x14ac:dyDescent="0.25">
      <c r="B2563" s="64"/>
      <c r="C2563" s="64"/>
      <c r="D2563" s="64"/>
      <c r="E2563" s="64"/>
      <c r="F2563" s="64"/>
      <c r="G2563" s="64"/>
    </row>
    <row r="2564" spans="2:7" ht="32.25" customHeight="1" x14ac:dyDescent="0.25">
      <c r="B2564" s="64"/>
      <c r="C2564" s="64"/>
      <c r="D2564" s="64"/>
      <c r="E2564" s="64"/>
      <c r="F2564" s="64"/>
      <c r="G2564" s="64"/>
    </row>
    <row r="2565" spans="2:7" ht="32.25" customHeight="1" x14ac:dyDescent="0.25">
      <c r="B2565" s="64"/>
      <c r="C2565" s="64"/>
      <c r="D2565" s="64"/>
      <c r="E2565" s="64"/>
      <c r="F2565" s="64"/>
      <c r="G2565" s="64"/>
    </row>
    <row r="2566" spans="2:7" ht="32.25" customHeight="1" x14ac:dyDescent="0.25">
      <c r="B2566" s="64"/>
      <c r="C2566" s="64"/>
      <c r="D2566" s="64"/>
      <c r="E2566" s="64"/>
      <c r="F2566" s="64"/>
      <c r="G2566" s="64"/>
    </row>
    <row r="2567" spans="2:7" ht="32.25" customHeight="1" x14ac:dyDescent="0.25">
      <c r="B2567" s="64"/>
      <c r="C2567" s="64"/>
      <c r="D2567" s="64"/>
      <c r="E2567" s="64"/>
      <c r="F2567" s="64"/>
      <c r="G2567" s="64"/>
    </row>
    <row r="2568" spans="2:7" ht="32.25" customHeight="1" x14ac:dyDescent="0.25">
      <c r="B2568" s="64"/>
      <c r="C2568" s="64"/>
      <c r="D2568" s="64"/>
      <c r="E2568" s="64"/>
      <c r="F2568" s="64"/>
      <c r="G2568" s="64"/>
    </row>
    <row r="2569" spans="2:7" ht="32.25" customHeight="1" x14ac:dyDescent="0.25">
      <c r="B2569" s="64"/>
      <c r="C2569" s="64"/>
      <c r="D2569" s="64"/>
      <c r="E2569" s="64"/>
      <c r="F2569" s="64"/>
      <c r="G2569" s="64"/>
    </row>
    <row r="2570" spans="2:7" ht="32.25" customHeight="1" x14ac:dyDescent="0.25">
      <c r="B2570" s="64"/>
      <c r="C2570" s="64"/>
      <c r="D2570" s="64"/>
      <c r="E2570" s="64"/>
      <c r="F2570" s="64"/>
      <c r="G2570" s="64"/>
    </row>
    <row r="2571" spans="2:7" ht="32.25" customHeight="1" x14ac:dyDescent="0.25">
      <c r="B2571" s="64"/>
      <c r="C2571" s="64"/>
      <c r="D2571" s="64"/>
      <c r="E2571" s="64"/>
      <c r="F2571" s="64"/>
      <c r="G2571" s="64"/>
    </row>
    <row r="2572" spans="2:7" ht="32.25" customHeight="1" x14ac:dyDescent="0.25">
      <c r="B2572" s="64"/>
      <c r="C2572" s="64"/>
      <c r="D2572" s="64"/>
      <c r="E2572" s="64"/>
      <c r="F2572" s="64"/>
      <c r="G2572" s="64"/>
    </row>
    <row r="2573" spans="2:7" ht="32.25" customHeight="1" x14ac:dyDescent="0.25">
      <c r="B2573" s="64"/>
      <c r="C2573" s="64"/>
      <c r="D2573" s="64"/>
      <c r="E2573" s="64"/>
      <c r="F2573" s="64"/>
      <c r="G2573" s="64"/>
    </row>
    <row r="2574" spans="2:7" ht="32.25" customHeight="1" x14ac:dyDescent="0.25">
      <c r="B2574" s="64"/>
      <c r="C2574" s="64"/>
      <c r="D2574" s="64"/>
      <c r="E2574" s="64"/>
      <c r="F2574" s="64"/>
      <c r="G2574" s="64"/>
    </row>
    <row r="2575" spans="2:7" ht="32.25" customHeight="1" x14ac:dyDescent="0.25">
      <c r="B2575" s="64"/>
      <c r="C2575" s="64"/>
      <c r="D2575" s="64"/>
      <c r="E2575" s="64"/>
      <c r="F2575" s="64"/>
      <c r="G2575" s="64"/>
    </row>
    <row r="2576" spans="2:7" ht="32.25" customHeight="1" x14ac:dyDescent="0.25">
      <c r="B2576" s="64"/>
      <c r="C2576" s="64"/>
      <c r="D2576" s="64"/>
      <c r="E2576" s="64"/>
      <c r="F2576" s="64"/>
      <c r="G2576" s="64"/>
    </row>
    <row r="2577" spans="2:7" ht="32.25" customHeight="1" x14ac:dyDescent="0.25">
      <c r="B2577" s="64"/>
      <c r="C2577" s="64"/>
      <c r="D2577" s="64"/>
      <c r="E2577" s="64"/>
      <c r="F2577" s="64"/>
      <c r="G2577" s="64"/>
    </row>
    <row r="2578" spans="2:7" ht="32.25" customHeight="1" x14ac:dyDescent="0.25">
      <c r="B2578" s="64"/>
      <c r="C2578" s="64"/>
      <c r="D2578" s="64"/>
      <c r="E2578" s="64"/>
      <c r="F2578" s="64"/>
      <c r="G2578" s="64"/>
    </row>
    <row r="2579" spans="2:7" ht="32.25" customHeight="1" x14ac:dyDescent="0.25">
      <c r="B2579" s="64"/>
      <c r="C2579" s="64"/>
      <c r="D2579" s="64"/>
      <c r="E2579" s="64"/>
      <c r="F2579" s="64"/>
      <c r="G2579" s="64"/>
    </row>
    <row r="2580" spans="2:7" ht="32.25" customHeight="1" x14ac:dyDescent="0.25">
      <c r="B2580" s="64"/>
      <c r="C2580" s="64"/>
      <c r="D2580" s="64"/>
      <c r="E2580" s="64"/>
      <c r="F2580" s="64"/>
      <c r="G2580" s="64"/>
    </row>
    <row r="2581" spans="2:7" ht="32.25" customHeight="1" x14ac:dyDescent="0.25">
      <c r="B2581" s="64"/>
      <c r="C2581" s="64"/>
      <c r="D2581" s="64"/>
      <c r="E2581" s="64"/>
      <c r="F2581" s="64"/>
      <c r="G2581" s="64"/>
    </row>
    <row r="2582" spans="2:7" ht="32.25" customHeight="1" x14ac:dyDescent="0.25">
      <c r="B2582" s="64"/>
      <c r="C2582" s="64"/>
      <c r="D2582" s="64"/>
      <c r="E2582" s="64"/>
      <c r="F2582" s="64"/>
      <c r="G2582" s="64"/>
    </row>
    <row r="2583" spans="2:7" ht="32.25" customHeight="1" x14ac:dyDescent="0.25">
      <c r="B2583" s="64"/>
      <c r="C2583" s="64"/>
      <c r="D2583" s="64"/>
      <c r="E2583" s="64"/>
      <c r="F2583" s="64"/>
      <c r="G2583" s="64"/>
    </row>
    <row r="2584" spans="2:7" ht="32.25" customHeight="1" x14ac:dyDescent="0.25">
      <c r="B2584" s="64"/>
      <c r="C2584" s="64"/>
      <c r="D2584" s="64"/>
      <c r="E2584" s="64"/>
      <c r="F2584" s="64"/>
      <c r="G2584" s="64"/>
    </row>
    <row r="2585" spans="2:7" ht="32.25" customHeight="1" x14ac:dyDescent="0.25">
      <c r="B2585" s="64"/>
      <c r="C2585" s="64"/>
      <c r="D2585" s="64"/>
      <c r="E2585" s="64"/>
      <c r="F2585" s="64"/>
      <c r="G2585" s="64"/>
    </row>
    <row r="2586" spans="2:7" ht="32.25" customHeight="1" x14ac:dyDescent="0.25">
      <c r="B2586" s="64"/>
      <c r="C2586" s="64"/>
      <c r="D2586" s="64"/>
      <c r="E2586" s="64"/>
      <c r="F2586" s="64"/>
      <c r="G2586" s="64"/>
    </row>
    <row r="2587" spans="2:7" ht="32.25" customHeight="1" x14ac:dyDescent="0.25">
      <c r="B2587" s="64"/>
      <c r="C2587" s="64"/>
      <c r="D2587" s="64"/>
      <c r="E2587" s="64"/>
      <c r="F2587" s="64"/>
      <c r="G2587" s="64"/>
    </row>
    <row r="2588" spans="2:7" ht="32.25" customHeight="1" x14ac:dyDescent="0.25">
      <c r="B2588" s="64"/>
      <c r="C2588" s="64"/>
      <c r="D2588" s="64"/>
      <c r="E2588" s="64"/>
      <c r="F2588" s="64"/>
      <c r="G2588" s="64"/>
    </row>
    <row r="2589" spans="2:7" ht="32.25" customHeight="1" x14ac:dyDescent="0.25">
      <c r="B2589" s="64"/>
      <c r="C2589" s="64"/>
      <c r="D2589" s="64"/>
      <c r="E2589" s="64"/>
      <c r="F2589" s="64"/>
      <c r="G2589" s="64"/>
    </row>
    <row r="2590" spans="2:7" ht="32.25" customHeight="1" x14ac:dyDescent="0.25">
      <c r="B2590" s="64"/>
      <c r="C2590" s="64"/>
      <c r="D2590" s="64"/>
      <c r="E2590" s="64"/>
      <c r="F2590" s="64"/>
      <c r="G2590" s="64"/>
    </row>
    <row r="2591" spans="2:7" ht="32.25" customHeight="1" x14ac:dyDescent="0.25">
      <c r="B2591" s="64"/>
      <c r="C2591" s="64"/>
      <c r="D2591" s="64"/>
      <c r="E2591" s="64"/>
      <c r="F2591" s="64"/>
      <c r="G2591" s="64"/>
    </row>
    <row r="2592" spans="2:7" ht="32.25" customHeight="1" x14ac:dyDescent="0.25">
      <c r="B2592" s="64"/>
      <c r="C2592" s="64"/>
      <c r="D2592" s="64"/>
      <c r="E2592" s="64"/>
      <c r="F2592" s="64"/>
      <c r="G2592" s="64"/>
    </row>
    <row r="2593" spans="2:7" ht="32.25" customHeight="1" x14ac:dyDescent="0.25">
      <c r="B2593" s="64"/>
      <c r="C2593" s="64"/>
      <c r="D2593" s="64"/>
      <c r="E2593" s="64"/>
      <c r="F2593" s="64"/>
      <c r="G2593" s="64"/>
    </row>
    <row r="2594" spans="2:7" ht="32.25" customHeight="1" x14ac:dyDescent="0.25">
      <c r="B2594" s="64"/>
      <c r="C2594" s="64"/>
      <c r="D2594" s="64"/>
      <c r="E2594" s="64"/>
      <c r="F2594" s="64"/>
      <c r="G2594" s="64"/>
    </row>
    <row r="2595" spans="2:7" ht="32.25" customHeight="1" x14ac:dyDescent="0.25">
      <c r="B2595" s="64"/>
      <c r="C2595" s="64"/>
      <c r="D2595" s="64"/>
      <c r="E2595" s="64"/>
      <c r="F2595" s="64"/>
      <c r="G2595" s="64"/>
    </row>
    <row r="2596" spans="2:7" ht="32.25" customHeight="1" x14ac:dyDescent="0.25">
      <c r="B2596" s="64"/>
      <c r="C2596" s="64"/>
      <c r="D2596" s="64"/>
      <c r="E2596" s="64"/>
      <c r="F2596" s="64"/>
      <c r="G2596" s="64"/>
    </row>
    <row r="2597" spans="2:7" ht="32.25" customHeight="1" x14ac:dyDescent="0.25">
      <c r="B2597" s="64"/>
      <c r="C2597" s="64"/>
      <c r="D2597" s="64"/>
      <c r="E2597" s="64"/>
      <c r="F2597" s="64"/>
      <c r="G2597" s="64"/>
    </row>
    <row r="2598" spans="2:7" ht="32.25" customHeight="1" x14ac:dyDescent="0.25">
      <c r="B2598" s="64"/>
      <c r="C2598" s="64"/>
      <c r="D2598" s="64"/>
      <c r="E2598" s="64"/>
      <c r="F2598" s="64"/>
      <c r="G2598" s="64"/>
    </row>
    <row r="2599" spans="2:7" ht="32.25" customHeight="1" x14ac:dyDescent="0.25">
      <c r="B2599" s="64"/>
      <c r="C2599" s="64"/>
      <c r="D2599" s="64"/>
      <c r="E2599" s="64"/>
      <c r="F2599" s="64"/>
      <c r="G2599" s="64"/>
    </row>
    <row r="2600" spans="2:7" ht="32.25" customHeight="1" x14ac:dyDescent="0.25">
      <c r="B2600" s="64"/>
      <c r="C2600" s="64"/>
      <c r="D2600" s="64"/>
      <c r="E2600" s="64"/>
      <c r="F2600" s="64"/>
      <c r="G2600" s="64"/>
    </row>
    <row r="2601" spans="2:7" ht="32.25" customHeight="1" x14ac:dyDescent="0.25">
      <c r="B2601" s="64"/>
      <c r="C2601" s="64"/>
      <c r="D2601" s="64"/>
      <c r="E2601" s="64"/>
      <c r="F2601" s="64"/>
      <c r="G2601" s="64"/>
    </row>
    <row r="2602" spans="2:7" ht="32.25" customHeight="1" x14ac:dyDescent="0.25">
      <c r="B2602" s="64"/>
      <c r="C2602" s="64"/>
      <c r="D2602" s="64"/>
      <c r="E2602" s="64"/>
      <c r="F2602" s="64"/>
      <c r="G2602" s="64"/>
    </row>
    <row r="2603" spans="2:7" ht="32.25" customHeight="1" x14ac:dyDescent="0.25">
      <c r="B2603" s="64"/>
      <c r="C2603" s="64"/>
      <c r="D2603" s="64"/>
      <c r="E2603" s="64"/>
      <c r="F2603" s="64"/>
      <c r="G2603" s="64"/>
    </row>
    <row r="2604" spans="2:7" ht="32.25" customHeight="1" x14ac:dyDescent="0.25">
      <c r="B2604" s="64"/>
      <c r="C2604" s="64"/>
      <c r="D2604" s="64"/>
      <c r="E2604" s="64"/>
      <c r="F2604" s="64"/>
      <c r="G2604" s="64"/>
    </row>
    <row r="2605" spans="2:7" ht="32.25" customHeight="1" x14ac:dyDescent="0.25">
      <c r="B2605" s="64"/>
      <c r="C2605" s="64"/>
      <c r="D2605" s="64"/>
      <c r="E2605" s="64"/>
      <c r="F2605" s="64"/>
      <c r="G2605" s="64"/>
    </row>
    <row r="2606" spans="2:7" ht="32.25" customHeight="1" x14ac:dyDescent="0.25">
      <c r="B2606" s="64"/>
      <c r="C2606" s="64"/>
      <c r="D2606" s="64"/>
      <c r="E2606" s="64"/>
      <c r="F2606" s="64"/>
      <c r="G2606" s="64"/>
    </row>
    <row r="2607" spans="2:7" ht="32.25" customHeight="1" x14ac:dyDescent="0.25">
      <c r="B2607" s="64"/>
      <c r="C2607" s="64"/>
      <c r="D2607" s="64"/>
      <c r="E2607" s="64"/>
      <c r="F2607" s="64"/>
      <c r="G2607" s="64"/>
    </row>
    <row r="2608" spans="2:7" ht="32.25" customHeight="1" x14ac:dyDescent="0.25">
      <c r="B2608" s="64"/>
      <c r="C2608" s="64"/>
      <c r="D2608" s="64"/>
      <c r="E2608" s="64"/>
      <c r="F2608" s="64"/>
      <c r="G2608" s="64"/>
    </row>
    <row r="2609" spans="2:7" ht="32.25" customHeight="1" x14ac:dyDescent="0.25">
      <c r="B2609" s="64"/>
      <c r="C2609" s="64"/>
      <c r="D2609" s="64"/>
      <c r="E2609" s="64"/>
      <c r="F2609" s="64"/>
      <c r="G2609" s="64"/>
    </row>
    <row r="2610" spans="2:7" ht="32.25" customHeight="1" x14ac:dyDescent="0.25">
      <c r="B2610" s="64"/>
      <c r="C2610" s="64"/>
      <c r="D2610" s="64"/>
      <c r="E2610" s="64"/>
      <c r="F2610" s="64"/>
      <c r="G2610" s="64"/>
    </row>
    <row r="2611" spans="2:7" ht="32.25" customHeight="1" x14ac:dyDescent="0.25">
      <c r="B2611" s="64"/>
      <c r="C2611" s="64"/>
      <c r="D2611" s="64"/>
      <c r="E2611" s="64"/>
      <c r="F2611" s="64"/>
      <c r="G2611" s="64"/>
    </row>
    <row r="2612" spans="2:7" ht="32.25" customHeight="1" x14ac:dyDescent="0.25">
      <c r="B2612" s="64"/>
      <c r="C2612" s="64"/>
      <c r="D2612" s="64"/>
      <c r="E2612" s="64"/>
      <c r="F2612" s="64"/>
      <c r="G2612" s="64"/>
    </row>
    <row r="2613" spans="2:7" ht="32.25" customHeight="1" x14ac:dyDescent="0.25">
      <c r="B2613" s="64"/>
      <c r="C2613" s="64"/>
      <c r="D2613" s="64"/>
      <c r="E2613" s="64"/>
      <c r="F2613" s="64"/>
      <c r="G2613" s="64"/>
    </row>
    <row r="2614" spans="2:7" ht="32.25" customHeight="1" x14ac:dyDescent="0.25">
      <c r="B2614" s="64"/>
      <c r="C2614" s="64"/>
      <c r="D2614" s="64"/>
      <c r="E2614" s="64"/>
      <c r="F2614" s="64"/>
      <c r="G2614" s="64"/>
    </row>
    <row r="2615" spans="2:7" ht="32.25" customHeight="1" x14ac:dyDescent="0.25">
      <c r="B2615" s="64"/>
      <c r="C2615" s="64"/>
      <c r="D2615" s="64"/>
      <c r="E2615" s="64"/>
      <c r="F2615" s="64"/>
      <c r="G2615" s="64"/>
    </row>
    <row r="2616" spans="2:7" ht="32.25" customHeight="1" x14ac:dyDescent="0.25">
      <c r="B2616" s="64"/>
      <c r="C2616" s="64"/>
      <c r="D2616" s="64"/>
      <c r="E2616" s="64"/>
      <c r="F2616" s="64"/>
      <c r="G2616" s="64"/>
    </row>
    <row r="2617" spans="2:7" ht="32.25" customHeight="1" x14ac:dyDescent="0.25">
      <c r="B2617" s="64"/>
      <c r="C2617" s="64"/>
      <c r="D2617" s="64"/>
      <c r="E2617" s="64"/>
      <c r="F2617" s="64"/>
      <c r="G2617" s="64"/>
    </row>
    <row r="2618" spans="2:7" ht="32.25" customHeight="1" x14ac:dyDescent="0.25">
      <c r="B2618" s="64"/>
      <c r="C2618" s="64"/>
      <c r="D2618" s="64"/>
      <c r="E2618" s="64"/>
      <c r="F2618" s="64"/>
      <c r="G2618" s="64"/>
    </row>
    <row r="2619" spans="2:7" ht="32.25" customHeight="1" x14ac:dyDescent="0.25">
      <c r="B2619" s="64"/>
      <c r="C2619" s="64"/>
      <c r="D2619" s="64"/>
      <c r="E2619" s="64"/>
      <c r="F2619" s="64"/>
      <c r="G2619" s="64"/>
    </row>
    <row r="2620" spans="2:7" ht="32.25" customHeight="1" x14ac:dyDescent="0.25">
      <c r="B2620" s="64"/>
      <c r="C2620" s="64"/>
      <c r="D2620" s="64"/>
      <c r="E2620" s="64"/>
      <c r="F2620" s="64"/>
      <c r="G2620" s="64"/>
    </row>
    <row r="2621" spans="2:7" ht="32.25" customHeight="1" x14ac:dyDescent="0.25">
      <c r="B2621" s="64"/>
      <c r="C2621" s="64"/>
      <c r="D2621" s="64"/>
      <c r="E2621" s="64"/>
      <c r="F2621" s="64"/>
      <c r="G2621" s="64"/>
    </row>
    <row r="2622" spans="2:7" ht="32.25" customHeight="1" x14ac:dyDescent="0.25">
      <c r="B2622" s="64"/>
      <c r="C2622" s="64"/>
      <c r="D2622" s="64"/>
      <c r="E2622" s="64"/>
      <c r="F2622" s="64"/>
      <c r="G2622" s="64"/>
    </row>
    <row r="2623" spans="2:7" ht="32.25" customHeight="1" x14ac:dyDescent="0.25">
      <c r="B2623" s="64"/>
      <c r="C2623" s="64"/>
      <c r="D2623" s="64"/>
      <c r="E2623" s="64"/>
      <c r="F2623" s="64"/>
      <c r="G2623" s="64"/>
    </row>
    <row r="2624" spans="2:7" ht="32.25" customHeight="1" x14ac:dyDescent="0.25">
      <c r="B2624" s="64"/>
      <c r="C2624" s="64"/>
      <c r="D2624" s="64"/>
      <c r="E2624" s="64"/>
      <c r="F2624" s="64"/>
      <c r="G2624" s="64"/>
    </row>
    <row r="2625" spans="2:7" ht="32.25" customHeight="1" x14ac:dyDescent="0.25">
      <c r="B2625" s="64"/>
      <c r="C2625" s="64"/>
      <c r="D2625" s="64"/>
      <c r="E2625" s="64"/>
      <c r="F2625" s="64"/>
      <c r="G2625" s="64"/>
    </row>
    <row r="2626" spans="2:7" ht="32.25" customHeight="1" x14ac:dyDescent="0.25">
      <c r="B2626" s="64"/>
      <c r="C2626" s="64"/>
      <c r="D2626" s="64"/>
      <c r="E2626" s="64"/>
      <c r="F2626" s="64"/>
      <c r="G2626" s="64"/>
    </row>
    <row r="2627" spans="2:7" ht="32.25" customHeight="1" x14ac:dyDescent="0.25">
      <c r="B2627" s="64"/>
      <c r="C2627" s="64"/>
      <c r="D2627" s="64"/>
      <c r="E2627" s="64"/>
      <c r="F2627" s="64"/>
      <c r="G2627" s="64"/>
    </row>
    <row r="2628" spans="2:7" ht="32.25" customHeight="1" x14ac:dyDescent="0.25">
      <c r="B2628" s="64"/>
      <c r="C2628" s="64"/>
      <c r="D2628" s="64"/>
      <c r="E2628" s="64"/>
      <c r="F2628" s="64"/>
      <c r="G2628" s="64"/>
    </row>
    <row r="2629" spans="2:7" ht="32.25" customHeight="1" x14ac:dyDescent="0.25">
      <c r="B2629" s="64"/>
      <c r="C2629" s="64"/>
      <c r="D2629" s="64"/>
      <c r="E2629" s="64"/>
      <c r="F2629" s="64"/>
      <c r="G2629" s="64"/>
    </row>
    <row r="2630" spans="2:7" ht="32.25" customHeight="1" x14ac:dyDescent="0.25">
      <c r="B2630" s="64"/>
      <c r="C2630" s="64"/>
      <c r="D2630" s="64"/>
      <c r="E2630" s="64"/>
      <c r="F2630" s="64"/>
      <c r="G2630" s="64"/>
    </row>
    <row r="2631" spans="2:7" ht="32.25" customHeight="1" x14ac:dyDescent="0.25">
      <c r="B2631" s="64"/>
      <c r="C2631" s="64"/>
      <c r="D2631" s="64"/>
      <c r="E2631" s="64"/>
      <c r="F2631" s="64"/>
      <c r="G2631" s="64"/>
    </row>
    <row r="2632" spans="2:7" ht="32.25" customHeight="1" x14ac:dyDescent="0.25">
      <c r="B2632" s="64"/>
      <c r="C2632" s="64"/>
      <c r="D2632" s="64"/>
      <c r="E2632" s="64"/>
      <c r="F2632" s="64"/>
      <c r="G2632" s="64"/>
    </row>
    <row r="2633" spans="2:7" ht="32.25" customHeight="1" x14ac:dyDescent="0.25">
      <c r="B2633" s="64"/>
      <c r="C2633" s="64"/>
      <c r="D2633" s="64"/>
      <c r="E2633" s="64"/>
      <c r="F2633" s="64"/>
      <c r="G2633" s="64"/>
    </row>
    <row r="2634" spans="2:7" ht="32.25" customHeight="1" x14ac:dyDescent="0.25">
      <c r="B2634" s="64"/>
      <c r="C2634" s="64"/>
      <c r="D2634" s="64"/>
      <c r="E2634" s="64"/>
      <c r="F2634" s="64"/>
      <c r="G2634" s="64"/>
    </row>
    <row r="2635" spans="2:7" ht="32.25" customHeight="1" x14ac:dyDescent="0.25">
      <c r="B2635" s="64"/>
      <c r="C2635" s="64"/>
      <c r="D2635" s="64"/>
      <c r="E2635" s="64"/>
      <c r="F2635" s="64"/>
      <c r="G2635" s="64"/>
    </row>
    <row r="2636" spans="2:7" ht="32.25" customHeight="1" x14ac:dyDescent="0.25">
      <c r="B2636" s="64"/>
      <c r="C2636" s="64"/>
      <c r="D2636" s="64"/>
      <c r="E2636" s="64"/>
      <c r="F2636" s="64"/>
      <c r="G2636" s="64"/>
    </row>
    <row r="2637" spans="2:7" ht="32.25" customHeight="1" x14ac:dyDescent="0.25">
      <c r="B2637" s="64"/>
      <c r="C2637" s="64"/>
      <c r="D2637" s="64"/>
      <c r="E2637" s="64"/>
      <c r="F2637" s="64"/>
      <c r="G2637" s="64"/>
    </row>
    <row r="2638" spans="2:7" ht="32.25" customHeight="1" x14ac:dyDescent="0.25">
      <c r="B2638" s="64"/>
      <c r="C2638" s="64"/>
      <c r="D2638" s="64"/>
      <c r="E2638" s="64"/>
      <c r="F2638" s="64"/>
      <c r="G2638" s="64"/>
    </row>
    <row r="2639" spans="2:7" ht="32.25" customHeight="1" x14ac:dyDescent="0.25">
      <c r="B2639" s="64"/>
      <c r="C2639" s="64"/>
      <c r="D2639" s="64"/>
      <c r="E2639" s="64"/>
      <c r="F2639" s="64"/>
      <c r="G2639" s="64"/>
    </row>
    <row r="2640" spans="2:7" ht="32.25" customHeight="1" x14ac:dyDescent="0.25">
      <c r="B2640" s="64"/>
      <c r="C2640" s="64"/>
      <c r="D2640" s="64"/>
      <c r="E2640" s="64"/>
      <c r="F2640" s="64"/>
      <c r="G2640" s="64"/>
    </row>
    <row r="2641" spans="2:7" ht="32.25" customHeight="1" x14ac:dyDescent="0.25">
      <c r="B2641" s="64"/>
      <c r="C2641" s="64"/>
      <c r="D2641" s="64"/>
      <c r="E2641" s="64"/>
      <c r="F2641" s="64"/>
      <c r="G2641" s="64"/>
    </row>
    <row r="2642" spans="2:7" ht="32.25" customHeight="1" x14ac:dyDescent="0.25">
      <c r="B2642" s="64"/>
      <c r="C2642" s="64"/>
      <c r="D2642" s="64"/>
      <c r="E2642" s="64"/>
      <c r="F2642" s="64"/>
      <c r="G2642" s="64"/>
    </row>
    <row r="2643" spans="2:7" ht="32.25" customHeight="1" x14ac:dyDescent="0.25">
      <c r="B2643" s="64"/>
      <c r="C2643" s="64"/>
      <c r="D2643" s="64"/>
      <c r="E2643" s="64"/>
      <c r="F2643" s="64"/>
      <c r="G2643" s="64"/>
    </row>
    <row r="2644" spans="2:7" ht="32.25" customHeight="1" x14ac:dyDescent="0.25">
      <c r="B2644" s="64"/>
      <c r="C2644" s="64"/>
      <c r="D2644" s="64"/>
      <c r="E2644" s="64"/>
      <c r="F2644" s="64"/>
      <c r="G2644" s="64"/>
    </row>
    <row r="2645" spans="2:7" ht="32.25" customHeight="1" x14ac:dyDescent="0.25">
      <c r="B2645" s="64"/>
      <c r="C2645" s="64"/>
      <c r="D2645" s="64"/>
      <c r="E2645" s="64"/>
      <c r="F2645" s="64"/>
      <c r="G2645" s="64"/>
    </row>
    <row r="2646" spans="2:7" ht="32.25" customHeight="1" x14ac:dyDescent="0.25">
      <c r="B2646" s="64"/>
      <c r="C2646" s="64"/>
      <c r="D2646" s="64"/>
      <c r="E2646" s="64"/>
      <c r="F2646" s="64"/>
      <c r="G2646" s="64"/>
    </row>
    <row r="2647" spans="2:7" ht="32.25" customHeight="1" x14ac:dyDescent="0.25">
      <c r="B2647" s="64"/>
      <c r="C2647" s="64"/>
      <c r="D2647" s="64"/>
      <c r="E2647" s="64"/>
      <c r="F2647" s="64"/>
      <c r="G2647" s="64"/>
    </row>
    <row r="2648" spans="2:7" ht="32.25" customHeight="1" x14ac:dyDescent="0.25">
      <c r="B2648" s="64"/>
      <c r="C2648" s="64"/>
      <c r="D2648" s="64"/>
      <c r="E2648" s="64"/>
      <c r="F2648" s="64"/>
      <c r="G2648" s="64"/>
    </row>
    <row r="2649" spans="2:7" ht="32.25" customHeight="1" x14ac:dyDescent="0.25">
      <c r="B2649" s="64"/>
      <c r="C2649" s="64"/>
      <c r="D2649" s="64"/>
      <c r="E2649" s="64"/>
      <c r="F2649" s="64"/>
      <c r="G2649" s="64"/>
    </row>
    <row r="2650" spans="2:7" ht="32.25" customHeight="1" x14ac:dyDescent="0.25">
      <c r="B2650" s="64"/>
      <c r="C2650" s="64"/>
      <c r="D2650" s="64"/>
      <c r="E2650" s="64"/>
      <c r="F2650" s="64"/>
      <c r="G2650" s="64"/>
    </row>
    <row r="2651" spans="2:7" ht="32.25" customHeight="1" x14ac:dyDescent="0.25">
      <c r="B2651" s="64"/>
      <c r="C2651" s="64"/>
      <c r="D2651" s="64"/>
      <c r="E2651" s="64"/>
      <c r="F2651" s="64"/>
      <c r="G2651" s="64"/>
    </row>
    <row r="2652" spans="2:7" ht="32.25" customHeight="1" x14ac:dyDescent="0.25">
      <c r="B2652" s="64"/>
      <c r="C2652" s="64"/>
      <c r="D2652" s="64"/>
      <c r="E2652" s="64"/>
      <c r="F2652" s="64"/>
      <c r="G2652" s="64"/>
    </row>
    <row r="2653" spans="2:7" ht="32.25" customHeight="1" x14ac:dyDescent="0.25">
      <c r="B2653" s="64"/>
      <c r="C2653" s="64"/>
      <c r="D2653" s="64"/>
      <c r="E2653" s="64"/>
      <c r="F2653" s="64"/>
      <c r="G2653" s="64"/>
    </row>
    <row r="2654" spans="2:7" ht="32.25" customHeight="1" x14ac:dyDescent="0.25">
      <c r="B2654" s="64"/>
      <c r="C2654" s="64"/>
      <c r="D2654" s="64"/>
      <c r="E2654" s="64"/>
      <c r="F2654" s="64"/>
      <c r="G2654" s="64"/>
    </row>
    <row r="2655" spans="2:7" ht="32.25" customHeight="1" x14ac:dyDescent="0.25">
      <c r="B2655" s="64"/>
      <c r="C2655" s="64"/>
      <c r="D2655" s="64"/>
      <c r="E2655" s="64"/>
      <c r="F2655" s="64"/>
      <c r="G2655" s="64"/>
    </row>
    <row r="2656" spans="2:7" ht="32.25" customHeight="1" x14ac:dyDescent="0.25">
      <c r="B2656" s="64"/>
      <c r="C2656" s="64"/>
      <c r="D2656" s="64"/>
      <c r="E2656" s="64"/>
      <c r="F2656" s="64"/>
      <c r="G2656" s="64"/>
    </row>
    <row r="2657" spans="2:7" ht="32.25" customHeight="1" x14ac:dyDescent="0.25">
      <c r="B2657" s="64"/>
      <c r="C2657" s="64"/>
      <c r="D2657" s="64"/>
      <c r="E2657" s="64"/>
      <c r="F2657" s="64"/>
      <c r="G2657" s="64"/>
    </row>
    <row r="2658" spans="2:7" ht="32.25" customHeight="1" x14ac:dyDescent="0.25">
      <c r="B2658" s="64"/>
      <c r="C2658" s="64"/>
      <c r="D2658" s="64"/>
      <c r="E2658" s="64"/>
      <c r="F2658" s="64"/>
      <c r="G2658" s="64"/>
    </row>
    <row r="2659" spans="2:7" ht="32.25" customHeight="1" x14ac:dyDescent="0.25">
      <c r="B2659" s="64"/>
      <c r="C2659" s="64"/>
      <c r="D2659" s="64"/>
      <c r="E2659" s="64"/>
      <c r="F2659" s="64"/>
      <c r="G2659" s="64"/>
    </row>
    <row r="2660" spans="2:7" ht="32.25" customHeight="1" x14ac:dyDescent="0.25">
      <c r="B2660" s="64"/>
      <c r="C2660" s="64"/>
      <c r="D2660" s="64"/>
      <c r="E2660" s="64"/>
      <c r="F2660" s="64"/>
      <c r="G2660" s="64"/>
    </row>
    <row r="2661" spans="2:7" ht="32.25" customHeight="1" x14ac:dyDescent="0.25">
      <c r="B2661" s="64"/>
      <c r="C2661" s="64"/>
      <c r="D2661" s="64"/>
      <c r="E2661" s="64"/>
      <c r="F2661" s="64"/>
      <c r="G2661" s="64"/>
    </row>
    <row r="2662" spans="2:7" ht="32.25" customHeight="1" x14ac:dyDescent="0.25">
      <c r="B2662" s="64"/>
      <c r="C2662" s="64"/>
      <c r="D2662" s="64"/>
      <c r="E2662" s="64"/>
      <c r="F2662" s="64"/>
      <c r="G2662" s="64"/>
    </row>
    <row r="2663" spans="2:7" ht="32.25" customHeight="1" x14ac:dyDescent="0.25">
      <c r="B2663" s="64"/>
      <c r="C2663" s="64"/>
      <c r="D2663" s="64"/>
      <c r="E2663" s="64"/>
      <c r="F2663" s="64"/>
      <c r="G2663" s="64"/>
    </row>
    <row r="2664" spans="2:7" ht="32.25" customHeight="1" x14ac:dyDescent="0.25">
      <c r="B2664" s="64"/>
      <c r="C2664" s="64"/>
      <c r="D2664" s="64"/>
      <c r="E2664" s="64"/>
      <c r="F2664" s="64"/>
      <c r="G2664" s="64"/>
    </row>
    <row r="2665" spans="2:7" ht="32.25" customHeight="1" x14ac:dyDescent="0.25">
      <c r="B2665" s="64"/>
      <c r="C2665" s="64"/>
      <c r="D2665" s="64"/>
      <c r="E2665" s="64"/>
      <c r="F2665" s="64"/>
      <c r="G2665" s="64"/>
    </row>
    <row r="2666" spans="2:7" ht="32.25" customHeight="1" x14ac:dyDescent="0.25">
      <c r="B2666" s="64"/>
      <c r="C2666" s="64"/>
      <c r="D2666" s="64"/>
      <c r="E2666" s="64"/>
      <c r="F2666" s="64"/>
      <c r="G2666" s="64"/>
    </row>
    <row r="2667" spans="2:7" ht="32.25" customHeight="1" x14ac:dyDescent="0.25">
      <c r="B2667" s="64"/>
      <c r="C2667" s="64"/>
      <c r="D2667" s="64"/>
      <c r="E2667" s="64"/>
      <c r="F2667" s="64"/>
      <c r="G2667" s="64"/>
    </row>
    <row r="2668" spans="2:7" ht="32.25" customHeight="1" x14ac:dyDescent="0.25">
      <c r="B2668" s="64"/>
      <c r="C2668" s="64"/>
      <c r="D2668" s="64"/>
      <c r="E2668" s="64"/>
      <c r="F2668" s="64"/>
      <c r="G2668" s="64"/>
    </row>
    <row r="2669" spans="2:7" ht="32.25" customHeight="1" x14ac:dyDescent="0.25">
      <c r="B2669" s="64"/>
      <c r="C2669" s="64"/>
      <c r="D2669" s="64"/>
      <c r="E2669" s="64"/>
      <c r="F2669" s="64"/>
      <c r="G2669" s="64"/>
    </row>
    <row r="2670" spans="2:7" ht="32.25" customHeight="1" x14ac:dyDescent="0.25">
      <c r="B2670" s="64"/>
      <c r="C2670" s="64"/>
      <c r="D2670" s="64"/>
      <c r="E2670" s="64"/>
      <c r="F2670" s="64"/>
      <c r="G2670" s="64"/>
    </row>
    <row r="2671" spans="2:7" ht="32.25" customHeight="1" x14ac:dyDescent="0.25">
      <c r="B2671" s="64"/>
      <c r="C2671" s="64"/>
      <c r="D2671" s="64"/>
      <c r="E2671" s="64"/>
      <c r="F2671" s="64"/>
      <c r="G2671" s="64"/>
    </row>
    <row r="2672" spans="2:7" ht="32.25" customHeight="1" x14ac:dyDescent="0.25">
      <c r="B2672" s="64"/>
      <c r="C2672" s="64"/>
      <c r="D2672" s="64"/>
      <c r="E2672" s="64"/>
      <c r="F2672" s="64"/>
      <c r="G2672" s="64"/>
    </row>
    <row r="2673" spans="2:7" ht="32.25" customHeight="1" x14ac:dyDescent="0.25">
      <c r="B2673" s="64"/>
      <c r="C2673" s="64"/>
      <c r="D2673" s="64"/>
      <c r="E2673" s="64"/>
      <c r="F2673" s="64"/>
      <c r="G2673" s="64"/>
    </row>
    <row r="2674" spans="2:7" ht="32.25" customHeight="1" x14ac:dyDescent="0.25">
      <c r="B2674" s="64"/>
      <c r="C2674" s="64"/>
      <c r="D2674" s="64"/>
      <c r="E2674" s="64"/>
      <c r="F2674" s="64"/>
      <c r="G2674" s="64"/>
    </row>
    <row r="2675" spans="2:7" ht="32.25" customHeight="1" x14ac:dyDescent="0.25">
      <c r="B2675" s="64"/>
      <c r="C2675" s="64"/>
      <c r="D2675" s="64"/>
      <c r="E2675" s="64"/>
      <c r="F2675" s="64"/>
      <c r="G2675" s="64"/>
    </row>
    <row r="2676" spans="2:7" ht="32.25" customHeight="1" x14ac:dyDescent="0.25">
      <c r="B2676" s="64"/>
      <c r="C2676" s="64"/>
      <c r="D2676" s="64"/>
      <c r="E2676" s="64"/>
      <c r="F2676" s="64"/>
      <c r="G2676" s="64"/>
    </row>
    <row r="2677" spans="2:7" ht="32.25" customHeight="1" x14ac:dyDescent="0.25">
      <c r="B2677" s="64"/>
      <c r="C2677" s="64"/>
      <c r="D2677" s="64"/>
      <c r="E2677" s="64"/>
      <c r="F2677" s="64"/>
      <c r="G2677" s="64"/>
    </row>
    <row r="2678" spans="2:7" ht="32.25" customHeight="1" x14ac:dyDescent="0.25">
      <c r="B2678" s="64"/>
      <c r="C2678" s="64"/>
      <c r="D2678" s="64"/>
      <c r="E2678" s="64"/>
      <c r="F2678" s="64"/>
      <c r="G2678" s="64"/>
    </row>
    <row r="2679" spans="2:7" ht="32.25" customHeight="1" x14ac:dyDescent="0.25">
      <c r="B2679" s="64"/>
      <c r="C2679" s="64"/>
      <c r="D2679" s="64"/>
      <c r="E2679" s="64"/>
      <c r="F2679" s="64"/>
      <c r="G2679" s="64"/>
    </row>
    <row r="2680" spans="2:7" ht="32.25" customHeight="1" x14ac:dyDescent="0.25">
      <c r="B2680" s="64"/>
      <c r="C2680" s="64"/>
      <c r="D2680" s="64"/>
      <c r="E2680" s="64"/>
      <c r="F2680" s="64"/>
      <c r="G2680" s="64"/>
    </row>
    <row r="2681" spans="2:7" ht="32.25" customHeight="1" x14ac:dyDescent="0.25">
      <c r="B2681" s="64"/>
      <c r="C2681" s="64"/>
      <c r="D2681" s="64"/>
      <c r="E2681" s="64"/>
      <c r="F2681" s="64"/>
      <c r="G2681" s="64"/>
    </row>
    <row r="2682" spans="2:7" ht="32.25" customHeight="1" x14ac:dyDescent="0.25">
      <c r="B2682" s="64"/>
      <c r="C2682" s="64"/>
      <c r="D2682" s="64"/>
      <c r="E2682" s="64"/>
      <c r="F2682" s="64"/>
      <c r="G2682" s="64"/>
    </row>
    <row r="2683" spans="2:7" ht="32.25" customHeight="1" x14ac:dyDescent="0.25">
      <c r="B2683" s="64"/>
      <c r="C2683" s="64"/>
      <c r="D2683" s="64"/>
      <c r="E2683" s="64"/>
      <c r="F2683" s="64"/>
      <c r="G2683" s="64"/>
    </row>
    <row r="2684" spans="2:7" ht="32.25" customHeight="1" x14ac:dyDescent="0.25">
      <c r="B2684" s="64"/>
      <c r="C2684" s="64"/>
      <c r="D2684" s="64"/>
      <c r="E2684" s="64"/>
      <c r="F2684" s="64"/>
      <c r="G2684" s="64"/>
    </row>
    <row r="2685" spans="2:7" ht="32.25" customHeight="1" x14ac:dyDescent="0.25">
      <c r="B2685" s="64"/>
      <c r="C2685" s="64"/>
      <c r="D2685" s="64"/>
      <c r="E2685" s="64"/>
      <c r="F2685" s="64"/>
      <c r="G2685" s="64"/>
    </row>
    <row r="2686" spans="2:7" ht="32.25" customHeight="1" x14ac:dyDescent="0.25">
      <c r="B2686" s="64"/>
      <c r="C2686" s="64"/>
      <c r="D2686" s="64"/>
      <c r="E2686" s="64"/>
      <c r="F2686" s="64"/>
      <c r="G2686" s="64"/>
    </row>
    <row r="2687" spans="2:7" ht="32.25" customHeight="1" x14ac:dyDescent="0.25">
      <c r="B2687" s="64"/>
      <c r="C2687" s="64"/>
      <c r="D2687" s="64"/>
      <c r="E2687" s="64"/>
      <c r="F2687" s="64"/>
      <c r="G2687" s="64"/>
    </row>
    <row r="2688" spans="2:7" ht="32.25" customHeight="1" x14ac:dyDescent="0.25">
      <c r="B2688" s="64"/>
      <c r="C2688" s="64"/>
      <c r="D2688" s="64"/>
      <c r="E2688" s="64"/>
      <c r="F2688" s="64"/>
      <c r="G2688" s="64"/>
    </row>
    <row r="2689" spans="2:7" ht="32.25" customHeight="1" x14ac:dyDescent="0.25">
      <c r="B2689" s="64"/>
      <c r="C2689" s="64"/>
      <c r="D2689" s="64"/>
      <c r="E2689" s="64"/>
      <c r="F2689" s="64"/>
      <c r="G2689" s="64"/>
    </row>
    <row r="2690" spans="2:7" ht="32.25" customHeight="1" x14ac:dyDescent="0.25">
      <c r="B2690" s="64"/>
      <c r="C2690" s="64"/>
      <c r="D2690" s="64"/>
      <c r="E2690" s="64"/>
      <c r="F2690" s="64"/>
      <c r="G2690" s="64"/>
    </row>
    <row r="2691" spans="2:7" ht="32.25" customHeight="1" x14ac:dyDescent="0.25">
      <c r="B2691" s="64"/>
      <c r="C2691" s="64"/>
      <c r="D2691" s="64"/>
      <c r="E2691" s="64"/>
      <c r="F2691" s="64"/>
      <c r="G2691" s="64"/>
    </row>
    <row r="2692" spans="2:7" ht="32.25" customHeight="1" x14ac:dyDescent="0.25">
      <c r="B2692" s="64"/>
      <c r="C2692" s="64"/>
      <c r="D2692" s="64"/>
      <c r="E2692" s="64"/>
      <c r="F2692" s="64"/>
      <c r="G2692" s="64"/>
    </row>
    <row r="2693" spans="2:7" ht="32.25" customHeight="1" x14ac:dyDescent="0.25">
      <c r="B2693" s="64"/>
      <c r="C2693" s="64"/>
      <c r="D2693" s="64"/>
      <c r="E2693" s="64"/>
      <c r="F2693" s="64"/>
      <c r="G2693" s="64"/>
    </row>
    <row r="2694" spans="2:7" ht="32.25" customHeight="1" x14ac:dyDescent="0.25">
      <c r="B2694" s="64"/>
      <c r="C2694" s="64"/>
      <c r="D2694" s="64"/>
      <c r="E2694" s="64"/>
      <c r="F2694" s="64"/>
      <c r="G2694" s="64"/>
    </row>
    <row r="2695" spans="2:7" ht="32.25" customHeight="1" x14ac:dyDescent="0.25">
      <c r="B2695" s="64"/>
      <c r="C2695" s="64"/>
      <c r="D2695" s="64"/>
      <c r="E2695" s="64"/>
      <c r="F2695" s="64"/>
      <c r="G2695" s="64"/>
    </row>
    <row r="2696" spans="2:7" ht="32.25" customHeight="1" x14ac:dyDescent="0.25">
      <c r="B2696" s="64"/>
      <c r="C2696" s="64"/>
      <c r="D2696" s="64"/>
      <c r="E2696" s="64"/>
      <c r="F2696" s="64"/>
      <c r="G2696" s="64"/>
    </row>
    <row r="2697" spans="2:7" ht="32.25" customHeight="1" x14ac:dyDescent="0.25">
      <c r="B2697" s="64"/>
      <c r="C2697" s="64"/>
      <c r="D2697" s="64"/>
      <c r="E2697" s="64"/>
      <c r="F2697" s="64"/>
      <c r="G2697" s="64"/>
    </row>
    <row r="2698" spans="2:7" ht="32.25" customHeight="1" x14ac:dyDescent="0.25">
      <c r="B2698" s="64"/>
      <c r="C2698" s="64"/>
      <c r="D2698" s="64"/>
      <c r="E2698" s="64"/>
      <c r="F2698" s="64"/>
      <c r="G2698" s="64"/>
    </row>
    <row r="2699" spans="2:7" ht="32.25" customHeight="1" x14ac:dyDescent="0.25">
      <c r="B2699" s="64"/>
      <c r="C2699" s="64"/>
      <c r="D2699" s="64"/>
      <c r="E2699" s="64"/>
      <c r="F2699" s="64"/>
      <c r="G2699" s="64"/>
    </row>
    <row r="2700" spans="2:7" ht="32.25" customHeight="1" x14ac:dyDescent="0.25">
      <c r="B2700" s="64"/>
      <c r="C2700" s="64"/>
      <c r="D2700" s="64"/>
      <c r="E2700" s="64"/>
      <c r="F2700" s="64"/>
      <c r="G2700" s="64"/>
    </row>
    <row r="2701" spans="2:7" ht="32.25" customHeight="1" x14ac:dyDescent="0.25">
      <c r="B2701" s="64"/>
      <c r="C2701" s="64"/>
      <c r="D2701" s="64"/>
      <c r="E2701" s="64"/>
      <c r="F2701" s="64"/>
      <c r="G2701" s="64"/>
    </row>
    <row r="2702" spans="2:7" ht="32.25" customHeight="1" x14ac:dyDescent="0.25">
      <c r="B2702" s="64"/>
      <c r="C2702" s="64"/>
      <c r="D2702" s="64"/>
      <c r="E2702" s="64"/>
      <c r="F2702" s="64"/>
      <c r="G2702" s="64"/>
    </row>
    <row r="2703" spans="2:7" ht="32.25" customHeight="1" x14ac:dyDescent="0.25">
      <c r="B2703" s="64"/>
      <c r="C2703" s="64"/>
      <c r="D2703" s="64"/>
      <c r="E2703" s="64"/>
      <c r="F2703" s="64"/>
      <c r="G2703" s="64"/>
    </row>
    <row r="2704" spans="2:7" ht="32.25" customHeight="1" x14ac:dyDescent="0.25">
      <c r="B2704" s="64"/>
      <c r="C2704" s="64"/>
      <c r="D2704" s="64"/>
      <c r="E2704" s="64"/>
      <c r="F2704" s="64"/>
      <c r="G2704" s="64"/>
    </row>
    <row r="2705" spans="2:7" ht="32.25" customHeight="1" x14ac:dyDescent="0.25">
      <c r="B2705" s="64"/>
      <c r="C2705" s="64"/>
      <c r="D2705" s="64"/>
      <c r="E2705" s="64"/>
      <c r="F2705" s="64"/>
      <c r="G2705" s="64"/>
    </row>
    <row r="2706" spans="2:7" ht="32.25" customHeight="1" x14ac:dyDescent="0.25">
      <c r="B2706" s="64"/>
      <c r="C2706" s="64"/>
      <c r="D2706" s="64"/>
      <c r="E2706" s="64"/>
      <c r="F2706" s="64"/>
      <c r="G2706" s="64"/>
    </row>
    <row r="2707" spans="2:7" ht="32.25" customHeight="1" x14ac:dyDescent="0.25">
      <c r="B2707" s="64"/>
      <c r="C2707" s="64"/>
      <c r="D2707" s="64"/>
      <c r="E2707" s="64"/>
      <c r="F2707" s="64"/>
      <c r="G2707" s="64"/>
    </row>
    <row r="2708" spans="2:7" ht="32.25" customHeight="1" x14ac:dyDescent="0.25">
      <c r="B2708" s="64"/>
      <c r="C2708" s="64"/>
      <c r="D2708" s="64"/>
      <c r="E2708" s="64"/>
      <c r="F2708" s="64"/>
      <c r="G2708" s="64"/>
    </row>
    <row r="2709" spans="2:7" ht="32.25" customHeight="1" x14ac:dyDescent="0.25">
      <c r="B2709" s="64"/>
      <c r="C2709" s="64"/>
      <c r="D2709" s="64"/>
      <c r="E2709" s="64"/>
      <c r="F2709" s="64"/>
      <c r="G2709" s="64"/>
    </row>
    <row r="2710" spans="2:7" ht="32.25" customHeight="1" x14ac:dyDescent="0.25">
      <c r="B2710" s="64"/>
      <c r="C2710" s="64"/>
      <c r="D2710" s="64"/>
      <c r="E2710" s="64"/>
      <c r="F2710" s="64"/>
      <c r="G2710" s="64"/>
    </row>
    <row r="2711" spans="2:7" ht="32.25" customHeight="1" x14ac:dyDescent="0.25">
      <c r="B2711" s="64"/>
      <c r="C2711" s="64"/>
      <c r="D2711" s="64"/>
      <c r="E2711" s="64"/>
      <c r="F2711" s="64"/>
      <c r="G2711" s="64"/>
    </row>
    <row r="2712" spans="2:7" ht="32.25" customHeight="1" x14ac:dyDescent="0.25">
      <c r="B2712" s="64"/>
      <c r="C2712" s="64"/>
      <c r="D2712" s="64"/>
      <c r="E2712" s="64"/>
      <c r="F2712" s="64"/>
      <c r="G2712" s="64"/>
    </row>
    <row r="2713" spans="2:7" ht="32.25" customHeight="1" x14ac:dyDescent="0.25">
      <c r="B2713" s="64"/>
      <c r="C2713" s="64"/>
      <c r="D2713" s="64"/>
      <c r="E2713" s="64"/>
      <c r="F2713" s="64"/>
      <c r="G2713" s="64"/>
    </row>
    <row r="2714" spans="2:7" ht="32.25" customHeight="1" x14ac:dyDescent="0.25">
      <c r="B2714" s="64"/>
      <c r="C2714" s="64"/>
      <c r="D2714" s="64"/>
      <c r="E2714" s="64"/>
      <c r="F2714" s="64"/>
      <c r="G2714" s="64"/>
    </row>
    <row r="2715" spans="2:7" ht="32.25" customHeight="1" x14ac:dyDescent="0.25">
      <c r="B2715" s="64"/>
      <c r="C2715" s="64"/>
      <c r="D2715" s="64"/>
      <c r="E2715" s="64"/>
      <c r="F2715" s="64"/>
      <c r="G2715" s="64"/>
    </row>
    <row r="2716" spans="2:7" ht="32.25" customHeight="1" x14ac:dyDescent="0.25">
      <c r="B2716" s="64"/>
      <c r="C2716" s="64"/>
      <c r="D2716" s="64"/>
      <c r="E2716" s="64"/>
      <c r="F2716" s="64"/>
      <c r="G2716" s="64"/>
    </row>
    <row r="2717" spans="2:7" ht="32.25" customHeight="1" x14ac:dyDescent="0.25">
      <c r="B2717" s="64"/>
      <c r="C2717" s="64"/>
      <c r="D2717" s="64"/>
      <c r="E2717" s="64"/>
      <c r="F2717" s="64"/>
      <c r="G2717" s="64"/>
    </row>
    <row r="2718" spans="2:7" ht="32.25" customHeight="1" x14ac:dyDescent="0.25">
      <c r="B2718" s="64"/>
      <c r="C2718" s="64"/>
      <c r="D2718" s="64"/>
      <c r="E2718" s="64"/>
      <c r="F2718" s="64"/>
      <c r="G2718" s="64"/>
    </row>
    <row r="2719" spans="2:7" ht="32.25" customHeight="1" x14ac:dyDescent="0.25">
      <c r="B2719" s="64"/>
      <c r="C2719" s="64"/>
      <c r="D2719" s="64"/>
      <c r="E2719" s="64"/>
      <c r="F2719" s="64"/>
      <c r="G2719" s="64"/>
    </row>
    <row r="2720" spans="2:7" ht="32.25" customHeight="1" x14ac:dyDescent="0.25">
      <c r="B2720" s="64"/>
      <c r="C2720" s="64"/>
      <c r="D2720" s="64"/>
      <c r="E2720" s="64"/>
      <c r="F2720" s="64"/>
      <c r="G2720" s="64"/>
    </row>
    <row r="2721" spans="2:7" ht="32.25" customHeight="1" x14ac:dyDescent="0.25">
      <c r="B2721" s="64"/>
      <c r="C2721" s="64"/>
      <c r="D2721" s="64"/>
      <c r="E2721" s="64"/>
      <c r="F2721" s="64"/>
      <c r="G2721" s="64"/>
    </row>
    <row r="2722" spans="2:7" ht="32.25" customHeight="1" x14ac:dyDescent="0.25">
      <c r="B2722" s="64"/>
      <c r="C2722" s="64"/>
      <c r="D2722" s="64"/>
      <c r="E2722" s="64"/>
      <c r="F2722" s="64"/>
      <c r="G2722" s="64"/>
    </row>
    <row r="2723" spans="2:7" ht="32.25" customHeight="1" x14ac:dyDescent="0.25">
      <c r="B2723" s="64"/>
      <c r="C2723" s="64"/>
      <c r="D2723" s="64"/>
      <c r="E2723" s="64"/>
      <c r="F2723" s="64"/>
      <c r="G2723" s="64"/>
    </row>
    <row r="2724" spans="2:7" ht="32.25" customHeight="1" x14ac:dyDescent="0.25">
      <c r="B2724" s="64"/>
      <c r="C2724" s="64"/>
      <c r="D2724" s="64"/>
      <c r="E2724" s="64"/>
      <c r="F2724" s="64"/>
      <c r="G2724" s="64"/>
    </row>
    <row r="2725" spans="2:7" ht="32.25" customHeight="1" x14ac:dyDescent="0.25">
      <c r="B2725" s="64"/>
      <c r="C2725" s="64"/>
      <c r="D2725" s="64"/>
      <c r="E2725" s="64"/>
      <c r="F2725" s="64"/>
      <c r="G2725" s="64"/>
    </row>
    <row r="2726" spans="2:7" ht="32.25" customHeight="1" x14ac:dyDescent="0.25">
      <c r="B2726" s="64"/>
      <c r="C2726" s="64"/>
      <c r="D2726" s="64"/>
      <c r="E2726" s="64"/>
      <c r="F2726" s="64"/>
      <c r="G2726" s="64"/>
    </row>
    <row r="2727" spans="2:7" ht="32.25" customHeight="1" x14ac:dyDescent="0.25">
      <c r="B2727" s="64"/>
      <c r="C2727" s="64"/>
      <c r="D2727" s="64"/>
      <c r="E2727" s="64"/>
      <c r="F2727" s="64"/>
      <c r="G2727" s="64"/>
    </row>
    <row r="2728" spans="2:7" ht="32.25" customHeight="1" x14ac:dyDescent="0.25">
      <c r="B2728" s="64"/>
      <c r="C2728" s="64"/>
      <c r="D2728" s="64"/>
      <c r="E2728" s="64"/>
      <c r="F2728" s="64"/>
      <c r="G2728" s="64"/>
    </row>
    <row r="2729" spans="2:7" ht="32.25" customHeight="1" x14ac:dyDescent="0.25">
      <c r="B2729" s="64"/>
      <c r="C2729" s="64"/>
      <c r="D2729" s="64"/>
      <c r="E2729" s="64"/>
      <c r="F2729" s="64"/>
      <c r="G2729" s="64"/>
    </row>
    <row r="2730" spans="2:7" ht="32.25" customHeight="1" x14ac:dyDescent="0.25">
      <c r="B2730" s="64"/>
      <c r="C2730" s="64"/>
      <c r="D2730" s="64"/>
      <c r="E2730" s="64"/>
      <c r="F2730" s="64"/>
      <c r="G2730" s="64"/>
    </row>
    <row r="2731" spans="2:7" ht="32.25" customHeight="1" x14ac:dyDescent="0.25">
      <c r="B2731" s="64"/>
      <c r="C2731" s="64"/>
      <c r="D2731" s="64"/>
      <c r="E2731" s="64"/>
      <c r="F2731" s="64"/>
      <c r="G2731" s="64"/>
    </row>
    <row r="2732" spans="2:7" ht="32.25" customHeight="1" x14ac:dyDescent="0.25">
      <c r="B2732" s="64"/>
      <c r="C2732" s="64"/>
      <c r="D2732" s="64"/>
      <c r="E2732" s="64"/>
      <c r="F2732" s="64"/>
      <c r="G2732" s="64"/>
    </row>
    <row r="2733" spans="2:7" ht="32.25" customHeight="1" x14ac:dyDescent="0.25">
      <c r="B2733" s="64"/>
      <c r="C2733" s="64"/>
      <c r="D2733" s="64"/>
      <c r="E2733" s="64"/>
      <c r="F2733" s="64"/>
      <c r="G2733" s="64"/>
    </row>
    <row r="2734" spans="2:7" ht="32.25" customHeight="1" x14ac:dyDescent="0.25">
      <c r="B2734" s="64"/>
      <c r="C2734" s="64"/>
      <c r="D2734" s="64"/>
      <c r="E2734" s="64"/>
      <c r="F2734" s="64"/>
      <c r="G2734" s="64"/>
    </row>
    <row r="2735" spans="2:7" ht="32.25" customHeight="1" x14ac:dyDescent="0.25">
      <c r="B2735" s="64"/>
      <c r="C2735" s="64"/>
      <c r="D2735" s="64"/>
      <c r="E2735" s="64"/>
      <c r="F2735" s="64"/>
      <c r="G2735" s="64"/>
    </row>
    <row r="2736" spans="2:7" ht="32.25" customHeight="1" x14ac:dyDescent="0.25">
      <c r="B2736" s="64"/>
      <c r="C2736" s="64"/>
      <c r="D2736" s="64"/>
      <c r="E2736" s="64"/>
      <c r="F2736" s="64"/>
      <c r="G2736" s="64"/>
    </row>
    <row r="2737" spans="2:7" ht="32.25" customHeight="1" x14ac:dyDescent="0.25">
      <c r="B2737" s="64"/>
      <c r="C2737" s="64"/>
      <c r="D2737" s="64"/>
      <c r="E2737" s="64"/>
      <c r="F2737" s="64"/>
      <c r="G2737" s="64"/>
    </row>
    <row r="2738" spans="2:7" ht="32.25" customHeight="1" x14ac:dyDescent="0.25">
      <c r="B2738" s="64"/>
      <c r="C2738" s="64"/>
      <c r="D2738" s="64"/>
      <c r="E2738" s="64"/>
      <c r="F2738" s="64"/>
      <c r="G2738" s="64"/>
    </row>
    <row r="2739" spans="2:7" ht="32.25" customHeight="1" x14ac:dyDescent="0.25">
      <c r="B2739" s="64"/>
      <c r="C2739" s="64"/>
      <c r="D2739" s="64"/>
      <c r="E2739" s="64"/>
      <c r="F2739" s="64"/>
      <c r="G2739" s="64"/>
    </row>
    <row r="2740" spans="2:7" ht="32.25" customHeight="1" x14ac:dyDescent="0.25">
      <c r="B2740" s="64"/>
      <c r="C2740" s="64"/>
      <c r="D2740" s="64"/>
      <c r="E2740" s="64"/>
      <c r="F2740" s="64"/>
      <c r="G2740" s="64"/>
    </row>
    <row r="2741" spans="2:7" ht="32.25" customHeight="1" x14ac:dyDescent="0.25">
      <c r="B2741" s="64"/>
      <c r="C2741" s="64"/>
      <c r="D2741" s="64"/>
      <c r="E2741" s="64"/>
      <c r="F2741" s="64"/>
      <c r="G2741" s="64"/>
    </row>
    <row r="2742" spans="2:7" ht="32.25" customHeight="1" x14ac:dyDescent="0.25">
      <c r="B2742" s="64"/>
      <c r="C2742" s="64"/>
      <c r="D2742" s="64"/>
      <c r="E2742" s="64"/>
      <c r="F2742" s="64"/>
      <c r="G2742" s="64"/>
    </row>
    <row r="2743" spans="2:7" ht="32.25" customHeight="1" x14ac:dyDescent="0.25">
      <c r="B2743" s="64"/>
      <c r="C2743" s="64"/>
      <c r="D2743" s="64"/>
      <c r="E2743" s="64"/>
      <c r="F2743" s="64"/>
      <c r="G2743" s="64"/>
    </row>
    <row r="2744" spans="2:7" ht="32.25" customHeight="1" x14ac:dyDescent="0.25">
      <c r="B2744" s="64"/>
      <c r="C2744" s="64"/>
      <c r="D2744" s="64"/>
      <c r="E2744" s="64"/>
      <c r="F2744" s="64"/>
      <c r="G2744" s="64"/>
    </row>
    <row r="2745" spans="2:7" ht="32.25" customHeight="1" x14ac:dyDescent="0.25">
      <c r="B2745" s="64"/>
      <c r="C2745" s="64"/>
      <c r="D2745" s="64"/>
      <c r="E2745" s="64"/>
      <c r="F2745" s="64"/>
      <c r="G2745" s="64"/>
    </row>
    <row r="2746" spans="2:7" ht="32.25" customHeight="1" x14ac:dyDescent="0.25">
      <c r="B2746" s="64"/>
      <c r="C2746" s="64"/>
      <c r="D2746" s="64"/>
      <c r="E2746" s="64"/>
      <c r="F2746" s="64"/>
      <c r="G2746" s="64"/>
    </row>
    <row r="2747" spans="2:7" ht="32.25" customHeight="1" x14ac:dyDescent="0.25">
      <c r="B2747" s="64"/>
      <c r="C2747" s="64"/>
      <c r="D2747" s="64"/>
      <c r="E2747" s="64"/>
      <c r="F2747" s="64"/>
      <c r="G2747" s="64"/>
    </row>
    <row r="2748" spans="2:7" ht="32.25" customHeight="1" x14ac:dyDescent="0.25">
      <c r="B2748" s="64"/>
      <c r="C2748" s="64"/>
      <c r="D2748" s="64"/>
      <c r="E2748" s="64"/>
      <c r="F2748" s="64"/>
      <c r="G2748" s="64"/>
    </row>
    <row r="2749" spans="2:7" ht="32.25" customHeight="1" x14ac:dyDescent="0.25">
      <c r="B2749" s="64"/>
      <c r="C2749" s="64"/>
      <c r="D2749" s="64"/>
      <c r="E2749" s="64"/>
      <c r="F2749" s="64"/>
      <c r="G2749" s="64"/>
    </row>
    <row r="2750" spans="2:7" ht="32.25" customHeight="1" x14ac:dyDescent="0.25">
      <c r="B2750" s="64"/>
      <c r="C2750" s="64"/>
      <c r="D2750" s="64"/>
      <c r="E2750" s="64"/>
      <c r="F2750" s="64"/>
      <c r="G2750" s="64"/>
    </row>
    <row r="2751" spans="2:7" ht="32.25" customHeight="1" x14ac:dyDescent="0.25">
      <c r="B2751" s="64"/>
      <c r="C2751" s="64"/>
      <c r="D2751" s="64"/>
      <c r="E2751" s="64"/>
      <c r="F2751" s="64"/>
      <c r="G2751" s="64"/>
    </row>
    <row r="2752" spans="2:7" ht="32.25" customHeight="1" x14ac:dyDescent="0.25">
      <c r="B2752" s="64"/>
      <c r="C2752" s="64"/>
      <c r="D2752" s="64"/>
      <c r="E2752" s="64"/>
      <c r="F2752" s="64"/>
      <c r="G2752" s="64"/>
    </row>
    <row r="2753" spans="2:7" ht="32.25" customHeight="1" x14ac:dyDescent="0.25">
      <c r="B2753" s="64"/>
      <c r="C2753" s="64"/>
      <c r="D2753" s="64"/>
      <c r="E2753" s="64"/>
      <c r="F2753" s="64"/>
      <c r="G2753" s="64"/>
    </row>
    <row r="2754" spans="2:7" ht="32.25" customHeight="1" x14ac:dyDescent="0.25">
      <c r="B2754" s="64"/>
      <c r="C2754" s="64"/>
      <c r="D2754" s="64"/>
      <c r="E2754" s="64"/>
      <c r="F2754" s="64"/>
      <c r="G2754" s="64"/>
    </row>
    <row r="2755" spans="2:7" ht="32.25" customHeight="1" x14ac:dyDescent="0.25">
      <c r="B2755" s="64"/>
      <c r="C2755" s="64"/>
      <c r="D2755" s="64"/>
      <c r="E2755" s="64"/>
      <c r="F2755" s="64"/>
      <c r="G2755" s="64"/>
    </row>
    <row r="2756" spans="2:7" ht="32.25" customHeight="1" x14ac:dyDescent="0.25">
      <c r="B2756" s="64"/>
      <c r="C2756" s="64"/>
      <c r="D2756" s="64"/>
      <c r="E2756" s="64"/>
      <c r="F2756" s="64"/>
      <c r="G2756" s="64"/>
    </row>
    <row r="2757" spans="2:7" ht="32.25" customHeight="1" x14ac:dyDescent="0.25">
      <c r="B2757" s="64"/>
      <c r="C2757" s="64"/>
      <c r="D2757" s="64"/>
      <c r="E2757" s="64"/>
      <c r="F2757" s="64"/>
      <c r="G2757" s="64"/>
    </row>
    <row r="2758" spans="2:7" ht="32.25" customHeight="1" x14ac:dyDescent="0.25">
      <c r="B2758" s="64"/>
      <c r="C2758" s="64"/>
      <c r="D2758" s="64"/>
      <c r="E2758" s="64"/>
      <c r="F2758" s="64"/>
      <c r="G2758" s="64"/>
    </row>
    <row r="2759" spans="2:7" ht="32.25" customHeight="1" x14ac:dyDescent="0.25">
      <c r="B2759" s="64"/>
      <c r="C2759" s="64"/>
      <c r="D2759" s="64"/>
      <c r="E2759" s="64"/>
      <c r="F2759" s="64"/>
      <c r="G2759" s="64"/>
    </row>
    <row r="2760" spans="2:7" ht="32.25" customHeight="1" x14ac:dyDescent="0.25">
      <c r="B2760" s="64"/>
      <c r="C2760" s="64"/>
      <c r="D2760" s="64"/>
      <c r="E2760" s="64"/>
      <c r="F2760" s="64"/>
      <c r="G2760" s="64"/>
    </row>
    <row r="2761" spans="2:7" ht="32.25" customHeight="1" x14ac:dyDescent="0.25">
      <c r="B2761" s="64"/>
      <c r="C2761" s="64"/>
      <c r="D2761" s="64"/>
      <c r="E2761" s="64"/>
      <c r="F2761" s="64"/>
      <c r="G2761" s="64"/>
    </row>
    <row r="2762" spans="2:7" ht="32.25" customHeight="1" x14ac:dyDescent="0.25">
      <c r="B2762" s="64"/>
      <c r="C2762" s="64"/>
      <c r="D2762" s="64"/>
      <c r="E2762" s="64"/>
      <c r="F2762" s="64"/>
      <c r="G2762" s="64"/>
    </row>
    <row r="2763" spans="2:7" ht="32.25" customHeight="1" x14ac:dyDescent="0.25">
      <c r="B2763" s="64"/>
      <c r="C2763" s="64"/>
      <c r="D2763" s="64"/>
      <c r="E2763" s="64"/>
      <c r="F2763" s="64"/>
      <c r="G2763" s="64"/>
    </row>
    <row r="2764" spans="2:7" ht="32.25" customHeight="1" x14ac:dyDescent="0.25">
      <c r="B2764" s="64"/>
      <c r="C2764" s="64"/>
      <c r="D2764" s="64"/>
      <c r="E2764" s="64"/>
      <c r="F2764" s="64"/>
      <c r="G2764" s="64"/>
    </row>
    <row r="2765" spans="2:7" ht="32.25" customHeight="1" x14ac:dyDescent="0.25">
      <c r="B2765" s="64"/>
      <c r="C2765" s="64"/>
      <c r="D2765" s="64"/>
      <c r="E2765" s="64"/>
      <c r="F2765" s="64"/>
      <c r="G2765" s="64"/>
    </row>
    <row r="2766" spans="2:7" ht="32.25" customHeight="1" x14ac:dyDescent="0.25">
      <c r="B2766" s="64"/>
      <c r="C2766" s="64"/>
      <c r="D2766" s="64"/>
      <c r="E2766" s="64"/>
      <c r="F2766" s="64"/>
      <c r="G2766" s="64"/>
    </row>
    <row r="2767" spans="2:7" ht="32.25" customHeight="1" x14ac:dyDescent="0.25">
      <c r="B2767" s="64"/>
      <c r="C2767" s="64"/>
      <c r="D2767" s="64"/>
      <c r="E2767" s="64"/>
      <c r="F2767" s="64"/>
      <c r="G2767" s="64"/>
    </row>
    <row r="2768" spans="2:7" ht="32.25" customHeight="1" x14ac:dyDescent="0.25">
      <c r="B2768" s="64"/>
      <c r="C2768" s="64"/>
      <c r="D2768" s="64"/>
      <c r="E2768" s="64"/>
      <c r="F2768" s="64"/>
      <c r="G2768" s="64"/>
    </row>
    <row r="2769" spans="2:7" ht="32.25" customHeight="1" x14ac:dyDescent="0.25">
      <c r="B2769" s="64"/>
      <c r="C2769" s="64"/>
      <c r="D2769" s="64"/>
      <c r="E2769" s="64"/>
      <c r="F2769" s="64"/>
      <c r="G2769" s="64"/>
    </row>
    <row r="2770" spans="2:7" ht="32.25" customHeight="1" x14ac:dyDescent="0.25">
      <c r="B2770" s="64"/>
      <c r="C2770" s="64"/>
      <c r="D2770" s="64"/>
      <c r="E2770" s="64"/>
      <c r="F2770" s="64"/>
      <c r="G2770" s="64"/>
    </row>
    <row r="2771" spans="2:7" ht="32.25" customHeight="1" x14ac:dyDescent="0.25">
      <c r="B2771" s="64"/>
      <c r="C2771" s="64"/>
      <c r="D2771" s="64"/>
      <c r="E2771" s="64"/>
      <c r="F2771" s="64"/>
      <c r="G2771" s="64"/>
    </row>
    <row r="2772" spans="2:7" ht="32.25" customHeight="1" x14ac:dyDescent="0.25">
      <c r="B2772" s="64"/>
      <c r="C2772" s="64"/>
      <c r="D2772" s="64"/>
      <c r="E2772" s="64"/>
      <c r="F2772" s="64"/>
      <c r="G2772" s="64"/>
    </row>
    <row r="2773" spans="2:7" ht="32.25" customHeight="1" x14ac:dyDescent="0.25">
      <c r="B2773" s="64"/>
      <c r="C2773" s="64"/>
      <c r="D2773" s="64"/>
      <c r="E2773" s="64"/>
      <c r="F2773" s="64"/>
      <c r="G2773" s="64"/>
    </row>
    <row r="2774" spans="2:7" ht="32.25" customHeight="1" x14ac:dyDescent="0.25">
      <c r="B2774" s="64"/>
      <c r="C2774" s="64"/>
      <c r="D2774" s="64"/>
      <c r="E2774" s="64"/>
      <c r="F2774" s="64"/>
      <c r="G2774" s="64"/>
    </row>
    <row r="2775" spans="2:7" ht="32.25" customHeight="1" x14ac:dyDescent="0.25">
      <c r="B2775" s="64"/>
      <c r="C2775" s="64"/>
      <c r="D2775" s="64"/>
      <c r="E2775" s="64"/>
      <c r="F2775" s="64"/>
      <c r="G2775" s="64"/>
    </row>
    <row r="2776" spans="2:7" ht="32.25" customHeight="1" x14ac:dyDescent="0.25">
      <c r="B2776" s="64"/>
      <c r="C2776" s="64"/>
      <c r="D2776" s="64"/>
      <c r="E2776" s="64"/>
      <c r="F2776" s="64"/>
      <c r="G2776" s="64"/>
    </row>
    <row r="2777" spans="2:7" ht="32.25" customHeight="1" x14ac:dyDescent="0.25">
      <c r="B2777" s="64"/>
      <c r="C2777" s="64"/>
      <c r="D2777" s="64"/>
      <c r="E2777" s="64"/>
      <c r="F2777" s="64"/>
      <c r="G2777" s="64"/>
    </row>
    <row r="2778" spans="2:7" ht="32.25" customHeight="1" x14ac:dyDescent="0.25">
      <c r="B2778" s="64"/>
      <c r="C2778" s="64"/>
      <c r="D2778" s="64"/>
      <c r="E2778" s="64"/>
      <c r="F2778" s="64"/>
      <c r="G2778" s="64"/>
    </row>
    <row r="2779" spans="2:7" ht="32.25" customHeight="1" x14ac:dyDescent="0.25">
      <c r="B2779" s="64"/>
      <c r="C2779" s="64"/>
      <c r="D2779" s="64"/>
      <c r="E2779" s="64"/>
      <c r="F2779" s="64"/>
      <c r="G2779" s="64"/>
    </row>
    <row r="2780" spans="2:7" ht="32.25" customHeight="1" x14ac:dyDescent="0.25">
      <c r="B2780" s="64"/>
      <c r="C2780" s="64"/>
      <c r="D2780" s="64"/>
      <c r="E2780" s="64"/>
      <c r="F2780" s="64"/>
      <c r="G2780" s="64"/>
    </row>
    <row r="2781" spans="2:7" ht="32.25" customHeight="1" x14ac:dyDescent="0.25">
      <c r="B2781" s="64"/>
      <c r="C2781" s="64"/>
      <c r="D2781" s="64"/>
      <c r="E2781" s="64"/>
      <c r="F2781" s="64"/>
      <c r="G2781" s="64"/>
    </row>
    <row r="2782" spans="2:7" ht="32.25" customHeight="1" x14ac:dyDescent="0.25">
      <c r="B2782" s="64"/>
      <c r="C2782" s="64"/>
      <c r="D2782" s="64"/>
      <c r="E2782" s="64"/>
      <c r="F2782" s="64"/>
      <c r="G2782" s="64"/>
    </row>
    <row r="2783" spans="2:7" ht="32.25" customHeight="1" x14ac:dyDescent="0.25">
      <c r="B2783" s="64"/>
      <c r="C2783" s="64"/>
      <c r="D2783" s="64"/>
      <c r="E2783" s="64"/>
      <c r="F2783" s="64"/>
      <c r="G2783" s="64"/>
    </row>
    <row r="2784" spans="2:7" ht="32.25" customHeight="1" x14ac:dyDescent="0.25">
      <c r="B2784" s="64"/>
      <c r="C2784" s="64"/>
      <c r="D2784" s="64"/>
      <c r="E2784" s="64"/>
      <c r="F2784" s="64"/>
      <c r="G2784" s="64"/>
    </row>
    <row r="2785" spans="2:7" ht="32.25" customHeight="1" x14ac:dyDescent="0.25">
      <c r="B2785" s="64"/>
      <c r="C2785" s="64"/>
      <c r="D2785" s="64"/>
      <c r="E2785" s="64"/>
      <c r="F2785" s="64"/>
      <c r="G2785" s="64"/>
    </row>
    <row r="2786" spans="2:7" ht="32.25" customHeight="1" x14ac:dyDescent="0.25">
      <c r="B2786" s="64"/>
      <c r="C2786" s="64"/>
      <c r="D2786" s="64"/>
      <c r="E2786" s="64"/>
      <c r="F2786" s="64"/>
      <c r="G2786" s="64"/>
    </row>
    <row r="2787" spans="2:7" ht="32.25" customHeight="1" x14ac:dyDescent="0.25">
      <c r="B2787" s="64"/>
      <c r="C2787" s="64"/>
      <c r="D2787" s="64"/>
      <c r="E2787" s="64"/>
      <c r="F2787" s="64"/>
      <c r="G2787" s="64"/>
    </row>
    <row r="2788" spans="2:7" ht="32.25" customHeight="1" x14ac:dyDescent="0.25">
      <c r="B2788" s="64"/>
      <c r="C2788" s="64"/>
      <c r="D2788" s="64"/>
      <c r="E2788" s="64"/>
      <c r="F2788" s="64"/>
      <c r="G2788" s="64"/>
    </row>
    <row r="2789" spans="2:7" ht="32.25" customHeight="1" x14ac:dyDescent="0.25">
      <c r="B2789" s="64"/>
      <c r="C2789" s="64"/>
      <c r="D2789" s="64"/>
      <c r="E2789" s="64"/>
      <c r="F2789" s="64"/>
      <c r="G2789" s="64"/>
    </row>
    <row r="2790" spans="2:7" ht="32.25" customHeight="1" x14ac:dyDescent="0.25">
      <c r="B2790" s="64"/>
      <c r="C2790" s="64"/>
      <c r="D2790" s="64"/>
      <c r="E2790" s="64"/>
      <c r="F2790" s="64"/>
      <c r="G2790" s="64"/>
    </row>
    <row r="2791" spans="2:7" ht="32.25" customHeight="1" x14ac:dyDescent="0.25">
      <c r="B2791" s="64"/>
      <c r="C2791" s="64"/>
      <c r="D2791" s="64"/>
      <c r="E2791" s="64"/>
      <c r="F2791" s="64"/>
      <c r="G2791" s="64"/>
    </row>
    <row r="2792" spans="2:7" ht="32.25" customHeight="1" x14ac:dyDescent="0.25">
      <c r="B2792" s="64"/>
      <c r="C2792" s="64"/>
      <c r="D2792" s="64"/>
      <c r="E2792" s="64"/>
      <c r="F2792" s="64"/>
      <c r="G2792" s="64"/>
    </row>
    <row r="2793" spans="2:7" ht="32.25" customHeight="1" x14ac:dyDescent="0.25">
      <c r="B2793" s="64"/>
      <c r="C2793" s="64"/>
      <c r="D2793" s="64"/>
      <c r="E2793" s="64"/>
      <c r="F2793" s="64"/>
      <c r="G2793" s="64"/>
    </row>
    <row r="2794" spans="2:7" ht="32.25" customHeight="1" x14ac:dyDescent="0.25">
      <c r="B2794" s="64"/>
      <c r="C2794" s="64"/>
      <c r="D2794" s="64"/>
      <c r="E2794" s="64"/>
      <c r="F2794" s="64"/>
      <c r="G2794" s="64"/>
    </row>
    <row r="2795" spans="2:7" ht="32.25" customHeight="1" x14ac:dyDescent="0.25">
      <c r="B2795" s="64"/>
      <c r="C2795" s="64"/>
      <c r="D2795" s="64"/>
      <c r="E2795" s="64"/>
      <c r="F2795" s="64"/>
      <c r="G2795" s="64"/>
    </row>
    <row r="2796" spans="2:7" ht="32.25" customHeight="1" x14ac:dyDescent="0.25">
      <c r="B2796" s="64"/>
      <c r="C2796" s="64"/>
      <c r="D2796" s="64"/>
      <c r="E2796" s="64"/>
      <c r="F2796" s="64"/>
      <c r="G2796" s="64"/>
    </row>
    <row r="2797" spans="2:7" ht="32.25" customHeight="1" x14ac:dyDescent="0.25">
      <c r="B2797" s="64"/>
      <c r="C2797" s="64"/>
      <c r="D2797" s="64"/>
      <c r="E2797" s="64"/>
      <c r="F2797" s="64"/>
      <c r="G2797" s="64"/>
    </row>
    <row r="2798" spans="2:7" ht="32.25" customHeight="1" x14ac:dyDescent="0.25">
      <c r="B2798" s="64"/>
      <c r="C2798" s="64"/>
      <c r="D2798" s="64"/>
      <c r="E2798" s="64"/>
      <c r="F2798" s="64"/>
      <c r="G2798" s="64"/>
    </row>
    <row r="2799" spans="2:7" ht="32.25" customHeight="1" x14ac:dyDescent="0.25">
      <c r="B2799" s="64"/>
      <c r="C2799" s="64"/>
      <c r="D2799" s="64"/>
      <c r="E2799" s="64"/>
      <c r="F2799" s="64"/>
      <c r="G2799" s="64"/>
    </row>
    <row r="2800" spans="2:7" ht="32.25" customHeight="1" x14ac:dyDescent="0.25">
      <c r="B2800" s="64"/>
      <c r="C2800" s="64"/>
      <c r="D2800" s="64"/>
      <c r="E2800" s="64"/>
      <c r="F2800" s="64"/>
      <c r="G2800" s="64"/>
    </row>
    <row r="2801" spans="2:7" ht="32.25" customHeight="1" x14ac:dyDescent="0.25">
      <c r="B2801" s="64"/>
      <c r="C2801" s="64"/>
      <c r="D2801" s="64"/>
      <c r="E2801" s="64"/>
      <c r="F2801" s="64"/>
      <c r="G2801" s="64"/>
    </row>
    <row r="2802" spans="2:7" ht="32.25" customHeight="1" x14ac:dyDescent="0.25">
      <c r="B2802" s="64"/>
      <c r="C2802" s="64"/>
      <c r="D2802" s="64"/>
      <c r="E2802" s="64"/>
      <c r="F2802" s="64"/>
      <c r="G2802" s="64"/>
    </row>
    <row r="2803" spans="2:7" ht="32.25" customHeight="1" x14ac:dyDescent="0.25">
      <c r="B2803" s="64"/>
      <c r="C2803" s="64"/>
      <c r="D2803" s="64"/>
      <c r="E2803" s="64"/>
      <c r="F2803" s="64"/>
      <c r="G2803" s="64"/>
    </row>
    <row r="2804" spans="2:7" ht="32.25" customHeight="1" x14ac:dyDescent="0.25">
      <c r="B2804" s="64"/>
      <c r="C2804" s="64"/>
      <c r="D2804" s="64"/>
      <c r="E2804" s="64"/>
      <c r="F2804" s="64"/>
      <c r="G2804" s="64"/>
    </row>
    <row r="2805" spans="2:7" ht="32.25" customHeight="1" x14ac:dyDescent="0.25">
      <c r="B2805" s="64"/>
      <c r="C2805" s="64"/>
      <c r="D2805" s="64"/>
      <c r="E2805" s="64"/>
      <c r="F2805" s="64"/>
      <c r="G2805" s="64"/>
    </row>
    <row r="2806" spans="2:7" ht="32.25" customHeight="1" x14ac:dyDescent="0.25">
      <c r="B2806" s="64"/>
      <c r="C2806" s="64"/>
      <c r="D2806" s="64"/>
      <c r="E2806" s="64"/>
      <c r="F2806" s="64"/>
      <c r="G2806" s="64"/>
    </row>
    <row r="2807" spans="2:7" ht="32.25" customHeight="1" x14ac:dyDescent="0.25">
      <c r="B2807" s="64"/>
      <c r="C2807" s="64"/>
      <c r="D2807" s="64"/>
      <c r="E2807" s="64"/>
      <c r="F2807" s="64"/>
      <c r="G2807" s="64"/>
    </row>
    <row r="2808" spans="2:7" ht="32.25" customHeight="1" x14ac:dyDescent="0.25">
      <c r="B2808" s="64"/>
      <c r="C2808" s="64"/>
      <c r="D2808" s="64"/>
      <c r="E2808" s="64"/>
      <c r="F2808" s="64"/>
      <c r="G2808" s="64"/>
    </row>
    <row r="2809" spans="2:7" ht="32.25" customHeight="1" x14ac:dyDescent="0.25">
      <c r="B2809" s="64"/>
      <c r="C2809" s="64"/>
      <c r="D2809" s="64"/>
      <c r="E2809" s="64"/>
      <c r="F2809" s="64"/>
      <c r="G2809" s="64"/>
    </row>
    <row r="2810" spans="2:7" ht="32.25" customHeight="1" x14ac:dyDescent="0.25">
      <c r="B2810" s="64"/>
      <c r="C2810" s="64"/>
      <c r="D2810" s="64"/>
      <c r="E2810" s="64"/>
      <c r="F2810" s="64"/>
      <c r="G2810" s="64"/>
    </row>
    <row r="2811" spans="2:7" ht="32.25" customHeight="1" x14ac:dyDescent="0.25">
      <c r="B2811" s="64"/>
      <c r="C2811" s="64"/>
      <c r="D2811" s="64"/>
      <c r="E2811" s="64"/>
      <c r="F2811" s="64"/>
      <c r="G2811" s="64"/>
    </row>
    <row r="2812" spans="2:7" ht="32.25" customHeight="1" x14ac:dyDescent="0.25">
      <c r="B2812" s="64"/>
      <c r="C2812" s="64"/>
      <c r="D2812" s="64"/>
      <c r="E2812" s="64"/>
      <c r="F2812" s="64"/>
      <c r="G2812" s="64"/>
    </row>
    <row r="2813" spans="2:7" ht="32.25" customHeight="1" x14ac:dyDescent="0.25">
      <c r="B2813" s="64"/>
      <c r="C2813" s="64"/>
      <c r="D2813" s="64"/>
      <c r="E2813" s="64"/>
      <c r="F2813" s="64"/>
      <c r="G2813" s="64"/>
    </row>
    <row r="2814" spans="2:7" ht="32.25" customHeight="1" x14ac:dyDescent="0.25">
      <c r="B2814" s="64"/>
      <c r="C2814" s="64"/>
      <c r="D2814" s="64"/>
      <c r="E2814" s="64"/>
      <c r="F2814" s="64"/>
      <c r="G2814" s="64"/>
    </row>
    <row r="2815" spans="2:7" ht="32.25" customHeight="1" x14ac:dyDescent="0.25">
      <c r="B2815" s="64"/>
      <c r="C2815" s="64"/>
      <c r="D2815" s="64"/>
      <c r="E2815" s="64"/>
      <c r="F2815" s="64"/>
      <c r="G2815" s="64"/>
    </row>
    <row r="2816" spans="2:7" ht="32.25" customHeight="1" x14ac:dyDescent="0.25">
      <c r="B2816" s="64"/>
      <c r="C2816" s="64"/>
      <c r="D2816" s="64"/>
      <c r="E2816" s="64"/>
      <c r="F2816" s="64"/>
      <c r="G2816" s="64"/>
    </row>
    <row r="2817" spans="2:7" ht="32.25" customHeight="1" x14ac:dyDescent="0.25">
      <c r="B2817" s="64"/>
      <c r="C2817" s="64"/>
      <c r="D2817" s="64"/>
      <c r="E2817" s="64"/>
      <c r="F2817" s="64"/>
      <c r="G2817" s="64"/>
    </row>
    <row r="2818" spans="2:7" ht="32.25" customHeight="1" x14ac:dyDescent="0.25">
      <c r="B2818" s="64"/>
      <c r="C2818" s="64"/>
      <c r="D2818" s="64"/>
      <c r="E2818" s="64"/>
      <c r="F2818" s="64"/>
      <c r="G2818" s="64"/>
    </row>
    <row r="2819" spans="2:7" ht="32.25" customHeight="1" x14ac:dyDescent="0.25">
      <c r="B2819" s="64"/>
      <c r="C2819" s="64"/>
      <c r="D2819" s="64"/>
      <c r="E2819" s="64"/>
      <c r="F2819" s="64"/>
      <c r="G2819" s="64"/>
    </row>
    <row r="2820" spans="2:7" ht="32.25" customHeight="1" x14ac:dyDescent="0.25">
      <c r="B2820" s="64"/>
      <c r="C2820" s="64"/>
      <c r="D2820" s="64"/>
      <c r="E2820" s="64"/>
      <c r="F2820" s="64"/>
      <c r="G2820" s="64"/>
    </row>
    <row r="2821" spans="2:7" ht="32.25" customHeight="1" x14ac:dyDescent="0.25">
      <c r="B2821" s="64"/>
      <c r="C2821" s="64"/>
      <c r="D2821" s="64"/>
      <c r="E2821" s="64"/>
      <c r="F2821" s="64"/>
      <c r="G2821" s="64"/>
    </row>
    <row r="2822" spans="2:7" ht="32.25" customHeight="1" x14ac:dyDescent="0.25">
      <c r="B2822" s="64"/>
      <c r="C2822" s="64"/>
      <c r="D2822" s="64"/>
      <c r="E2822" s="64"/>
      <c r="F2822" s="64"/>
      <c r="G2822" s="64"/>
    </row>
    <row r="2823" spans="2:7" ht="32.25" customHeight="1" x14ac:dyDescent="0.25">
      <c r="B2823" s="64"/>
      <c r="C2823" s="64"/>
      <c r="D2823" s="64"/>
      <c r="E2823" s="64"/>
      <c r="F2823" s="64"/>
      <c r="G2823" s="64"/>
    </row>
    <row r="2824" spans="2:7" ht="32.25" customHeight="1" x14ac:dyDescent="0.25">
      <c r="B2824" s="64"/>
      <c r="C2824" s="64"/>
      <c r="D2824" s="64"/>
      <c r="E2824" s="64"/>
      <c r="F2824" s="64"/>
      <c r="G2824" s="64"/>
    </row>
    <row r="2825" spans="2:7" ht="32.25" customHeight="1" x14ac:dyDescent="0.25">
      <c r="B2825" s="64"/>
      <c r="C2825" s="64"/>
      <c r="D2825" s="64"/>
      <c r="E2825" s="64"/>
      <c r="F2825" s="64"/>
      <c r="G2825" s="64"/>
    </row>
    <row r="2826" spans="2:7" ht="32.25" customHeight="1" x14ac:dyDescent="0.25">
      <c r="B2826" s="64"/>
      <c r="C2826" s="64"/>
      <c r="D2826" s="64"/>
      <c r="E2826" s="64"/>
      <c r="F2826" s="64"/>
      <c r="G2826" s="64"/>
    </row>
    <row r="2827" spans="2:7" ht="32.25" customHeight="1" x14ac:dyDescent="0.25">
      <c r="B2827" s="64"/>
      <c r="C2827" s="64"/>
      <c r="D2827" s="64"/>
      <c r="E2827" s="64"/>
      <c r="F2827" s="64"/>
      <c r="G2827" s="64"/>
    </row>
    <row r="2828" spans="2:7" ht="32.25" customHeight="1" x14ac:dyDescent="0.25">
      <c r="B2828" s="64"/>
      <c r="C2828" s="64"/>
      <c r="D2828" s="64"/>
      <c r="E2828" s="64"/>
      <c r="F2828" s="64"/>
      <c r="G2828" s="64"/>
    </row>
    <row r="2829" spans="2:7" ht="32.25" customHeight="1" x14ac:dyDescent="0.25">
      <c r="B2829" s="64"/>
      <c r="C2829" s="64"/>
      <c r="D2829" s="64"/>
      <c r="E2829" s="64"/>
      <c r="F2829" s="64"/>
      <c r="G2829" s="64"/>
    </row>
    <row r="2830" spans="2:7" ht="32.25" customHeight="1" x14ac:dyDescent="0.25">
      <c r="B2830" s="64"/>
      <c r="C2830" s="64"/>
      <c r="D2830" s="64"/>
      <c r="E2830" s="64"/>
      <c r="F2830" s="64"/>
      <c r="G2830" s="64"/>
    </row>
    <row r="2831" spans="2:7" ht="32.25" customHeight="1" x14ac:dyDescent="0.25">
      <c r="B2831" s="64"/>
      <c r="C2831" s="64"/>
      <c r="D2831" s="64"/>
      <c r="E2831" s="64"/>
      <c r="F2831" s="64"/>
      <c r="G2831" s="64"/>
    </row>
    <row r="2832" spans="2:7" ht="32.25" customHeight="1" x14ac:dyDescent="0.25">
      <c r="B2832" s="64"/>
      <c r="C2832" s="64"/>
      <c r="D2832" s="64"/>
      <c r="E2832" s="64"/>
      <c r="F2832" s="64"/>
      <c r="G2832" s="64"/>
    </row>
    <row r="2833" spans="2:7" ht="32.25" customHeight="1" x14ac:dyDescent="0.25">
      <c r="B2833" s="64"/>
      <c r="C2833" s="64"/>
      <c r="D2833" s="64"/>
      <c r="E2833" s="64"/>
      <c r="F2833" s="64"/>
      <c r="G2833" s="64"/>
    </row>
    <row r="2834" spans="2:7" ht="32.25" customHeight="1" x14ac:dyDescent="0.25">
      <c r="B2834" s="64"/>
      <c r="C2834" s="64"/>
      <c r="D2834" s="64"/>
      <c r="E2834" s="64"/>
      <c r="F2834" s="64"/>
      <c r="G2834" s="64"/>
    </row>
    <row r="2835" spans="2:7" ht="32.25" customHeight="1" x14ac:dyDescent="0.25">
      <c r="B2835" s="64"/>
      <c r="C2835" s="64"/>
      <c r="D2835" s="64"/>
      <c r="E2835" s="64"/>
      <c r="F2835" s="64"/>
      <c r="G2835" s="64"/>
    </row>
    <row r="2836" spans="2:7" ht="32.25" customHeight="1" x14ac:dyDescent="0.25">
      <c r="B2836" s="64"/>
      <c r="C2836" s="64"/>
      <c r="D2836" s="64"/>
      <c r="E2836" s="64"/>
      <c r="F2836" s="64"/>
      <c r="G2836" s="64"/>
    </row>
    <row r="2837" spans="2:7" ht="32.25" customHeight="1" x14ac:dyDescent="0.25">
      <c r="B2837" s="64"/>
      <c r="C2837" s="64"/>
      <c r="D2837" s="64"/>
      <c r="E2837" s="64"/>
      <c r="F2837" s="64"/>
      <c r="G2837" s="64"/>
    </row>
    <row r="2838" spans="2:7" ht="32.25" customHeight="1" x14ac:dyDescent="0.25">
      <c r="B2838" s="64"/>
      <c r="C2838" s="64"/>
      <c r="D2838" s="64"/>
      <c r="E2838" s="64"/>
      <c r="F2838" s="64"/>
      <c r="G2838" s="64"/>
    </row>
    <row r="2839" spans="2:7" ht="32.25" customHeight="1" x14ac:dyDescent="0.25">
      <c r="B2839" s="64"/>
      <c r="C2839" s="64"/>
      <c r="D2839" s="64"/>
      <c r="E2839" s="64"/>
      <c r="F2839" s="64"/>
      <c r="G2839" s="64"/>
    </row>
    <row r="2840" spans="2:7" ht="32.25" customHeight="1" x14ac:dyDescent="0.25">
      <c r="B2840" s="64"/>
      <c r="C2840" s="64"/>
      <c r="D2840" s="64"/>
      <c r="E2840" s="64"/>
      <c r="F2840" s="64"/>
      <c r="G2840" s="64"/>
    </row>
    <row r="2841" spans="2:7" ht="32.25" customHeight="1" x14ac:dyDescent="0.25">
      <c r="B2841" s="64"/>
      <c r="C2841" s="64"/>
      <c r="D2841" s="64"/>
      <c r="E2841" s="64"/>
      <c r="F2841" s="64"/>
      <c r="G2841" s="64"/>
    </row>
    <row r="2842" spans="2:7" ht="32.25" customHeight="1" x14ac:dyDescent="0.25">
      <c r="B2842" s="64"/>
      <c r="C2842" s="64"/>
      <c r="D2842" s="64"/>
      <c r="E2842" s="64"/>
      <c r="F2842" s="64"/>
      <c r="G2842" s="64"/>
    </row>
    <row r="2843" spans="2:7" ht="32.25" customHeight="1" x14ac:dyDescent="0.25">
      <c r="B2843" s="64"/>
      <c r="C2843" s="64"/>
      <c r="D2843" s="64"/>
      <c r="E2843" s="64"/>
      <c r="F2843" s="64"/>
      <c r="G2843" s="64"/>
    </row>
    <row r="2844" spans="2:7" ht="32.25" customHeight="1" x14ac:dyDescent="0.25">
      <c r="B2844" s="64"/>
      <c r="C2844" s="64"/>
      <c r="D2844" s="64"/>
      <c r="E2844" s="64"/>
      <c r="F2844" s="64"/>
      <c r="G2844" s="64"/>
    </row>
    <row r="2845" spans="2:7" ht="32.25" customHeight="1" x14ac:dyDescent="0.25">
      <c r="B2845" s="64"/>
      <c r="C2845" s="64"/>
      <c r="D2845" s="64"/>
      <c r="E2845" s="64"/>
      <c r="F2845" s="64"/>
      <c r="G2845" s="64"/>
    </row>
    <row r="2846" spans="2:7" ht="32.25" customHeight="1" x14ac:dyDescent="0.25">
      <c r="B2846" s="64"/>
      <c r="C2846" s="64"/>
      <c r="D2846" s="64"/>
      <c r="E2846" s="64"/>
      <c r="F2846" s="64"/>
      <c r="G2846" s="64"/>
    </row>
    <row r="2847" spans="2:7" ht="32.25" customHeight="1" x14ac:dyDescent="0.25">
      <c r="B2847" s="64"/>
      <c r="C2847" s="64"/>
      <c r="D2847" s="64"/>
      <c r="E2847" s="64"/>
      <c r="F2847" s="64"/>
      <c r="G2847" s="64"/>
    </row>
    <row r="2848" spans="2:7" ht="32.25" customHeight="1" x14ac:dyDescent="0.25">
      <c r="B2848" s="64"/>
      <c r="C2848" s="64"/>
      <c r="D2848" s="64"/>
      <c r="E2848" s="64"/>
      <c r="F2848" s="64"/>
      <c r="G2848" s="64"/>
    </row>
    <row r="2849" spans="2:7" ht="32.25" customHeight="1" x14ac:dyDescent="0.25">
      <c r="B2849" s="64"/>
      <c r="C2849" s="64"/>
      <c r="D2849" s="64"/>
      <c r="E2849" s="64"/>
      <c r="F2849" s="64"/>
      <c r="G2849" s="64"/>
    </row>
    <row r="2850" spans="2:7" ht="32.25" customHeight="1" x14ac:dyDescent="0.25">
      <c r="B2850" s="64"/>
      <c r="C2850" s="64"/>
      <c r="D2850" s="64"/>
      <c r="E2850" s="64"/>
      <c r="F2850" s="64"/>
      <c r="G2850" s="64"/>
    </row>
    <row r="2851" spans="2:7" ht="32.25" customHeight="1" x14ac:dyDescent="0.25">
      <c r="B2851" s="64"/>
      <c r="C2851" s="64"/>
      <c r="D2851" s="64"/>
      <c r="E2851" s="64"/>
      <c r="F2851" s="64"/>
      <c r="G2851" s="64"/>
    </row>
    <row r="2852" spans="2:7" ht="32.25" customHeight="1" x14ac:dyDescent="0.25">
      <c r="B2852" s="64"/>
      <c r="C2852" s="64"/>
      <c r="D2852" s="64"/>
      <c r="E2852" s="64"/>
      <c r="F2852" s="64"/>
      <c r="G2852" s="64"/>
    </row>
    <row r="2853" spans="2:7" ht="32.25" customHeight="1" x14ac:dyDescent="0.25">
      <c r="B2853" s="64"/>
      <c r="C2853" s="64"/>
      <c r="D2853" s="64"/>
      <c r="E2853" s="64"/>
      <c r="F2853" s="64"/>
      <c r="G2853" s="64"/>
    </row>
    <row r="2854" spans="2:7" ht="32.25" customHeight="1" x14ac:dyDescent="0.25">
      <c r="B2854" s="64"/>
      <c r="C2854" s="64"/>
      <c r="D2854" s="64"/>
      <c r="E2854" s="64"/>
      <c r="F2854" s="64"/>
      <c r="G2854" s="64"/>
    </row>
    <row r="2855" spans="2:7" ht="32.25" customHeight="1" x14ac:dyDescent="0.25">
      <c r="B2855" s="64"/>
      <c r="C2855" s="64"/>
      <c r="D2855" s="64"/>
      <c r="E2855" s="64"/>
      <c r="F2855" s="64"/>
      <c r="G2855" s="64"/>
    </row>
    <row r="2856" spans="2:7" ht="32.25" customHeight="1" x14ac:dyDescent="0.25">
      <c r="B2856" s="64"/>
      <c r="C2856" s="64"/>
      <c r="D2856" s="64"/>
      <c r="E2856" s="64"/>
      <c r="F2856" s="64"/>
      <c r="G2856" s="64"/>
    </row>
    <row r="2857" spans="2:7" ht="32.25" customHeight="1" x14ac:dyDescent="0.25">
      <c r="B2857" s="64"/>
      <c r="C2857" s="64"/>
      <c r="D2857" s="64"/>
      <c r="E2857" s="64"/>
      <c r="F2857" s="64"/>
      <c r="G2857" s="64"/>
    </row>
    <row r="2858" spans="2:7" ht="32.25" customHeight="1" x14ac:dyDescent="0.25">
      <c r="B2858" s="64"/>
      <c r="C2858" s="64"/>
      <c r="D2858" s="64"/>
      <c r="E2858" s="64"/>
      <c r="F2858" s="64"/>
      <c r="G2858" s="64"/>
    </row>
    <row r="2859" spans="2:7" ht="32.25" customHeight="1" x14ac:dyDescent="0.25">
      <c r="B2859" s="64"/>
      <c r="C2859" s="64"/>
      <c r="D2859" s="64"/>
      <c r="E2859" s="64"/>
      <c r="F2859" s="64"/>
      <c r="G2859" s="64"/>
    </row>
    <row r="2860" spans="2:7" ht="32.25" customHeight="1" x14ac:dyDescent="0.25">
      <c r="B2860" s="64"/>
      <c r="C2860" s="64"/>
      <c r="D2860" s="64"/>
      <c r="E2860" s="64"/>
      <c r="F2860" s="64"/>
      <c r="G2860" s="64"/>
    </row>
    <row r="2861" spans="2:7" ht="32.25" customHeight="1" x14ac:dyDescent="0.25">
      <c r="B2861" s="64"/>
      <c r="C2861" s="64"/>
      <c r="D2861" s="64"/>
      <c r="E2861" s="64"/>
      <c r="F2861" s="64"/>
      <c r="G2861" s="64"/>
    </row>
    <row r="2862" spans="2:7" ht="32.25" customHeight="1" x14ac:dyDescent="0.25">
      <c r="B2862" s="64"/>
      <c r="C2862" s="64"/>
      <c r="D2862" s="64"/>
      <c r="E2862" s="64"/>
      <c r="F2862" s="64"/>
      <c r="G2862" s="64"/>
    </row>
    <row r="2863" spans="2:7" ht="32.25" customHeight="1" x14ac:dyDescent="0.25">
      <c r="B2863" s="64"/>
      <c r="C2863" s="64"/>
      <c r="D2863" s="64"/>
      <c r="E2863" s="64"/>
      <c r="F2863" s="64"/>
      <c r="G2863" s="64"/>
    </row>
    <row r="2864" spans="2:7" ht="32.25" customHeight="1" x14ac:dyDescent="0.25">
      <c r="B2864" s="64"/>
      <c r="C2864" s="64"/>
      <c r="D2864" s="64"/>
      <c r="E2864" s="64"/>
      <c r="F2864" s="64"/>
      <c r="G2864" s="64"/>
    </row>
    <row r="2865" spans="2:7" ht="32.25" customHeight="1" x14ac:dyDescent="0.25">
      <c r="B2865" s="64"/>
      <c r="C2865" s="64"/>
      <c r="D2865" s="64"/>
      <c r="E2865" s="64"/>
      <c r="F2865" s="64"/>
      <c r="G2865" s="64"/>
    </row>
    <row r="2866" spans="2:7" ht="32.25" customHeight="1" x14ac:dyDescent="0.25">
      <c r="B2866" s="64"/>
      <c r="C2866" s="64"/>
      <c r="D2866" s="64"/>
      <c r="E2866" s="64"/>
      <c r="F2866" s="64"/>
      <c r="G2866" s="64"/>
    </row>
    <row r="2867" spans="2:7" ht="32.25" customHeight="1" x14ac:dyDescent="0.25">
      <c r="B2867" s="64"/>
      <c r="C2867" s="64"/>
      <c r="D2867" s="64"/>
      <c r="E2867" s="64"/>
      <c r="F2867" s="64"/>
      <c r="G2867" s="64"/>
    </row>
    <row r="2868" spans="2:7" ht="32.25" customHeight="1" x14ac:dyDescent="0.25">
      <c r="B2868" s="64"/>
      <c r="C2868" s="64"/>
      <c r="D2868" s="64"/>
      <c r="E2868" s="64"/>
      <c r="F2868" s="64"/>
      <c r="G2868" s="64"/>
    </row>
    <row r="2869" spans="2:7" ht="32.25" customHeight="1" x14ac:dyDescent="0.25">
      <c r="B2869" s="64"/>
      <c r="C2869" s="64"/>
      <c r="D2869" s="64"/>
      <c r="E2869" s="64"/>
      <c r="F2869" s="64"/>
      <c r="G2869" s="64"/>
    </row>
    <row r="2870" spans="2:7" ht="32.25" customHeight="1" x14ac:dyDescent="0.25">
      <c r="B2870" s="64"/>
      <c r="C2870" s="64"/>
      <c r="D2870" s="64"/>
      <c r="E2870" s="64"/>
      <c r="F2870" s="64"/>
      <c r="G2870" s="64"/>
    </row>
    <row r="2871" spans="2:7" ht="32.25" customHeight="1" x14ac:dyDescent="0.25">
      <c r="B2871" s="64"/>
      <c r="C2871" s="64"/>
      <c r="D2871" s="64"/>
      <c r="E2871" s="64"/>
      <c r="F2871" s="64"/>
      <c r="G2871" s="64"/>
    </row>
    <row r="2872" spans="2:7" ht="32.25" customHeight="1" x14ac:dyDescent="0.25">
      <c r="B2872" s="64"/>
      <c r="C2872" s="64"/>
      <c r="D2872" s="64"/>
      <c r="E2872" s="64"/>
      <c r="F2872" s="64"/>
      <c r="G2872" s="64"/>
    </row>
    <row r="2873" spans="2:7" ht="32.25" customHeight="1" x14ac:dyDescent="0.25">
      <c r="B2873" s="64"/>
      <c r="C2873" s="64"/>
      <c r="D2873" s="64"/>
      <c r="E2873" s="64"/>
      <c r="F2873" s="64"/>
      <c r="G2873" s="64"/>
    </row>
    <row r="2874" spans="2:7" ht="32.25" customHeight="1" x14ac:dyDescent="0.25">
      <c r="B2874" s="64"/>
      <c r="C2874" s="64"/>
      <c r="D2874" s="64"/>
      <c r="E2874" s="64"/>
      <c r="F2874" s="64"/>
      <c r="G2874" s="64"/>
    </row>
    <row r="2875" spans="2:7" ht="32.25" customHeight="1" x14ac:dyDescent="0.25">
      <c r="B2875" s="64"/>
      <c r="C2875" s="64"/>
      <c r="D2875" s="64"/>
      <c r="E2875" s="64"/>
      <c r="F2875" s="64"/>
      <c r="G2875" s="64"/>
    </row>
    <row r="2876" spans="2:7" ht="32.25" customHeight="1" x14ac:dyDescent="0.25">
      <c r="B2876" s="64"/>
      <c r="C2876" s="64"/>
      <c r="D2876" s="64"/>
      <c r="E2876" s="64"/>
      <c r="F2876" s="64"/>
      <c r="G2876" s="64"/>
    </row>
    <row r="2877" spans="2:7" ht="32.25" customHeight="1" x14ac:dyDescent="0.25">
      <c r="B2877" s="64"/>
      <c r="C2877" s="64"/>
      <c r="D2877" s="64"/>
      <c r="E2877" s="64"/>
      <c r="F2877" s="64"/>
      <c r="G2877" s="64"/>
    </row>
    <row r="2878" spans="2:7" ht="32.25" customHeight="1" x14ac:dyDescent="0.25">
      <c r="B2878" s="64"/>
      <c r="C2878" s="64"/>
      <c r="D2878" s="64"/>
      <c r="E2878" s="64"/>
      <c r="F2878" s="64"/>
      <c r="G2878" s="64"/>
    </row>
    <row r="2879" spans="2:7" ht="32.25" customHeight="1" x14ac:dyDescent="0.25">
      <c r="B2879" s="64"/>
      <c r="C2879" s="64"/>
      <c r="D2879" s="64"/>
      <c r="E2879" s="64"/>
      <c r="F2879" s="64"/>
      <c r="G2879" s="64"/>
    </row>
    <row r="2880" spans="2:7" ht="32.25" customHeight="1" x14ac:dyDescent="0.25">
      <c r="B2880" s="64"/>
      <c r="C2880" s="64"/>
      <c r="D2880" s="64"/>
      <c r="E2880" s="64"/>
      <c r="F2880" s="64"/>
      <c r="G2880" s="64"/>
    </row>
    <row r="2881" spans="2:7" ht="32.25" customHeight="1" x14ac:dyDescent="0.25">
      <c r="B2881" s="64"/>
      <c r="C2881" s="64"/>
      <c r="D2881" s="64"/>
      <c r="E2881" s="64"/>
      <c r="F2881" s="64"/>
      <c r="G2881" s="64"/>
    </row>
    <row r="2882" spans="2:7" ht="32.25" customHeight="1" x14ac:dyDescent="0.25">
      <c r="B2882" s="64"/>
      <c r="C2882" s="64"/>
      <c r="D2882" s="64"/>
      <c r="E2882" s="64"/>
      <c r="F2882" s="64"/>
      <c r="G2882" s="64"/>
    </row>
    <row r="2883" spans="2:7" ht="32.25" customHeight="1" x14ac:dyDescent="0.25">
      <c r="B2883" s="64"/>
      <c r="C2883" s="64"/>
      <c r="D2883" s="64"/>
      <c r="E2883" s="64"/>
      <c r="F2883" s="64"/>
      <c r="G2883" s="64"/>
    </row>
    <row r="2884" spans="2:7" ht="32.25" customHeight="1" x14ac:dyDescent="0.25">
      <c r="B2884" s="64"/>
      <c r="C2884" s="64"/>
      <c r="D2884" s="64"/>
      <c r="E2884" s="64"/>
      <c r="F2884" s="64"/>
      <c r="G2884" s="64"/>
    </row>
    <row r="2885" spans="2:7" ht="32.25" customHeight="1" x14ac:dyDescent="0.25">
      <c r="B2885" s="64"/>
      <c r="C2885" s="64"/>
      <c r="D2885" s="64"/>
      <c r="E2885" s="64"/>
      <c r="F2885" s="64"/>
      <c r="G2885" s="64"/>
    </row>
    <row r="2886" spans="2:7" ht="32.25" customHeight="1" x14ac:dyDescent="0.25">
      <c r="B2886" s="64"/>
      <c r="C2886" s="64"/>
      <c r="D2886" s="64"/>
      <c r="E2886" s="64"/>
      <c r="F2886" s="64"/>
      <c r="G2886" s="64"/>
    </row>
    <row r="2887" spans="2:7" ht="32.25" customHeight="1" x14ac:dyDescent="0.25">
      <c r="B2887" s="64"/>
      <c r="C2887" s="64"/>
      <c r="D2887" s="64"/>
      <c r="E2887" s="64"/>
      <c r="F2887" s="64"/>
      <c r="G2887" s="64"/>
    </row>
    <row r="2888" spans="2:7" ht="32.25" customHeight="1" x14ac:dyDescent="0.25">
      <c r="B2888" s="64"/>
      <c r="C2888" s="64"/>
      <c r="D2888" s="64"/>
      <c r="E2888" s="64"/>
      <c r="F2888" s="64"/>
      <c r="G2888" s="64"/>
    </row>
    <row r="2889" spans="2:7" ht="32.25" customHeight="1" x14ac:dyDescent="0.25">
      <c r="B2889" s="64"/>
      <c r="C2889" s="64"/>
      <c r="D2889" s="64"/>
      <c r="E2889" s="64"/>
      <c r="F2889" s="64"/>
      <c r="G2889" s="64"/>
    </row>
    <row r="2890" spans="2:7" ht="32.25" customHeight="1" x14ac:dyDescent="0.25">
      <c r="B2890" s="64"/>
      <c r="C2890" s="64"/>
      <c r="D2890" s="64"/>
      <c r="E2890" s="64"/>
      <c r="F2890" s="64"/>
      <c r="G2890" s="64"/>
    </row>
    <row r="2891" spans="2:7" ht="32.25" customHeight="1" x14ac:dyDescent="0.25">
      <c r="B2891" s="64"/>
      <c r="C2891" s="64"/>
      <c r="D2891" s="64"/>
      <c r="E2891" s="64"/>
      <c r="F2891" s="64"/>
      <c r="G2891" s="64"/>
    </row>
    <row r="2892" spans="2:7" ht="32.25" customHeight="1" x14ac:dyDescent="0.25">
      <c r="B2892" s="64"/>
      <c r="C2892" s="64"/>
      <c r="D2892" s="64"/>
      <c r="E2892" s="64"/>
      <c r="F2892" s="64"/>
      <c r="G2892" s="64"/>
    </row>
    <row r="2893" spans="2:7" ht="32.25" customHeight="1" x14ac:dyDescent="0.25">
      <c r="B2893" s="64"/>
      <c r="C2893" s="64"/>
      <c r="D2893" s="64"/>
      <c r="E2893" s="64"/>
      <c r="F2893" s="64"/>
      <c r="G2893" s="64"/>
    </row>
    <row r="2894" spans="2:7" ht="32.25" customHeight="1" x14ac:dyDescent="0.25">
      <c r="B2894" s="64"/>
      <c r="C2894" s="64"/>
      <c r="D2894" s="64"/>
      <c r="E2894" s="64"/>
      <c r="F2894" s="64"/>
      <c r="G2894" s="64"/>
    </row>
    <row r="2895" spans="2:7" ht="32.25" customHeight="1" x14ac:dyDescent="0.25">
      <c r="B2895" s="64"/>
      <c r="C2895" s="64"/>
      <c r="D2895" s="64"/>
      <c r="E2895" s="64"/>
      <c r="F2895" s="64"/>
      <c r="G2895" s="64"/>
    </row>
    <row r="2896" spans="2:7" ht="32.25" customHeight="1" x14ac:dyDescent="0.25">
      <c r="B2896" s="64"/>
      <c r="C2896" s="64"/>
      <c r="D2896" s="64"/>
      <c r="E2896" s="64"/>
      <c r="F2896" s="64"/>
      <c r="G2896" s="64"/>
    </row>
    <row r="2897" spans="2:7" ht="32.25" customHeight="1" x14ac:dyDescent="0.25">
      <c r="B2897" s="64"/>
      <c r="C2897" s="64"/>
      <c r="D2897" s="64"/>
      <c r="E2897" s="64"/>
      <c r="F2897" s="64"/>
      <c r="G2897" s="64"/>
    </row>
    <row r="2898" spans="2:7" ht="32.25" customHeight="1" x14ac:dyDescent="0.25">
      <c r="B2898" s="64"/>
      <c r="C2898" s="64"/>
      <c r="D2898" s="64"/>
      <c r="E2898" s="64"/>
      <c r="F2898" s="64"/>
      <c r="G2898" s="64"/>
    </row>
    <row r="2899" spans="2:7" ht="32.25" customHeight="1" x14ac:dyDescent="0.25">
      <c r="B2899" s="64"/>
      <c r="C2899" s="64"/>
      <c r="D2899" s="64"/>
      <c r="E2899" s="64"/>
      <c r="F2899" s="64"/>
      <c r="G2899" s="64"/>
    </row>
    <row r="2900" spans="2:7" ht="32.25" customHeight="1" x14ac:dyDescent="0.25">
      <c r="B2900" s="64"/>
      <c r="C2900" s="64"/>
      <c r="D2900" s="64"/>
      <c r="E2900" s="64"/>
      <c r="F2900" s="64"/>
      <c r="G2900" s="64"/>
    </row>
    <row r="2901" spans="2:7" ht="32.25" customHeight="1" x14ac:dyDescent="0.25">
      <c r="B2901" s="64"/>
      <c r="C2901" s="64"/>
      <c r="D2901" s="64"/>
      <c r="E2901" s="64"/>
      <c r="F2901" s="64"/>
      <c r="G2901" s="64"/>
    </row>
    <row r="2902" spans="2:7" ht="32.25" customHeight="1" x14ac:dyDescent="0.25">
      <c r="B2902" s="64"/>
      <c r="C2902" s="64"/>
      <c r="D2902" s="64"/>
      <c r="E2902" s="64"/>
      <c r="F2902" s="64"/>
      <c r="G2902" s="64"/>
    </row>
    <row r="2903" spans="2:7" ht="32.25" customHeight="1" x14ac:dyDescent="0.25">
      <c r="B2903" s="64"/>
      <c r="C2903" s="64"/>
      <c r="D2903" s="64"/>
      <c r="E2903" s="64"/>
      <c r="F2903" s="64"/>
      <c r="G2903" s="64"/>
    </row>
    <row r="2904" spans="2:7" ht="32.25" customHeight="1" x14ac:dyDescent="0.25">
      <c r="B2904" s="64"/>
      <c r="C2904" s="64"/>
      <c r="D2904" s="64"/>
      <c r="E2904" s="64"/>
      <c r="F2904" s="64"/>
      <c r="G2904" s="64"/>
    </row>
    <row r="2905" spans="2:7" ht="32.25" customHeight="1" x14ac:dyDescent="0.25">
      <c r="B2905" s="64"/>
      <c r="C2905" s="64"/>
      <c r="D2905" s="64"/>
      <c r="E2905" s="64"/>
      <c r="F2905" s="64"/>
      <c r="G2905" s="64"/>
    </row>
    <row r="2906" spans="2:7" ht="32.25" customHeight="1" x14ac:dyDescent="0.25">
      <c r="B2906" s="64"/>
      <c r="C2906" s="64"/>
      <c r="D2906" s="64"/>
      <c r="E2906" s="64"/>
      <c r="F2906" s="64"/>
      <c r="G2906" s="64"/>
    </row>
    <row r="2907" spans="2:7" ht="32.25" customHeight="1" x14ac:dyDescent="0.25">
      <c r="B2907" s="64"/>
      <c r="C2907" s="64"/>
      <c r="D2907" s="64"/>
      <c r="E2907" s="64"/>
      <c r="F2907" s="64"/>
      <c r="G2907" s="64"/>
    </row>
    <row r="2908" spans="2:7" ht="32.25" customHeight="1" x14ac:dyDescent="0.25">
      <c r="B2908" s="64"/>
      <c r="C2908" s="64"/>
      <c r="D2908" s="64"/>
      <c r="E2908" s="64"/>
      <c r="F2908" s="64"/>
      <c r="G2908" s="64"/>
    </row>
    <row r="2909" spans="2:7" ht="32.25" customHeight="1" x14ac:dyDescent="0.25">
      <c r="B2909" s="64"/>
      <c r="C2909" s="64"/>
      <c r="D2909" s="64"/>
      <c r="E2909" s="64"/>
      <c r="F2909" s="64"/>
      <c r="G2909" s="64"/>
    </row>
    <row r="2910" spans="2:7" ht="32.25" customHeight="1" x14ac:dyDescent="0.25">
      <c r="B2910" s="64"/>
      <c r="C2910" s="64"/>
      <c r="D2910" s="64"/>
      <c r="E2910" s="64"/>
      <c r="F2910" s="64"/>
      <c r="G2910" s="64"/>
    </row>
    <row r="2911" spans="2:7" ht="32.25" customHeight="1" x14ac:dyDescent="0.25">
      <c r="B2911" s="64"/>
      <c r="C2911" s="64"/>
      <c r="D2911" s="64"/>
      <c r="E2911" s="64"/>
      <c r="F2911" s="64"/>
      <c r="G2911" s="64"/>
    </row>
    <row r="2912" spans="2:7" ht="32.25" customHeight="1" x14ac:dyDescent="0.25">
      <c r="B2912" s="64"/>
      <c r="C2912" s="64"/>
      <c r="D2912" s="64"/>
      <c r="E2912" s="64"/>
      <c r="F2912" s="64"/>
      <c r="G2912" s="64"/>
    </row>
    <row r="2913" spans="2:7" ht="32.25" customHeight="1" x14ac:dyDescent="0.25">
      <c r="B2913" s="64"/>
      <c r="C2913" s="64"/>
      <c r="D2913" s="64"/>
      <c r="E2913" s="64"/>
      <c r="F2913" s="64"/>
      <c r="G2913" s="64"/>
    </row>
    <row r="2914" spans="2:7" ht="32.25" customHeight="1" x14ac:dyDescent="0.25">
      <c r="B2914" s="64"/>
      <c r="C2914" s="64"/>
      <c r="D2914" s="64"/>
      <c r="E2914" s="64"/>
      <c r="F2914" s="64"/>
      <c r="G2914" s="64"/>
    </row>
    <row r="2915" spans="2:7" ht="32.25" customHeight="1" x14ac:dyDescent="0.25">
      <c r="B2915" s="64"/>
      <c r="C2915" s="64"/>
      <c r="D2915" s="64"/>
      <c r="E2915" s="64"/>
      <c r="F2915" s="64"/>
      <c r="G2915" s="64"/>
    </row>
    <row r="2916" spans="2:7" ht="32.25" customHeight="1" x14ac:dyDescent="0.25">
      <c r="B2916" s="64"/>
      <c r="C2916" s="64"/>
      <c r="D2916" s="64"/>
      <c r="E2916" s="64"/>
      <c r="F2916" s="64"/>
      <c r="G2916" s="64"/>
    </row>
    <row r="2917" spans="2:7" ht="32.25" customHeight="1" x14ac:dyDescent="0.25">
      <c r="B2917" s="64"/>
      <c r="C2917" s="64"/>
      <c r="D2917" s="64"/>
      <c r="E2917" s="64"/>
      <c r="F2917" s="64"/>
      <c r="G2917" s="64"/>
    </row>
    <row r="2918" spans="2:7" ht="32.25" customHeight="1" x14ac:dyDescent="0.25">
      <c r="B2918" s="64"/>
      <c r="C2918" s="64"/>
      <c r="D2918" s="64"/>
      <c r="E2918" s="64"/>
      <c r="F2918" s="64"/>
      <c r="G2918" s="64"/>
    </row>
    <row r="2919" spans="2:7" ht="32.25" customHeight="1" x14ac:dyDescent="0.25">
      <c r="B2919" s="64"/>
      <c r="C2919" s="64"/>
      <c r="D2919" s="64"/>
      <c r="E2919" s="64"/>
      <c r="F2919" s="64"/>
      <c r="G2919" s="64"/>
    </row>
    <row r="2920" spans="2:7" ht="32.25" customHeight="1" x14ac:dyDescent="0.25">
      <c r="B2920" s="64"/>
      <c r="C2920" s="64"/>
      <c r="D2920" s="64"/>
      <c r="E2920" s="64"/>
      <c r="F2920" s="64"/>
      <c r="G2920" s="64"/>
    </row>
    <row r="2921" spans="2:7" ht="32.25" customHeight="1" x14ac:dyDescent="0.25">
      <c r="B2921" s="64"/>
      <c r="C2921" s="64"/>
      <c r="D2921" s="64"/>
      <c r="E2921" s="64"/>
      <c r="F2921" s="64"/>
      <c r="G2921" s="64"/>
    </row>
    <row r="2922" spans="2:7" ht="32.25" customHeight="1" x14ac:dyDescent="0.25">
      <c r="B2922" s="64"/>
      <c r="C2922" s="64"/>
      <c r="D2922" s="64"/>
      <c r="E2922" s="64"/>
      <c r="F2922" s="64"/>
      <c r="G2922" s="64"/>
    </row>
    <row r="2923" spans="2:7" ht="32.25" customHeight="1" x14ac:dyDescent="0.25">
      <c r="B2923" s="64"/>
      <c r="C2923" s="64"/>
      <c r="D2923" s="64"/>
      <c r="E2923" s="64"/>
      <c r="F2923" s="64"/>
      <c r="G2923" s="64"/>
    </row>
    <row r="2924" spans="2:7" ht="32.25" customHeight="1" x14ac:dyDescent="0.25">
      <c r="B2924" s="64"/>
      <c r="C2924" s="64"/>
      <c r="D2924" s="64"/>
      <c r="E2924" s="64"/>
      <c r="F2924" s="64"/>
      <c r="G2924" s="64"/>
    </row>
    <row r="2925" spans="2:7" ht="32.25" customHeight="1" x14ac:dyDescent="0.25">
      <c r="B2925" s="64"/>
      <c r="C2925" s="64"/>
      <c r="D2925" s="64"/>
      <c r="E2925" s="64"/>
      <c r="F2925" s="64"/>
      <c r="G2925" s="64"/>
    </row>
    <row r="2926" spans="2:7" ht="32.25" customHeight="1" x14ac:dyDescent="0.25">
      <c r="B2926" s="64"/>
      <c r="C2926" s="64"/>
      <c r="D2926" s="64"/>
      <c r="E2926" s="64"/>
      <c r="F2926" s="64"/>
      <c r="G2926" s="64"/>
    </row>
    <row r="2927" spans="2:7" ht="32.25" customHeight="1" x14ac:dyDescent="0.25">
      <c r="B2927" s="64"/>
      <c r="C2927" s="64"/>
      <c r="D2927" s="64"/>
      <c r="E2927" s="64"/>
      <c r="F2927" s="64"/>
      <c r="G2927" s="64"/>
    </row>
    <row r="2928" spans="2:7" ht="32.25" customHeight="1" x14ac:dyDescent="0.25">
      <c r="B2928" s="64"/>
      <c r="C2928" s="64"/>
      <c r="D2928" s="64"/>
      <c r="E2928" s="64"/>
      <c r="F2928" s="64"/>
      <c r="G2928" s="64"/>
    </row>
    <row r="2929" spans="2:7" ht="32.25" customHeight="1" x14ac:dyDescent="0.25">
      <c r="B2929" s="64"/>
      <c r="C2929" s="64"/>
      <c r="D2929" s="64"/>
      <c r="E2929" s="64"/>
      <c r="F2929" s="64"/>
      <c r="G2929" s="64"/>
    </row>
    <row r="2930" spans="2:7" ht="32.25" customHeight="1" x14ac:dyDescent="0.25">
      <c r="B2930" s="64"/>
      <c r="C2930" s="64"/>
      <c r="D2930" s="64"/>
      <c r="E2930" s="64"/>
      <c r="F2930" s="64"/>
      <c r="G2930" s="64"/>
    </row>
    <row r="2931" spans="2:7" ht="32.25" customHeight="1" x14ac:dyDescent="0.25">
      <c r="B2931" s="64"/>
      <c r="C2931" s="64"/>
      <c r="D2931" s="64"/>
      <c r="E2931" s="64"/>
      <c r="F2931" s="64"/>
      <c r="G2931" s="64"/>
    </row>
    <row r="2932" spans="2:7" ht="32.25" customHeight="1" x14ac:dyDescent="0.25">
      <c r="B2932" s="64"/>
      <c r="C2932" s="64"/>
      <c r="D2932" s="64"/>
      <c r="E2932" s="64"/>
      <c r="F2932" s="64"/>
      <c r="G2932" s="64"/>
    </row>
    <row r="2933" spans="2:7" ht="32.25" customHeight="1" x14ac:dyDescent="0.25">
      <c r="B2933" s="64"/>
      <c r="C2933" s="64"/>
      <c r="D2933" s="64"/>
      <c r="E2933" s="64"/>
      <c r="F2933" s="64"/>
      <c r="G2933" s="64"/>
    </row>
    <row r="2934" spans="2:7" ht="32.25" customHeight="1" x14ac:dyDescent="0.25">
      <c r="B2934" s="64"/>
      <c r="C2934" s="64"/>
      <c r="D2934" s="64"/>
      <c r="E2934" s="64"/>
      <c r="F2934" s="64"/>
      <c r="G2934" s="64"/>
    </row>
    <row r="2935" spans="2:7" ht="32.25" customHeight="1" x14ac:dyDescent="0.25">
      <c r="B2935" s="64"/>
      <c r="C2935" s="64"/>
      <c r="D2935" s="64"/>
      <c r="E2935" s="64"/>
      <c r="F2935" s="64"/>
      <c r="G2935" s="64"/>
    </row>
    <row r="2936" spans="2:7" ht="32.25" customHeight="1" x14ac:dyDescent="0.25">
      <c r="B2936" s="64"/>
      <c r="C2936" s="64"/>
      <c r="D2936" s="64"/>
      <c r="E2936" s="64"/>
      <c r="F2936" s="64"/>
      <c r="G2936" s="64"/>
    </row>
    <row r="2937" spans="2:7" ht="32.25" customHeight="1" x14ac:dyDescent="0.25">
      <c r="B2937" s="64"/>
      <c r="C2937" s="64"/>
      <c r="D2937" s="64"/>
      <c r="E2937" s="64"/>
      <c r="F2937" s="64"/>
      <c r="G2937" s="64"/>
    </row>
    <row r="2938" spans="2:7" ht="32.25" customHeight="1" x14ac:dyDescent="0.25">
      <c r="B2938" s="64"/>
      <c r="C2938" s="64"/>
      <c r="D2938" s="64"/>
      <c r="E2938" s="64"/>
      <c r="F2938" s="64"/>
      <c r="G2938" s="64"/>
    </row>
    <row r="2939" spans="2:7" ht="32.25" customHeight="1" x14ac:dyDescent="0.25">
      <c r="B2939" s="64"/>
      <c r="C2939" s="64"/>
      <c r="D2939" s="64"/>
      <c r="E2939" s="64"/>
      <c r="F2939" s="64"/>
      <c r="G2939" s="64"/>
    </row>
    <row r="2940" spans="2:7" ht="32.25" customHeight="1" x14ac:dyDescent="0.25">
      <c r="B2940" s="64"/>
      <c r="C2940" s="64"/>
      <c r="D2940" s="64"/>
      <c r="E2940" s="64"/>
      <c r="F2940" s="64"/>
      <c r="G2940" s="64"/>
    </row>
    <row r="2941" spans="2:7" ht="32.25" customHeight="1" x14ac:dyDescent="0.25">
      <c r="B2941" s="64"/>
      <c r="C2941" s="64"/>
      <c r="D2941" s="64"/>
      <c r="E2941" s="64"/>
      <c r="F2941" s="64"/>
      <c r="G2941" s="64"/>
    </row>
    <row r="2942" spans="2:7" ht="32.25" customHeight="1" x14ac:dyDescent="0.25">
      <c r="B2942" s="64"/>
      <c r="C2942" s="64"/>
      <c r="D2942" s="64"/>
      <c r="E2942" s="64"/>
      <c r="F2942" s="64"/>
      <c r="G2942" s="64"/>
    </row>
    <row r="2943" spans="2:7" ht="32.25" customHeight="1" x14ac:dyDescent="0.25">
      <c r="B2943" s="64"/>
      <c r="C2943" s="64"/>
      <c r="D2943" s="64"/>
      <c r="E2943" s="64"/>
      <c r="F2943" s="64"/>
      <c r="G2943" s="64"/>
    </row>
    <row r="2944" spans="2:7" ht="32.25" customHeight="1" x14ac:dyDescent="0.25">
      <c r="B2944" s="64"/>
      <c r="C2944" s="64"/>
      <c r="D2944" s="64"/>
      <c r="E2944" s="64"/>
      <c r="F2944" s="64"/>
      <c r="G2944" s="64"/>
    </row>
    <row r="2945" spans="2:7" ht="32.25" customHeight="1" x14ac:dyDescent="0.25">
      <c r="B2945" s="64"/>
      <c r="C2945" s="64"/>
      <c r="D2945" s="64"/>
      <c r="E2945" s="64"/>
      <c r="F2945" s="64"/>
      <c r="G2945" s="64"/>
    </row>
    <row r="2946" spans="2:7" ht="32.25" customHeight="1" x14ac:dyDescent="0.25">
      <c r="B2946" s="64"/>
      <c r="C2946" s="64"/>
      <c r="D2946" s="64"/>
      <c r="E2946" s="64"/>
      <c r="F2946" s="64"/>
      <c r="G2946" s="64"/>
    </row>
    <row r="2947" spans="2:7" ht="32.25" customHeight="1" x14ac:dyDescent="0.25">
      <c r="B2947" s="64"/>
      <c r="C2947" s="64"/>
      <c r="D2947" s="64"/>
      <c r="E2947" s="64"/>
      <c r="F2947" s="64"/>
      <c r="G2947" s="64"/>
    </row>
    <row r="2948" spans="2:7" ht="32.25" customHeight="1" x14ac:dyDescent="0.25">
      <c r="B2948" s="64"/>
      <c r="C2948" s="64"/>
      <c r="D2948" s="64"/>
      <c r="E2948" s="64"/>
      <c r="F2948" s="64"/>
      <c r="G2948" s="64"/>
    </row>
    <row r="2949" spans="2:7" ht="32.25" customHeight="1" x14ac:dyDescent="0.25">
      <c r="B2949" s="64"/>
      <c r="C2949" s="64"/>
      <c r="D2949" s="64"/>
      <c r="E2949" s="64"/>
      <c r="F2949" s="64"/>
      <c r="G2949" s="64"/>
    </row>
    <row r="2950" spans="2:7" ht="32.25" customHeight="1" x14ac:dyDescent="0.25">
      <c r="B2950" s="64"/>
      <c r="C2950" s="64"/>
      <c r="D2950" s="64"/>
      <c r="E2950" s="64"/>
      <c r="F2950" s="64"/>
      <c r="G2950" s="64"/>
    </row>
    <row r="2951" spans="2:7" ht="32.25" customHeight="1" x14ac:dyDescent="0.25">
      <c r="B2951" s="64"/>
      <c r="C2951" s="64"/>
      <c r="D2951" s="64"/>
      <c r="E2951" s="64"/>
      <c r="F2951" s="64"/>
      <c r="G2951" s="64"/>
    </row>
    <row r="2952" spans="2:7" ht="32.25" customHeight="1" x14ac:dyDescent="0.25">
      <c r="B2952" s="64"/>
      <c r="C2952" s="64"/>
      <c r="D2952" s="64"/>
      <c r="E2952" s="64"/>
      <c r="F2952" s="64"/>
      <c r="G2952" s="64"/>
    </row>
    <row r="2953" spans="2:7" ht="32.25" customHeight="1" x14ac:dyDescent="0.25">
      <c r="B2953" s="64"/>
      <c r="C2953" s="64"/>
      <c r="D2953" s="64"/>
      <c r="E2953" s="64"/>
      <c r="F2953" s="64"/>
      <c r="G2953" s="64"/>
    </row>
    <row r="2954" spans="2:7" ht="32.25" customHeight="1" x14ac:dyDescent="0.25">
      <c r="B2954" s="64"/>
      <c r="C2954" s="64"/>
      <c r="D2954" s="64"/>
      <c r="E2954" s="64"/>
      <c r="F2954" s="64"/>
      <c r="G2954" s="64"/>
    </row>
    <row r="2955" spans="2:7" ht="32.25" customHeight="1" x14ac:dyDescent="0.25">
      <c r="B2955" s="64"/>
      <c r="C2955" s="64"/>
      <c r="D2955" s="64"/>
      <c r="E2955" s="64"/>
      <c r="F2955" s="64"/>
      <c r="G2955" s="64"/>
    </row>
    <row r="2956" spans="2:7" ht="32.25" customHeight="1" x14ac:dyDescent="0.25">
      <c r="B2956" s="64"/>
      <c r="C2956" s="64"/>
      <c r="D2956" s="64"/>
      <c r="E2956" s="64"/>
      <c r="F2956" s="64"/>
      <c r="G2956" s="64"/>
    </row>
    <row r="2957" spans="2:7" ht="32.25" customHeight="1" x14ac:dyDescent="0.25">
      <c r="B2957" s="64"/>
      <c r="C2957" s="64"/>
      <c r="D2957" s="64"/>
      <c r="E2957" s="64"/>
      <c r="F2957" s="64"/>
      <c r="G2957" s="64"/>
    </row>
    <row r="2958" spans="2:7" ht="32.25" customHeight="1" x14ac:dyDescent="0.25">
      <c r="B2958" s="64"/>
      <c r="C2958" s="64"/>
      <c r="D2958" s="64"/>
      <c r="E2958" s="64"/>
      <c r="F2958" s="64"/>
      <c r="G2958" s="64"/>
    </row>
    <row r="2959" spans="2:7" ht="32.25" customHeight="1" x14ac:dyDescent="0.25">
      <c r="B2959" s="64"/>
      <c r="C2959" s="64"/>
      <c r="D2959" s="64"/>
      <c r="E2959" s="64"/>
      <c r="F2959" s="64"/>
      <c r="G2959" s="64"/>
    </row>
    <row r="2960" spans="2:7" ht="32.25" customHeight="1" x14ac:dyDescent="0.25">
      <c r="B2960" s="64"/>
      <c r="C2960" s="64"/>
      <c r="D2960" s="64"/>
      <c r="E2960" s="64"/>
      <c r="F2960" s="64"/>
      <c r="G2960" s="64"/>
    </row>
    <row r="2961" spans="2:7" ht="32.25" customHeight="1" x14ac:dyDescent="0.25">
      <c r="B2961" s="64"/>
      <c r="C2961" s="64"/>
      <c r="D2961" s="64"/>
      <c r="E2961" s="64"/>
      <c r="F2961" s="64"/>
      <c r="G2961" s="64"/>
    </row>
    <row r="2962" spans="2:7" ht="32.25" customHeight="1" x14ac:dyDescent="0.25">
      <c r="B2962" s="64"/>
      <c r="C2962" s="64"/>
      <c r="D2962" s="64"/>
      <c r="E2962" s="64"/>
      <c r="F2962" s="64"/>
      <c r="G2962" s="64"/>
    </row>
    <row r="2963" spans="2:7" ht="32.25" customHeight="1" x14ac:dyDescent="0.25">
      <c r="B2963" s="64"/>
      <c r="C2963" s="64"/>
      <c r="D2963" s="64"/>
      <c r="E2963" s="64"/>
      <c r="F2963" s="64"/>
      <c r="G2963" s="64"/>
    </row>
    <row r="2964" spans="2:7" ht="32.25" customHeight="1" x14ac:dyDescent="0.25">
      <c r="B2964" s="64"/>
      <c r="C2964" s="64"/>
      <c r="D2964" s="64"/>
      <c r="E2964" s="64"/>
      <c r="F2964" s="64"/>
      <c r="G2964" s="64"/>
    </row>
    <row r="2965" spans="2:7" ht="32.25" customHeight="1" x14ac:dyDescent="0.25">
      <c r="B2965" s="64"/>
      <c r="C2965" s="64"/>
      <c r="D2965" s="64"/>
      <c r="E2965" s="64"/>
      <c r="F2965" s="64"/>
      <c r="G2965" s="64"/>
    </row>
    <row r="2966" spans="2:7" ht="32.25" customHeight="1" x14ac:dyDescent="0.25">
      <c r="B2966" s="64"/>
      <c r="C2966" s="64"/>
      <c r="D2966" s="64"/>
      <c r="E2966" s="64"/>
      <c r="F2966" s="64"/>
      <c r="G2966" s="64"/>
    </row>
    <row r="2967" spans="2:7" ht="32.25" customHeight="1" x14ac:dyDescent="0.25">
      <c r="B2967" s="64"/>
      <c r="C2967" s="64"/>
      <c r="D2967" s="64"/>
      <c r="E2967" s="64"/>
      <c r="F2967" s="64"/>
      <c r="G2967" s="64"/>
    </row>
    <row r="2968" spans="2:7" ht="32.25" customHeight="1" x14ac:dyDescent="0.25">
      <c r="B2968" s="64"/>
      <c r="C2968" s="64"/>
      <c r="D2968" s="64"/>
      <c r="E2968" s="64"/>
      <c r="F2968" s="64"/>
      <c r="G2968" s="64"/>
    </row>
    <row r="2969" spans="2:7" ht="32.25" customHeight="1" x14ac:dyDescent="0.25">
      <c r="B2969" s="64"/>
      <c r="C2969" s="64"/>
      <c r="D2969" s="64"/>
      <c r="E2969" s="64"/>
      <c r="F2969" s="64"/>
      <c r="G2969" s="64"/>
    </row>
    <row r="2970" spans="2:7" ht="32.25" customHeight="1" x14ac:dyDescent="0.25">
      <c r="B2970" s="64"/>
      <c r="C2970" s="64"/>
      <c r="D2970" s="64"/>
      <c r="E2970" s="64"/>
      <c r="F2970" s="64"/>
      <c r="G2970" s="64"/>
    </row>
    <row r="2971" spans="2:7" ht="32.25" customHeight="1" x14ac:dyDescent="0.25">
      <c r="B2971" s="64"/>
      <c r="C2971" s="64"/>
      <c r="D2971" s="64"/>
      <c r="E2971" s="64"/>
      <c r="F2971" s="64"/>
      <c r="G2971" s="64"/>
    </row>
    <row r="2972" spans="2:7" ht="32.25" customHeight="1" x14ac:dyDescent="0.25">
      <c r="B2972" s="64"/>
      <c r="C2972" s="64"/>
      <c r="D2972" s="64"/>
      <c r="E2972" s="64"/>
      <c r="F2972" s="64"/>
      <c r="G2972" s="64"/>
    </row>
    <row r="2973" spans="2:7" ht="32.25" customHeight="1" x14ac:dyDescent="0.25">
      <c r="B2973" s="64"/>
      <c r="C2973" s="64"/>
      <c r="D2973" s="64"/>
      <c r="E2973" s="64"/>
      <c r="F2973" s="64"/>
      <c r="G2973" s="64"/>
    </row>
    <row r="2974" spans="2:7" ht="32.25" customHeight="1" x14ac:dyDescent="0.25">
      <c r="B2974" s="64"/>
      <c r="C2974" s="64"/>
      <c r="D2974" s="64"/>
      <c r="E2974" s="64"/>
      <c r="F2974" s="64"/>
      <c r="G2974" s="64"/>
    </row>
    <row r="2975" spans="2:7" ht="32.25" customHeight="1" x14ac:dyDescent="0.25">
      <c r="B2975" s="64"/>
      <c r="C2975" s="64"/>
      <c r="D2975" s="64"/>
      <c r="E2975" s="64"/>
      <c r="F2975" s="64"/>
      <c r="G2975" s="64"/>
    </row>
    <row r="2976" spans="2:7" ht="32.25" customHeight="1" x14ac:dyDescent="0.25">
      <c r="B2976" s="64"/>
      <c r="C2976" s="64"/>
      <c r="D2976" s="64"/>
      <c r="E2976" s="64"/>
      <c r="F2976" s="64"/>
      <c r="G2976" s="64"/>
    </row>
    <row r="2977" spans="2:7" ht="32.25" customHeight="1" x14ac:dyDescent="0.25">
      <c r="B2977" s="64"/>
      <c r="C2977" s="64"/>
      <c r="D2977" s="64"/>
      <c r="E2977" s="64"/>
      <c r="F2977" s="64"/>
      <c r="G2977" s="64"/>
    </row>
    <row r="2978" spans="2:7" ht="32.25" customHeight="1" x14ac:dyDescent="0.25">
      <c r="B2978" s="64"/>
      <c r="C2978" s="64"/>
      <c r="D2978" s="64"/>
      <c r="E2978" s="64"/>
      <c r="F2978" s="64"/>
      <c r="G2978" s="64"/>
    </row>
    <row r="2979" spans="2:7" ht="32.25" customHeight="1" x14ac:dyDescent="0.25">
      <c r="B2979" s="64"/>
      <c r="C2979" s="64"/>
      <c r="D2979" s="64"/>
      <c r="E2979" s="64"/>
      <c r="F2979" s="64"/>
      <c r="G2979" s="64"/>
    </row>
    <row r="2980" spans="2:7" ht="32.25" customHeight="1" x14ac:dyDescent="0.25">
      <c r="B2980" s="64"/>
      <c r="C2980" s="64"/>
      <c r="D2980" s="64"/>
      <c r="E2980" s="64"/>
      <c r="F2980" s="64"/>
      <c r="G2980" s="64"/>
    </row>
    <row r="2981" spans="2:7" ht="32.25" customHeight="1" x14ac:dyDescent="0.25">
      <c r="B2981" s="64"/>
      <c r="C2981" s="64"/>
      <c r="D2981" s="64"/>
      <c r="E2981" s="64"/>
      <c r="F2981" s="64"/>
      <c r="G2981" s="64"/>
    </row>
    <row r="2982" spans="2:7" ht="32.25" customHeight="1" x14ac:dyDescent="0.25">
      <c r="B2982" s="64"/>
      <c r="C2982" s="64"/>
      <c r="D2982" s="64"/>
      <c r="E2982" s="64"/>
      <c r="F2982" s="64"/>
      <c r="G2982" s="64"/>
    </row>
    <row r="2983" spans="2:7" ht="32.25" customHeight="1" x14ac:dyDescent="0.25">
      <c r="B2983" s="64"/>
      <c r="C2983" s="64"/>
      <c r="D2983" s="64"/>
      <c r="E2983" s="64"/>
      <c r="F2983" s="64"/>
      <c r="G2983" s="64"/>
    </row>
    <row r="2984" spans="2:7" ht="32.25" customHeight="1" x14ac:dyDescent="0.25">
      <c r="B2984" s="64"/>
      <c r="C2984" s="64"/>
      <c r="D2984" s="64"/>
      <c r="E2984" s="64"/>
      <c r="F2984" s="64"/>
      <c r="G2984" s="64"/>
    </row>
    <row r="2985" spans="2:7" ht="32.25" customHeight="1" x14ac:dyDescent="0.25">
      <c r="B2985" s="64"/>
      <c r="C2985" s="64"/>
      <c r="D2985" s="64"/>
      <c r="E2985" s="64"/>
      <c r="F2985" s="64"/>
      <c r="G2985" s="64"/>
    </row>
    <row r="2986" spans="2:7" ht="32.25" customHeight="1" x14ac:dyDescent="0.25">
      <c r="B2986" s="64"/>
      <c r="C2986" s="64"/>
      <c r="D2986" s="64"/>
      <c r="E2986" s="64"/>
      <c r="F2986" s="64"/>
      <c r="G2986" s="64"/>
    </row>
    <row r="2987" spans="2:7" ht="32.25" customHeight="1" x14ac:dyDescent="0.25">
      <c r="B2987" s="64"/>
      <c r="C2987" s="64"/>
      <c r="D2987" s="64"/>
      <c r="E2987" s="64"/>
      <c r="F2987" s="64"/>
      <c r="G2987" s="64"/>
    </row>
    <row r="2988" spans="2:7" ht="32.25" customHeight="1" x14ac:dyDescent="0.25">
      <c r="B2988" s="64"/>
      <c r="C2988" s="64"/>
      <c r="D2988" s="64"/>
      <c r="E2988" s="64"/>
      <c r="F2988" s="64"/>
      <c r="G2988" s="64"/>
    </row>
    <row r="2989" spans="2:7" ht="32.25" customHeight="1" x14ac:dyDescent="0.25">
      <c r="B2989" s="64"/>
      <c r="C2989" s="64"/>
      <c r="D2989" s="64"/>
      <c r="E2989" s="64"/>
      <c r="F2989" s="64"/>
      <c r="G2989" s="64"/>
    </row>
    <row r="2990" spans="2:7" ht="32.25" customHeight="1" x14ac:dyDescent="0.25">
      <c r="B2990" s="64"/>
      <c r="C2990" s="64"/>
      <c r="D2990" s="64"/>
      <c r="E2990" s="64"/>
      <c r="F2990" s="64"/>
      <c r="G2990" s="64"/>
    </row>
    <row r="2991" spans="2:7" ht="32.25" customHeight="1" x14ac:dyDescent="0.25">
      <c r="B2991" s="64"/>
      <c r="C2991" s="64"/>
      <c r="D2991" s="64"/>
      <c r="E2991" s="64"/>
      <c r="F2991" s="64"/>
      <c r="G2991" s="64"/>
    </row>
    <row r="2992" spans="2:7" ht="32.25" customHeight="1" x14ac:dyDescent="0.25">
      <c r="B2992" s="64"/>
      <c r="C2992" s="64"/>
      <c r="D2992" s="64"/>
      <c r="E2992" s="64"/>
      <c r="F2992" s="64"/>
      <c r="G2992" s="64"/>
    </row>
    <row r="2993" spans="2:7" ht="32.25" customHeight="1" x14ac:dyDescent="0.25">
      <c r="B2993" s="64"/>
      <c r="C2993" s="64"/>
      <c r="D2993" s="64"/>
      <c r="E2993" s="64"/>
      <c r="F2993" s="64"/>
      <c r="G2993" s="64"/>
    </row>
    <row r="2994" spans="2:7" ht="32.25" customHeight="1" x14ac:dyDescent="0.25">
      <c r="B2994" s="64"/>
      <c r="C2994" s="64"/>
      <c r="D2994" s="64"/>
      <c r="E2994" s="64"/>
      <c r="F2994" s="64"/>
      <c r="G2994" s="64"/>
    </row>
    <row r="2995" spans="2:7" ht="32.25" customHeight="1" x14ac:dyDescent="0.25">
      <c r="B2995" s="64"/>
      <c r="C2995" s="64"/>
      <c r="D2995" s="64"/>
      <c r="E2995" s="64"/>
      <c r="F2995" s="64"/>
      <c r="G2995" s="64"/>
    </row>
    <row r="2996" spans="2:7" ht="32.25" customHeight="1" x14ac:dyDescent="0.25">
      <c r="B2996" s="64"/>
      <c r="C2996" s="64"/>
      <c r="D2996" s="64"/>
      <c r="E2996" s="64"/>
      <c r="F2996" s="64"/>
      <c r="G2996" s="64"/>
    </row>
    <row r="2997" spans="2:7" ht="32.25" customHeight="1" x14ac:dyDescent="0.25">
      <c r="B2997" s="64"/>
      <c r="C2997" s="64"/>
      <c r="D2997" s="64"/>
      <c r="E2997" s="64"/>
      <c r="F2997" s="64"/>
      <c r="G2997" s="64"/>
    </row>
    <row r="2998" spans="2:7" ht="32.25" customHeight="1" x14ac:dyDescent="0.25">
      <c r="B2998" s="64"/>
      <c r="C2998" s="64"/>
      <c r="D2998" s="64"/>
      <c r="E2998" s="64"/>
      <c r="F2998" s="64"/>
      <c r="G2998" s="64"/>
    </row>
    <row r="2999" spans="2:7" ht="32.25" customHeight="1" x14ac:dyDescent="0.25">
      <c r="B2999" s="64"/>
      <c r="C2999" s="64"/>
      <c r="D2999" s="64"/>
      <c r="E2999" s="64"/>
      <c r="F2999" s="64"/>
      <c r="G2999" s="64"/>
    </row>
    <row r="3000" spans="2:7" ht="32.25" customHeight="1" x14ac:dyDescent="0.25">
      <c r="B3000" s="64"/>
      <c r="C3000" s="64"/>
      <c r="D3000" s="64"/>
      <c r="E3000" s="64"/>
      <c r="F3000" s="64"/>
      <c r="G3000" s="64"/>
    </row>
    <row r="3001" spans="2:7" ht="32.25" customHeight="1" x14ac:dyDescent="0.25">
      <c r="B3001" s="64"/>
      <c r="C3001" s="64"/>
      <c r="D3001" s="64"/>
      <c r="E3001" s="64"/>
      <c r="F3001" s="64"/>
      <c r="G3001" s="64"/>
    </row>
    <row r="3002" spans="2:7" ht="32.25" customHeight="1" x14ac:dyDescent="0.25">
      <c r="B3002" s="64"/>
      <c r="C3002" s="64"/>
      <c r="D3002" s="64"/>
      <c r="E3002" s="64"/>
      <c r="F3002" s="64"/>
      <c r="G3002" s="64"/>
    </row>
    <row r="3003" spans="2:7" ht="32.25" customHeight="1" x14ac:dyDescent="0.25">
      <c r="B3003" s="64"/>
      <c r="C3003" s="64"/>
      <c r="D3003" s="64"/>
      <c r="E3003" s="64"/>
      <c r="F3003" s="64"/>
      <c r="G3003" s="64"/>
    </row>
    <row r="3004" spans="2:7" ht="32.25" customHeight="1" x14ac:dyDescent="0.25">
      <c r="B3004" s="64"/>
      <c r="C3004" s="64"/>
      <c r="D3004" s="64"/>
      <c r="E3004" s="64"/>
      <c r="F3004" s="64"/>
      <c r="G3004" s="64"/>
    </row>
    <row r="3005" spans="2:7" ht="32.25" customHeight="1" x14ac:dyDescent="0.25">
      <c r="B3005" s="64"/>
      <c r="C3005" s="64"/>
      <c r="D3005" s="64"/>
      <c r="E3005" s="64"/>
      <c r="F3005" s="64"/>
      <c r="G3005" s="64"/>
    </row>
    <row r="3006" spans="2:7" ht="32.25" customHeight="1" x14ac:dyDescent="0.25">
      <c r="B3006" s="64"/>
      <c r="C3006" s="64"/>
      <c r="D3006" s="64"/>
      <c r="E3006" s="64"/>
      <c r="F3006" s="64"/>
      <c r="G3006" s="64"/>
    </row>
    <row r="3007" spans="2:7" ht="32.25" customHeight="1" x14ac:dyDescent="0.25">
      <c r="B3007" s="64"/>
      <c r="C3007" s="64"/>
      <c r="D3007" s="64"/>
      <c r="E3007" s="64"/>
      <c r="F3007" s="64"/>
      <c r="G3007" s="64"/>
    </row>
    <row r="3008" spans="2:7" ht="32.25" customHeight="1" x14ac:dyDescent="0.25">
      <c r="B3008" s="64"/>
      <c r="C3008" s="64"/>
      <c r="D3008" s="64"/>
      <c r="E3008" s="64"/>
      <c r="F3008" s="64"/>
      <c r="G3008" s="64"/>
    </row>
    <row r="3009" spans="2:7" ht="32.25" customHeight="1" x14ac:dyDescent="0.25">
      <c r="B3009" s="64"/>
      <c r="C3009" s="64"/>
      <c r="D3009" s="64"/>
      <c r="E3009" s="64"/>
      <c r="F3009" s="64"/>
      <c r="G3009" s="64"/>
    </row>
    <row r="3010" spans="2:7" ht="32.25" customHeight="1" x14ac:dyDescent="0.25">
      <c r="B3010" s="64"/>
      <c r="C3010" s="64"/>
      <c r="D3010" s="64"/>
      <c r="E3010" s="64"/>
      <c r="F3010" s="64"/>
      <c r="G3010" s="64"/>
    </row>
    <row r="3011" spans="2:7" ht="32.25" customHeight="1" x14ac:dyDescent="0.25">
      <c r="B3011" s="64"/>
      <c r="C3011" s="64"/>
      <c r="D3011" s="64"/>
      <c r="E3011" s="64"/>
      <c r="F3011" s="64"/>
      <c r="G3011" s="64"/>
    </row>
    <row r="3012" spans="2:7" ht="32.25" customHeight="1" x14ac:dyDescent="0.25">
      <c r="B3012" s="64"/>
      <c r="C3012" s="64"/>
      <c r="D3012" s="64"/>
      <c r="E3012" s="64"/>
      <c r="F3012" s="64"/>
      <c r="G3012" s="64"/>
    </row>
    <row r="3013" spans="2:7" ht="32.25" customHeight="1" x14ac:dyDescent="0.25">
      <c r="B3013" s="64"/>
      <c r="C3013" s="64"/>
      <c r="D3013" s="64"/>
      <c r="E3013" s="64"/>
      <c r="F3013" s="64"/>
      <c r="G3013" s="64"/>
    </row>
    <row r="3014" spans="2:7" ht="32.25" customHeight="1" x14ac:dyDescent="0.25">
      <c r="B3014" s="64"/>
      <c r="C3014" s="64"/>
      <c r="D3014" s="64"/>
      <c r="E3014" s="64"/>
      <c r="F3014" s="64"/>
      <c r="G3014" s="64"/>
    </row>
    <row r="3015" spans="2:7" ht="32.25" customHeight="1" x14ac:dyDescent="0.25">
      <c r="B3015" s="64"/>
      <c r="C3015" s="64"/>
      <c r="D3015" s="64"/>
      <c r="E3015" s="64"/>
      <c r="F3015" s="64"/>
      <c r="G3015" s="64"/>
    </row>
    <row r="3016" spans="2:7" ht="32.25" customHeight="1" x14ac:dyDescent="0.25">
      <c r="B3016" s="64"/>
      <c r="C3016" s="64"/>
      <c r="D3016" s="64"/>
      <c r="E3016" s="64"/>
      <c r="F3016" s="64"/>
      <c r="G3016" s="64"/>
    </row>
    <row r="3017" spans="2:7" ht="32.25" customHeight="1" x14ac:dyDescent="0.25">
      <c r="B3017" s="64"/>
      <c r="C3017" s="64"/>
      <c r="D3017" s="64"/>
      <c r="E3017" s="64"/>
      <c r="F3017" s="64"/>
      <c r="G3017" s="64"/>
    </row>
    <row r="3018" spans="2:7" ht="32.25" customHeight="1" x14ac:dyDescent="0.25">
      <c r="B3018" s="64"/>
      <c r="C3018" s="64"/>
      <c r="D3018" s="64"/>
      <c r="E3018" s="64"/>
      <c r="F3018" s="64"/>
      <c r="G3018" s="64"/>
    </row>
    <row r="3019" spans="2:7" ht="32.25" customHeight="1" x14ac:dyDescent="0.25">
      <c r="B3019" s="64"/>
      <c r="C3019" s="64"/>
      <c r="D3019" s="64"/>
      <c r="E3019" s="64"/>
      <c r="F3019" s="64"/>
      <c r="G3019" s="64"/>
    </row>
    <row r="3020" spans="2:7" ht="32.25" customHeight="1" x14ac:dyDescent="0.25">
      <c r="B3020" s="64"/>
      <c r="C3020" s="64"/>
      <c r="D3020" s="64"/>
      <c r="E3020" s="64"/>
      <c r="F3020" s="64"/>
      <c r="G3020" s="64"/>
    </row>
    <row r="3021" spans="2:7" ht="32.25" customHeight="1" x14ac:dyDescent="0.25">
      <c r="B3021" s="64"/>
      <c r="C3021" s="64"/>
      <c r="D3021" s="64"/>
      <c r="E3021" s="64"/>
      <c r="F3021" s="64"/>
      <c r="G3021" s="64"/>
    </row>
    <row r="3022" spans="2:7" ht="32.25" customHeight="1" x14ac:dyDescent="0.25">
      <c r="B3022" s="64"/>
      <c r="C3022" s="64"/>
      <c r="D3022" s="64"/>
      <c r="E3022" s="64"/>
      <c r="F3022" s="64"/>
      <c r="G3022" s="64"/>
    </row>
    <row r="3023" spans="2:7" ht="32.25" customHeight="1" x14ac:dyDescent="0.25">
      <c r="B3023" s="64"/>
      <c r="C3023" s="64"/>
      <c r="D3023" s="64"/>
      <c r="E3023" s="64"/>
      <c r="F3023" s="64"/>
      <c r="G3023" s="64"/>
    </row>
    <row r="3024" spans="2:7" ht="32.25" customHeight="1" x14ac:dyDescent="0.25">
      <c r="B3024" s="64"/>
      <c r="C3024" s="64"/>
      <c r="D3024" s="64"/>
      <c r="E3024" s="64"/>
      <c r="F3024" s="64"/>
      <c r="G3024" s="64"/>
    </row>
    <row r="3025" spans="2:7" ht="32.25" customHeight="1" x14ac:dyDescent="0.25">
      <c r="B3025" s="64"/>
      <c r="C3025" s="64"/>
      <c r="D3025" s="64"/>
      <c r="E3025" s="64"/>
      <c r="F3025" s="64"/>
      <c r="G3025" s="64"/>
    </row>
    <row r="3026" spans="2:7" ht="32.25" customHeight="1" x14ac:dyDescent="0.25">
      <c r="B3026" s="64"/>
      <c r="C3026" s="64"/>
      <c r="D3026" s="64"/>
      <c r="E3026" s="64"/>
      <c r="F3026" s="64"/>
      <c r="G3026" s="64"/>
    </row>
    <row r="3027" spans="2:7" ht="32.25" customHeight="1" x14ac:dyDescent="0.25">
      <c r="B3027" s="64"/>
      <c r="C3027" s="64"/>
      <c r="D3027" s="64"/>
      <c r="E3027" s="64"/>
      <c r="F3027" s="64"/>
      <c r="G3027" s="64"/>
    </row>
    <row r="3028" spans="2:7" ht="32.25" customHeight="1" x14ac:dyDescent="0.25">
      <c r="B3028" s="64"/>
      <c r="C3028" s="64"/>
      <c r="D3028" s="64"/>
      <c r="E3028" s="64"/>
      <c r="F3028" s="64"/>
      <c r="G3028" s="64"/>
    </row>
    <row r="3029" spans="2:7" ht="32.25" customHeight="1" x14ac:dyDescent="0.25">
      <c r="B3029" s="64"/>
      <c r="C3029" s="64"/>
      <c r="D3029" s="64"/>
      <c r="E3029" s="64"/>
      <c r="F3029" s="64"/>
      <c r="G3029" s="64"/>
    </row>
    <row r="3030" spans="2:7" ht="32.25" customHeight="1" x14ac:dyDescent="0.25">
      <c r="B3030" s="64"/>
      <c r="C3030" s="64"/>
      <c r="D3030" s="64"/>
      <c r="E3030" s="64"/>
      <c r="F3030" s="64"/>
      <c r="G3030" s="64"/>
    </row>
    <row r="3031" spans="2:7" ht="32.25" customHeight="1" x14ac:dyDescent="0.25">
      <c r="B3031" s="64"/>
      <c r="C3031" s="64"/>
      <c r="D3031" s="64"/>
      <c r="E3031" s="64"/>
      <c r="F3031" s="64"/>
      <c r="G3031" s="64"/>
    </row>
    <row r="3032" spans="2:7" ht="32.25" customHeight="1" x14ac:dyDescent="0.25">
      <c r="B3032" s="64"/>
      <c r="C3032" s="64"/>
      <c r="D3032" s="64"/>
      <c r="E3032" s="64"/>
      <c r="F3032" s="64"/>
      <c r="G3032" s="64"/>
    </row>
    <row r="3033" spans="2:7" ht="32.25" customHeight="1" x14ac:dyDescent="0.25">
      <c r="B3033" s="64"/>
      <c r="C3033" s="64"/>
      <c r="D3033" s="64"/>
      <c r="E3033" s="64"/>
      <c r="F3033" s="64"/>
      <c r="G3033" s="64"/>
    </row>
    <row r="3034" spans="2:7" ht="32.25" customHeight="1" x14ac:dyDescent="0.25">
      <c r="B3034" s="64"/>
      <c r="C3034" s="64"/>
      <c r="D3034" s="64"/>
      <c r="E3034" s="64"/>
      <c r="F3034" s="64"/>
      <c r="G3034" s="64"/>
    </row>
    <row r="3035" spans="2:7" ht="32.25" customHeight="1" x14ac:dyDescent="0.25">
      <c r="B3035" s="64"/>
      <c r="C3035" s="64"/>
      <c r="D3035" s="64"/>
      <c r="E3035" s="64"/>
      <c r="F3035" s="64"/>
      <c r="G3035" s="64"/>
    </row>
    <row r="3036" spans="2:7" ht="32.25" customHeight="1" x14ac:dyDescent="0.25">
      <c r="B3036" s="64"/>
      <c r="C3036" s="64"/>
      <c r="D3036" s="64"/>
      <c r="E3036" s="64"/>
      <c r="F3036" s="64"/>
      <c r="G3036" s="64"/>
    </row>
    <row r="3037" spans="2:7" ht="32.25" customHeight="1" x14ac:dyDescent="0.25">
      <c r="B3037" s="64"/>
      <c r="C3037" s="64"/>
      <c r="D3037" s="64"/>
      <c r="E3037" s="64"/>
      <c r="F3037" s="64"/>
      <c r="G3037" s="64"/>
    </row>
    <row r="3038" spans="2:7" ht="32.25" customHeight="1" x14ac:dyDescent="0.25">
      <c r="B3038" s="64"/>
      <c r="C3038" s="64"/>
      <c r="D3038" s="64"/>
      <c r="E3038" s="64"/>
      <c r="F3038" s="64"/>
      <c r="G3038" s="64"/>
    </row>
    <row r="3039" spans="2:7" ht="32.25" customHeight="1" x14ac:dyDescent="0.25">
      <c r="B3039" s="64"/>
      <c r="C3039" s="64"/>
      <c r="D3039" s="64"/>
      <c r="E3039" s="64"/>
      <c r="F3039" s="64"/>
      <c r="G3039" s="64"/>
    </row>
    <row r="3040" spans="2:7" ht="32.25" customHeight="1" x14ac:dyDescent="0.25">
      <c r="B3040" s="64"/>
      <c r="C3040" s="64"/>
      <c r="D3040" s="64"/>
      <c r="E3040" s="64"/>
      <c r="F3040" s="64"/>
      <c r="G3040" s="64"/>
    </row>
    <row r="3041" spans="2:7" ht="32.25" customHeight="1" x14ac:dyDescent="0.25">
      <c r="B3041" s="64"/>
      <c r="C3041" s="64"/>
      <c r="D3041" s="64"/>
      <c r="E3041" s="64"/>
      <c r="F3041" s="64"/>
      <c r="G3041" s="64"/>
    </row>
    <row r="3042" spans="2:7" ht="32.25" customHeight="1" x14ac:dyDescent="0.25">
      <c r="B3042" s="64"/>
      <c r="C3042" s="64"/>
      <c r="D3042" s="64"/>
      <c r="E3042" s="64"/>
      <c r="F3042" s="64"/>
      <c r="G3042" s="64"/>
    </row>
    <row r="3043" spans="2:7" ht="32.25" customHeight="1" x14ac:dyDescent="0.25">
      <c r="B3043" s="64"/>
      <c r="C3043" s="64"/>
      <c r="D3043" s="64"/>
      <c r="E3043" s="64"/>
      <c r="F3043" s="64"/>
      <c r="G3043" s="64"/>
    </row>
    <row r="3044" spans="2:7" ht="32.25" customHeight="1" x14ac:dyDescent="0.25">
      <c r="B3044" s="64"/>
      <c r="C3044" s="64"/>
      <c r="D3044" s="64"/>
      <c r="E3044" s="64"/>
      <c r="F3044" s="64"/>
      <c r="G3044" s="64"/>
    </row>
    <row r="3045" spans="2:7" ht="32.25" customHeight="1" x14ac:dyDescent="0.25">
      <c r="B3045" s="64"/>
      <c r="C3045" s="64"/>
      <c r="D3045" s="64"/>
      <c r="E3045" s="64"/>
      <c r="F3045" s="64"/>
      <c r="G3045" s="64"/>
    </row>
    <row r="3046" spans="2:7" ht="32.25" customHeight="1" x14ac:dyDescent="0.25">
      <c r="B3046" s="64"/>
      <c r="C3046" s="64"/>
      <c r="D3046" s="64"/>
      <c r="E3046" s="64"/>
      <c r="F3046" s="64"/>
      <c r="G3046" s="64"/>
    </row>
    <row r="3047" spans="2:7" ht="32.25" customHeight="1" x14ac:dyDescent="0.25">
      <c r="B3047" s="64"/>
      <c r="C3047" s="64"/>
      <c r="D3047" s="64"/>
      <c r="E3047" s="64"/>
      <c r="F3047" s="64"/>
      <c r="G3047" s="64"/>
    </row>
    <row r="3048" spans="2:7" ht="32.25" customHeight="1" x14ac:dyDescent="0.25">
      <c r="B3048" s="64"/>
      <c r="C3048" s="64"/>
      <c r="D3048" s="64"/>
      <c r="E3048" s="64"/>
      <c r="F3048" s="64"/>
      <c r="G3048" s="64"/>
    </row>
    <row r="3049" spans="2:7" ht="32.25" customHeight="1" x14ac:dyDescent="0.25">
      <c r="B3049" s="64"/>
      <c r="C3049" s="64"/>
      <c r="D3049" s="64"/>
      <c r="E3049" s="64"/>
      <c r="F3049" s="64"/>
      <c r="G3049" s="64"/>
    </row>
    <row r="3050" spans="2:7" ht="32.25" customHeight="1" x14ac:dyDescent="0.25">
      <c r="B3050" s="64"/>
      <c r="C3050" s="64"/>
      <c r="D3050" s="64"/>
      <c r="E3050" s="64"/>
      <c r="F3050" s="64"/>
      <c r="G3050" s="64"/>
    </row>
    <row r="3051" spans="2:7" ht="32.25" customHeight="1" x14ac:dyDescent="0.25">
      <c r="B3051" s="64"/>
      <c r="C3051" s="64"/>
      <c r="D3051" s="64"/>
      <c r="E3051" s="64"/>
      <c r="F3051" s="64"/>
      <c r="G3051" s="64"/>
    </row>
    <row r="3052" spans="2:7" ht="32.25" customHeight="1" x14ac:dyDescent="0.25">
      <c r="B3052" s="64"/>
      <c r="C3052" s="64"/>
      <c r="D3052" s="64"/>
      <c r="E3052" s="64"/>
      <c r="F3052" s="64"/>
      <c r="G3052" s="64"/>
    </row>
    <row r="3053" spans="2:7" ht="32.25" customHeight="1" x14ac:dyDescent="0.25">
      <c r="B3053" s="64"/>
      <c r="C3053" s="64"/>
      <c r="D3053" s="64"/>
      <c r="E3053" s="64"/>
      <c r="F3053" s="64"/>
      <c r="G3053" s="64"/>
    </row>
    <row r="3054" spans="2:7" ht="32.25" customHeight="1" x14ac:dyDescent="0.25">
      <c r="B3054" s="64"/>
      <c r="C3054" s="64"/>
      <c r="D3054" s="64"/>
      <c r="E3054" s="64"/>
      <c r="F3054" s="64"/>
      <c r="G3054" s="64"/>
    </row>
    <row r="3055" spans="2:7" ht="32.25" customHeight="1" x14ac:dyDescent="0.25">
      <c r="B3055" s="64"/>
      <c r="C3055" s="64"/>
      <c r="D3055" s="64"/>
      <c r="E3055" s="64"/>
      <c r="F3055" s="64"/>
      <c r="G3055" s="64"/>
    </row>
    <row r="3056" spans="2:7" ht="32.25" customHeight="1" x14ac:dyDescent="0.25">
      <c r="B3056" s="64"/>
      <c r="C3056" s="64"/>
      <c r="D3056" s="64"/>
      <c r="E3056" s="64"/>
      <c r="F3056" s="64"/>
      <c r="G3056" s="64"/>
    </row>
    <row r="3057" spans="2:7" ht="32.25" customHeight="1" x14ac:dyDescent="0.25">
      <c r="B3057" s="64"/>
      <c r="C3057" s="64"/>
      <c r="D3057" s="64"/>
      <c r="E3057" s="64"/>
      <c r="F3057" s="64"/>
      <c r="G3057" s="64"/>
    </row>
    <row r="3058" spans="2:7" ht="32.25" customHeight="1" x14ac:dyDescent="0.25">
      <c r="B3058" s="64"/>
      <c r="C3058" s="64"/>
      <c r="D3058" s="64"/>
      <c r="E3058" s="64"/>
      <c r="F3058" s="64"/>
      <c r="G3058" s="64"/>
    </row>
    <row r="3059" spans="2:7" ht="32.25" customHeight="1" x14ac:dyDescent="0.25">
      <c r="B3059" s="64"/>
      <c r="C3059" s="64"/>
      <c r="D3059" s="64"/>
      <c r="E3059" s="64"/>
      <c r="F3059" s="64"/>
      <c r="G3059" s="64"/>
    </row>
    <row r="3060" spans="2:7" ht="32.25" customHeight="1" x14ac:dyDescent="0.25">
      <c r="B3060" s="64"/>
      <c r="C3060" s="64"/>
      <c r="D3060" s="64"/>
      <c r="E3060" s="64"/>
      <c r="F3060" s="64"/>
      <c r="G3060" s="64"/>
    </row>
    <row r="3061" spans="2:7" ht="32.25" customHeight="1" x14ac:dyDescent="0.25">
      <c r="B3061" s="64"/>
      <c r="C3061" s="64"/>
      <c r="D3061" s="64"/>
      <c r="E3061" s="64"/>
      <c r="F3061" s="64"/>
      <c r="G3061" s="64"/>
    </row>
    <row r="3062" spans="2:7" ht="32.25" customHeight="1" x14ac:dyDescent="0.25">
      <c r="B3062" s="64"/>
      <c r="C3062" s="64"/>
      <c r="D3062" s="64"/>
      <c r="E3062" s="64"/>
      <c r="F3062" s="64"/>
      <c r="G3062" s="64"/>
    </row>
    <row r="3063" spans="2:7" ht="32.25" customHeight="1" x14ac:dyDescent="0.25">
      <c r="B3063" s="64"/>
      <c r="C3063" s="64"/>
      <c r="D3063" s="64"/>
      <c r="E3063" s="64"/>
      <c r="F3063" s="64"/>
      <c r="G3063" s="64"/>
    </row>
    <row r="3064" spans="2:7" ht="32.25" customHeight="1" x14ac:dyDescent="0.25">
      <c r="B3064" s="64"/>
      <c r="C3064" s="64"/>
      <c r="D3064" s="64"/>
      <c r="E3064" s="64"/>
      <c r="F3064" s="64"/>
      <c r="G3064" s="64"/>
    </row>
    <row r="3065" spans="2:7" ht="32.25" customHeight="1" x14ac:dyDescent="0.25">
      <c r="B3065" s="64"/>
      <c r="C3065" s="64"/>
      <c r="D3065" s="64"/>
      <c r="E3065" s="64"/>
      <c r="F3065" s="64"/>
      <c r="G3065" s="64"/>
    </row>
    <row r="3066" spans="2:7" ht="32.25" customHeight="1" x14ac:dyDescent="0.25">
      <c r="B3066" s="64"/>
      <c r="C3066" s="64"/>
      <c r="D3066" s="64"/>
      <c r="E3066" s="64"/>
      <c r="F3066" s="64"/>
      <c r="G3066" s="64"/>
    </row>
    <row r="3067" spans="2:7" ht="32.25" customHeight="1" x14ac:dyDescent="0.25">
      <c r="B3067" s="64"/>
      <c r="C3067" s="64"/>
      <c r="D3067" s="64"/>
      <c r="E3067" s="64"/>
      <c r="F3067" s="64"/>
      <c r="G3067" s="64"/>
    </row>
    <row r="3068" spans="2:7" ht="32.25" customHeight="1" x14ac:dyDescent="0.25">
      <c r="B3068" s="64"/>
      <c r="C3068" s="64"/>
      <c r="D3068" s="64"/>
      <c r="E3068" s="64"/>
      <c r="F3068" s="64"/>
      <c r="G3068" s="64"/>
    </row>
    <row r="3069" spans="2:7" ht="32.25" customHeight="1" x14ac:dyDescent="0.25">
      <c r="B3069" s="64"/>
      <c r="C3069" s="64"/>
      <c r="D3069" s="64"/>
      <c r="E3069" s="64"/>
      <c r="F3069" s="64"/>
      <c r="G3069" s="64"/>
    </row>
    <row r="3070" spans="2:7" ht="32.25" customHeight="1" x14ac:dyDescent="0.25">
      <c r="B3070" s="64"/>
      <c r="C3070" s="64"/>
      <c r="D3070" s="64"/>
      <c r="E3070" s="64"/>
      <c r="F3070" s="64"/>
      <c r="G3070" s="64"/>
    </row>
    <row r="3071" spans="2:7" ht="32.25" customHeight="1" x14ac:dyDescent="0.25">
      <c r="B3071" s="64"/>
      <c r="C3071" s="64"/>
      <c r="D3071" s="64"/>
      <c r="E3071" s="64"/>
      <c r="F3071" s="64"/>
      <c r="G3071" s="64"/>
    </row>
    <row r="3072" spans="2:7" ht="32.25" customHeight="1" x14ac:dyDescent="0.25">
      <c r="B3072" s="64"/>
      <c r="C3072" s="64"/>
      <c r="D3072" s="64"/>
      <c r="E3072" s="64"/>
      <c r="F3072" s="64"/>
      <c r="G3072" s="64"/>
    </row>
    <row r="3073" spans="2:7" ht="32.25" customHeight="1" x14ac:dyDescent="0.25">
      <c r="B3073" s="64"/>
      <c r="C3073" s="64"/>
      <c r="D3073" s="64"/>
      <c r="E3073" s="64"/>
      <c r="F3073" s="64"/>
      <c r="G3073" s="64"/>
    </row>
    <row r="3074" spans="2:7" ht="32.25" customHeight="1" x14ac:dyDescent="0.25">
      <c r="B3074" s="64"/>
      <c r="C3074" s="64"/>
      <c r="D3074" s="64"/>
      <c r="E3074" s="64"/>
      <c r="F3074" s="64"/>
      <c r="G3074" s="64"/>
    </row>
    <row r="3075" spans="2:7" ht="32.25" customHeight="1" x14ac:dyDescent="0.25">
      <c r="B3075" s="64"/>
      <c r="C3075" s="64"/>
      <c r="D3075" s="64"/>
      <c r="E3075" s="64"/>
      <c r="F3075" s="64"/>
      <c r="G3075" s="64"/>
    </row>
    <row r="3076" spans="2:7" ht="32.25" customHeight="1" x14ac:dyDescent="0.25">
      <c r="B3076" s="64"/>
      <c r="C3076" s="64"/>
      <c r="D3076" s="64"/>
      <c r="E3076" s="64"/>
      <c r="F3076" s="64"/>
      <c r="G3076" s="64"/>
    </row>
    <row r="3077" spans="2:7" ht="32.25" customHeight="1" x14ac:dyDescent="0.25">
      <c r="B3077" s="64"/>
      <c r="C3077" s="64"/>
      <c r="D3077" s="64"/>
      <c r="E3077" s="64"/>
      <c r="F3077" s="64"/>
      <c r="G3077" s="64"/>
    </row>
    <row r="3078" spans="2:7" ht="32.25" customHeight="1" x14ac:dyDescent="0.25">
      <c r="B3078" s="64"/>
      <c r="C3078" s="64"/>
      <c r="D3078" s="64"/>
      <c r="E3078" s="64"/>
      <c r="F3078" s="64"/>
      <c r="G3078" s="64"/>
    </row>
    <row r="3079" spans="2:7" ht="32.25" customHeight="1" x14ac:dyDescent="0.25">
      <c r="B3079" s="64"/>
      <c r="C3079" s="64"/>
      <c r="D3079" s="64"/>
      <c r="E3079" s="64"/>
      <c r="F3079" s="64"/>
      <c r="G3079" s="64"/>
    </row>
    <row r="3080" spans="2:7" ht="32.25" customHeight="1" x14ac:dyDescent="0.25">
      <c r="B3080" s="64"/>
      <c r="C3080" s="64"/>
      <c r="D3080" s="64"/>
      <c r="E3080" s="64"/>
      <c r="F3080" s="64"/>
      <c r="G3080" s="64"/>
    </row>
    <row r="3081" spans="2:7" ht="32.25" customHeight="1" x14ac:dyDescent="0.25">
      <c r="B3081" s="64"/>
      <c r="C3081" s="64"/>
      <c r="D3081" s="64"/>
      <c r="E3081" s="64"/>
      <c r="F3081" s="64"/>
      <c r="G3081" s="64"/>
    </row>
    <row r="3082" spans="2:7" ht="32.25" customHeight="1" x14ac:dyDescent="0.25">
      <c r="B3082" s="64"/>
      <c r="C3082" s="64"/>
      <c r="D3082" s="64"/>
      <c r="E3082" s="64"/>
      <c r="F3082" s="64"/>
      <c r="G3082" s="64"/>
    </row>
    <row r="3083" spans="2:7" ht="32.25" customHeight="1" x14ac:dyDescent="0.25">
      <c r="B3083" s="64"/>
      <c r="C3083" s="64"/>
      <c r="D3083" s="64"/>
      <c r="E3083" s="64"/>
      <c r="F3083" s="64"/>
      <c r="G3083" s="64"/>
    </row>
    <row r="3084" spans="2:7" ht="32.25" customHeight="1" x14ac:dyDescent="0.25">
      <c r="B3084" s="64"/>
      <c r="C3084" s="64"/>
      <c r="D3084" s="64"/>
      <c r="E3084" s="64"/>
      <c r="F3084" s="64"/>
      <c r="G3084" s="64"/>
    </row>
    <row r="3085" spans="2:7" ht="32.25" customHeight="1" x14ac:dyDescent="0.25">
      <c r="B3085" s="64"/>
      <c r="C3085" s="64"/>
      <c r="D3085" s="64"/>
      <c r="E3085" s="64"/>
      <c r="F3085" s="64"/>
      <c r="G3085" s="64"/>
    </row>
    <row r="3086" spans="2:7" ht="32.25" customHeight="1" x14ac:dyDescent="0.25">
      <c r="B3086" s="64"/>
      <c r="C3086" s="64"/>
      <c r="D3086" s="64"/>
      <c r="E3086" s="64"/>
      <c r="F3086" s="64"/>
      <c r="G3086" s="64"/>
    </row>
    <row r="3087" spans="2:7" ht="32.25" customHeight="1" x14ac:dyDescent="0.25">
      <c r="B3087" s="64"/>
      <c r="C3087" s="64"/>
      <c r="D3087" s="64"/>
      <c r="E3087" s="64"/>
      <c r="F3087" s="64"/>
      <c r="G3087" s="64"/>
    </row>
    <row r="3088" spans="2:7" ht="32.25" customHeight="1" x14ac:dyDescent="0.25">
      <c r="B3088" s="64"/>
      <c r="C3088" s="64"/>
      <c r="D3088" s="64"/>
      <c r="E3088" s="64"/>
      <c r="F3088" s="64"/>
      <c r="G3088" s="64"/>
    </row>
    <row r="3089" spans="2:7" ht="32.25" customHeight="1" x14ac:dyDescent="0.25">
      <c r="B3089" s="64"/>
      <c r="C3089" s="64"/>
      <c r="D3089" s="64"/>
      <c r="E3089" s="64"/>
      <c r="F3089" s="64"/>
      <c r="G3089" s="64"/>
    </row>
    <row r="3090" spans="2:7" ht="32.25" customHeight="1" x14ac:dyDescent="0.25">
      <c r="B3090" s="64"/>
      <c r="C3090" s="64"/>
      <c r="D3090" s="64"/>
      <c r="E3090" s="64"/>
      <c r="F3090" s="64"/>
      <c r="G3090" s="64"/>
    </row>
    <row r="3091" spans="2:7" ht="32.25" customHeight="1" x14ac:dyDescent="0.25">
      <c r="B3091" s="64"/>
      <c r="C3091" s="64"/>
      <c r="D3091" s="64"/>
      <c r="E3091" s="64"/>
      <c r="F3091" s="64"/>
      <c r="G3091" s="64"/>
    </row>
    <row r="3092" spans="2:7" ht="32.25" customHeight="1" x14ac:dyDescent="0.25">
      <c r="B3092" s="64"/>
      <c r="C3092" s="64"/>
      <c r="D3092" s="64"/>
      <c r="E3092" s="64"/>
      <c r="F3092" s="64"/>
      <c r="G3092" s="64"/>
    </row>
    <row r="3093" spans="2:7" ht="32.25" customHeight="1" x14ac:dyDescent="0.25">
      <c r="B3093" s="64"/>
      <c r="C3093" s="64"/>
      <c r="D3093" s="64"/>
      <c r="E3093" s="64"/>
      <c r="F3093" s="64"/>
      <c r="G3093" s="64"/>
    </row>
    <row r="3094" spans="2:7" ht="32.25" customHeight="1" x14ac:dyDescent="0.25">
      <c r="B3094" s="64"/>
      <c r="C3094" s="64"/>
      <c r="D3094" s="64"/>
      <c r="E3094" s="64"/>
      <c r="F3094" s="64"/>
      <c r="G3094" s="64"/>
    </row>
    <row r="3095" spans="2:7" ht="32.25" customHeight="1" x14ac:dyDescent="0.25">
      <c r="B3095" s="64"/>
      <c r="C3095" s="64"/>
      <c r="D3095" s="64"/>
      <c r="E3095" s="64"/>
      <c r="F3095" s="64"/>
      <c r="G3095" s="64"/>
    </row>
    <row r="3096" spans="2:7" ht="32.25" customHeight="1" x14ac:dyDescent="0.25">
      <c r="B3096" s="64"/>
      <c r="C3096" s="64"/>
      <c r="D3096" s="64"/>
      <c r="E3096" s="64"/>
      <c r="F3096" s="64"/>
      <c r="G3096" s="64"/>
    </row>
    <row r="3097" spans="2:7" ht="32.25" customHeight="1" x14ac:dyDescent="0.25">
      <c r="B3097" s="64"/>
      <c r="C3097" s="64"/>
      <c r="D3097" s="64"/>
      <c r="E3097" s="64"/>
      <c r="F3097" s="64"/>
      <c r="G3097" s="64"/>
    </row>
    <row r="3098" spans="2:7" ht="32.25" customHeight="1" x14ac:dyDescent="0.25">
      <c r="B3098" s="64"/>
      <c r="C3098" s="64"/>
      <c r="D3098" s="64"/>
      <c r="E3098" s="64"/>
      <c r="F3098" s="64"/>
      <c r="G3098" s="64"/>
    </row>
    <row r="3099" spans="2:7" ht="32.25" customHeight="1" x14ac:dyDescent="0.25">
      <c r="B3099" s="64"/>
      <c r="C3099" s="64"/>
      <c r="D3099" s="64"/>
      <c r="E3099" s="64"/>
      <c r="F3099" s="64"/>
      <c r="G3099" s="64"/>
    </row>
    <row r="3100" spans="2:7" ht="32.25" customHeight="1" x14ac:dyDescent="0.25">
      <c r="B3100" s="64"/>
      <c r="C3100" s="64"/>
      <c r="D3100" s="64"/>
      <c r="E3100" s="64"/>
      <c r="F3100" s="64"/>
      <c r="G3100" s="64"/>
    </row>
    <row r="3101" spans="2:7" ht="32.25" customHeight="1" x14ac:dyDescent="0.25">
      <c r="B3101" s="64"/>
      <c r="C3101" s="64"/>
      <c r="D3101" s="64"/>
      <c r="E3101" s="64"/>
      <c r="F3101" s="64"/>
      <c r="G3101" s="64"/>
    </row>
    <row r="3102" spans="2:7" ht="32.25" customHeight="1" x14ac:dyDescent="0.25">
      <c r="B3102" s="64"/>
      <c r="C3102" s="64"/>
      <c r="D3102" s="64"/>
      <c r="E3102" s="64"/>
      <c r="F3102" s="64"/>
      <c r="G3102" s="64"/>
    </row>
    <row r="3103" spans="2:7" ht="32.25" customHeight="1" x14ac:dyDescent="0.25">
      <c r="B3103" s="64"/>
      <c r="C3103" s="64"/>
      <c r="D3103" s="64"/>
      <c r="E3103" s="64"/>
      <c r="F3103" s="64"/>
      <c r="G3103" s="64"/>
    </row>
    <row r="3104" spans="2:7" ht="32.25" customHeight="1" x14ac:dyDescent="0.25">
      <c r="B3104" s="64"/>
      <c r="C3104" s="64"/>
      <c r="D3104" s="64"/>
      <c r="E3104" s="64"/>
      <c r="F3104" s="64"/>
      <c r="G3104" s="64"/>
    </row>
    <row r="3105" spans="2:7" ht="32.25" customHeight="1" x14ac:dyDescent="0.25">
      <c r="B3105" s="64"/>
      <c r="C3105" s="64"/>
      <c r="D3105" s="64"/>
      <c r="E3105" s="64"/>
      <c r="F3105" s="64"/>
      <c r="G3105" s="64"/>
    </row>
    <row r="3106" spans="2:7" ht="32.25" customHeight="1" x14ac:dyDescent="0.25">
      <c r="B3106" s="64"/>
      <c r="C3106" s="64"/>
      <c r="D3106" s="64"/>
      <c r="E3106" s="64"/>
      <c r="F3106" s="64"/>
      <c r="G3106" s="64"/>
    </row>
    <row r="3107" spans="2:7" ht="32.25" customHeight="1" x14ac:dyDescent="0.25">
      <c r="B3107" s="64"/>
      <c r="C3107" s="64"/>
      <c r="D3107" s="64"/>
      <c r="E3107" s="64"/>
      <c r="F3107" s="64"/>
      <c r="G3107" s="64"/>
    </row>
    <row r="3108" spans="2:7" ht="32.25" customHeight="1" x14ac:dyDescent="0.25">
      <c r="B3108" s="64"/>
      <c r="C3108" s="64"/>
      <c r="D3108" s="64"/>
      <c r="E3108" s="64"/>
      <c r="F3108" s="64"/>
      <c r="G3108" s="64"/>
    </row>
    <row r="3109" spans="2:7" ht="32.25" customHeight="1" x14ac:dyDescent="0.25">
      <c r="B3109" s="64"/>
      <c r="C3109" s="64"/>
      <c r="D3109" s="64"/>
      <c r="E3109" s="64"/>
      <c r="F3109" s="64"/>
      <c r="G3109" s="64"/>
    </row>
    <row r="3110" spans="2:7" ht="32.25" customHeight="1" x14ac:dyDescent="0.25">
      <c r="B3110" s="64"/>
      <c r="C3110" s="64"/>
      <c r="D3110" s="64"/>
      <c r="E3110" s="64"/>
      <c r="F3110" s="64"/>
      <c r="G3110" s="64"/>
    </row>
    <row r="3111" spans="2:7" ht="32.25" customHeight="1" x14ac:dyDescent="0.25">
      <c r="B3111" s="64"/>
      <c r="C3111" s="64"/>
      <c r="D3111" s="64"/>
      <c r="E3111" s="64"/>
      <c r="F3111" s="64"/>
      <c r="G3111" s="64"/>
    </row>
    <row r="3112" spans="2:7" ht="32.25" customHeight="1" x14ac:dyDescent="0.25">
      <c r="B3112" s="64"/>
      <c r="C3112" s="64"/>
      <c r="D3112" s="64"/>
      <c r="E3112" s="64"/>
      <c r="F3112" s="64"/>
      <c r="G3112" s="64"/>
    </row>
    <row r="3113" spans="2:7" ht="32.25" customHeight="1" x14ac:dyDescent="0.25">
      <c r="B3113" s="64"/>
      <c r="C3113" s="64"/>
      <c r="D3113" s="64"/>
      <c r="E3113" s="64"/>
      <c r="F3113" s="64"/>
      <c r="G3113" s="64"/>
    </row>
    <row r="3114" spans="2:7" ht="32.25" customHeight="1" x14ac:dyDescent="0.25">
      <c r="B3114" s="64"/>
      <c r="C3114" s="64"/>
      <c r="D3114" s="64"/>
      <c r="E3114" s="64"/>
      <c r="F3114" s="64"/>
      <c r="G3114" s="64"/>
    </row>
    <row r="3115" spans="2:7" ht="32.25" customHeight="1" x14ac:dyDescent="0.25">
      <c r="B3115" s="64"/>
      <c r="C3115" s="64"/>
      <c r="D3115" s="64"/>
      <c r="E3115" s="64"/>
      <c r="F3115" s="64"/>
      <c r="G3115" s="64"/>
    </row>
    <row r="3116" spans="2:7" ht="32.25" customHeight="1" x14ac:dyDescent="0.25">
      <c r="B3116" s="64"/>
      <c r="C3116" s="64"/>
      <c r="D3116" s="64"/>
      <c r="E3116" s="64"/>
      <c r="F3116" s="64"/>
      <c r="G3116" s="64"/>
    </row>
    <row r="3117" spans="2:7" ht="32.25" customHeight="1" x14ac:dyDescent="0.25">
      <c r="B3117" s="64"/>
      <c r="C3117" s="64"/>
      <c r="D3117" s="64"/>
      <c r="E3117" s="64"/>
      <c r="F3117" s="64"/>
      <c r="G3117" s="64"/>
    </row>
    <row r="3118" spans="2:7" ht="32.25" customHeight="1" x14ac:dyDescent="0.25">
      <c r="B3118" s="64"/>
      <c r="C3118" s="64"/>
      <c r="D3118" s="64"/>
      <c r="E3118" s="64"/>
      <c r="F3118" s="64"/>
      <c r="G3118" s="64"/>
    </row>
    <row r="3119" spans="2:7" ht="32.25" customHeight="1" x14ac:dyDescent="0.25">
      <c r="B3119" s="64"/>
      <c r="C3119" s="64"/>
      <c r="D3119" s="64"/>
      <c r="E3119" s="64"/>
      <c r="F3119" s="64"/>
      <c r="G3119" s="64"/>
    </row>
    <row r="3120" spans="2:7" ht="32.25" customHeight="1" x14ac:dyDescent="0.25">
      <c r="B3120" s="64"/>
      <c r="C3120" s="64"/>
      <c r="D3120" s="64"/>
      <c r="E3120" s="64"/>
      <c r="F3120" s="64"/>
      <c r="G3120" s="64"/>
    </row>
    <row r="3121" spans="2:7" ht="32.25" customHeight="1" x14ac:dyDescent="0.25">
      <c r="B3121" s="64"/>
      <c r="C3121" s="64"/>
      <c r="D3121" s="64"/>
      <c r="E3121" s="64"/>
      <c r="F3121" s="64"/>
      <c r="G3121" s="64"/>
    </row>
    <row r="3122" spans="2:7" ht="32.25" customHeight="1" x14ac:dyDescent="0.25">
      <c r="B3122" s="64"/>
      <c r="C3122" s="64"/>
      <c r="D3122" s="64"/>
      <c r="E3122" s="64"/>
      <c r="F3122" s="64"/>
      <c r="G3122" s="64"/>
    </row>
    <row r="3123" spans="2:7" ht="32.25" customHeight="1" x14ac:dyDescent="0.25">
      <c r="B3123" s="64"/>
      <c r="C3123" s="64"/>
      <c r="D3123" s="64"/>
      <c r="E3123" s="64"/>
      <c r="F3123" s="64"/>
      <c r="G3123" s="64"/>
    </row>
    <row r="3124" spans="2:7" ht="32.25" customHeight="1" x14ac:dyDescent="0.25">
      <c r="B3124" s="64"/>
      <c r="C3124" s="64"/>
      <c r="D3124" s="64"/>
      <c r="E3124" s="64"/>
      <c r="F3124" s="64"/>
      <c r="G3124" s="64"/>
    </row>
    <row r="3125" spans="2:7" ht="32.25" customHeight="1" x14ac:dyDescent="0.25">
      <c r="B3125" s="64"/>
      <c r="C3125" s="64"/>
      <c r="D3125" s="64"/>
      <c r="E3125" s="64"/>
      <c r="F3125" s="64"/>
      <c r="G3125" s="64"/>
    </row>
    <row r="3126" spans="2:7" ht="32.25" customHeight="1" x14ac:dyDescent="0.25">
      <c r="B3126" s="64"/>
      <c r="C3126" s="64"/>
      <c r="D3126" s="64"/>
      <c r="E3126" s="64"/>
      <c r="F3126" s="64"/>
      <c r="G3126" s="64"/>
    </row>
    <row r="3127" spans="2:7" ht="32.25" customHeight="1" x14ac:dyDescent="0.25">
      <c r="B3127" s="64"/>
      <c r="C3127" s="64"/>
      <c r="D3127" s="64"/>
      <c r="E3127" s="64"/>
      <c r="F3127" s="64"/>
      <c r="G3127" s="64"/>
    </row>
    <row r="3128" spans="2:7" ht="32.25" customHeight="1" x14ac:dyDescent="0.25">
      <c r="B3128" s="64"/>
      <c r="C3128" s="64"/>
      <c r="D3128" s="64"/>
      <c r="E3128" s="64"/>
      <c r="F3128" s="64"/>
      <c r="G3128" s="64"/>
    </row>
    <row r="3129" spans="2:7" ht="32.25" customHeight="1" x14ac:dyDescent="0.25">
      <c r="B3129" s="64"/>
      <c r="C3129" s="64"/>
      <c r="D3129" s="64"/>
      <c r="E3129" s="64"/>
      <c r="F3129" s="64"/>
      <c r="G3129" s="64"/>
    </row>
    <row r="3130" spans="2:7" ht="32.25" customHeight="1" x14ac:dyDescent="0.25">
      <c r="B3130" s="64"/>
      <c r="C3130" s="64"/>
      <c r="D3130" s="64"/>
      <c r="E3130" s="64"/>
      <c r="F3130" s="64"/>
      <c r="G3130" s="64"/>
    </row>
    <row r="3131" spans="2:7" ht="32.25" customHeight="1" x14ac:dyDescent="0.25">
      <c r="B3131" s="64"/>
      <c r="C3131" s="64"/>
      <c r="D3131" s="64"/>
      <c r="E3131" s="64"/>
      <c r="F3131" s="64"/>
      <c r="G3131" s="64"/>
    </row>
    <row r="3132" spans="2:7" ht="32.25" customHeight="1" x14ac:dyDescent="0.25">
      <c r="B3132" s="64"/>
      <c r="C3132" s="64"/>
      <c r="D3132" s="64"/>
      <c r="E3132" s="64"/>
      <c r="F3132" s="64"/>
      <c r="G3132" s="64"/>
    </row>
    <row r="3133" spans="2:7" ht="32.25" customHeight="1" x14ac:dyDescent="0.25">
      <c r="B3133" s="64"/>
      <c r="C3133" s="64"/>
      <c r="D3133" s="64"/>
      <c r="E3133" s="64"/>
      <c r="F3133" s="64"/>
      <c r="G3133" s="64"/>
    </row>
    <row r="3134" spans="2:7" ht="32.25" customHeight="1" x14ac:dyDescent="0.25">
      <c r="B3134" s="64"/>
      <c r="C3134" s="64"/>
      <c r="D3134" s="64"/>
      <c r="E3134" s="64"/>
      <c r="F3134" s="64"/>
      <c r="G3134" s="64"/>
    </row>
    <row r="3135" spans="2:7" ht="32.25" customHeight="1" x14ac:dyDescent="0.25">
      <c r="B3135" s="64"/>
      <c r="C3135" s="64"/>
      <c r="D3135" s="64"/>
      <c r="E3135" s="64"/>
      <c r="F3135" s="64"/>
      <c r="G3135" s="64"/>
    </row>
    <row r="3136" spans="2:7" ht="32.25" customHeight="1" x14ac:dyDescent="0.25">
      <c r="B3136" s="64"/>
      <c r="C3136" s="64"/>
      <c r="D3136" s="64"/>
      <c r="E3136" s="64"/>
      <c r="F3136" s="64"/>
      <c r="G3136" s="64"/>
    </row>
    <row r="3137" spans="2:7" ht="32.25" customHeight="1" x14ac:dyDescent="0.25">
      <c r="B3137" s="64"/>
      <c r="C3137" s="64"/>
      <c r="D3137" s="64"/>
      <c r="E3137" s="64"/>
      <c r="F3137" s="64"/>
      <c r="G3137" s="64"/>
    </row>
    <row r="3138" spans="2:7" ht="32.25" customHeight="1" x14ac:dyDescent="0.25">
      <c r="B3138" s="64"/>
      <c r="C3138" s="64"/>
      <c r="D3138" s="64"/>
      <c r="E3138" s="64"/>
      <c r="F3138" s="64"/>
      <c r="G3138" s="64"/>
    </row>
    <row r="3139" spans="2:7" ht="32.25" customHeight="1" x14ac:dyDescent="0.25">
      <c r="B3139" s="64"/>
      <c r="C3139" s="64"/>
      <c r="D3139" s="64"/>
      <c r="E3139" s="64"/>
      <c r="F3139" s="64"/>
      <c r="G3139" s="64"/>
    </row>
    <row r="3140" spans="2:7" ht="32.25" customHeight="1" x14ac:dyDescent="0.25">
      <c r="B3140" s="64"/>
      <c r="C3140" s="64"/>
      <c r="D3140" s="64"/>
      <c r="E3140" s="64"/>
      <c r="F3140" s="64"/>
      <c r="G3140" s="64"/>
    </row>
    <row r="3141" spans="2:7" ht="32.25" customHeight="1" x14ac:dyDescent="0.25">
      <c r="B3141" s="64"/>
      <c r="C3141" s="64"/>
      <c r="D3141" s="64"/>
      <c r="E3141" s="64"/>
      <c r="F3141" s="64"/>
      <c r="G3141" s="64"/>
    </row>
    <row r="3142" spans="2:7" ht="32.25" customHeight="1" x14ac:dyDescent="0.25">
      <c r="B3142" s="64"/>
      <c r="C3142" s="64"/>
      <c r="D3142" s="64"/>
      <c r="E3142" s="64"/>
      <c r="F3142" s="64"/>
      <c r="G3142" s="64"/>
    </row>
    <row r="3143" spans="2:7" ht="32.25" customHeight="1" x14ac:dyDescent="0.25">
      <c r="B3143" s="64"/>
      <c r="C3143" s="64"/>
      <c r="D3143" s="64"/>
      <c r="E3143" s="64"/>
      <c r="F3143" s="64"/>
      <c r="G3143" s="64"/>
    </row>
    <row r="3144" spans="2:7" ht="32.25" customHeight="1" x14ac:dyDescent="0.25">
      <c r="B3144" s="64"/>
      <c r="C3144" s="64"/>
      <c r="D3144" s="64"/>
      <c r="E3144" s="64"/>
      <c r="F3144" s="64"/>
      <c r="G3144" s="64"/>
    </row>
    <row r="3145" spans="2:7" ht="32.25" customHeight="1" x14ac:dyDescent="0.25">
      <c r="B3145" s="64"/>
      <c r="C3145" s="64"/>
      <c r="D3145" s="64"/>
      <c r="E3145" s="64"/>
      <c r="F3145" s="64"/>
      <c r="G3145" s="64"/>
    </row>
    <row r="3146" spans="2:7" ht="32.25" customHeight="1" x14ac:dyDescent="0.25">
      <c r="B3146" s="64"/>
      <c r="C3146" s="64"/>
      <c r="D3146" s="64"/>
      <c r="E3146" s="64"/>
      <c r="F3146" s="64"/>
      <c r="G3146" s="64"/>
    </row>
    <row r="3147" spans="2:7" ht="32.25" customHeight="1" x14ac:dyDescent="0.25">
      <c r="B3147" s="64"/>
      <c r="C3147" s="64"/>
      <c r="D3147" s="64"/>
      <c r="E3147" s="64"/>
      <c r="F3147" s="64"/>
      <c r="G3147" s="64"/>
    </row>
    <row r="3148" spans="2:7" ht="32.25" customHeight="1" x14ac:dyDescent="0.25">
      <c r="B3148" s="64"/>
      <c r="C3148" s="64"/>
      <c r="D3148" s="64"/>
      <c r="E3148" s="64"/>
      <c r="F3148" s="64"/>
      <c r="G3148" s="64"/>
    </row>
    <row r="3149" spans="2:7" ht="32.25" customHeight="1" x14ac:dyDescent="0.25">
      <c r="B3149" s="64"/>
      <c r="C3149" s="64"/>
      <c r="D3149" s="64"/>
      <c r="E3149" s="64"/>
      <c r="F3149" s="64"/>
      <c r="G3149" s="64"/>
    </row>
    <row r="3150" spans="2:7" ht="32.25" customHeight="1" x14ac:dyDescent="0.25">
      <c r="B3150" s="64"/>
      <c r="C3150" s="64"/>
      <c r="D3150" s="64"/>
      <c r="E3150" s="64"/>
      <c r="F3150" s="64"/>
      <c r="G3150" s="64"/>
    </row>
    <row r="3151" spans="2:7" ht="32.25" customHeight="1" x14ac:dyDescent="0.25">
      <c r="B3151" s="64"/>
      <c r="C3151" s="64"/>
      <c r="D3151" s="64"/>
      <c r="E3151" s="64"/>
      <c r="F3151" s="64"/>
      <c r="G3151" s="64"/>
    </row>
    <row r="3152" spans="2:7" ht="32.25" customHeight="1" x14ac:dyDescent="0.25">
      <c r="B3152" s="64"/>
      <c r="C3152" s="64"/>
      <c r="D3152" s="64"/>
      <c r="E3152" s="64"/>
      <c r="F3152" s="64"/>
      <c r="G3152" s="64"/>
    </row>
    <row r="3153" spans="2:7" ht="32.25" customHeight="1" x14ac:dyDescent="0.25">
      <c r="B3153" s="64"/>
      <c r="C3153" s="64"/>
      <c r="D3153" s="64"/>
      <c r="E3153" s="64"/>
      <c r="F3153" s="64"/>
      <c r="G3153" s="64"/>
    </row>
    <row r="3154" spans="2:7" ht="32.25" customHeight="1" x14ac:dyDescent="0.25">
      <c r="B3154" s="64"/>
      <c r="C3154" s="64"/>
      <c r="D3154" s="64"/>
      <c r="E3154" s="64"/>
      <c r="F3154" s="64"/>
      <c r="G3154" s="64"/>
    </row>
    <row r="3155" spans="2:7" ht="32.25" customHeight="1" x14ac:dyDescent="0.25">
      <c r="B3155" s="64"/>
      <c r="C3155" s="64"/>
      <c r="D3155" s="64"/>
      <c r="E3155" s="64"/>
      <c r="F3155" s="64"/>
      <c r="G3155" s="64"/>
    </row>
    <row r="3156" spans="2:7" ht="32.25" customHeight="1" x14ac:dyDescent="0.25">
      <c r="B3156" s="64"/>
      <c r="C3156" s="64"/>
      <c r="D3156" s="64"/>
      <c r="E3156" s="64"/>
      <c r="F3156" s="64"/>
      <c r="G3156" s="64"/>
    </row>
    <row r="3157" spans="2:7" ht="32.25" customHeight="1" x14ac:dyDescent="0.25">
      <c r="B3157" s="64"/>
      <c r="C3157" s="64"/>
      <c r="D3157" s="64"/>
      <c r="E3157" s="64"/>
      <c r="F3157" s="64"/>
      <c r="G3157" s="64"/>
    </row>
    <row r="3158" spans="2:7" ht="32.25" customHeight="1" x14ac:dyDescent="0.25">
      <c r="B3158" s="64"/>
      <c r="C3158" s="64"/>
      <c r="D3158" s="64"/>
      <c r="E3158" s="64"/>
      <c r="F3158" s="64"/>
      <c r="G3158" s="64"/>
    </row>
    <row r="3159" spans="2:7" ht="32.25" customHeight="1" x14ac:dyDescent="0.25">
      <c r="B3159" s="64"/>
      <c r="C3159" s="64"/>
      <c r="D3159" s="64"/>
      <c r="E3159" s="64"/>
      <c r="F3159" s="64"/>
      <c r="G3159" s="64"/>
    </row>
    <row r="3160" spans="2:7" ht="32.25" customHeight="1" x14ac:dyDescent="0.25">
      <c r="B3160" s="64"/>
      <c r="C3160" s="64"/>
      <c r="D3160" s="64"/>
      <c r="E3160" s="64"/>
      <c r="F3160" s="64"/>
      <c r="G3160" s="64"/>
    </row>
    <row r="3161" spans="2:7" ht="32.25" customHeight="1" x14ac:dyDescent="0.25">
      <c r="B3161" s="64"/>
      <c r="C3161" s="64"/>
      <c r="D3161" s="64"/>
      <c r="E3161" s="64"/>
      <c r="F3161" s="64"/>
      <c r="G3161" s="64"/>
    </row>
    <row r="3162" spans="2:7" ht="32.25" customHeight="1" x14ac:dyDescent="0.25">
      <c r="B3162" s="64"/>
      <c r="C3162" s="64"/>
      <c r="D3162" s="64"/>
      <c r="E3162" s="64"/>
      <c r="F3162" s="64"/>
      <c r="G3162" s="64"/>
    </row>
    <row r="3163" spans="2:7" ht="32.25" customHeight="1" x14ac:dyDescent="0.25">
      <c r="B3163" s="64"/>
      <c r="C3163" s="64"/>
      <c r="D3163" s="64"/>
      <c r="E3163" s="64"/>
      <c r="F3163" s="64"/>
      <c r="G3163" s="64"/>
    </row>
    <row r="3164" spans="2:7" ht="32.25" customHeight="1" x14ac:dyDescent="0.25">
      <c r="B3164" s="64"/>
      <c r="C3164" s="64"/>
      <c r="D3164" s="64"/>
      <c r="E3164" s="64"/>
      <c r="F3164" s="64"/>
      <c r="G3164" s="64"/>
    </row>
    <row r="3165" spans="2:7" ht="32.25" customHeight="1" x14ac:dyDescent="0.25">
      <c r="B3165" s="64"/>
      <c r="C3165" s="64"/>
      <c r="D3165" s="64"/>
      <c r="E3165" s="64"/>
      <c r="F3165" s="64"/>
      <c r="G3165" s="64"/>
    </row>
    <row r="3166" spans="2:7" ht="32.25" customHeight="1" x14ac:dyDescent="0.25">
      <c r="B3166" s="64"/>
      <c r="C3166" s="64"/>
      <c r="D3166" s="64"/>
      <c r="E3166" s="64"/>
      <c r="F3166" s="64"/>
      <c r="G3166" s="64"/>
    </row>
    <row r="3167" spans="2:7" ht="32.25" customHeight="1" x14ac:dyDescent="0.25">
      <c r="B3167" s="64"/>
      <c r="C3167" s="64"/>
      <c r="D3167" s="64"/>
      <c r="E3167" s="64"/>
      <c r="F3167" s="64"/>
      <c r="G3167" s="64"/>
    </row>
    <row r="3168" spans="2:7" ht="32.25" customHeight="1" x14ac:dyDescent="0.25">
      <c r="B3168" s="64"/>
      <c r="C3168" s="64"/>
      <c r="D3168" s="64"/>
      <c r="E3168" s="64"/>
      <c r="F3168" s="64"/>
      <c r="G3168" s="64"/>
    </row>
    <row r="3169" spans="2:7" ht="32.25" customHeight="1" x14ac:dyDescent="0.25">
      <c r="B3169" s="64"/>
      <c r="C3169" s="64"/>
      <c r="D3169" s="64"/>
      <c r="E3169" s="64"/>
      <c r="F3169" s="64"/>
      <c r="G3169" s="64"/>
    </row>
    <row r="3170" spans="2:7" ht="32.25" customHeight="1" x14ac:dyDescent="0.25">
      <c r="B3170" s="64"/>
      <c r="C3170" s="64"/>
      <c r="D3170" s="64"/>
      <c r="E3170" s="64"/>
      <c r="F3170" s="64"/>
      <c r="G3170" s="64"/>
    </row>
    <row r="3171" spans="2:7" ht="32.25" customHeight="1" x14ac:dyDescent="0.25">
      <c r="B3171" s="64"/>
      <c r="C3171" s="64"/>
      <c r="D3171" s="64"/>
      <c r="E3171" s="64"/>
      <c r="F3171" s="64"/>
      <c r="G3171" s="64"/>
    </row>
    <row r="3172" spans="2:7" ht="32.25" customHeight="1" x14ac:dyDescent="0.25">
      <c r="B3172" s="64"/>
      <c r="C3172" s="64"/>
      <c r="D3172" s="64"/>
      <c r="E3172" s="64"/>
      <c r="F3172" s="64"/>
      <c r="G3172" s="64"/>
    </row>
    <row r="3173" spans="2:7" ht="32.25" customHeight="1" x14ac:dyDescent="0.25">
      <c r="B3173" s="64"/>
      <c r="C3173" s="64"/>
      <c r="D3173" s="64"/>
      <c r="E3173" s="64"/>
      <c r="F3173" s="64"/>
      <c r="G3173" s="64"/>
    </row>
    <row r="3174" spans="2:7" ht="32.25" customHeight="1" x14ac:dyDescent="0.25">
      <c r="B3174" s="64"/>
      <c r="C3174" s="64"/>
      <c r="D3174" s="64"/>
      <c r="E3174" s="64"/>
      <c r="F3174" s="64"/>
      <c r="G3174" s="64"/>
    </row>
    <row r="3175" spans="2:7" ht="32.25" customHeight="1" x14ac:dyDescent="0.25">
      <c r="B3175" s="64"/>
      <c r="C3175" s="64"/>
      <c r="D3175" s="64"/>
      <c r="E3175" s="64"/>
      <c r="F3175" s="64"/>
      <c r="G3175" s="64"/>
    </row>
    <row r="3176" spans="2:7" ht="32.25" customHeight="1" x14ac:dyDescent="0.25">
      <c r="B3176" s="64"/>
      <c r="C3176" s="64"/>
      <c r="D3176" s="64"/>
      <c r="E3176" s="64"/>
      <c r="F3176" s="64"/>
      <c r="G3176" s="64"/>
    </row>
    <row r="3177" spans="2:7" ht="32.25" customHeight="1" x14ac:dyDescent="0.25">
      <c r="B3177" s="64"/>
      <c r="C3177" s="64"/>
      <c r="D3177" s="64"/>
      <c r="E3177" s="64"/>
      <c r="F3177" s="64"/>
      <c r="G3177" s="64"/>
    </row>
    <row r="3178" spans="2:7" ht="32.25" customHeight="1" x14ac:dyDescent="0.25">
      <c r="B3178" s="64"/>
      <c r="C3178" s="64"/>
      <c r="D3178" s="64"/>
      <c r="E3178" s="64"/>
      <c r="F3178" s="64"/>
      <c r="G3178" s="64"/>
    </row>
    <row r="3179" spans="2:7" ht="32.25" customHeight="1" x14ac:dyDescent="0.25">
      <c r="B3179" s="64"/>
      <c r="C3179" s="64"/>
      <c r="D3179" s="64"/>
      <c r="E3179" s="64"/>
      <c r="F3179" s="64"/>
      <c r="G3179" s="64"/>
    </row>
    <row r="3180" spans="2:7" ht="32.25" customHeight="1" x14ac:dyDescent="0.25">
      <c r="B3180" s="64"/>
      <c r="C3180" s="64"/>
      <c r="D3180" s="64"/>
      <c r="E3180" s="64"/>
      <c r="F3180" s="64"/>
      <c r="G3180" s="64"/>
    </row>
    <row r="3181" spans="2:7" ht="32.25" customHeight="1" x14ac:dyDescent="0.25">
      <c r="B3181" s="64"/>
      <c r="C3181" s="64"/>
      <c r="D3181" s="64"/>
      <c r="E3181" s="64"/>
      <c r="F3181" s="64"/>
      <c r="G3181" s="64"/>
    </row>
    <row r="3182" spans="2:7" ht="32.25" customHeight="1" x14ac:dyDescent="0.25">
      <c r="B3182" s="64"/>
      <c r="C3182" s="64"/>
      <c r="D3182" s="64"/>
      <c r="E3182" s="64"/>
      <c r="F3182" s="64"/>
      <c r="G3182" s="64"/>
    </row>
    <row r="3183" spans="2:7" ht="32.25" customHeight="1" x14ac:dyDescent="0.25">
      <c r="B3183" s="64"/>
      <c r="C3183" s="64"/>
      <c r="D3183" s="64"/>
      <c r="E3183" s="64"/>
      <c r="F3183" s="64"/>
      <c r="G3183" s="64"/>
    </row>
    <row r="3184" spans="2:7" ht="32.25" customHeight="1" x14ac:dyDescent="0.25">
      <c r="B3184" s="64"/>
      <c r="C3184" s="64"/>
      <c r="D3184" s="64"/>
      <c r="E3184" s="64"/>
      <c r="F3184" s="64"/>
      <c r="G3184" s="64"/>
    </row>
    <row r="3185" spans="2:7" ht="32.25" customHeight="1" x14ac:dyDescent="0.25">
      <c r="B3185" s="64"/>
      <c r="C3185" s="64"/>
      <c r="D3185" s="64"/>
      <c r="E3185" s="64"/>
      <c r="F3185" s="64"/>
      <c r="G3185" s="64"/>
    </row>
    <row r="3186" spans="2:7" ht="32.25" customHeight="1" x14ac:dyDescent="0.25">
      <c r="B3186" s="64"/>
      <c r="C3186" s="64"/>
      <c r="D3186" s="64"/>
      <c r="E3186" s="64"/>
      <c r="F3186" s="64"/>
      <c r="G3186" s="64"/>
    </row>
    <row r="3187" spans="2:7" ht="32.25" customHeight="1" x14ac:dyDescent="0.25">
      <c r="B3187" s="64"/>
      <c r="C3187" s="64"/>
      <c r="D3187" s="64"/>
      <c r="E3187" s="64"/>
      <c r="F3187" s="64"/>
      <c r="G3187" s="64"/>
    </row>
    <row r="3188" spans="2:7" ht="32.25" customHeight="1" x14ac:dyDescent="0.25">
      <c r="B3188" s="64"/>
      <c r="C3188" s="64"/>
      <c r="D3188" s="64"/>
      <c r="E3188" s="64"/>
      <c r="F3188" s="64"/>
      <c r="G3188" s="64"/>
    </row>
    <row r="3189" spans="2:7" ht="32.25" customHeight="1" x14ac:dyDescent="0.25">
      <c r="B3189" s="64"/>
      <c r="C3189" s="64"/>
      <c r="D3189" s="64"/>
      <c r="E3189" s="64"/>
      <c r="F3189" s="64"/>
      <c r="G3189" s="64"/>
    </row>
    <row r="3190" spans="2:7" ht="32.25" customHeight="1" x14ac:dyDescent="0.25">
      <c r="B3190" s="64"/>
      <c r="C3190" s="64"/>
      <c r="D3190" s="64"/>
      <c r="E3190" s="64"/>
      <c r="F3190" s="64"/>
      <c r="G3190" s="64"/>
    </row>
    <row r="3191" spans="2:7" ht="32.25" customHeight="1" x14ac:dyDescent="0.25">
      <c r="B3191" s="64"/>
      <c r="C3191" s="64"/>
      <c r="D3191" s="64"/>
      <c r="E3191" s="64"/>
      <c r="F3191" s="64"/>
      <c r="G3191" s="64"/>
    </row>
    <row r="3192" spans="2:7" ht="32.25" customHeight="1" x14ac:dyDescent="0.25">
      <c r="B3192" s="64"/>
      <c r="C3192" s="64"/>
      <c r="D3192" s="64"/>
      <c r="E3192" s="64"/>
      <c r="F3192" s="64"/>
      <c r="G3192" s="64"/>
    </row>
    <row r="3193" spans="2:7" ht="32.25" customHeight="1" x14ac:dyDescent="0.25">
      <c r="B3193" s="64"/>
      <c r="C3193" s="64"/>
      <c r="D3193" s="64"/>
      <c r="E3193" s="64"/>
      <c r="F3193" s="64"/>
      <c r="G3193" s="64"/>
    </row>
    <row r="3194" spans="2:7" ht="32.25" customHeight="1" x14ac:dyDescent="0.25">
      <c r="B3194" s="64"/>
      <c r="C3194" s="64"/>
      <c r="D3194" s="64"/>
      <c r="E3194" s="64"/>
      <c r="F3194" s="64"/>
      <c r="G3194" s="64"/>
    </row>
    <row r="3195" spans="2:7" ht="32.25" customHeight="1" x14ac:dyDescent="0.25">
      <c r="B3195" s="64"/>
      <c r="C3195" s="64"/>
      <c r="D3195" s="64"/>
      <c r="E3195" s="64"/>
      <c r="F3195" s="64"/>
      <c r="G3195" s="64"/>
    </row>
    <row r="3196" spans="2:7" ht="32.25" customHeight="1" x14ac:dyDescent="0.25">
      <c r="B3196" s="64"/>
      <c r="C3196" s="64"/>
      <c r="D3196" s="64"/>
      <c r="E3196" s="64"/>
      <c r="F3196" s="64"/>
      <c r="G3196" s="64"/>
    </row>
    <row r="3197" spans="2:7" ht="32.25" customHeight="1" x14ac:dyDescent="0.25">
      <c r="B3197" s="64"/>
      <c r="C3197" s="64"/>
      <c r="D3197" s="64"/>
      <c r="E3197" s="64"/>
      <c r="F3197" s="64"/>
      <c r="G3197" s="64"/>
    </row>
    <row r="3198" spans="2:7" ht="32.25" customHeight="1" x14ac:dyDescent="0.25">
      <c r="B3198" s="64"/>
      <c r="C3198" s="64"/>
      <c r="D3198" s="64"/>
      <c r="E3198" s="64"/>
      <c r="F3198" s="64"/>
      <c r="G3198" s="64"/>
    </row>
    <row r="3199" spans="2:7" ht="32.25" customHeight="1" x14ac:dyDescent="0.25">
      <c r="B3199" s="64"/>
      <c r="C3199" s="64"/>
      <c r="D3199" s="64"/>
      <c r="E3199" s="64"/>
      <c r="F3199" s="64"/>
      <c r="G3199" s="64"/>
    </row>
    <row r="3200" spans="2:7" ht="32.25" customHeight="1" x14ac:dyDescent="0.25">
      <c r="B3200" s="64"/>
      <c r="C3200" s="64"/>
      <c r="D3200" s="64"/>
      <c r="E3200" s="64"/>
      <c r="F3200" s="64"/>
      <c r="G3200" s="64"/>
    </row>
    <row r="3201" spans="2:7" ht="32.25" customHeight="1" x14ac:dyDescent="0.25">
      <c r="B3201" s="64"/>
      <c r="C3201" s="64"/>
      <c r="D3201" s="64"/>
      <c r="E3201" s="64"/>
      <c r="F3201" s="64"/>
      <c r="G3201" s="64"/>
    </row>
    <row r="3202" spans="2:7" ht="32.25" customHeight="1" x14ac:dyDescent="0.25">
      <c r="B3202" s="64"/>
      <c r="C3202" s="64"/>
      <c r="D3202" s="64"/>
      <c r="E3202" s="64"/>
      <c r="F3202" s="64"/>
      <c r="G3202" s="64"/>
    </row>
    <row r="3203" spans="2:7" ht="32.25" customHeight="1" x14ac:dyDescent="0.25">
      <c r="B3203" s="64"/>
      <c r="C3203" s="64"/>
      <c r="D3203" s="64"/>
      <c r="E3203" s="64"/>
      <c r="F3203" s="64"/>
      <c r="G3203" s="64"/>
    </row>
    <row r="3204" spans="2:7" ht="32.25" customHeight="1" x14ac:dyDescent="0.25">
      <c r="B3204" s="64"/>
      <c r="C3204" s="64"/>
      <c r="D3204" s="64"/>
      <c r="E3204" s="64"/>
      <c r="F3204" s="64"/>
      <c r="G3204" s="64"/>
    </row>
    <row r="3205" spans="2:7" ht="32.25" customHeight="1" x14ac:dyDescent="0.25">
      <c r="B3205" s="64"/>
      <c r="C3205" s="64"/>
      <c r="D3205" s="64"/>
      <c r="E3205" s="64"/>
      <c r="F3205" s="64"/>
      <c r="G3205" s="64"/>
    </row>
    <row r="3206" spans="2:7" ht="32.25" customHeight="1" x14ac:dyDescent="0.25">
      <c r="B3206" s="64"/>
      <c r="C3206" s="64"/>
      <c r="D3206" s="64"/>
      <c r="E3206" s="64"/>
      <c r="F3206" s="64"/>
      <c r="G3206" s="64"/>
    </row>
    <row r="3207" spans="2:7" ht="32.25" customHeight="1" x14ac:dyDescent="0.25">
      <c r="B3207" s="64"/>
      <c r="C3207" s="64"/>
      <c r="D3207" s="64"/>
      <c r="E3207" s="64"/>
      <c r="F3207" s="64"/>
      <c r="G3207" s="64"/>
    </row>
    <row r="3208" spans="2:7" ht="32.25" customHeight="1" x14ac:dyDescent="0.25">
      <c r="B3208" s="64"/>
      <c r="C3208" s="64"/>
      <c r="D3208" s="64"/>
      <c r="E3208" s="64"/>
      <c r="F3208" s="64"/>
      <c r="G3208" s="64"/>
    </row>
    <row r="3209" spans="2:7" ht="32.25" customHeight="1" x14ac:dyDescent="0.25">
      <c r="B3209" s="64"/>
      <c r="C3209" s="64"/>
      <c r="D3209" s="64"/>
      <c r="E3209" s="64"/>
      <c r="F3209" s="64"/>
      <c r="G3209" s="64"/>
    </row>
    <row r="3210" spans="2:7" ht="32.25" customHeight="1" x14ac:dyDescent="0.25">
      <c r="B3210" s="64"/>
      <c r="C3210" s="64"/>
      <c r="D3210" s="64"/>
      <c r="E3210" s="64"/>
      <c r="F3210" s="64"/>
      <c r="G3210" s="64"/>
    </row>
    <row r="3211" spans="2:7" ht="32.25" customHeight="1" x14ac:dyDescent="0.25">
      <c r="B3211" s="64"/>
      <c r="C3211" s="64"/>
      <c r="D3211" s="64"/>
      <c r="E3211" s="64"/>
      <c r="F3211" s="64"/>
      <c r="G3211" s="64"/>
    </row>
    <row r="3212" spans="2:7" ht="32.25" customHeight="1" x14ac:dyDescent="0.25">
      <c r="B3212" s="64"/>
      <c r="C3212" s="64"/>
      <c r="D3212" s="64"/>
      <c r="E3212" s="64"/>
      <c r="F3212" s="64"/>
      <c r="G3212" s="64"/>
    </row>
    <row r="3213" spans="2:7" ht="32.25" customHeight="1" x14ac:dyDescent="0.25">
      <c r="B3213" s="64"/>
      <c r="C3213" s="64"/>
      <c r="D3213" s="64"/>
      <c r="E3213" s="64"/>
      <c r="F3213" s="64"/>
      <c r="G3213" s="64"/>
    </row>
    <row r="3214" spans="2:7" ht="32.25" customHeight="1" x14ac:dyDescent="0.25">
      <c r="B3214" s="64"/>
      <c r="C3214" s="64"/>
      <c r="D3214" s="64"/>
      <c r="E3214" s="64"/>
      <c r="F3214" s="64"/>
      <c r="G3214" s="64"/>
    </row>
    <row r="3215" spans="2:7" ht="32.25" customHeight="1" x14ac:dyDescent="0.25">
      <c r="B3215" s="64"/>
      <c r="C3215" s="64"/>
      <c r="D3215" s="64"/>
      <c r="E3215" s="64"/>
      <c r="F3215" s="64"/>
      <c r="G3215" s="64"/>
    </row>
    <row r="3216" spans="2:7" ht="32.25" customHeight="1" x14ac:dyDescent="0.25">
      <c r="B3216" s="64"/>
      <c r="C3216" s="64"/>
      <c r="D3216" s="64"/>
      <c r="E3216" s="64"/>
      <c r="F3216" s="64"/>
      <c r="G3216" s="64"/>
    </row>
    <row r="3217" spans="2:7" ht="32.25" customHeight="1" x14ac:dyDescent="0.25">
      <c r="B3217" s="64"/>
      <c r="C3217" s="64"/>
      <c r="D3217" s="64"/>
      <c r="E3217" s="64"/>
      <c r="F3217" s="64"/>
      <c r="G3217" s="64"/>
    </row>
    <row r="3218" spans="2:7" ht="32.25" customHeight="1" x14ac:dyDescent="0.25">
      <c r="B3218" s="64"/>
      <c r="C3218" s="64"/>
      <c r="D3218" s="64"/>
      <c r="E3218" s="64"/>
      <c r="F3218" s="64"/>
      <c r="G3218" s="64"/>
    </row>
    <row r="3219" spans="2:7" ht="32.25" customHeight="1" x14ac:dyDescent="0.25">
      <c r="B3219" s="64"/>
      <c r="C3219" s="64"/>
      <c r="D3219" s="64"/>
      <c r="E3219" s="64"/>
      <c r="F3219" s="64"/>
      <c r="G3219" s="64"/>
    </row>
    <row r="3220" spans="2:7" ht="32.25" customHeight="1" x14ac:dyDescent="0.25">
      <c r="B3220" s="64"/>
      <c r="C3220" s="64"/>
      <c r="D3220" s="64"/>
      <c r="E3220" s="64"/>
      <c r="F3220" s="64"/>
      <c r="G3220" s="64"/>
    </row>
    <row r="3221" spans="2:7" ht="32.25" customHeight="1" x14ac:dyDescent="0.25">
      <c r="B3221" s="64"/>
      <c r="C3221" s="64"/>
      <c r="D3221" s="64"/>
      <c r="E3221" s="64"/>
      <c r="F3221" s="64"/>
      <c r="G3221" s="64"/>
    </row>
    <row r="3222" spans="2:7" ht="32.25" customHeight="1" x14ac:dyDescent="0.25">
      <c r="B3222" s="64"/>
      <c r="C3222" s="64"/>
      <c r="D3222" s="64"/>
      <c r="E3222" s="64"/>
      <c r="F3222" s="64"/>
      <c r="G3222" s="64"/>
    </row>
    <row r="3223" spans="2:7" ht="32.25" customHeight="1" x14ac:dyDescent="0.25">
      <c r="B3223" s="64"/>
      <c r="C3223" s="64"/>
      <c r="D3223" s="64"/>
      <c r="E3223" s="64"/>
      <c r="F3223" s="64"/>
      <c r="G3223" s="64"/>
    </row>
    <row r="3224" spans="2:7" ht="32.25" customHeight="1" x14ac:dyDescent="0.25">
      <c r="B3224" s="64"/>
      <c r="C3224" s="64"/>
      <c r="D3224" s="64"/>
      <c r="E3224" s="64"/>
      <c r="F3224" s="64"/>
      <c r="G3224" s="64"/>
    </row>
    <row r="3225" spans="2:7" ht="32.25" customHeight="1" x14ac:dyDescent="0.25">
      <c r="B3225" s="64"/>
      <c r="C3225" s="64"/>
      <c r="D3225" s="64"/>
      <c r="E3225" s="64"/>
      <c r="F3225" s="64"/>
      <c r="G3225" s="64"/>
    </row>
    <row r="3226" spans="2:7" ht="32.25" customHeight="1" x14ac:dyDescent="0.25">
      <c r="B3226" s="64"/>
      <c r="C3226" s="64"/>
      <c r="D3226" s="64"/>
      <c r="E3226" s="64"/>
      <c r="F3226" s="64"/>
      <c r="G3226" s="64"/>
    </row>
    <row r="3227" spans="2:7" ht="32.25" customHeight="1" x14ac:dyDescent="0.25">
      <c r="B3227" s="64"/>
      <c r="C3227" s="64"/>
      <c r="D3227" s="64"/>
      <c r="E3227" s="64"/>
      <c r="F3227" s="64"/>
      <c r="G3227" s="64"/>
    </row>
    <row r="3228" spans="2:7" ht="32.25" customHeight="1" x14ac:dyDescent="0.25">
      <c r="B3228" s="64"/>
      <c r="C3228" s="64"/>
      <c r="D3228" s="64"/>
      <c r="E3228" s="64"/>
      <c r="F3228" s="64"/>
      <c r="G3228" s="64"/>
    </row>
    <row r="3229" spans="2:7" ht="32.25" customHeight="1" x14ac:dyDescent="0.25">
      <c r="B3229" s="64"/>
      <c r="C3229" s="64"/>
      <c r="D3229" s="64"/>
      <c r="E3229" s="64"/>
      <c r="F3229" s="64"/>
      <c r="G3229" s="64"/>
    </row>
    <row r="3230" spans="2:7" ht="32.25" customHeight="1" x14ac:dyDescent="0.25">
      <c r="B3230" s="64"/>
      <c r="C3230" s="64"/>
      <c r="D3230" s="64"/>
      <c r="E3230" s="64"/>
      <c r="F3230" s="64"/>
      <c r="G3230" s="64"/>
    </row>
    <row r="3231" spans="2:7" ht="32.25" customHeight="1" x14ac:dyDescent="0.25">
      <c r="B3231" s="64"/>
      <c r="C3231" s="64"/>
      <c r="D3231" s="64"/>
      <c r="E3231" s="64"/>
      <c r="F3231" s="64"/>
      <c r="G3231" s="64"/>
    </row>
    <row r="3232" spans="2:7" ht="32.25" customHeight="1" x14ac:dyDescent="0.25">
      <c r="B3232" s="64"/>
      <c r="C3232" s="64"/>
      <c r="D3232" s="64"/>
      <c r="E3232" s="64"/>
      <c r="F3232" s="64"/>
      <c r="G3232" s="64"/>
    </row>
    <row r="3233" spans="2:7" ht="32.25" customHeight="1" x14ac:dyDescent="0.25">
      <c r="B3233" s="64"/>
      <c r="C3233" s="64"/>
      <c r="D3233" s="64"/>
      <c r="E3233" s="64"/>
      <c r="F3233" s="64"/>
      <c r="G3233" s="64"/>
    </row>
    <row r="3234" spans="2:7" ht="32.25" customHeight="1" x14ac:dyDescent="0.25">
      <c r="B3234" s="64"/>
      <c r="C3234" s="64"/>
      <c r="D3234" s="64"/>
      <c r="E3234" s="64"/>
      <c r="F3234" s="64"/>
      <c r="G3234" s="64"/>
    </row>
    <row r="3235" spans="2:7" ht="32.25" customHeight="1" x14ac:dyDescent="0.25">
      <c r="B3235" s="64"/>
      <c r="C3235" s="64"/>
      <c r="D3235" s="64"/>
      <c r="E3235" s="64"/>
      <c r="F3235" s="64"/>
      <c r="G3235" s="64"/>
    </row>
    <row r="3236" spans="2:7" ht="32.25" customHeight="1" x14ac:dyDescent="0.25">
      <c r="B3236" s="64"/>
      <c r="C3236" s="64"/>
      <c r="D3236" s="64"/>
      <c r="E3236" s="64"/>
      <c r="F3236" s="64"/>
      <c r="G3236" s="64"/>
    </row>
    <row r="3237" spans="2:7" ht="32.25" customHeight="1" x14ac:dyDescent="0.25">
      <c r="B3237" s="64"/>
      <c r="C3237" s="64"/>
      <c r="D3237" s="64"/>
      <c r="E3237" s="64"/>
      <c r="F3237" s="64"/>
      <c r="G3237" s="64"/>
    </row>
    <row r="3238" spans="2:7" ht="32.25" customHeight="1" x14ac:dyDescent="0.25">
      <c r="B3238" s="64"/>
      <c r="C3238" s="64"/>
      <c r="D3238" s="64"/>
      <c r="E3238" s="64"/>
      <c r="F3238" s="64"/>
      <c r="G3238" s="64"/>
    </row>
    <row r="3239" spans="2:7" ht="32.25" customHeight="1" x14ac:dyDescent="0.25">
      <c r="B3239" s="64"/>
      <c r="C3239" s="64"/>
      <c r="D3239" s="64"/>
      <c r="E3239" s="64"/>
      <c r="F3239" s="64"/>
      <c r="G3239" s="64"/>
    </row>
    <row r="3240" spans="2:7" ht="32.25" customHeight="1" x14ac:dyDescent="0.25">
      <c r="B3240" s="64"/>
      <c r="C3240" s="64"/>
      <c r="D3240" s="64"/>
      <c r="E3240" s="64"/>
      <c r="F3240" s="64"/>
      <c r="G3240" s="64"/>
    </row>
    <row r="3241" spans="2:7" ht="32.25" customHeight="1" x14ac:dyDescent="0.25">
      <c r="B3241" s="64"/>
      <c r="C3241" s="64"/>
      <c r="D3241" s="64"/>
      <c r="E3241" s="64"/>
      <c r="F3241" s="64"/>
      <c r="G3241" s="64"/>
    </row>
    <row r="3242" spans="2:7" ht="32.25" customHeight="1" x14ac:dyDescent="0.25">
      <c r="B3242" s="64"/>
      <c r="C3242" s="64"/>
      <c r="D3242" s="64"/>
      <c r="E3242" s="64"/>
      <c r="F3242" s="64"/>
      <c r="G3242" s="64"/>
    </row>
    <row r="3243" spans="2:7" ht="32.25" customHeight="1" x14ac:dyDescent="0.25">
      <c r="B3243" s="64"/>
      <c r="C3243" s="64"/>
      <c r="D3243" s="64"/>
      <c r="E3243" s="64"/>
      <c r="F3243" s="64"/>
      <c r="G3243" s="64"/>
    </row>
    <row r="3244" spans="2:7" ht="32.25" customHeight="1" x14ac:dyDescent="0.25">
      <c r="B3244" s="64"/>
      <c r="C3244" s="64"/>
      <c r="D3244" s="64"/>
      <c r="E3244" s="64"/>
      <c r="F3244" s="64"/>
      <c r="G3244" s="64"/>
    </row>
    <row r="3245" spans="2:7" ht="32.25" customHeight="1" x14ac:dyDescent="0.25">
      <c r="B3245" s="64"/>
      <c r="C3245" s="64"/>
      <c r="D3245" s="64"/>
      <c r="E3245" s="64"/>
      <c r="F3245" s="64"/>
      <c r="G3245" s="64"/>
    </row>
    <row r="3246" spans="2:7" ht="32.25" customHeight="1" x14ac:dyDescent="0.25">
      <c r="B3246" s="64"/>
      <c r="C3246" s="64"/>
      <c r="D3246" s="64"/>
      <c r="E3246" s="64"/>
      <c r="F3246" s="64"/>
      <c r="G3246" s="64"/>
    </row>
    <row r="3247" spans="2:7" ht="32.25" customHeight="1" x14ac:dyDescent="0.25">
      <c r="B3247" s="64"/>
      <c r="C3247" s="64"/>
      <c r="D3247" s="64"/>
      <c r="E3247" s="64"/>
      <c r="F3247" s="64"/>
      <c r="G3247" s="64"/>
    </row>
    <row r="3248" spans="2:7" ht="32.25" customHeight="1" x14ac:dyDescent="0.25">
      <c r="B3248" s="64"/>
      <c r="C3248" s="64"/>
      <c r="D3248" s="64"/>
      <c r="E3248" s="64"/>
      <c r="F3248" s="64"/>
      <c r="G3248" s="64"/>
    </row>
    <row r="3249" spans="2:7" ht="32.25" customHeight="1" x14ac:dyDescent="0.25">
      <c r="B3249" s="64"/>
      <c r="C3249" s="64"/>
      <c r="D3249" s="64"/>
      <c r="E3249" s="64"/>
      <c r="F3249" s="64"/>
      <c r="G3249" s="64"/>
    </row>
    <row r="3250" spans="2:7" ht="32.25" customHeight="1" x14ac:dyDescent="0.25">
      <c r="B3250" s="64"/>
      <c r="C3250" s="64"/>
      <c r="D3250" s="64"/>
      <c r="E3250" s="64"/>
      <c r="F3250" s="64"/>
      <c r="G3250" s="64"/>
    </row>
    <row r="3251" spans="2:7" ht="32.25" customHeight="1" x14ac:dyDescent="0.25">
      <c r="B3251" s="64"/>
      <c r="C3251" s="64"/>
      <c r="D3251" s="64"/>
      <c r="E3251" s="64"/>
      <c r="F3251" s="64"/>
      <c r="G3251" s="64"/>
    </row>
    <row r="3252" spans="2:7" ht="32.25" customHeight="1" x14ac:dyDescent="0.25">
      <c r="B3252" s="64"/>
      <c r="C3252" s="64"/>
      <c r="D3252" s="64"/>
      <c r="E3252" s="64"/>
      <c r="F3252" s="64"/>
      <c r="G3252" s="64"/>
    </row>
    <row r="3253" spans="2:7" ht="32.25" customHeight="1" x14ac:dyDescent="0.25">
      <c r="B3253" s="64"/>
      <c r="C3253" s="64"/>
      <c r="D3253" s="64"/>
      <c r="E3253" s="64"/>
      <c r="F3253" s="64"/>
      <c r="G3253" s="64"/>
    </row>
    <row r="3254" spans="2:7" ht="32.25" customHeight="1" x14ac:dyDescent="0.25">
      <c r="B3254" s="64"/>
      <c r="C3254" s="64"/>
      <c r="D3254" s="64"/>
      <c r="E3254" s="64"/>
      <c r="F3254" s="64"/>
      <c r="G3254" s="64"/>
    </row>
    <row r="3255" spans="2:7" ht="32.25" customHeight="1" x14ac:dyDescent="0.25">
      <c r="B3255" s="64"/>
      <c r="C3255" s="64"/>
      <c r="D3255" s="64"/>
      <c r="E3255" s="64"/>
      <c r="F3255" s="64"/>
      <c r="G3255" s="64"/>
    </row>
    <row r="3256" spans="2:7" ht="32.25" customHeight="1" x14ac:dyDescent="0.25">
      <c r="B3256" s="64"/>
      <c r="C3256" s="64"/>
      <c r="D3256" s="64"/>
      <c r="E3256" s="64"/>
      <c r="F3256" s="64"/>
      <c r="G3256" s="64"/>
    </row>
    <row r="3257" spans="2:7" ht="32.25" customHeight="1" x14ac:dyDescent="0.25">
      <c r="B3257" s="64"/>
      <c r="C3257" s="64"/>
      <c r="D3257" s="64"/>
      <c r="E3257" s="64"/>
      <c r="F3257" s="64"/>
      <c r="G3257" s="64"/>
    </row>
    <row r="3258" spans="2:7" ht="32.25" customHeight="1" x14ac:dyDescent="0.25">
      <c r="B3258" s="64"/>
      <c r="C3258" s="64"/>
      <c r="D3258" s="64"/>
      <c r="E3258" s="64"/>
      <c r="F3258" s="64"/>
      <c r="G3258" s="64"/>
    </row>
    <row r="3259" spans="2:7" ht="32.25" customHeight="1" x14ac:dyDescent="0.25">
      <c r="B3259" s="64"/>
      <c r="C3259" s="64"/>
      <c r="D3259" s="64"/>
      <c r="E3259" s="64"/>
      <c r="F3259" s="64"/>
      <c r="G3259" s="64"/>
    </row>
    <row r="3260" spans="2:7" ht="32.25" customHeight="1" x14ac:dyDescent="0.25">
      <c r="B3260" s="64"/>
      <c r="C3260" s="64"/>
      <c r="D3260" s="64"/>
      <c r="E3260" s="64"/>
      <c r="F3260" s="64"/>
      <c r="G3260" s="64"/>
    </row>
    <row r="3261" spans="2:7" ht="32.25" customHeight="1" x14ac:dyDescent="0.25">
      <c r="B3261" s="64"/>
      <c r="C3261" s="64"/>
      <c r="D3261" s="64"/>
      <c r="E3261" s="64"/>
      <c r="F3261" s="64"/>
      <c r="G3261" s="64"/>
    </row>
    <row r="3262" spans="2:7" ht="32.25" customHeight="1" x14ac:dyDescent="0.25">
      <c r="B3262" s="64"/>
      <c r="C3262" s="64"/>
      <c r="D3262" s="64"/>
      <c r="E3262" s="64"/>
      <c r="F3262" s="64"/>
      <c r="G3262" s="64"/>
    </row>
    <row r="3263" spans="2:7" ht="32.25" customHeight="1" x14ac:dyDescent="0.25">
      <c r="B3263" s="64"/>
      <c r="C3263" s="64"/>
      <c r="D3263" s="64"/>
      <c r="E3263" s="64"/>
      <c r="F3263" s="64"/>
      <c r="G3263" s="64"/>
    </row>
    <row r="3264" spans="2:7" ht="32.25" customHeight="1" x14ac:dyDescent="0.25">
      <c r="B3264" s="64"/>
      <c r="C3264" s="64"/>
      <c r="D3264" s="64"/>
      <c r="E3264" s="64"/>
      <c r="F3264" s="64"/>
      <c r="G3264" s="64"/>
    </row>
    <row r="3265" spans="2:7" ht="32.25" customHeight="1" x14ac:dyDescent="0.25">
      <c r="B3265" s="64"/>
      <c r="C3265" s="64"/>
      <c r="D3265" s="64"/>
      <c r="E3265" s="64"/>
      <c r="F3265" s="64"/>
      <c r="G3265" s="64"/>
    </row>
    <row r="3266" spans="2:7" ht="32.25" customHeight="1" x14ac:dyDescent="0.25">
      <c r="B3266" s="64"/>
      <c r="C3266" s="64"/>
      <c r="D3266" s="64"/>
      <c r="E3266" s="64"/>
      <c r="F3266" s="64"/>
      <c r="G3266" s="64"/>
    </row>
    <row r="3267" spans="2:7" ht="32.25" customHeight="1" x14ac:dyDescent="0.25">
      <c r="B3267" s="64"/>
      <c r="C3267" s="64"/>
      <c r="D3267" s="64"/>
      <c r="E3267" s="64"/>
      <c r="F3267" s="64"/>
      <c r="G3267" s="64"/>
    </row>
    <row r="3268" spans="2:7" ht="32.25" customHeight="1" x14ac:dyDescent="0.25">
      <c r="B3268" s="64"/>
      <c r="C3268" s="64"/>
      <c r="D3268" s="64"/>
      <c r="E3268" s="64"/>
      <c r="F3268" s="64"/>
      <c r="G3268" s="64"/>
    </row>
    <row r="3269" spans="2:7" ht="32.25" customHeight="1" x14ac:dyDescent="0.25">
      <c r="B3269" s="64"/>
      <c r="C3269" s="64"/>
      <c r="D3269" s="64"/>
      <c r="E3269" s="64"/>
      <c r="F3269" s="64"/>
      <c r="G3269" s="64"/>
    </row>
    <row r="3270" spans="2:7" ht="32.25" customHeight="1" x14ac:dyDescent="0.25">
      <c r="B3270" s="64"/>
      <c r="C3270" s="64"/>
      <c r="D3270" s="64"/>
      <c r="E3270" s="64"/>
      <c r="F3270" s="64"/>
      <c r="G3270" s="64"/>
    </row>
    <row r="3271" spans="2:7" ht="32.25" customHeight="1" x14ac:dyDescent="0.25">
      <c r="B3271" s="64"/>
      <c r="C3271" s="64"/>
      <c r="D3271" s="64"/>
      <c r="E3271" s="64"/>
      <c r="F3271" s="64"/>
      <c r="G3271" s="64"/>
    </row>
    <row r="3272" spans="2:7" ht="32.25" customHeight="1" x14ac:dyDescent="0.25">
      <c r="B3272" s="64"/>
      <c r="C3272" s="64"/>
      <c r="D3272" s="64"/>
      <c r="E3272" s="64"/>
      <c r="F3272" s="64"/>
      <c r="G3272" s="64"/>
    </row>
    <row r="3273" spans="2:7" ht="32.25" customHeight="1" x14ac:dyDescent="0.25">
      <c r="B3273" s="64"/>
      <c r="C3273" s="64"/>
      <c r="D3273" s="64"/>
      <c r="E3273" s="64"/>
      <c r="F3273" s="64"/>
      <c r="G3273" s="64"/>
    </row>
    <row r="3274" spans="2:7" ht="32.25" customHeight="1" x14ac:dyDescent="0.25">
      <c r="B3274" s="64"/>
      <c r="C3274" s="64"/>
      <c r="D3274" s="64"/>
      <c r="E3274" s="64"/>
      <c r="F3274" s="64"/>
      <c r="G3274" s="64"/>
    </row>
    <row r="3275" spans="2:7" ht="32.25" customHeight="1" x14ac:dyDescent="0.25">
      <c r="B3275" s="64"/>
      <c r="C3275" s="64"/>
      <c r="D3275" s="64"/>
      <c r="E3275" s="64"/>
      <c r="F3275" s="64"/>
      <c r="G3275" s="64"/>
    </row>
    <row r="3276" spans="2:7" ht="32.25" customHeight="1" x14ac:dyDescent="0.25">
      <c r="B3276" s="64"/>
      <c r="C3276" s="64"/>
      <c r="D3276" s="64"/>
      <c r="E3276" s="64"/>
      <c r="F3276" s="64"/>
      <c r="G3276" s="64"/>
    </row>
    <row r="3277" spans="2:7" ht="32.25" customHeight="1" x14ac:dyDescent="0.25">
      <c r="B3277" s="64"/>
      <c r="C3277" s="64"/>
      <c r="D3277" s="64"/>
      <c r="E3277" s="64"/>
      <c r="F3277" s="64"/>
      <c r="G3277" s="64"/>
    </row>
    <row r="3278" spans="2:7" ht="32.25" customHeight="1" x14ac:dyDescent="0.25">
      <c r="B3278" s="64"/>
      <c r="C3278" s="64"/>
      <c r="D3278" s="64"/>
      <c r="E3278" s="64"/>
      <c r="F3278" s="64"/>
      <c r="G3278" s="64"/>
    </row>
    <row r="3279" spans="2:7" ht="32.25" customHeight="1" x14ac:dyDescent="0.25">
      <c r="B3279" s="64"/>
      <c r="C3279" s="64"/>
      <c r="D3279" s="64"/>
      <c r="E3279" s="64"/>
      <c r="F3279" s="64"/>
      <c r="G3279" s="64"/>
    </row>
    <row r="3280" spans="2:7" ht="32.25" customHeight="1" x14ac:dyDescent="0.25">
      <c r="B3280" s="64"/>
      <c r="C3280" s="64"/>
      <c r="D3280" s="64"/>
      <c r="E3280" s="64"/>
      <c r="F3280" s="64"/>
      <c r="G3280" s="64"/>
    </row>
    <row r="3281" spans="2:7" ht="32.25" customHeight="1" x14ac:dyDescent="0.25">
      <c r="B3281" s="64"/>
      <c r="C3281" s="64"/>
      <c r="D3281" s="64"/>
      <c r="E3281" s="64"/>
      <c r="F3281" s="64"/>
      <c r="G3281" s="64"/>
    </row>
    <row r="3282" spans="2:7" ht="32.25" customHeight="1" x14ac:dyDescent="0.25">
      <c r="B3282" s="64"/>
      <c r="C3282" s="64"/>
      <c r="D3282" s="64"/>
      <c r="E3282" s="64"/>
      <c r="F3282" s="64"/>
      <c r="G3282" s="64"/>
    </row>
    <row r="3283" spans="2:7" ht="32.25" customHeight="1" x14ac:dyDescent="0.25">
      <c r="B3283" s="64"/>
      <c r="C3283" s="64"/>
      <c r="D3283" s="64"/>
      <c r="E3283" s="64"/>
      <c r="F3283" s="64"/>
      <c r="G3283" s="64"/>
    </row>
    <row r="3284" spans="2:7" ht="32.25" customHeight="1" x14ac:dyDescent="0.25">
      <c r="B3284" s="64"/>
      <c r="C3284" s="64"/>
      <c r="D3284" s="64"/>
      <c r="E3284" s="64"/>
      <c r="F3284" s="64"/>
      <c r="G3284" s="64"/>
    </row>
    <row r="3285" spans="2:7" ht="32.25" customHeight="1" x14ac:dyDescent="0.25">
      <c r="B3285" s="64"/>
      <c r="C3285" s="64"/>
      <c r="D3285" s="64"/>
      <c r="E3285" s="64"/>
      <c r="F3285" s="64"/>
      <c r="G3285" s="64"/>
    </row>
    <row r="3286" spans="2:7" ht="32.25" customHeight="1" x14ac:dyDescent="0.25">
      <c r="B3286" s="64"/>
      <c r="C3286" s="64"/>
      <c r="D3286" s="64"/>
      <c r="E3286" s="64"/>
      <c r="F3286" s="64"/>
      <c r="G3286" s="64"/>
    </row>
    <row r="3287" spans="2:7" ht="32.25" customHeight="1" x14ac:dyDescent="0.25">
      <c r="B3287" s="64"/>
      <c r="C3287" s="64"/>
      <c r="D3287" s="64"/>
      <c r="E3287" s="64"/>
      <c r="F3287" s="64"/>
      <c r="G3287" s="64"/>
    </row>
    <row r="3288" spans="2:7" ht="32.25" customHeight="1" x14ac:dyDescent="0.25">
      <c r="B3288" s="64"/>
      <c r="C3288" s="64"/>
      <c r="D3288" s="64"/>
      <c r="E3288" s="64"/>
      <c r="F3288" s="64"/>
      <c r="G3288" s="64"/>
    </row>
    <row r="3289" spans="2:7" ht="32.25" customHeight="1" x14ac:dyDescent="0.25">
      <c r="B3289" s="64"/>
      <c r="C3289" s="64"/>
      <c r="D3289" s="64"/>
      <c r="E3289" s="64"/>
      <c r="F3289" s="64"/>
      <c r="G3289" s="64"/>
    </row>
    <row r="3290" spans="2:7" ht="32.25" customHeight="1" x14ac:dyDescent="0.25">
      <c r="B3290" s="64"/>
      <c r="C3290" s="64"/>
      <c r="D3290" s="64"/>
      <c r="E3290" s="64"/>
      <c r="F3290" s="64"/>
      <c r="G3290" s="64"/>
    </row>
    <row r="3291" spans="2:7" ht="32.25" customHeight="1" x14ac:dyDescent="0.25">
      <c r="B3291" s="64"/>
      <c r="C3291" s="64"/>
      <c r="D3291" s="64"/>
      <c r="E3291" s="64"/>
      <c r="F3291" s="64"/>
      <c r="G3291" s="64"/>
    </row>
    <row r="3292" spans="2:7" ht="32.25" customHeight="1" x14ac:dyDescent="0.25">
      <c r="B3292" s="64"/>
      <c r="C3292" s="64"/>
      <c r="D3292" s="64"/>
      <c r="E3292" s="64"/>
      <c r="F3292" s="64"/>
      <c r="G3292" s="64"/>
    </row>
    <row r="3293" spans="2:7" ht="32.25" customHeight="1" x14ac:dyDescent="0.25">
      <c r="B3293" s="64"/>
      <c r="C3293" s="64"/>
      <c r="D3293" s="64"/>
      <c r="E3293" s="64"/>
      <c r="F3293" s="64"/>
      <c r="G3293" s="64"/>
    </row>
    <row r="3294" spans="2:7" ht="32.25" customHeight="1" x14ac:dyDescent="0.25">
      <c r="B3294" s="64"/>
      <c r="C3294" s="64"/>
      <c r="D3294" s="64"/>
      <c r="E3294" s="64"/>
      <c r="F3294" s="64"/>
      <c r="G3294" s="64"/>
    </row>
    <row r="3295" spans="2:7" ht="32.25" customHeight="1" x14ac:dyDescent="0.25">
      <c r="B3295" s="64"/>
      <c r="C3295" s="64"/>
      <c r="D3295" s="64"/>
      <c r="E3295" s="64"/>
      <c r="F3295" s="64"/>
      <c r="G3295" s="64"/>
    </row>
    <row r="3296" spans="2:7" ht="32.25" customHeight="1" x14ac:dyDescent="0.25">
      <c r="B3296" s="64"/>
      <c r="C3296" s="64"/>
      <c r="D3296" s="64"/>
      <c r="E3296" s="64"/>
      <c r="F3296" s="64"/>
      <c r="G3296" s="64"/>
    </row>
    <row r="3297" spans="2:7" ht="32.25" customHeight="1" x14ac:dyDescent="0.25">
      <c r="B3297" s="64"/>
      <c r="C3297" s="64"/>
      <c r="D3297" s="64"/>
      <c r="E3297" s="64"/>
      <c r="F3297" s="64"/>
      <c r="G3297" s="64"/>
    </row>
    <row r="3298" spans="2:7" ht="32.25" customHeight="1" x14ac:dyDescent="0.25">
      <c r="B3298" s="64"/>
      <c r="C3298" s="64"/>
      <c r="D3298" s="64"/>
      <c r="E3298" s="64"/>
      <c r="F3298" s="64"/>
      <c r="G3298" s="64"/>
    </row>
    <row r="3299" spans="2:7" ht="32.25" customHeight="1" x14ac:dyDescent="0.25">
      <c r="B3299" s="64"/>
      <c r="C3299" s="64"/>
      <c r="D3299" s="64"/>
      <c r="E3299" s="64"/>
      <c r="F3299" s="64"/>
      <c r="G3299" s="64"/>
    </row>
    <row r="3300" spans="2:7" ht="32.25" customHeight="1" x14ac:dyDescent="0.25">
      <c r="B3300" s="64"/>
      <c r="C3300" s="64"/>
      <c r="D3300" s="64"/>
      <c r="E3300" s="64"/>
      <c r="F3300" s="64"/>
      <c r="G3300" s="64"/>
    </row>
    <row r="3301" spans="2:7" ht="32.25" customHeight="1" x14ac:dyDescent="0.25">
      <c r="B3301" s="64"/>
      <c r="C3301" s="64"/>
      <c r="D3301" s="64"/>
      <c r="E3301" s="64"/>
      <c r="F3301" s="64"/>
      <c r="G3301" s="64"/>
    </row>
    <row r="3302" spans="2:7" ht="32.25" customHeight="1" x14ac:dyDescent="0.25">
      <c r="B3302" s="64"/>
      <c r="C3302" s="64"/>
      <c r="D3302" s="64"/>
      <c r="E3302" s="64"/>
      <c r="F3302" s="64"/>
      <c r="G3302" s="64"/>
    </row>
    <row r="3303" spans="2:7" ht="32.25" customHeight="1" x14ac:dyDescent="0.25">
      <c r="B3303" s="64"/>
      <c r="C3303" s="64"/>
      <c r="D3303" s="64"/>
      <c r="E3303" s="64"/>
      <c r="F3303" s="64"/>
      <c r="G3303" s="64"/>
    </row>
    <row r="3304" spans="2:7" ht="32.25" customHeight="1" x14ac:dyDescent="0.25">
      <c r="B3304" s="64"/>
      <c r="C3304" s="64"/>
      <c r="D3304" s="64"/>
      <c r="E3304" s="64"/>
      <c r="F3304" s="64"/>
      <c r="G3304" s="64"/>
    </row>
    <row r="3305" spans="2:7" ht="32.25" customHeight="1" x14ac:dyDescent="0.25">
      <c r="B3305" s="64"/>
      <c r="C3305" s="64"/>
      <c r="D3305" s="64"/>
      <c r="E3305" s="64"/>
      <c r="F3305" s="64"/>
      <c r="G3305" s="64"/>
    </row>
    <row r="3306" spans="2:7" ht="32.25" customHeight="1" x14ac:dyDescent="0.25">
      <c r="B3306" s="64"/>
      <c r="C3306" s="64"/>
      <c r="D3306" s="64"/>
      <c r="E3306" s="64"/>
      <c r="F3306" s="64"/>
      <c r="G3306" s="64"/>
    </row>
    <row r="3307" spans="2:7" ht="32.25" customHeight="1" x14ac:dyDescent="0.25">
      <c r="B3307" s="64"/>
      <c r="C3307" s="64"/>
      <c r="D3307" s="64"/>
      <c r="E3307" s="64"/>
      <c r="F3307" s="64"/>
      <c r="G3307" s="64"/>
    </row>
    <row r="3308" spans="2:7" ht="32.25" customHeight="1" x14ac:dyDescent="0.25">
      <c r="B3308" s="64"/>
      <c r="C3308" s="64"/>
      <c r="D3308" s="64"/>
      <c r="E3308" s="64"/>
      <c r="F3308" s="64"/>
      <c r="G3308" s="64"/>
    </row>
    <row r="3309" spans="2:7" ht="32.25" customHeight="1" x14ac:dyDescent="0.25">
      <c r="B3309" s="64"/>
      <c r="C3309" s="64"/>
      <c r="D3309" s="64"/>
      <c r="E3309" s="64"/>
      <c r="F3309" s="64"/>
      <c r="G3309" s="64"/>
    </row>
    <row r="3310" spans="2:7" ht="32.25" customHeight="1" x14ac:dyDescent="0.25">
      <c r="B3310" s="64"/>
      <c r="C3310" s="64"/>
      <c r="D3310" s="64"/>
      <c r="E3310" s="64"/>
      <c r="F3310" s="64"/>
      <c r="G3310" s="64"/>
    </row>
    <row r="3311" spans="2:7" ht="32.25" customHeight="1" x14ac:dyDescent="0.25">
      <c r="B3311" s="64"/>
      <c r="C3311" s="64"/>
      <c r="D3311" s="64"/>
      <c r="E3311" s="64"/>
      <c r="F3311" s="64"/>
      <c r="G3311" s="64"/>
    </row>
    <row r="3312" spans="2:7" ht="32.25" customHeight="1" x14ac:dyDescent="0.25">
      <c r="B3312" s="64"/>
      <c r="C3312" s="64"/>
      <c r="D3312" s="64"/>
      <c r="E3312" s="64"/>
      <c r="F3312" s="64"/>
      <c r="G3312" s="64"/>
    </row>
    <row r="3313" spans="2:7" ht="32.25" customHeight="1" x14ac:dyDescent="0.25">
      <c r="B3313" s="64"/>
      <c r="C3313" s="64"/>
      <c r="D3313" s="64"/>
      <c r="E3313" s="64"/>
      <c r="F3313" s="64"/>
      <c r="G3313" s="64"/>
    </row>
    <row r="3314" spans="2:7" ht="32.25" customHeight="1" x14ac:dyDescent="0.25">
      <c r="B3314" s="64"/>
      <c r="C3314" s="64"/>
      <c r="D3314" s="64"/>
      <c r="E3314" s="64"/>
      <c r="F3314" s="64"/>
      <c r="G3314" s="64"/>
    </row>
    <row r="3315" spans="2:7" ht="32.25" customHeight="1" x14ac:dyDescent="0.25">
      <c r="B3315" s="64"/>
      <c r="C3315" s="64"/>
      <c r="D3315" s="64"/>
      <c r="E3315" s="64"/>
      <c r="F3315" s="64"/>
      <c r="G3315" s="64"/>
    </row>
    <row r="3316" spans="2:7" ht="32.25" customHeight="1" x14ac:dyDescent="0.25">
      <c r="B3316" s="64"/>
      <c r="C3316" s="64"/>
      <c r="D3316" s="64"/>
      <c r="E3316" s="64"/>
      <c r="F3316" s="64"/>
      <c r="G3316" s="64"/>
    </row>
    <row r="3317" spans="2:7" ht="32.25" customHeight="1" x14ac:dyDescent="0.25">
      <c r="B3317" s="64"/>
      <c r="C3317" s="64"/>
      <c r="D3317" s="64"/>
      <c r="E3317" s="64"/>
      <c r="F3317" s="64"/>
      <c r="G3317" s="64"/>
    </row>
    <row r="3318" spans="2:7" ht="32.25" customHeight="1" x14ac:dyDescent="0.25">
      <c r="B3318" s="64"/>
      <c r="C3318" s="64"/>
      <c r="D3318" s="64"/>
      <c r="E3318" s="64"/>
      <c r="F3318" s="64"/>
      <c r="G3318" s="64"/>
    </row>
    <row r="3319" spans="2:7" ht="32.25" customHeight="1" x14ac:dyDescent="0.25">
      <c r="B3319" s="64"/>
      <c r="C3319" s="64"/>
      <c r="D3319" s="64"/>
      <c r="E3319" s="64"/>
      <c r="F3319" s="64"/>
      <c r="G3319" s="64"/>
    </row>
    <row r="3320" spans="2:7" ht="32.25" customHeight="1" x14ac:dyDescent="0.25">
      <c r="B3320" s="64"/>
      <c r="C3320" s="64"/>
      <c r="D3320" s="64"/>
      <c r="E3320" s="64"/>
      <c r="F3320" s="64"/>
      <c r="G3320" s="64"/>
    </row>
    <row r="3321" spans="2:7" ht="32.25" customHeight="1" x14ac:dyDescent="0.25">
      <c r="B3321" s="64"/>
      <c r="C3321" s="64"/>
      <c r="D3321" s="64"/>
      <c r="E3321" s="64"/>
      <c r="F3321" s="64"/>
      <c r="G3321" s="64"/>
    </row>
    <row r="3322" spans="2:7" ht="32.25" customHeight="1" x14ac:dyDescent="0.25">
      <c r="B3322" s="64"/>
      <c r="C3322" s="64"/>
      <c r="D3322" s="64"/>
      <c r="E3322" s="64"/>
      <c r="F3322" s="64"/>
      <c r="G3322" s="64"/>
    </row>
    <row r="3323" spans="2:7" ht="32.25" customHeight="1" x14ac:dyDescent="0.25">
      <c r="B3323" s="64"/>
      <c r="C3323" s="64"/>
      <c r="D3323" s="64"/>
      <c r="E3323" s="64"/>
      <c r="F3323" s="64"/>
      <c r="G3323" s="64"/>
    </row>
    <row r="3324" spans="2:7" ht="32.25" customHeight="1" x14ac:dyDescent="0.25">
      <c r="B3324" s="64"/>
      <c r="C3324" s="64"/>
      <c r="D3324" s="64"/>
      <c r="E3324" s="64"/>
      <c r="F3324" s="64"/>
      <c r="G3324" s="64"/>
    </row>
    <row r="3325" spans="2:7" ht="32.25" customHeight="1" x14ac:dyDescent="0.25">
      <c r="B3325" s="64"/>
      <c r="C3325" s="64"/>
      <c r="D3325" s="64"/>
      <c r="E3325" s="64"/>
      <c r="F3325" s="64"/>
      <c r="G3325" s="64"/>
    </row>
    <row r="3326" spans="2:7" ht="32.25" customHeight="1" x14ac:dyDescent="0.25">
      <c r="B3326" s="64"/>
      <c r="C3326" s="64"/>
      <c r="D3326" s="64"/>
      <c r="E3326" s="64"/>
      <c r="F3326" s="64"/>
      <c r="G3326" s="64"/>
    </row>
    <row r="3327" spans="2:7" ht="32.25" customHeight="1" x14ac:dyDescent="0.25">
      <c r="B3327" s="64"/>
      <c r="C3327" s="64"/>
      <c r="D3327" s="64"/>
      <c r="E3327" s="64"/>
      <c r="F3327" s="64"/>
      <c r="G3327" s="64"/>
    </row>
    <row r="3328" spans="2:7" ht="32.25" customHeight="1" x14ac:dyDescent="0.25">
      <c r="B3328" s="64"/>
      <c r="C3328" s="64"/>
      <c r="D3328" s="64"/>
      <c r="E3328" s="64"/>
      <c r="F3328" s="64"/>
      <c r="G3328" s="64"/>
    </row>
    <row r="3329" spans="2:7" ht="32.25" customHeight="1" x14ac:dyDescent="0.25">
      <c r="B3329" s="64"/>
      <c r="C3329" s="64"/>
      <c r="D3329" s="64"/>
      <c r="E3329" s="64"/>
      <c r="F3329" s="64"/>
      <c r="G3329" s="64"/>
    </row>
    <row r="3330" spans="2:7" ht="32.25" customHeight="1" x14ac:dyDescent="0.25">
      <c r="B3330" s="64"/>
      <c r="C3330" s="64"/>
      <c r="D3330" s="64"/>
      <c r="E3330" s="64"/>
      <c r="F3330" s="64"/>
      <c r="G3330" s="64"/>
    </row>
    <row r="3331" spans="2:7" ht="32.25" customHeight="1" x14ac:dyDescent="0.25">
      <c r="B3331" s="64"/>
      <c r="C3331" s="64"/>
      <c r="D3331" s="64"/>
      <c r="E3331" s="64"/>
      <c r="F3331" s="64"/>
      <c r="G3331" s="64"/>
    </row>
    <row r="3332" spans="2:7" ht="32.25" customHeight="1" x14ac:dyDescent="0.25">
      <c r="B3332" s="64"/>
      <c r="C3332" s="64"/>
      <c r="D3332" s="64"/>
      <c r="E3332" s="64"/>
      <c r="F3332" s="64"/>
      <c r="G3332" s="64"/>
    </row>
    <row r="3333" spans="2:7" ht="32.25" customHeight="1" x14ac:dyDescent="0.25">
      <c r="B3333" s="64"/>
      <c r="C3333" s="64"/>
      <c r="D3333" s="64"/>
      <c r="E3333" s="64"/>
      <c r="F3333" s="64"/>
      <c r="G3333" s="64"/>
    </row>
    <row r="3334" spans="2:7" ht="32.25" customHeight="1" x14ac:dyDescent="0.25">
      <c r="B3334" s="64"/>
      <c r="C3334" s="64"/>
      <c r="D3334" s="64"/>
      <c r="E3334" s="64"/>
      <c r="F3334" s="64"/>
      <c r="G3334" s="64"/>
    </row>
    <row r="3335" spans="2:7" ht="32.25" customHeight="1" x14ac:dyDescent="0.25">
      <c r="B3335" s="64"/>
      <c r="C3335" s="64"/>
      <c r="D3335" s="64"/>
      <c r="E3335" s="64"/>
      <c r="F3335" s="64"/>
      <c r="G3335" s="64"/>
    </row>
    <row r="3336" spans="2:7" ht="32.25" customHeight="1" x14ac:dyDescent="0.25">
      <c r="B3336" s="64"/>
      <c r="C3336" s="64"/>
      <c r="D3336" s="64"/>
      <c r="E3336" s="64"/>
      <c r="F3336" s="64"/>
      <c r="G3336" s="64"/>
    </row>
    <row r="3337" spans="2:7" ht="32.25" customHeight="1" x14ac:dyDescent="0.25">
      <c r="B3337" s="64"/>
      <c r="C3337" s="64"/>
      <c r="D3337" s="64"/>
      <c r="E3337" s="64"/>
      <c r="F3337" s="64"/>
      <c r="G3337" s="64"/>
    </row>
    <row r="3338" spans="2:7" ht="32.25" customHeight="1" x14ac:dyDescent="0.25">
      <c r="B3338" s="64"/>
      <c r="C3338" s="64"/>
      <c r="D3338" s="64"/>
      <c r="E3338" s="64"/>
      <c r="F3338" s="64"/>
      <c r="G3338" s="64"/>
    </row>
    <row r="3339" spans="2:7" ht="32.25" customHeight="1" x14ac:dyDescent="0.25">
      <c r="B3339" s="64"/>
      <c r="C3339" s="64"/>
      <c r="D3339" s="64"/>
      <c r="E3339" s="64"/>
      <c r="F3339" s="64"/>
      <c r="G3339" s="64"/>
    </row>
    <row r="3340" spans="2:7" ht="32.25" customHeight="1" x14ac:dyDescent="0.25">
      <c r="B3340" s="64"/>
      <c r="C3340" s="64"/>
      <c r="D3340" s="64"/>
      <c r="E3340" s="64"/>
      <c r="F3340" s="64"/>
      <c r="G3340" s="64"/>
    </row>
    <row r="3341" spans="2:7" ht="32.25" customHeight="1" x14ac:dyDescent="0.25">
      <c r="B3341" s="64"/>
      <c r="C3341" s="64"/>
      <c r="D3341" s="64"/>
      <c r="E3341" s="64"/>
      <c r="F3341" s="64"/>
      <c r="G3341" s="64"/>
    </row>
    <row r="3342" spans="2:7" ht="32.25" customHeight="1" x14ac:dyDescent="0.25">
      <c r="B3342" s="64"/>
      <c r="C3342" s="64"/>
      <c r="D3342" s="64"/>
      <c r="E3342" s="64"/>
      <c r="F3342" s="64"/>
      <c r="G3342" s="64"/>
    </row>
    <row r="3343" spans="2:7" ht="32.25" customHeight="1" x14ac:dyDescent="0.25">
      <c r="B3343" s="64"/>
      <c r="C3343" s="64"/>
      <c r="D3343" s="64"/>
      <c r="E3343" s="64"/>
      <c r="F3343" s="64"/>
      <c r="G3343" s="64"/>
    </row>
    <row r="3344" spans="2:7" ht="32.25" customHeight="1" x14ac:dyDescent="0.25">
      <c r="B3344" s="64"/>
      <c r="C3344" s="64"/>
      <c r="D3344" s="64"/>
      <c r="E3344" s="64"/>
      <c r="F3344" s="64"/>
      <c r="G3344" s="64"/>
    </row>
    <row r="3345" spans="2:7" ht="32.25" customHeight="1" x14ac:dyDescent="0.25">
      <c r="B3345" s="64"/>
      <c r="C3345" s="64"/>
      <c r="D3345" s="64"/>
      <c r="E3345" s="64"/>
      <c r="F3345" s="64"/>
      <c r="G3345" s="64"/>
    </row>
    <row r="3346" spans="2:7" ht="32.25" customHeight="1" x14ac:dyDescent="0.25">
      <c r="B3346" s="64"/>
      <c r="C3346" s="64"/>
      <c r="D3346" s="64"/>
      <c r="E3346" s="64"/>
      <c r="F3346" s="64"/>
      <c r="G3346" s="64"/>
    </row>
    <row r="3347" spans="2:7" ht="32.25" customHeight="1" x14ac:dyDescent="0.25">
      <c r="B3347" s="64"/>
      <c r="C3347" s="64"/>
      <c r="D3347" s="64"/>
      <c r="E3347" s="64"/>
      <c r="F3347" s="64"/>
      <c r="G3347" s="64"/>
    </row>
    <row r="3348" spans="2:7" ht="32.25" customHeight="1" x14ac:dyDescent="0.25">
      <c r="B3348" s="64"/>
      <c r="C3348" s="64"/>
      <c r="D3348" s="64"/>
      <c r="E3348" s="64"/>
      <c r="F3348" s="64"/>
      <c r="G3348" s="64"/>
    </row>
    <row r="3349" spans="2:7" ht="32.25" customHeight="1" x14ac:dyDescent="0.25">
      <c r="B3349" s="64"/>
      <c r="C3349" s="64"/>
      <c r="D3349" s="64"/>
      <c r="E3349" s="64"/>
      <c r="F3349" s="64"/>
      <c r="G3349" s="64"/>
    </row>
    <row r="3350" spans="2:7" ht="32.25" customHeight="1" x14ac:dyDescent="0.25">
      <c r="B3350" s="64"/>
      <c r="C3350" s="64"/>
      <c r="D3350" s="64"/>
      <c r="E3350" s="64"/>
      <c r="F3350" s="64"/>
      <c r="G3350" s="64"/>
    </row>
    <row r="3351" spans="2:7" ht="32.25" customHeight="1" x14ac:dyDescent="0.25">
      <c r="B3351" s="64"/>
      <c r="C3351" s="64"/>
      <c r="D3351" s="64"/>
      <c r="E3351" s="64"/>
      <c r="F3351" s="64"/>
      <c r="G3351" s="64"/>
    </row>
    <row r="3352" spans="2:7" ht="32.25" customHeight="1" x14ac:dyDescent="0.25">
      <c r="B3352" s="64"/>
      <c r="C3352" s="64"/>
      <c r="D3352" s="64"/>
      <c r="E3352" s="64"/>
      <c r="F3352" s="64"/>
      <c r="G3352" s="64"/>
    </row>
    <row r="3353" spans="2:7" ht="32.25" customHeight="1" x14ac:dyDescent="0.25">
      <c r="B3353" s="64"/>
      <c r="C3353" s="64"/>
      <c r="D3353" s="64"/>
      <c r="E3353" s="64"/>
      <c r="F3353" s="64"/>
      <c r="G3353" s="64"/>
    </row>
    <row r="3354" spans="2:7" ht="32.25" customHeight="1" x14ac:dyDescent="0.25">
      <c r="B3354" s="64"/>
      <c r="C3354" s="64"/>
      <c r="D3354" s="64"/>
      <c r="E3354" s="64"/>
      <c r="F3354" s="64"/>
      <c r="G3354" s="64"/>
    </row>
    <row r="3355" spans="2:7" ht="32.25" customHeight="1" x14ac:dyDescent="0.25">
      <c r="B3355" s="64"/>
      <c r="C3355" s="64"/>
      <c r="D3355" s="64"/>
      <c r="E3355" s="64"/>
      <c r="F3355" s="64"/>
      <c r="G3355" s="64"/>
    </row>
    <row r="3356" spans="2:7" ht="32.25" customHeight="1" x14ac:dyDescent="0.25">
      <c r="B3356" s="64"/>
      <c r="C3356" s="64"/>
      <c r="D3356" s="64"/>
      <c r="E3356" s="64"/>
      <c r="F3356" s="64"/>
      <c r="G3356" s="64"/>
    </row>
    <row r="3357" spans="2:7" ht="32.25" customHeight="1" x14ac:dyDescent="0.25">
      <c r="B3357" s="64"/>
      <c r="C3357" s="64"/>
      <c r="D3357" s="64"/>
      <c r="E3357" s="64"/>
      <c r="F3357" s="64"/>
      <c r="G3357" s="64"/>
    </row>
    <row r="3358" spans="2:7" ht="32.25" customHeight="1" x14ac:dyDescent="0.25">
      <c r="B3358" s="64"/>
      <c r="C3358" s="64"/>
      <c r="D3358" s="64"/>
      <c r="E3358" s="64"/>
      <c r="F3358" s="64"/>
      <c r="G3358" s="64"/>
    </row>
    <row r="3359" spans="2:7" ht="32.25" customHeight="1" x14ac:dyDescent="0.25">
      <c r="B3359" s="64"/>
      <c r="C3359" s="64"/>
      <c r="D3359" s="64"/>
      <c r="E3359" s="64"/>
      <c r="F3359" s="64"/>
      <c r="G3359" s="64"/>
    </row>
    <row r="3360" spans="2:7" ht="32.25" customHeight="1" x14ac:dyDescent="0.25">
      <c r="B3360" s="64"/>
      <c r="C3360" s="64"/>
      <c r="D3360" s="64"/>
      <c r="E3360" s="64"/>
      <c r="F3360" s="64"/>
      <c r="G3360" s="64"/>
    </row>
    <row r="3361" spans="2:7" ht="32.25" customHeight="1" x14ac:dyDescent="0.25">
      <c r="B3361" s="64"/>
      <c r="C3361" s="64"/>
      <c r="D3361" s="64"/>
      <c r="E3361" s="64"/>
      <c r="F3361" s="64"/>
      <c r="G3361" s="64"/>
    </row>
    <row r="3362" spans="2:7" ht="32.25" customHeight="1" x14ac:dyDescent="0.25">
      <c r="B3362" s="64"/>
      <c r="C3362" s="64"/>
      <c r="D3362" s="64"/>
      <c r="E3362" s="64"/>
      <c r="F3362" s="64"/>
      <c r="G3362" s="64"/>
    </row>
    <row r="3363" spans="2:7" ht="32.25" customHeight="1" x14ac:dyDescent="0.25">
      <c r="B3363" s="64"/>
      <c r="C3363" s="64"/>
      <c r="D3363" s="64"/>
      <c r="E3363" s="64"/>
      <c r="F3363" s="64"/>
      <c r="G3363" s="64"/>
    </row>
    <row r="3364" spans="2:7" ht="32.25" customHeight="1" x14ac:dyDescent="0.25">
      <c r="B3364" s="64"/>
      <c r="C3364" s="64"/>
      <c r="D3364" s="64"/>
      <c r="E3364" s="64"/>
      <c r="F3364" s="64"/>
      <c r="G3364" s="64"/>
    </row>
    <row r="3365" spans="2:7" ht="32.25" customHeight="1" x14ac:dyDescent="0.25">
      <c r="B3365" s="64"/>
      <c r="C3365" s="64"/>
      <c r="D3365" s="64"/>
      <c r="E3365" s="64"/>
      <c r="F3365" s="64"/>
      <c r="G3365" s="64"/>
    </row>
    <row r="3366" spans="2:7" ht="32.25" customHeight="1" x14ac:dyDescent="0.25">
      <c r="B3366" s="64"/>
      <c r="C3366" s="64"/>
      <c r="D3366" s="64"/>
      <c r="E3366" s="64"/>
      <c r="F3366" s="64"/>
      <c r="G3366" s="64"/>
    </row>
    <row r="3367" spans="2:7" ht="32.25" customHeight="1" x14ac:dyDescent="0.25">
      <c r="B3367" s="64"/>
      <c r="C3367" s="64"/>
      <c r="D3367" s="64"/>
      <c r="E3367" s="64"/>
      <c r="F3367" s="64"/>
      <c r="G3367" s="64"/>
    </row>
    <row r="3368" spans="2:7" ht="32.25" customHeight="1" x14ac:dyDescent="0.25">
      <c r="B3368" s="64"/>
      <c r="C3368" s="64"/>
      <c r="D3368" s="64"/>
      <c r="E3368" s="64"/>
      <c r="F3368" s="64"/>
      <c r="G3368" s="64"/>
    </row>
    <row r="3369" spans="2:7" ht="32.25" customHeight="1" x14ac:dyDescent="0.25">
      <c r="B3369" s="64"/>
      <c r="C3369" s="64"/>
      <c r="D3369" s="64"/>
      <c r="E3369" s="64"/>
      <c r="F3369" s="64"/>
      <c r="G3369" s="64"/>
    </row>
    <row r="3370" spans="2:7" ht="32.25" customHeight="1" x14ac:dyDescent="0.25">
      <c r="B3370" s="64"/>
      <c r="C3370" s="64"/>
      <c r="D3370" s="64"/>
      <c r="E3370" s="64"/>
      <c r="F3370" s="64"/>
      <c r="G3370" s="64"/>
    </row>
    <row r="3371" spans="2:7" ht="32.25" customHeight="1" x14ac:dyDescent="0.25">
      <c r="B3371" s="64"/>
      <c r="C3371" s="64"/>
      <c r="D3371" s="64"/>
      <c r="E3371" s="64"/>
      <c r="F3371" s="64"/>
      <c r="G3371" s="64"/>
    </row>
    <row r="3372" spans="2:7" ht="32.25" customHeight="1" x14ac:dyDescent="0.25">
      <c r="B3372" s="64"/>
      <c r="C3372" s="64"/>
      <c r="D3372" s="64"/>
      <c r="E3372" s="64"/>
      <c r="F3372" s="64"/>
      <c r="G3372" s="64"/>
    </row>
    <row r="3373" spans="2:7" ht="32.25" customHeight="1" x14ac:dyDescent="0.25">
      <c r="B3373" s="64"/>
      <c r="C3373" s="64"/>
      <c r="D3373" s="64"/>
      <c r="E3373" s="64"/>
      <c r="F3373" s="64"/>
      <c r="G3373" s="64"/>
    </row>
    <row r="3374" spans="2:7" ht="32.25" customHeight="1" x14ac:dyDescent="0.25">
      <c r="B3374" s="64"/>
      <c r="C3374" s="64"/>
      <c r="D3374" s="64"/>
      <c r="E3374" s="64"/>
      <c r="F3374" s="64"/>
      <c r="G3374" s="64"/>
    </row>
    <row r="3375" spans="2:7" ht="32.25" customHeight="1" x14ac:dyDescent="0.25">
      <c r="B3375" s="64"/>
      <c r="C3375" s="64"/>
      <c r="D3375" s="64"/>
      <c r="E3375" s="64"/>
      <c r="F3375" s="64"/>
      <c r="G3375" s="64"/>
    </row>
    <row r="3376" spans="2:7" ht="32.25" customHeight="1" x14ac:dyDescent="0.25">
      <c r="B3376" s="64"/>
      <c r="C3376" s="64"/>
      <c r="D3376" s="64"/>
      <c r="E3376" s="64"/>
      <c r="F3376" s="64"/>
      <c r="G3376" s="64"/>
    </row>
    <row r="3377" spans="2:7" ht="32.25" customHeight="1" x14ac:dyDescent="0.25">
      <c r="B3377" s="64"/>
      <c r="C3377" s="64"/>
      <c r="D3377" s="64"/>
      <c r="E3377" s="64"/>
      <c r="F3377" s="64"/>
      <c r="G3377" s="64"/>
    </row>
    <row r="3378" spans="2:7" ht="32.25" customHeight="1" x14ac:dyDescent="0.25">
      <c r="B3378" s="64"/>
      <c r="C3378" s="64"/>
      <c r="D3378" s="64"/>
      <c r="E3378" s="64"/>
      <c r="F3378" s="64"/>
      <c r="G3378" s="64"/>
    </row>
    <row r="3379" spans="2:7" ht="32.25" customHeight="1" x14ac:dyDescent="0.25">
      <c r="B3379" s="64"/>
      <c r="C3379" s="64"/>
      <c r="D3379" s="64"/>
      <c r="E3379" s="64"/>
      <c r="F3379" s="64"/>
      <c r="G3379" s="64"/>
    </row>
    <row r="3380" spans="2:7" ht="32.25" customHeight="1" x14ac:dyDescent="0.25">
      <c r="B3380" s="64"/>
      <c r="C3380" s="64"/>
      <c r="D3380" s="64"/>
      <c r="E3380" s="64"/>
      <c r="F3380" s="64"/>
      <c r="G3380" s="64"/>
    </row>
    <row r="3381" spans="2:7" ht="32.25" customHeight="1" x14ac:dyDescent="0.25">
      <c r="B3381" s="64"/>
      <c r="C3381" s="64"/>
      <c r="D3381" s="64"/>
      <c r="E3381" s="64"/>
      <c r="F3381" s="64"/>
      <c r="G3381" s="64"/>
    </row>
    <row r="3382" spans="2:7" ht="32.25" customHeight="1" x14ac:dyDescent="0.25">
      <c r="B3382" s="64"/>
      <c r="C3382" s="64"/>
      <c r="D3382" s="64"/>
      <c r="E3382" s="64"/>
      <c r="F3382" s="64"/>
      <c r="G3382" s="64"/>
    </row>
    <row r="3383" spans="2:7" ht="32.25" customHeight="1" x14ac:dyDescent="0.25">
      <c r="B3383" s="64"/>
      <c r="C3383" s="64"/>
      <c r="D3383" s="64"/>
      <c r="E3383" s="64"/>
      <c r="F3383" s="64"/>
      <c r="G3383" s="64"/>
    </row>
    <row r="3384" spans="2:7" ht="32.25" customHeight="1" x14ac:dyDescent="0.25">
      <c r="B3384" s="64"/>
      <c r="C3384" s="64"/>
      <c r="D3384" s="64"/>
      <c r="E3384" s="64"/>
      <c r="F3384" s="64"/>
      <c r="G3384" s="64"/>
    </row>
    <row r="3385" spans="2:7" ht="32.25" customHeight="1" x14ac:dyDescent="0.25">
      <c r="B3385" s="64"/>
      <c r="C3385" s="64"/>
      <c r="D3385" s="64"/>
      <c r="E3385" s="64"/>
      <c r="F3385" s="64"/>
      <c r="G3385" s="64"/>
    </row>
    <row r="3386" spans="2:7" ht="32.25" customHeight="1" x14ac:dyDescent="0.25">
      <c r="B3386" s="64"/>
      <c r="C3386" s="64"/>
      <c r="D3386" s="64"/>
      <c r="E3386" s="64"/>
      <c r="F3386" s="64"/>
      <c r="G3386" s="64"/>
    </row>
    <row r="3387" spans="2:7" ht="32.25" customHeight="1" x14ac:dyDescent="0.25">
      <c r="B3387" s="64"/>
      <c r="C3387" s="64"/>
      <c r="D3387" s="64"/>
      <c r="E3387" s="64"/>
      <c r="F3387" s="64"/>
      <c r="G3387" s="64"/>
    </row>
    <row r="3388" spans="2:7" ht="32.25" customHeight="1" x14ac:dyDescent="0.25">
      <c r="B3388" s="64"/>
      <c r="C3388" s="64"/>
      <c r="D3388" s="64"/>
      <c r="E3388" s="64"/>
      <c r="F3388" s="64"/>
      <c r="G3388" s="64"/>
    </row>
    <row r="3389" spans="2:7" ht="32.25" customHeight="1" x14ac:dyDescent="0.25">
      <c r="B3389" s="64"/>
      <c r="C3389" s="64"/>
      <c r="D3389" s="64"/>
      <c r="E3389" s="64"/>
      <c r="F3389" s="64"/>
      <c r="G3389" s="64"/>
    </row>
    <row r="3390" spans="2:7" ht="32.25" customHeight="1" x14ac:dyDescent="0.25">
      <c r="B3390" s="64"/>
      <c r="C3390" s="64"/>
      <c r="D3390" s="64"/>
      <c r="E3390" s="64"/>
      <c r="F3390" s="64"/>
      <c r="G3390" s="64"/>
    </row>
    <row r="3391" spans="2:7" ht="32.25" customHeight="1" x14ac:dyDescent="0.25">
      <c r="B3391" s="64"/>
      <c r="C3391" s="64"/>
      <c r="D3391" s="64"/>
      <c r="E3391" s="64"/>
      <c r="F3391" s="64"/>
      <c r="G3391" s="64"/>
    </row>
    <row r="3392" spans="2:7" ht="32.25" customHeight="1" x14ac:dyDescent="0.25">
      <c r="B3392" s="64"/>
      <c r="C3392" s="64"/>
      <c r="D3392" s="64"/>
      <c r="E3392" s="64"/>
      <c r="F3392" s="64"/>
      <c r="G3392" s="64"/>
    </row>
    <row r="3393" spans="2:7" ht="32.25" customHeight="1" x14ac:dyDescent="0.25">
      <c r="B3393" s="64"/>
      <c r="C3393" s="64"/>
      <c r="D3393" s="64"/>
      <c r="E3393" s="64"/>
      <c r="F3393" s="64"/>
      <c r="G3393" s="64"/>
    </row>
    <row r="3394" spans="2:7" ht="32.25" customHeight="1" x14ac:dyDescent="0.25">
      <c r="B3394" s="64"/>
      <c r="C3394" s="64"/>
      <c r="D3394" s="64"/>
      <c r="E3394" s="64"/>
      <c r="F3394" s="64"/>
      <c r="G3394" s="64"/>
    </row>
    <row r="3395" spans="2:7" ht="32.25" customHeight="1" x14ac:dyDescent="0.25">
      <c r="B3395" s="64"/>
      <c r="C3395" s="64"/>
      <c r="D3395" s="64"/>
      <c r="E3395" s="64"/>
      <c r="F3395" s="64"/>
      <c r="G3395" s="64"/>
    </row>
    <row r="3396" spans="2:7" ht="32.25" customHeight="1" x14ac:dyDescent="0.25">
      <c r="B3396" s="64"/>
      <c r="C3396" s="64"/>
      <c r="D3396" s="64"/>
      <c r="E3396" s="64"/>
      <c r="F3396" s="64"/>
      <c r="G3396" s="64"/>
    </row>
    <row r="3397" spans="2:7" ht="32.25" customHeight="1" x14ac:dyDescent="0.25">
      <c r="B3397" s="64"/>
      <c r="C3397" s="64"/>
      <c r="D3397" s="64"/>
      <c r="E3397" s="64"/>
      <c r="F3397" s="64"/>
      <c r="G3397" s="64"/>
    </row>
    <row r="3398" spans="2:7" ht="32.25" customHeight="1" x14ac:dyDescent="0.25">
      <c r="B3398" s="64"/>
      <c r="C3398" s="64"/>
      <c r="D3398" s="64"/>
      <c r="E3398" s="64"/>
      <c r="F3398" s="64"/>
      <c r="G3398" s="64"/>
    </row>
    <row r="3399" spans="2:7" ht="32.25" customHeight="1" x14ac:dyDescent="0.25">
      <c r="B3399" s="64"/>
      <c r="C3399" s="64"/>
      <c r="D3399" s="64"/>
      <c r="E3399" s="64"/>
      <c r="F3399" s="64"/>
      <c r="G3399" s="64"/>
    </row>
    <row r="3400" spans="2:7" ht="32.25" customHeight="1" x14ac:dyDescent="0.25">
      <c r="B3400" s="64"/>
      <c r="C3400" s="64"/>
      <c r="D3400" s="64"/>
      <c r="E3400" s="64"/>
      <c r="F3400" s="64"/>
      <c r="G3400" s="64"/>
    </row>
    <row r="3401" spans="2:7" ht="32.25" customHeight="1" x14ac:dyDescent="0.25">
      <c r="B3401" s="64"/>
      <c r="C3401" s="64"/>
      <c r="D3401" s="64"/>
      <c r="E3401" s="64"/>
      <c r="F3401" s="64"/>
      <c r="G3401" s="64"/>
    </row>
    <row r="3402" spans="2:7" ht="32.25" customHeight="1" x14ac:dyDescent="0.25">
      <c r="B3402" s="64"/>
      <c r="C3402" s="64"/>
      <c r="D3402" s="64"/>
      <c r="E3402" s="64"/>
      <c r="F3402" s="64"/>
      <c r="G3402" s="64"/>
    </row>
    <row r="3403" spans="2:7" ht="32.25" customHeight="1" x14ac:dyDescent="0.25">
      <c r="B3403" s="64"/>
      <c r="C3403" s="64"/>
      <c r="D3403" s="64"/>
      <c r="E3403" s="64"/>
      <c r="F3403" s="64"/>
      <c r="G3403" s="64"/>
    </row>
    <row r="3404" spans="2:7" ht="32.25" customHeight="1" x14ac:dyDescent="0.25">
      <c r="B3404" s="64"/>
      <c r="C3404" s="64"/>
      <c r="D3404" s="64"/>
      <c r="E3404" s="64"/>
      <c r="F3404" s="64"/>
      <c r="G3404" s="64"/>
    </row>
    <row r="3405" spans="2:7" ht="32.25" customHeight="1" x14ac:dyDescent="0.25">
      <c r="B3405" s="64"/>
      <c r="C3405" s="64"/>
      <c r="D3405" s="64"/>
      <c r="E3405" s="64"/>
      <c r="F3405" s="64"/>
      <c r="G3405" s="64"/>
    </row>
    <row r="3406" spans="2:7" ht="32.25" customHeight="1" x14ac:dyDescent="0.25">
      <c r="B3406" s="64"/>
      <c r="C3406" s="64"/>
      <c r="D3406" s="64"/>
      <c r="E3406" s="64"/>
      <c r="F3406" s="64"/>
      <c r="G3406" s="64"/>
    </row>
    <row r="3407" spans="2:7" ht="32.25" customHeight="1" x14ac:dyDescent="0.25">
      <c r="B3407" s="64"/>
      <c r="C3407" s="64"/>
      <c r="D3407" s="64"/>
      <c r="E3407" s="64"/>
      <c r="F3407" s="64"/>
      <c r="G3407" s="64"/>
    </row>
    <row r="3408" spans="2:7" ht="32.25" customHeight="1" x14ac:dyDescent="0.25">
      <c r="B3408" s="64"/>
      <c r="C3408" s="64"/>
      <c r="D3408" s="64"/>
      <c r="E3408" s="64"/>
      <c r="F3408" s="64"/>
      <c r="G3408" s="64"/>
    </row>
    <row r="3409" spans="2:7" ht="32.25" customHeight="1" x14ac:dyDescent="0.25">
      <c r="B3409" s="64"/>
      <c r="C3409" s="64"/>
      <c r="D3409" s="64"/>
      <c r="E3409" s="64"/>
      <c r="F3409" s="64"/>
      <c r="G3409" s="64"/>
    </row>
    <row r="3410" spans="2:7" ht="32.25" customHeight="1" x14ac:dyDescent="0.25">
      <c r="B3410" s="64"/>
      <c r="C3410" s="64"/>
      <c r="D3410" s="64"/>
      <c r="E3410" s="64"/>
      <c r="F3410" s="64"/>
      <c r="G3410" s="64"/>
    </row>
    <row r="3411" spans="2:7" ht="32.25" customHeight="1" x14ac:dyDescent="0.25">
      <c r="B3411" s="64"/>
      <c r="C3411" s="64"/>
      <c r="D3411" s="64"/>
      <c r="E3411" s="64"/>
      <c r="F3411" s="64"/>
      <c r="G3411" s="64"/>
    </row>
    <row r="3412" spans="2:7" ht="32.25" customHeight="1" x14ac:dyDescent="0.25">
      <c r="B3412" s="64"/>
      <c r="C3412" s="64"/>
      <c r="D3412" s="64"/>
      <c r="E3412" s="64"/>
      <c r="F3412" s="64"/>
      <c r="G3412" s="64"/>
    </row>
    <row r="3413" spans="2:7" ht="32.25" customHeight="1" x14ac:dyDescent="0.25">
      <c r="B3413" s="64"/>
      <c r="C3413" s="64"/>
      <c r="D3413" s="64"/>
      <c r="E3413" s="64"/>
      <c r="F3413" s="64"/>
      <c r="G3413" s="64"/>
    </row>
    <row r="3414" spans="2:7" ht="32.25" customHeight="1" x14ac:dyDescent="0.25">
      <c r="B3414" s="64"/>
      <c r="C3414" s="64"/>
      <c r="D3414" s="64"/>
      <c r="E3414" s="64"/>
      <c r="F3414" s="64"/>
      <c r="G3414" s="64"/>
    </row>
    <row r="3415" spans="2:7" ht="32.25" customHeight="1" x14ac:dyDescent="0.25">
      <c r="B3415" s="64"/>
      <c r="C3415" s="64"/>
      <c r="D3415" s="64"/>
      <c r="E3415" s="64"/>
      <c r="F3415" s="64"/>
      <c r="G3415" s="64"/>
    </row>
    <row r="3416" spans="2:7" ht="32.25" customHeight="1" x14ac:dyDescent="0.25">
      <c r="B3416" s="64"/>
      <c r="C3416" s="64"/>
      <c r="D3416" s="64"/>
      <c r="E3416" s="64"/>
      <c r="F3416" s="64"/>
      <c r="G3416" s="64"/>
    </row>
    <row r="3417" spans="2:7" ht="32.25" customHeight="1" x14ac:dyDescent="0.25">
      <c r="B3417" s="64"/>
      <c r="C3417" s="64"/>
      <c r="D3417" s="64"/>
      <c r="E3417" s="64"/>
      <c r="F3417" s="64"/>
      <c r="G3417" s="64"/>
    </row>
    <row r="3418" spans="2:7" ht="32.25" customHeight="1" x14ac:dyDescent="0.25">
      <c r="B3418" s="64"/>
      <c r="C3418" s="64"/>
      <c r="D3418" s="64"/>
      <c r="E3418" s="64"/>
      <c r="F3418" s="64"/>
      <c r="G3418" s="64"/>
    </row>
    <row r="3419" spans="2:7" ht="32.25" customHeight="1" x14ac:dyDescent="0.25">
      <c r="B3419" s="64"/>
      <c r="C3419" s="64"/>
      <c r="D3419" s="64"/>
      <c r="E3419" s="64"/>
      <c r="F3419" s="64"/>
      <c r="G3419" s="64"/>
    </row>
    <row r="3420" spans="2:7" ht="32.25" customHeight="1" x14ac:dyDescent="0.25">
      <c r="B3420" s="64"/>
      <c r="C3420" s="64"/>
      <c r="D3420" s="64"/>
      <c r="E3420" s="64"/>
      <c r="F3420" s="64"/>
      <c r="G3420" s="64"/>
    </row>
    <row r="3421" spans="2:7" ht="32.25" customHeight="1" x14ac:dyDescent="0.25">
      <c r="B3421" s="64"/>
      <c r="C3421" s="64"/>
      <c r="D3421" s="64"/>
      <c r="E3421" s="64"/>
      <c r="F3421" s="64"/>
      <c r="G3421" s="64"/>
    </row>
    <row r="3422" spans="2:7" ht="32.25" customHeight="1" x14ac:dyDescent="0.25">
      <c r="B3422" s="64"/>
      <c r="C3422" s="64"/>
      <c r="D3422" s="64"/>
      <c r="E3422" s="64"/>
      <c r="F3422" s="64"/>
      <c r="G3422" s="64"/>
    </row>
    <row r="3423" spans="2:7" ht="32.25" customHeight="1" x14ac:dyDescent="0.25">
      <c r="B3423" s="64"/>
      <c r="C3423" s="64"/>
      <c r="D3423" s="64"/>
      <c r="E3423" s="64"/>
      <c r="F3423" s="64"/>
      <c r="G3423" s="64"/>
    </row>
    <row r="3424" spans="2:7" ht="32.25" customHeight="1" x14ac:dyDescent="0.25">
      <c r="B3424" s="64"/>
      <c r="C3424" s="64"/>
      <c r="D3424" s="64"/>
      <c r="E3424" s="64"/>
      <c r="F3424" s="64"/>
      <c r="G3424" s="64"/>
    </row>
    <row r="3425" spans="2:7" ht="32.25" customHeight="1" x14ac:dyDescent="0.25">
      <c r="B3425" s="64"/>
      <c r="C3425" s="64"/>
      <c r="D3425" s="64"/>
      <c r="E3425" s="64"/>
      <c r="F3425" s="64"/>
      <c r="G3425" s="64"/>
    </row>
    <row r="3426" spans="2:7" ht="32.25" customHeight="1" x14ac:dyDescent="0.25">
      <c r="B3426" s="64"/>
      <c r="C3426" s="64"/>
      <c r="D3426" s="64"/>
      <c r="E3426" s="64"/>
      <c r="F3426" s="64"/>
      <c r="G3426" s="64"/>
    </row>
    <row r="3427" spans="2:7" ht="32.25" customHeight="1" x14ac:dyDescent="0.25">
      <c r="B3427" s="64"/>
      <c r="C3427" s="64"/>
      <c r="D3427" s="64"/>
      <c r="E3427" s="64"/>
      <c r="F3427" s="64"/>
      <c r="G3427" s="64"/>
    </row>
    <row r="3428" spans="2:7" ht="32.25" customHeight="1" x14ac:dyDescent="0.25">
      <c r="B3428" s="64"/>
      <c r="C3428" s="64"/>
      <c r="D3428" s="64"/>
      <c r="E3428" s="64"/>
      <c r="F3428" s="64"/>
      <c r="G3428" s="64"/>
    </row>
    <row r="3429" spans="2:7" ht="32.25" customHeight="1" x14ac:dyDescent="0.25">
      <c r="B3429" s="64"/>
      <c r="C3429" s="64"/>
      <c r="D3429" s="64"/>
      <c r="E3429" s="64"/>
      <c r="F3429" s="64"/>
      <c r="G3429" s="64"/>
    </row>
    <row r="3430" spans="2:7" ht="32.25" customHeight="1" x14ac:dyDescent="0.25">
      <c r="B3430" s="64"/>
      <c r="C3430" s="64"/>
      <c r="D3430" s="64"/>
      <c r="E3430" s="64"/>
      <c r="F3430" s="64"/>
      <c r="G3430" s="64"/>
    </row>
    <row r="3431" spans="2:7" ht="32.25" customHeight="1" x14ac:dyDescent="0.25">
      <c r="B3431" s="64"/>
      <c r="C3431" s="64"/>
      <c r="D3431" s="64"/>
      <c r="E3431" s="64"/>
      <c r="F3431" s="64"/>
      <c r="G3431" s="64"/>
    </row>
    <row r="3432" spans="2:7" ht="32.25" customHeight="1" x14ac:dyDescent="0.25">
      <c r="B3432" s="64"/>
      <c r="C3432" s="64"/>
      <c r="D3432" s="64"/>
      <c r="E3432" s="64"/>
      <c r="F3432" s="64"/>
      <c r="G3432" s="64"/>
    </row>
    <row r="3433" spans="2:7" ht="32.25" customHeight="1" x14ac:dyDescent="0.25">
      <c r="B3433" s="64"/>
      <c r="C3433" s="64"/>
      <c r="D3433" s="64"/>
      <c r="E3433" s="64"/>
      <c r="F3433" s="64"/>
      <c r="G3433" s="64"/>
    </row>
    <row r="3434" spans="2:7" ht="32.25" customHeight="1" x14ac:dyDescent="0.25">
      <c r="B3434" s="64"/>
      <c r="C3434" s="64"/>
      <c r="D3434" s="64"/>
      <c r="E3434" s="64"/>
      <c r="F3434" s="64"/>
      <c r="G3434" s="64"/>
    </row>
    <row r="3435" spans="2:7" ht="32.25" customHeight="1" x14ac:dyDescent="0.25">
      <c r="B3435" s="64"/>
      <c r="C3435" s="64"/>
      <c r="D3435" s="64"/>
      <c r="E3435" s="64"/>
      <c r="F3435" s="64"/>
      <c r="G3435" s="64"/>
    </row>
    <row r="3436" spans="2:7" ht="32.25" customHeight="1" x14ac:dyDescent="0.25">
      <c r="B3436" s="64"/>
      <c r="C3436" s="64"/>
      <c r="D3436" s="64"/>
      <c r="E3436" s="64"/>
      <c r="F3436" s="64"/>
      <c r="G3436" s="64"/>
    </row>
    <row r="3437" spans="2:7" ht="32.25" customHeight="1" x14ac:dyDescent="0.25">
      <c r="B3437" s="64"/>
      <c r="C3437" s="64"/>
      <c r="D3437" s="64"/>
      <c r="E3437" s="64"/>
      <c r="F3437" s="64"/>
      <c r="G3437" s="64"/>
    </row>
    <row r="3438" spans="2:7" ht="32.25" customHeight="1" x14ac:dyDescent="0.25">
      <c r="B3438" s="64"/>
      <c r="C3438" s="64"/>
      <c r="D3438" s="64"/>
      <c r="E3438" s="64"/>
      <c r="F3438" s="64"/>
      <c r="G3438" s="64"/>
    </row>
    <row r="3439" spans="2:7" ht="32.25" customHeight="1" x14ac:dyDescent="0.25">
      <c r="B3439" s="64"/>
      <c r="C3439" s="64"/>
      <c r="D3439" s="64"/>
      <c r="E3439" s="64"/>
      <c r="F3439" s="64"/>
      <c r="G3439" s="64"/>
    </row>
    <row r="3440" spans="2:7" ht="32.25" customHeight="1" x14ac:dyDescent="0.25">
      <c r="B3440" s="64"/>
      <c r="C3440" s="64"/>
      <c r="D3440" s="64"/>
      <c r="E3440" s="64"/>
      <c r="F3440" s="64"/>
      <c r="G3440" s="64"/>
    </row>
    <row r="3441" spans="2:7" ht="32.25" customHeight="1" x14ac:dyDescent="0.25">
      <c r="B3441" s="64"/>
      <c r="C3441" s="64"/>
      <c r="D3441" s="64"/>
      <c r="E3441" s="64"/>
      <c r="F3441" s="64"/>
      <c r="G3441" s="64"/>
    </row>
    <row r="3442" spans="2:7" ht="32.25" customHeight="1" x14ac:dyDescent="0.25">
      <c r="B3442" s="64"/>
      <c r="C3442" s="64"/>
      <c r="D3442" s="64"/>
      <c r="E3442" s="64"/>
      <c r="F3442" s="64"/>
      <c r="G3442" s="64"/>
    </row>
    <row r="3443" spans="2:7" ht="32.25" customHeight="1" x14ac:dyDescent="0.25">
      <c r="B3443" s="64"/>
      <c r="C3443" s="64"/>
      <c r="D3443" s="64"/>
      <c r="E3443" s="64"/>
      <c r="F3443" s="64"/>
      <c r="G3443" s="64"/>
    </row>
    <row r="3444" spans="2:7" ht="32.25" customHeight="1" x14ac:dyDescent="0.25">
      <c r="B3444" s="64"/>
      <c r="C3444" s="64"/>
      <c r="D3444" s="64"/>
      <c r="E3444" s="64"/>
      <c r="F3444" s="64"/>
      <c r="G3444" s="64"/>
    </row>
    <row r="3445" spans="2:7" ht="32.25" customHeight="1" x14ac:dyDescent="0.25">
      <c r="B3445" s="64"/>
      <c r="C3445" s="64"/>
      <c r="D3445" s="64"/>
      <c r="E3445" s="64"/>
      <c r="F3445" s="64"/>
      <c r="G3445" s="64"/>
    </row>
    <row r="3446" spans="2:7" ht="32.25" customHeight="1" x14ac:dyDescent="0.25">
      <c r="B3446" s="64"/>
      <c r="C3446" s="64"/>
      <c r="D3446" s="64"/>
      <c r="E3446" s="64"/>
      <c r="F3446" s="64"/>
      <c r="G3446" s="64"/>
    </row>
    <row r="3447" spans="2:7" ht="32.25" customHeight="1" x14ac:dyDescent="0.25">
      <c r="B3447" s="64"/>
      <c r="C3447" s="64"/>
      <c r="D3447" s="64"/>
      <c r="E3447" s="64"/>
      <c r="F3447" s="64"/>
      <c r="G3447" s="64"/>
    </row>
    <row r="3448" spans="2:7" ht="32.25" customHeight="1" x14ac:dyDescent="0.25">
      <c r="B3448" s="64"/>
      <c r="C3448" s="64"/>
      <c r="D3448" s="64"/>
      <c r="E3448" s="64"/>
      <c r="F3448" s="64"/>
      <c r="G3448" s="64"/>
    </row>
    <row r="3449" spans="2:7" ht="32.25" customHeight="1" x14ac:dyDescent="0.25">
      <c r="B3449" s="64"/>
      <c r="C3449" s="64"/>
      <c r="D3449" s="64"/>
      <c r="E3449" s="64"/>
      <c r="F3449" s="64"/>
      <c r="G3449" s="64"/>
    </row>
    <row r="3450" spans="2:7" ht="32.25" customHeight="1" x14ac:dyDescent="0.25">
      <c r="B3450" s="64"/>
      <c r="C3450" s="64"/>
      <c r="D3450" s="64"/>
      <c r="E3450" s="64"/>
      <c r="F3450" s="64"/>
      <c r="G3450" s="64"/>
    </row>
    <row r="3451" spans="2:7" ht="32.25" customHeight="1" x14ac:dyDescent="0.25">
      <c r="B3451" s="64"/>
      <c r="C3451" s="64"/>
      <c r="D3451" s="64"/>
      <c r="E3451" s="64"/>
      <c r="F3451" s="64"/>
      <c r="G3451" s="64"/>
    </row>
    <row r="3452" spans="2:7" ht="32.25" customHeight="1" x14ac:dyDescent="0.25">
      <c r="B3452" s="64"/>
      <c r="C3452" s="64"/>
      <c r="D3452" s="64"/>
      <c r="E3452" s="64"/>
      <c r="F3452" s="64"/>
      <c r="G3452" s="64"/>
    </row>
    <row r="3453" spans="2:7" ht="32.25" customHeight="1" x14ac:dyDescent="0.25">
      <c r="B3453" s="64"/>
      <c r="C3453" s="64"/>
      <c r="D3453" s="64"/>
      <c r="E3453" s="64"/>
      <c r="F3453" s="64"/>
      <c r="G3453" s="64"/>
    </row>
    <row r="3454" spans="2:7" ht="32.25" customHeight="1" x14ac:dyDescent="0.25">
      <c r="B3454" s="64"/>
      <c r="C3454" s="64"/>
      <c r="D3454" s="64"/>
      <c r="E3454" s="64"/>
      <c r="F3454" s="64"/>
      <c r="G3454" s="64"/>
    </row>
    <row r="3455" spans="2:7" ht="32.25" customHeight="1" x14ac:dyDescent="0.25">
      <c r="B3455" s="64"/>
      <c r="C3455" s="64"/>
      <c r="D3455" s="64"/>
      <c r="E3455" s="64"/>
      <c r="F3455" s="64"/>
      <c r="G3455" s="64"/>
    </row>
    <row r="3456" spans="2:7" ht="32.25" customHeight="1" x14ac:dyDescent="0.25">
      <c r="B3456" s="64"/>
      <c r="C3456" s="64"/>
      <c r="D3456" s="64"/>
      <c r="E3456" s="64"/>
      <c r="F3456" s="64"/>
      <c r="G3456" s="64"/>
    </row>
    <row r="3457" spans="2:7" ht="32.25" customHeight="1" x14ac:dyDescent="0.25">
      <c r="B3457" s="64"/>
      <c r="C3457" s="64"/>
      <c r="D3457" s="64"/>
      <c r="E3457" s="64"/>
      <c r="F3457" s="64"/>
      <c r="G3457" s="64"/>
    </row>
    <row r="3458" spans="2:7" ht="32.25" customHeight="1" x14ac:dyDescent="0.25">
      <c r="B3458" s="64"/>
      <c r="C3458" s="64"/>
      <c r="D3458" s="64"/>
      <c r="E3458" s="64"/>
      <c r="F3458" s="64"/>
      <c r="G3458" s="64"/>
    </row>
    <row r="3459" spans="2:7" ht="32.25" customHeight="1" x14ac:dyDescent="0.25">
      <c r="B3459" s="64"/>
      <c r="C3459" s="64"/>
      <c r="D3459" s="64"/>
      <c r="E3459" s="64"/>
      <c r="F3459" s="64"/>
      <c r="G3459" s="64"/>
    </row>
    <row r="3460" spans="2:7" ht="32.25" customHeight="1" x14ac:dyDescent="0.25">
      <c r="B3460" s="64"/>
      <c r="C3460" s="64"/>
      <c r="D3460" s="64"/>
      <c r="E3460" s="64"/>
      <c r="F3460" s="64"/>
      <c r="G3460" s="64"/>
    </row>
    <row r="3461" spans="2:7" ht="32.25" customHeight="1" x14ac:dyDescent="0.25">
      <c r="B3461" s="64"/>
      <c r="C3461" s="64"/>
      <c r="D3461" s="64"/>
      <c r="E3461" s="64"/>
      <c r="F3461" s="64"/>
      <c r="G3461" s="64"/>
    </row>
    <row r="3462" spans="2:7" ht="32.25" customHeight="1" x14ac:dyDescent="0.25">
      <c r="B3462" s="64"/>
      <c r="C3462" s="64"/>
      <c r="D3462" s="64"/>
      <c r="E3462" s="64"/>
      <c r="F3462" s="64"/>
      <c r="G3462" s="64"/>
    </row>
    <row r="3463" spans="2:7" ht="32.25" customHeight="1" x14ac:dyDescent="0.25">
      <c r="B3463" s="64"/>
      <c r="C3463" s="64"/>
      <c r="D3463" s="64"/>
      <c r="E3463" s="64"/>
      <c r="F3463" s="64"/>
      <c r="G3463" s="64"/>
    </row>
    <row r="3464" spans="2:7" ht="32.25" customHeight="1" x14ac:dyDescent="0.25">
      <c r="B3464" s="64"/>
      <c r="C3464" s="64"/>
      <c r="D3464" s="64"/>
      <c r="E3464" s="64"/>
      <c r="F3464" s="64"/>
      <c r="G3464" s="64"/>
    </row>
    <row r="3465" spans="2:7" ht="32.25" customHeight="1" x14ac:dyDescent="0.25">
      <c r="B3465" s="64"/>
      <c r="C3465" s="64"/>
      <c r="D3465" s="64"/>
      <c r="E3465" s="64"/>
      <c r="F3465" s="64"/>
      <c r="G3465" s="64"/>
    </row>
    <row r="3466" spans="2:7" ht="32.25" customHeight="1" x14ac:dyDescent="0.25">
      <c r="B3466" s="64"/>
      <c r="C3466" s="64"/>
      <c r="D3466" s="64"/>
      <c r="E3466" s="64"/>
      <c r="F3466" s="64"/>
      <c r="G3466" s="64"/>
    </row>
    <row r="3467" spans="2:7" ht="32.25" customHeight="1" x14ac:dyDescent="0.25">
      <c r="B3467" s="64"/>
      <c r="C3467" s="64"/>
      <c r="D3467" s="64"/>
      <c r="E3467" s="64"/>
      <c r="F3467" s="64"/>
      <c r="G3467" s="64"/>
    </row>
    <row r="3468" spans="2:7" ht="32.25" customHeight="1" x14ac:dyDescent="0.25">
      <c r="B3468" s="64"/>
      <c r="C3468" s="64"/>
      <c r="D3468" s="64"/>
      <c r="E3468" s="64"/>
      <c r="F3468" s="64"/>
      <c r="G3468" s="64"/>
    </row>
    <row r="3469" spans="2:7" ht="32.25" customHeight="1" x14ac:dyDescent="0.25">
      <c r="B3469" s="64"/>
      <c r="C3469" s="64"/>
      <c r="D3469" s="64"/>
      <c r="E3469" s="64"/>
      <c r="F3469" s="64"/>
      <c r="G3469" s="64"/>
    </row>
    <row r="3470" spans="2:7" ht="32.25" customHeight="1" x14ac:dyDescent="0.25">
      <c r="B3470" s="64"/>
      <c r="C3470" s="64"/>
      <c r="D3470" s="64"/>
      <c r="E3470" s="64"/>
      <c r="F3470" s="64"/>
      <c r="G3470" s="64"/>
    </row>
    <row r="3471" spans="2:7" ht="32.25" customHeight="1" x14ac:dyDescent="0.25">
      <c r="B3471" s="64"/>
      <c r="C3471" s="64"/>
      <c r="D3471" s="64"/>
      <c r="E3471" s="64"/>
      <c r="F3471" s="64"/>
      <c r="G3471" s="64"/>
    </row>
    <row r="3472" spans="2:7" ht="32.25" customHeight="1" x14ac:dyDescent="0.25">
      <c r="B3472" s="64"/>
      <c r="C3472" s="64"/>
      <c r="D3472" s="64"/>
      <c r="E3472" s="64"/>
      <c r="F3472" s="64"/>
      <c r="G3472" s="64"/>
    </row>
    <row r="3473" spans="2:7" ht="32.25" customHeight="1" x14ac:dyDescent="0.25">
      <c r="B3473" s="64"/>
      <c r="C3473" s="64"/>
      <c r="D3473" s="64"/>
      <c r="E3473" s="64"/>
      <c r="F3473" s="64"/>
      <c r="G3473" s="64"/>
    </row>
    <row r="3474" spans="2:7" ht="32.25" customHeight="1" x14ac:dyDescent="0.25">
      <c r="B3474" s="64"/>
      <c r="C3474" s="64"/>
      <c r="D3474" s="64"/>
      <c r="E3474" s="64"/>
      <c r="F3474" s="64"/>
      <c r="G3474" s="64"/>
    </row>
    <row r="3475" spans="2:7" ht="32.25" customHeight="1" x14ac:dyDescent="0.25">
      <c r="B3475" s="64"/>
      <c r="C3475" s="64"/>
      <c r="D3475" s="64"/>
      <c r="E3475" s="64"/>
      <c r="F3475" s="64"/>
      <c r="G3475" s="64"/>
    </row>
    <row r="3476" spans="2:7" ht="32.25" customHeight="1" x14ac:dyDescent="0.25">
      <c r="B3476" s="64"/>
      <c r="C3476" s="64"/>
      <c r="D3476" s="64"/>
      <c r="E3476" s="64"/>
      <c r="F3476" s="64"/>
      <c r="G3476" s="64"/>
    </row>
    <row r="3477" spans="2:7" ht="32.25" customHeight="1" x14ac:dyDescent="0.25">
      <c r="B3477" s="64"/>
      <c r="C3477" s="64"/>
      <c r="D3477" s="64"/>
      <c r="E3477" s="64"/>
      <c r="F3477" s="64"/>
      <c r="G3477" s="64"/>
    </row>
    <row r="3478" spans="2:7" ht="32.25" customHeight="1" x14ac:dyDescent="0.25">
      <c r="B3478" s="64"/>
      <c r="C3478" s="64"/>
      <c r="D3478" s="64"/>
      <c r="E3478" s="64"/>
      <c r="F3478" s="64"/>
      <c r="G3478" s="64"/>
    </row>
    <row r="3479" spans="2:7" ht="32.25" customHeight="1" x14ac:dyDescent="0.25">
      <c r="B3479" s="64"/>
      <c r="C3479" s="64"/>
      <c r="D3479" s="64"/>
      <c r="E3479" s="64"/>
      <c r="F3479" s="64"/>
      <c r="G3479" s="64"/>
    </row>
    <row r="3480" spans="2:7" ht="32.25" customHeight="1" x14ac:dyDescent="0.25">
      <c r="B3480" s="64"/>
      <c r="C3480" s="64"/>
      <c r="D3480" s="64"/>
      <c r="E3480" s="64"/>
      <c r="F3480" s="64"/>
      <c r="G3480" s="64"/>
    </row>
    <row r="3481" spans="2:7" ht="32.25" customHeight="1" x14ac:dyDescent="0.25">
      <c r="B3481" s="64"/>
      <c r="C3481" s="64"/>
      <c r="D3481" s="64"/>
      <c r="E3481" s="64"/>
      <c r="F3481" s="64"/>
      <c r="G3481" s="64"/>
    </row>
    <row r="3482" spans="2:7" ht="32.25" customHeight="1" x14ac:dyDescent="0.25">
      <c r="B3482" s="64"/>
      <c r="C3482" s="64"/>
      <c r="D3482" s="64"/>
      <c r="E3482" s="64"/>
      <c r="F3482" s="64"/>
      <c r="G3482" s="64"/>
    </row>
    <row r="3483" spans="2:7" ht="32.25" customHeight="1" x14ac:dyDescent="0.25">
      <c r="B3483" s="64"/>
      <c r="C3483" s="64"/>
      <c r="D3483" s="64"/>
      <c r="E3483" s="64"/>
      <c r="F3483" s="64"/>
      <c r="G3483" s="64"/>
    </row>
    <row r="3484" spans="2:7" ht="32.25" customHeight="1" x14ac:dyDescent="0.25">
      <c r="B3484" s="64"/>
      <c r="C3484" s="64"/>
      <c r="D3484" s="64"/>
      <c r="E3484" s="64"/>
      <c r="F3484" s="64"/>
      <c r="G3484" s="64"/>
    </row>
    <row r="3485" spans="2:7" ht="32.25" customHeight="1" x14ac:dyDescent="0.25">
      <c r="B3485" s="64"/>
      <c r="C3485" s="64"/>
      <c r="D3485" s="64"/>
      <c r="E3485" s="64"/>
      <c r="F3485" s="64"/>
      <c r="G3485" s="64"/>
    </row>
    <row r="3486" spans="2:7" ht="32.25" customHeight="1" x14ac:dyDescent="0.25">
      <c r="B3486" s="64"/>
      <c r="C3486" s="64"/>
      <c r="D3486" s="64"/>
      <c r="E3486" s="64"/>
      <c r="F3486" s="64"/>
      <c r="G3486" s="64"/>
    </row>
    <row r="3487" spans="2:7" ht="32.25" customHeight="1" x14ac:dyDescent="0.25">
      <c r="B3487" s="64"/>
      <c r="C3487" s="64"/>
      <c r="D3487" s="64"/>
      <c r="E3487" s="64"/>
      <c r="F3487" s="64"/>
      <c r="G3487" s="64"/>
    </row>
    <row r="3488" spans="2:7" ht="32.25" customHeight="1" x14ac:dyDescent="0.25">
      <c r="B3488" s="64"/>
      <c r="C3488" s="64"/>
      <c r="D3488" s="64"/>
      <c r="E3488" s="64"/>
      <c r="F3488" s="64"/>
      <c r="G3488" s="64"/>
    </row>
    <row r="3489" spans="2:7" ht="32.25" customHeight="1" x14ac:dyDescent="0.25">
      <c r="B3489" s="64"/>
      <c r="C3489" s="64"/>
      <c r="D3489" s="64"/>
      <c r="E3489" s="64"/>
      <c r="F3489" s="64"/>
      <c r="G3489" s="64"/>
    </row>
    <row r="3490" spans="2:7" ht="32.25" customHeight="1" x14ac:dyDescent="0.25">
      <c r="B3490" s="64"/>
      <c r="C3490" s="64"/>
      <c r="D3490" s="64"/>
      <c r="E3490" s="64"/>
      <c r="F3490" s="64"/>
      <c r="G3490" s="64"/>
    </row>
    <row r="3491" spans="2:7" ht="32.25" customHeight="1" x14ac:dyDescent="0.25">
      <c r="B3491" s="64"/>
      <c r="C3491" s="64"/>
      <c r="D3491" s="64"/>
      <c r="E3491" s="64"/>
      <c r="F3491" s="64"/>
      <c r="G3491" s="64"/>
    </row>
    <row r="3492" spans="2:7" ht="32.25" customHeight="1" x14ac:dyDescent="0.25">
      <c r="B3492" s="64"/>
      <c r="C3492" s="64"/>
      <c r="D3492" s="64"/>
      <c r="E3492" s="64"/>
      <c r="F3492" s="64"/>
      <c r="G3492" s="64"/>
    </row>
    <row r="3493" spans="2:7" ht="32.25" customHeight="1" x14ac:dyDescent="0.25">
      <c r="B3493" s="64"/>
      <c r="C3493" s="64"/>
      <c r="D3493" s="64"/>
      <c r="E3493" s="64"/>
      <c r="F3493" s="64"/>
      <c r="G3493" s="64"/>
    </row>
    <row r="3494" spans="2:7" ht="32.25" customHeight="1" x14ac:dyDescent="0.25">
      <c r="B3494" s="64"/>
      <c r="C3494" s="64"/>
      <c r="D3494" s="64"/>
      <c r="E3494" s="64"/>
      <c r="F3494" s="64"/>
      <c r="G3494" s="64"/>
    </row>
    <row r="3495" spans="2:7" ht="32.25" customHeight="1" x14ac:dyDescent="0.25">
      <c r="B3495" s="64"/>
      <c r="C3495" s="64"/>
      <c r="D3495" s="64"/>
      <c r="E3495" s="64"/>
      <c r="F3495" s="64"/>
      <c r="G3495" s="64"/>
    </row>
    <row r="3496" spans="2:7" ht="32.25" customHeight="1" x14ac:dyDescent="0.25">
      <c r="B3496" s="64"/>
      <c r="C3496" s="64"/>
      <c r="D3496" s="64"/>
      <c r="E3496" s="64"/>
      <c r="F3496" s="64"/>
      <c r="G3496" s="64"/>
    </row>
    <row r="3497" spans="2:7" ht="32.25" customHeight="1" x14ac:dyDescent="0.25">
      <c r="B3497" s="64"/>
      <c r="C3497" s="64"/>
      <c r="D3497" s="64"/>
      <c r="E3497" s="64"/>
      <c r="F3497" s="64"/>
      <c r="G3497" s="64"/>
    </row>
    <row r="3498" spans="2:7" ht="32.25" customHeight="1" x14ac:dyDescent="0.25">
      <c r="B3498" s="64"/>
      <c r="C3498" s="64"/>
      <c r="D3498" s="64"/>
      <c r="E3498" s="64"/>
      <c r="F3498" s="64"/>
      <c r="G3498" s="64"/>
    </row>
    <row r="3499" spans="2:7" ht="32.25" customHeight="1" x14ac:dyDescent="0.25">
      <c r="B3499" s="64"/>
      <c r="C3499" s="64"/>
      <c r="D3499" s="64"/>
      <c r="E3499" s="64"/>
      <c r="F3499" s="64"/>
      <c r="G3499" s="64"/>
    </row>
    <row r="3500" spans="2:7" ht="32.25" customHeight="1" x14ac:dyDescent="0.25">
      <c r="B3500" s="64"/>
      <c r="C3500" s="64"/>
      <c r="D3500" s="64"/>
      <c r="E3500" s="64"/>
      <c r="F3500" s="64"/>
      <c r="G3500" s="64"/>
    </row>
    <row r="3501" spans="2:7" ht="32.25" customHeight="1" x14ac:dyDescent="0.25">
      <c r="B3501" s="64"/>
      <c r="C3501" s="64"/>
      <c r="D3501" s="64"/>
      <c r="E3501" s="64"/>
      <c r="F3501" s="64"/>
      <c r="G3501" s="64"/>
    </row>
    <row r="3502" spans="2:7" ht="32.25" customHeight="1" x14ac:dyDescent="0.25">
      <c r="B3502" s="64"/>
      <c r="C3502" s="64"/>
      <c r="D3502" s="64"/>
      <c r="E3502" s="64"/>
      <c r="F3502" s="64"/>
      <c r="G3502" s="64"/>
    </row>
    <row r="3503" spans="2:7" ht="32.25" customHeight="1" x14ac:dyDescent="0.25">
      <c r="B3503" s="64"/>
      <c r="C3503" s="64"/>
      <c r="D3503" s="64"/>
      <c r="E3503" s="64"/>
      <c r="F3503" s="64"/>
      <c r="G3503" s="64"/>
    </row>
    <row r="3504" spans="2:7" ht="32.25" customHeight="1" x14ac:dyDescent="0.25">
      <c r="B3504" s="64"/>
      <c r="C3504" s="64"/>
      <c r="D3504" s="64"/>
      <c r="E3504" s="64"/>
      <c r="F3504" s="64"/>
      <c r="G3504" s="64"/>
    </row>
    <row r="3505" spans="2:7" ht="32.25" customHeight="1" x14ac:dyDescent="0.25">
      <c r="B3505" s="64"/>
      <c r="C3505" s="64"/>
      <c r="D3505" s="64"/>
      <c r="E3505" s="64"/>
      <c r="F3505" s="64"/>
      <c r="G3505" s="64"/>
    </row>
    <row r="3506" spans="2:7" ht="32.25" customHeight="1" x14ac:dyDescent="0.25">
      <c r="B3506" s="64"/>
      <c r="C3506" s="64"/>
      <c r="D3506" s="64"/>
      <c r="E3506" s="64"/>
      <c r="F3506" s="64"/>
      <c r="G3506" s="64"/>
    </row>
    <row r="3507" spans="2:7" ht="32.25" customHeight="1" x14ac:dyDescent="0.25">
      <c r="B3507" s="64"/>
      <c r="C3507" s="64"/>
      <c r="D3507" s="64"/>
      <c r="E3507" s="64"/>
      <c r="F3507" s="64"/>
      <c r="G3507" s="64"/>
    </row>
    <row r="3508" spans="2:7" ht="32.25" customHeight="1" x14ac:dyDescent="0.25">
      <c r="B3508" s="64"/>
      <c r="C3508" s="64"/>
      <c r="D3508" s="64"/>
      <c r="E3508" s="64"/>
      <c r="F3508" s="64"/>
      <c r="G3508" s="64"/>
    </row>
    <row r="3509" spans="2:7" ht="32.25" customHeight="1" x14ac:dyDescent="0.25">
      <c r="B3509" s="64"/>
      <c r="C3509" s="64"/>
      <c r="D3509" s="64"/>
      <c r="E3509" s="64"/>
      <c r="F3509" s="64"/>
      <c r="G3509" s="64"/>
    </row>
    <row r="3510" spans="2:7" ht="32.25" customHeight="1" x14ac:dyDescent="0.25">
      <c r="B3510" s="64"/>
      <c r="C3510" s="64"/>
      <c r="D3510" s="64"/>
      <c r="E3510" s="64"/>
      <c r="F3510" s="64"/>
      <c r="G3510" s="64"/>
    </row>
    <row r="3511" spans="2:7" ht="32.25" customHeight="1" x14ac:dyDescent="0.25">
      <c r="B3511" s="64"/>
      <c r="C3511" s="64"/>
      <c r="D3511" s="64"/>
      <c r="E3511" s="64"/>
      <c r="F3511" s="64"/>
      <c r="G3511" s="64"/>
    </row>
    <row r="3512" spans="2:7" ht="32.25" customHeight="1" x14ac:dyDescent="0.25">
      <c r="B3512" s="64"/>
      <c r="C3512" s="64"/>
      <c r="D3512" s="64"/>
      <c r="E3512" s="64"/>
      <c r="F3512" s="64"/>
      <c r="G3512" s="64"/>
    </row>
    <row r="3513" spans="2:7" ht="32.25" customHeight="1" x14ac:dyDescent="0.25">
      <c r="B3513" s="64"/>
      <c r="C3513" s="64"/>
      <c r="D3513" s="64"/>
      <c r="E3513" s="64"/>
      <c r="F3513" s="64"/>
      <c r="G3513" s="64"/>
    </row>
    <row r="3514" spans="2:7" ht="32.25" customHeight="1" x14ac:dyDescent="0.25">
      <c r="B3514" s="64"/>
      <c r="C3514" s="64"/>
      <c r="D3514" s="64"/>
      <c r="E3514" s="64"/>
      <c r="F3514" s="64"/>
      <c r="G3514" s="64"/>
    </row>
    <row r="3515" spans="2:7" ht="32.25" customHeight="1" x14ac:dyDescent="0.25">
      <c r="B3515" s="64"/>
      <c r="C3515" s="64"/>
      <c r="D3515" s="64"/>
      <c r="E3515" s="64"/>
      <c r="F3515" s="64"/>
      <c r="G3515" s="64"/>
    </row>
    <row r="3516" spans="2:7" ht="32.25" customHeight="1" x14ac:dyDescent="0.25">
      <c r="B3516" s="64"/>
      <c r="C3516" s="64"/>
      <c r="D3516" s="64"/>
      <c r="E3516" s="64"/>
      <c r="F3516" s="64"/>
      <c r="G3516" s="64"/>
    </row>
    <row r="3517" spans="2:7" ht="32.25" customHeight="1" x14ac:dyDescent="0.25">
      <c r="B3517" s="64"/>
      <c r="C3517" s="64"/>
      <c r="D3517" s="64"/>
      <c r="E3517" s="64"/>
      <c r="F3517" s="64"/>
      <c r="G3517" s="64"/>
    </row>
    <row r="3518" spans="2:7" ht="32.25" customHeight="1" x14ac:dyDescent="0.25">
      <c r="B3518" s="64"/>
      <c r="C3518" s="64"/>
      <c r="D3518" s="64"/>
      <c r="E3518" s="64"/>
      <c r="F3518" s="64"/>
      <c r="G3518" s="64"/>
    </row>
    <row r="3519" spans="2:7" ht="32.25" customHeight="1" x14ac:dyDescent="0.25">
      <c r="B3519" s="64"/>
      <c r="C3519" s="64"/>
      <c r="D3519" s="64"/>
      <c r="E3519" s="64"/>
      <c r="F3519" s="64"/>
      <c r="G3519" s="64"/>
    </row>
    <row r="3520" spans="2:7" ht="32.25" customHeight="1" x14ac:dyDescent="0.25">
      <c r="B3520" s="64"/>
      <c r="C3520" s="64"/>
      <c r="D3520" s="64"/>
      <c r="E3520" s="64"/>
      <c r="F3520" s="64"/>
      <c r="G3520" s="64"/>
    </row>
    <row r="3521" spans="2:7" ht="32.25" customHeight="1" x14ac:dyDescent="0.25">
      <c r="B3521" s="64"/>
      <c r="C3521" s="64"/>
      <c r="D3521" s="64"/>
      <c r="E3521" s="64"/>
      <c r="F3521" s="64"/>
      <c r="G3521" s="64"/>
    </row>
    <row r="3522" spans="2:7" ht="32.25" customHeight="1" x14ac:dyDescent="0.25">
      <c r="B3522" s="64"/>
      <c r="C3522" s="64"/>
      <c r="D3522" s="64"/>
      <c r="E3522" s="64"/>
      <c r="F3522" s="64"/>
      <c r="G3522" s="64"/>
    </row>
    <row r="3523" spans="2:7" ht="32.25" customHeight="1" x14ac:dyDescent="0.25">
      <c r="B3523" s="64"/>
      <c r="C3523" s="64"/>
      <c r="D3523" s="64"/>
      <c r="E3523" s="64"/>
      <c r="F3523" s="64"/>
      <c r="G3523" s="64"/>
    </row>
    <row r="3524" spans="2:7" ht="32.25" customHeight="1" x14ac:dyDescent="0.25">
      <c r="B3524" s="64"/>
      <c r="C3524" s="64"/>
      <c r="D3524" s="64"/>
      <c r="E3524" s="64"/>
      <c r="F3524" s="64"/>
      <c r="G3524" s="64"/>
    </row>
    <row r="3525" spans="2:7" ht="32.25" customHeight="1" x14ac:dyDescent="0.25">
      <c r="B3525" s="64"/>
      <c r="C3525" s="64"/>
      <c r="D3525" s="64"/>
      <c r="E3525" s="64"/>
      <c r="F3525" s="64"/>
      <c r="G3525" s="64"/>
    </row>
    <row r="3526" spans="2:7" ht="32.25" customHeight="1" x14ac:dyDescent="0.25">
      <c r="B3526" s="64"/>
      <c r="C3526" s="64"/>
      <c r="D3526" s="64"/>
      <c r="E3526" s="64"/>
      <c r="F3526" s="64"/>
      <c r="G3526" s="64"/>
    </row>
    <row r="3527" spans="2:7" ht="32.25" customHeight="1" x14ac:dyDescent="0.25">
      <c r="B3527" s="64"/>
      <c r="C3527" s="64"/>
      <c r="D3527" s="64"/>
      <c r="E3527" s="64"/>
      <c r="F3527" s="64"/>
      <c r="G3527" s="64"/>
    </row>
    <row r="3528" spans="2:7" ht="32.25" customHeight="1" x14ac:dyDescent="0.25">
      <c r="B3528" s="64"/>
      <c r="C3528" s="64"/>
      <c r="D3528" s="64"/>
      <c r="E3528" s="64"/>
      <c r="F3528" s="64"/>
      <c r="G3528" s="64"/>
    </row>
    <row r="3529" spans="2:7" ht="32.25" customHeight="1" x14ac:dyDescent="0.25">
      <c r="B3529" s="64"/>
      <c r="C3529" s="64"/>
      <c r="D3529" s="64"/>
      <c r="E3529" s="64"/>
      <c r="F3529" s="64"/>
      <c r="G3529" s="64"/>
    </row>
    <row r="3530" spans="2:7" ht="32.25" customHeight="1" x14ac:dyDescent="0.25">
      <c r="B3530" s="64"/>
      <c r="C3530" s="64"/>
      <c r="D3530" s="64"/>
      <c r="E3530" s="64"/>
      <c r="F3530" s="64"/>
      <c r="G3530" s="64"/>
    </row>
    <row r="3531" spans="2:7" ht="32.25" customHeight="1" x14ac:dyDescent="0.25">
      <c r="B3531" s="64"/>
      <c r="C3531" s="64"/>
      <c r="D3531" s="64"/>
      <c r="E3531" s="64"/>
      <c r="F3531" s="64"/>
      <c r="G3531" s="64"/>
    </row>
    <row r="3532" spans="2:7" ht="32.25" customHeight="1" x14ac:dyDescent="0.25">
      <c r="B3532" s="64"/>
      <c r="C3532" s="64"/>
      <c r="D3532" s="64"/>
      <c r="E3532" s="64"/>
      <c r="F3532" s="64"/>
      <c r="G3532" s="64"/>
    </row>
    <row r="3533" spans="2:7" ht="32.25" customHeight="1" x14ac:dyDescent="0.25">
      <c r="B3533" s="64"/>
      <c r="C3533" s="64"/>
      <c r="D3533" s="64"/>
      <c r="E3533" s="64"/>
      <c r="F3533" s="64"/>
      <c r="G3533" s="64"/>
    </row>
    <row r="3534" spans="2:7" ht="32.25" customHeight="1" x14ac:dyDescent="0.25">
      <c r="B3534" s="64"/>
      <c r="C3534" s="64"/>
      <c r="D3534" s="64"/>
      <c r="E3534" s="64"/>
      <c r="F3534" s="64"/>
      <c r="G3534" s="64"/>
    </row>
    <row r="3535" spans="2:7" ht="32.25" customHeight="1" x14ac:dyDescent="0.25">
      <c r="B3535" s="64"/>
      <c r="C3535" s="64"/>
      <c r="D3535" s="64"/>
      <c r="E3535" s="64"/>
      <c r="F3535" s="64"/>
      <c r="G3535" s="64"/>
    </row>
    <row r="3536" spans="2:7" ht="32.25" customHeight="1" x14ac:dyDescent="0.25">
      <c r="B3536" s="64"/>
      <c r="C3536" s="64"/>
      <c r="D3536" s="64"/>
      <c r="E3536" s="64"/>
      <c r="F3536" s="64"/>
      <c r="G3536" s="64"/>
    </row>
    <row r="3537" spans="2:7" ht="32.25" customHeight="1" x14ac:dyDescent="0.25">
      <c r="B3537" s="64"/>
      <c r="C3537" s="64"/>
      <c r="D3537" s="64"/>
      <c r="E3537" s="64"/>
      <c r="F3537" s="64"/>
      <c r="G3537" s="64"/>
    </row>
    <row r="3538" spans="2:7" ht="32.25" customHeight="1" x14ac:dyDescent="0.25">
      <c r="B3538" s="64"/>
      <c r="C3538" s="64"/>
      <c r="D3538" s="64"/>
      <c r="E3538" s="64"/>
      <c r="F3538" s="64"/>
      <c r="G3538" s="64"/>
    </row>
    <row r="3539" spans="2:7" ht="32.25" customHeight="1" x14ac:dyDescent="0.25">
      <c r="B3539" s="64"/>
      <c r="C3539" s="64"/>
      <c r="D3539" s="64"/>
      <c r="E3539" s="64"/>
      <c r="F3539" s="64"/>
      <c r="G3539" s="64"/>
    </row>
    <row r="3540" spans="2:7" ht="32.25" customHeight="1" x14ac:dyDescent="0.25">
      <c r="B3540" s="64"/>
      <c r="C3540" s="64"/>
      <c r="D3540" s="64"/>
      <c r="E3540" s="64"/>
      <c r="F3540" s="64"/>
      <c r="G3540" s="64"/>
    </row>
    <row r="3541" spans="2:7" ht="32.25" customHeight="1" x14ac:dyDescent="0.25">
      <c r="B3541" s="64"/>
      <c r="C3541" s="64"/>
      <c r="D3541" s="64"/>
      <c r="E3541" s="64"/>
      <c r="F3541" s="64"/>
      <c r="G3541" s="64"/>
    </row>
    <row r="3542" spans="2:7" ht="32.25" customHeight="1" x14ac:dyDescent="0.25">
      <c r="B3542" s="64"/>
      <c r="C3542" s="64"/>
      <c r="D3542" s="64"/>
      <c r="E3542" s="64"/>
      <c r="F3542" s="64"/>
      <c r="G3542" s="64"/>
    </row>
    <row r="3543" spans="2:7" ht="32.25" customHeight="1" x14ac:dyDescent="0.25">
      <c r="B3543" s="64"/>
      <c r="C3543" s="64"/>
      <c r="D3543" s="64"/>
      <c r="E3543" s="64"/>
      <c r="F3543" s="64"/>
      <c r="G3543" s="64"/>
    </row>
    <row r="3544" spans="2:7" ht="32.25" customHeight="1" x14ac:dyDescent="0.25">
      <c r="B3544" s="64"/>
      <c r="C3544" s="64"/>
      <c r="D3544" s="64"/>
      <c r="E3544" s="64"/>
      <c r="F3544" s="64"/>
      <c r="G3544" s="64"/>
    </row>
    <row r="3545" spans="2:7" ht="32.25" customHeight="1" x14ac:dyDescent="0.25">
      <c r="B3545" s="64"/>
      <c r="C3545" s="64"/>
      <c r="D3545" s="64"/>
      <c r="E3545" s="64"/>
      <c r="F3545" s="64"/>
      <c r="G3545" s="64"/>
    </row>
    <row r="3546" spans="2:7" ht="32.25" customHeight="1" x14ac:dyDescent="0.25">
      <c r="B3546" s="64"/>
      <c r="C3546" s="64"/>
      <c r="D3546" s="64"/>
      <c r="E3546" s="64"/>
      <c r="F3546" s="64"/>
      <c r="G3546" s="64"/>
    </row>
    <row r="3547" spans="2:7" ht="32.25" customHeight="1" x14ac:dyDescent="0.25">
      <c r="B3547" s="64"/>
      <c r="C3547" s="64"/>
      <c r="D3547" s="64"/>
      <c r="E3547" s="64"/>
      <c r="F3547" s="64"/>
      <c r="G3547" s="64"/>
    </row>
    <row r="3548" spans="2:7" ht="32.25" customHeight="1" x14ac:dyDescent="0.25">
      <c r="B3548" s="64"/>
      <c r="C3548" s="64"/>
      <c r="D3548" s="64"/>
      <c r="E3548" s="64"/>
      <c r="F3548" s="64"/>
      <c r="G3548" s="64"/>
    </row>
    <row r="3549" spans="2:7" ht="32.25" customHeight="1" x14ac:dyDescent="0.25">
      <c r="B3549" s="64"/>
      <c r="C3549" s="64"/>
      <c r="D3549" s="64"/>
      <c r="E3549" s="64"/>
      <c r="F3549" s="64"/>
      <c r="G3549" s="64"/>
    </row>
    <row r="3550" spans="2:7" ht="32.25" customHeight="1" x14ac:dyDescent="0.25">
      <c r="B3550" s="64"/>
      <c r="C3550" s="64"/>
      <c r="D3550" s="64"/>
      <c r="E3550" s="64"/>
      <c r="F3550" s="64"/>
      <c r="G3550" s="64"/>
    </row>
    <row r="3551" spans="2:7" ht="32.25" customHeight="1" x14ac:dyDescent="0.25">
      <c r="B3551" s="64"/>
      <c r="C3551" s="64"/>
      <c r="D3551" s="64"/>
      <c r="E3551" s="64"/>
      <c r="F3551" s="64"/>
      <c r="G3551" s="64"/>
    </row>
    <row r="3552" spans="2:7" ht="32.25" customHeight="1" x14ac:dyDescent="0.25">
      <c r="B3552" s="64"/>
      <c r="C3552" s="64"/>
      <c r="D3552" s="64"/>
      <c r="E3552" s="64"/>
      <c r="F3552" s="64"/>
      <c r="G3552" s="64"/>
    </row>
    <row r="3553" spans="2:7" ht="32.25" customHeight="1" x14ac:dyDescent="0.25">
      <c r="B3553" s="64"/>
      <c r="C3553" s="64"/>
      <c r="D3553" s="64"/>
      <c r="E3553" s="64"/>
      <c r="F3553" s="64"/>
      <c r="G3553" s="64"/>
    </row>
    <row r="3554" spans="2:7" ht="32.25" customHeight="1" x14ac:dyDescent="0.25">
      <c r="B3554" s="64"/>
      <c r="C3554" s="64"/>
      <c r="D3554" s="64"/>
      <c r="E3554" s="64"/>
      <c r="F3554" s="64"/>
      <c r="G3554" s="64"/>
    </row>
    <row r="3555" spans="2:7" ht="32.25" customHeight="1" x14ac:dyDescent="0.25">
      <c r="B3555" s="64"/>
      <c r="C3555" s="64"/>
      <c r="D3555" s="64"/>
      <c r="E3555" s="64"/>
      <c r="F3555" s="64"/>
      <c r="G3555" s="64"/>
    </row>
    <row r="3556" spans="2:7" ht="32.25" customHeight="1" x14ac:dyDescent="0.25">
      <c r="B3556" s="64"/>
      <c r="C3556" s="64"/>
      <c r="D3556" s="64"/>
      <c r="E3556" s="64"/>
      <c r="F3556" s="64"/>
      <c r="G3556" s="64"/>
    </row>
    <row r="3557" spans="2:7" ht="32.25" customHeight="1" x14ac:dyDescent="0.25">
      <c r="B3557" s="64"/>
      <c r="C3557" s="64"/>
      <c r="D3557" s="64"/>
      <c r="E3557" s="64"/>
      <c r="F3557" s="64"/>
      <c r="G3557" s="64"/>
    </row>
    <row r="3558" spans="2:7" ht="32.25" customHeight="1" x14ac:dyDescent="0.25">
      <c r="B3558" s="64"/>
      <c r="C3558" s="64"/>
      <c r="D3558" s="64"/>
      <c r="E3558" s="64"/>
      <c r="F3558" s="64"/>
      <c r="G3558" s="64"/>
    </row>
    <row r="3559" spans="2:7" ht="32.25" customHeight="1" x14ac:dyDescent="0.25">
      <c r="B3559" s="64"/>
      <c r="C3559" s="64"/>
      <c r="D3559" s="64"/>
      <c r="E3559" s="64"/>
      <c r="F3559" s="64"/>
      <c r="G3559" s="64"/>
    </row>
    <row r="3560" spans="2:7" ht="32.25" customHeight="1" x14ac:dyDescent="0.25">
      <c r="B3560" s="64"/>
      <c r="C3560" s="64"/>
      <c r="D3560" s="64"/>
      <c r="E3560" s="64"/>
      <c r="F3560" s="64"/>
      <c r="G3560" s="64"/>
    </row>
    <row r="3561" spans="2:7" ht="32.25" customHeight="1" x14ac:dyDescent="0.25">
      <c r="B3561" s="64"/>
      <c r="C3561" s="64"/>
      <c r="D3561" s="64"/>
      <c r="E3561" s="64"/>
      <c r="F3561" s="64"/>
      <c r="G3561" s="64"/>
    </row>
    <row r="3562" spans="2:7" ht="32.25" customHeight="1" x14ac:dyDescent="0.25">
      <c r="B3562" s="64"/>
      <c r="C3562" s="64"/>
      <c r="D3562" s="64"/>
      <c r="E3562" s="64"/>
      <c r="F3562" s="64"/>
      <c r="G3562" s="64"/>
    </row>
    <row r="3563" spans="2:7" ht="32.25" customHeight="1" x14ac:dyDescent="0.25">
      <c r="B3563" s="64"/>
      <c r="C3563" s="64"/>
      <c r="D3563" s="64"/>
      <c r="E3563" s="64"/>
      <c r="F3563" s="64"/>
      <c r="G3563" s="64"/>
    </row>
    <row r="3564" spans="2:7" ht="32.25" customHeight="1" x14ac:dyDescent="0.25">
      <c r="B3564" s="64"/>
      <c r="C3564" s="64"/>
      <c r="D3564" s="64"/>
      <c r="E3564" s="64"/>
      <c r="F3564" s="64"/>
      <c r="G3564" s="64"/>
    </row>
    <row r="3565" spans="2:7" ht="32.25" customHeight="1" x14ac:dyDescent="0.25">
      <c r="B3565" s="64"/>
      <c r="C3565" s="64"/>
      <c r="D3565" s="64"/>
      <c r="E3565" s="64"/>
      <c r="F3565" s="64"/>
      <c r="G3565" s="64"/>
    </row>
    <row r="3566" spans="2:7" ht="32.25" customHeight="1" x14ac:dyDescent="0.25">
      <c r="B3566" s="64"/>
      <c r="C3566" s="64"/>
      <c r="D3566" s="64"/>
      <c r="E3566" s="64"/>
      <c r="F3566" s="64"/>
      <c r="G3566" s="64"/>
    </row>
    <row r="3567" spans="2:7" ht="32.25" customHeight="1" x14ac:dyDescent="0.25">
      <c r="B3567" s="64"/>
      <c r="C3567" s="64"/>
      <c r="D3567" s="64"/>
      <c r="E3567" s="64"/>
      <c r="F3567" s="64"/>
      <c r="G3567" s="64"/>
    </row>
    <row r="3568" spans="2:7" ht="32.25" customHeight="1" x14ac:dyDescent="0.25">
      <c r="B3568" s="64"/>
      <c r="C3568" s="64"/>
      <c r="D3568" s="64"/>
      <c r="E3568" s="64"/>
      <c r="F3568" s="64"/>
      <c r="G3568" s="64"/>
    </row>
    <row r="3569" spans="2:7" ht="32.25" customHeight="1" x14ac:dyDescent="0.25">
      <c r="B3569" s="64"/>
      <c r="C3569" s="64"/>
      <c r="D3569" s="64"/>
      <c r="E3569" s="64"/>
      <c r="F3569" s="64"/>
      <c r="G3569" s="64"/>
    </row>
    <row r="3570" spans="2:7" ht="32.25" customHeight="1" x14ac:dyDescent="0.25">
      <c r="B3570" s="64"/>
      <c r="C3570" s="64"/>
      <c r="D3570" s="64"/>
      <c r="E3570" s="64"/>
      <c r="F3570" s="64"/>
      <c r="G3570" s="64"/>
    </row>
    <row r="3571" spans="2:7" ht="32.25" customHeight="1" x14ac:dyDescent="0.25">
      <c r="B3571" s="64"/>
      <c r="C3571" s="64"/>
      <c r="D3571" s="64"/>
      <c r="E3571" s="64"/>
      <c r="F3571" s="64"/>
      <c r="G3571" s="64"/>
    </row>
    <row r="3572" spans="2:7" ht="32.25" customHeight="1" x14ac:dyDescent="0.25">
      <c r="B3572" s="64"/>
      <c r="C3572" s="64"/>
      <c r="D3572" s="64"/>
      <c r="E3572" s="64"/>
      <c r="F3572" s="64"/>
      <c r="G3572" s="64"/>
    </row>
    <row r="3573" spans="2:7" ht="32.25" customHeight="1" x14ac:dyDescent="0.25">
      <c r="B3573" s="64"/>
      <c r="C3573" s="64"/>
      <c r="D3573" s="64"/>
      <c r="E3573" s="64"/>
      <c r="F3573" s="64"/>
      <c r="G3573" s="64"/>
    </row>
    <row r="3574" spans="2:7" ht="32.25" customHeight="1" x14ac:dyDescent="0.25">
      <c r="B3574" s="64"/>
      <c r="C3574" s="64"/>
      <c r="D3574" s="64"/>
      <c r="E3574" s="64"/>
      <c r="F3574" s="64"/>
      <c r="G3574" s="64"/>
    </row>
    <row r="3575" spans="2:7" ht="32.25" customHeight="1" x14ac:dyDescent="0.25">
      <c r="B3575" s="64"/>
      <c r="C3575" s="64"/>
      <c r="D3575" s="64"/>
      <c r="E3575" s="64"/>
      <c r="F3575" s="64"/>
      <c r="G3575" s="64"/>
    </row>
    <row r="3576" spans="2:7" ht="32.25" customHeight="1" x14ac:dyDescent="0.25">
      <c r="B3576" s="64"/>
      <c r="C3576" s="64"/>
      <c r="D3576" s="64"/>
      <c r="E3576" s="64"/>
      <c r="F3576" s="64"/>
      <c r="G3576" s="64"/>
    </row>
    <row r="3577" spans="2:7" ht="32.25" customHeight="1" x14ac:dyDescent="0.25">
      <c r="B3577" s="64"/>
      <c r="C3577" s="64"/>
      <c r="D3577" s="64"/>
      <c r="E3577" s="64"/>
      <c r="F3577" s="64"/>
      <c r="G3577" s="64"/>
    </row>
    <row r="3578" spans="2:7" ht="32.25" customHeight="1" x14ac:dyDescent="0.25">
      <c r="B3578" s="64"/>
      <c r="C3578" s="64"/>
      <c r="D3578" s="64"/>
      <c r="E3578" s="64"/>
      <c r="F3578" s="64"/>
      <c r="G3578" s="64"/>
    </row>
    <row r="3579" spans="2:7" ht="32.25" customHeight="1" x14ac:dyDescent="0.25">
      <c r="B3579" s="64"/>
      <c r="C3579" s="64"/>
      <c r="D3579" s="64"/>
      <c r="E3579" s="64"/>
      <c r="F3579" s="64"/>
      <c r="G3579" s="64"/>
    </row>
    <row r="3580" spans="2:7" ht="32.25" customHeight="1" x14ac:dyDescent="0.25">
      <c r="B3580" s="64"/>
      <c r="C3580" s="64"/>
      <c r="D3580" s="64"/>
      <c r="E3580" s="64"/>
      <c r="F3580" s="64"/>
      <c r="G3580" s="64"/>
    </row>
    <row r="3581" spans="2:7" ht="32.25" customHeight="1" x14ac:dyDescent="0.25">
      <c r="B3581" s="64"/>
      <c r="C3581" s="64"/>
      <c r="D3581" s="64"/>
      <c r="E3581" s="64"/>
      <c r="F3581" s="64"/>
      <c r="G3581" s="64"/>
    </row>
    <row r="3582" spans="2:7" ht="32.25" customHeight="1" x14ac:dyDescent="0.25">
      <c r="B3582" s="64"/>
      <c r="C3582" s="64"/>
      <c r="D3582" s="64"/>
      <c r="E3582" s="64"/>
      <c r="F3582" s="64"/>
      <c r="G3582" s="64"/>
    </row>
    <row r="3583" spans="2:7" ht="32.25" customHeight="1" x14ac:dyDescent="0.25">
      <c r="B3583" s="64"/>
      <c r="C3583" s="64"/>
      <c r="D3583" s="64"/>
      <c r="E3583" s="64"/>
      <c r="F3583" s="64"/>
      <c r="G3583" s="64"/>
    </row>
    <row r="3584" spans="2:7" ht="32.25" customHeight="1" x14ac:dyDescent="0.25">
      <c r="B3584" s="64"/>
      <c r="C3584" s="64"/>
      <c r="D3584" s="64"/>
      <c r="E3584" s="64"/>
      <c r="F3584" s="64"/>
      <c r="G3584" s="64"/>
    </row>
    <row r="3585" spans="2:7" ht="32.25" customHeight="1" x14ac:dyDescent="0.25">
      <c r="B3585" s="64"/>
      <c r="C3585" s="64"/>
      <c r="D3585" s="64"/>
      <c r="E3585" s="64"/>
      <c r="F3585" s="64"/>
      <c r="G3585" s="64"/>
    </row>
    <row r="3586" spans="2:7" ht="32.25" customHeight="1" x14ac:dyDescent="0.25">
      <c r="B3586" s="64"/>
      <c r="C3586" s="64"/>
      <c r="D3586" s="64"/>
      <c r="E3586" s="64"/>
      <c r="F3586" s="64"/>
      <c r="G3586" s="64"/>
    </row>
    <row r="3587" spans="2:7" ht="32.25" customHeight="1" x14ac:dyDescent="0.25">
      <c r="B3587" s="64"/>
      <c r="C3587" s="64"/>
      <c r="D3587" s="64"/>
      <c r="E3587" s="64"/>
      <c r="F3587" s="64"/>
      <c r="G3587" s="64"/>
    </row>
    <row r="3588" spans="2:7" ht="32.25" customHeight="1" x14ac:dyDescent="0.25">
      <c r="B3588" s="64"/>
      <c r="C3588" s="64"/>
      <c r="D3588" s="64"/>
      <c r="E3588" s="64"/>
      <c r="F3588" s="64"/>
      <c r="G3588" s="64"/>
    </row>
    <row r="3589" spans="2:7" ht="32.25" customHeight="1" x14ac:dyDescent="0.25">
      <c r="B3589" s="64"/>
      <c r="C3589" s="64"/>
      <c r="D3589" s="64"/>
      <c r="E3589" s="64"/>
      <c r="F3589" s="64"/>
      <c r="G3589" s="64"/>
    </row>
    <row r="3590" spans="2:7" ht="32.25" customHeight="1" x14ac:dyDescent="0.25">
      <c r="B3590" s="64"/>
      <c r="C3590" s="64"/>
      <c r="D3590" s="64"/>
      <c r="E3590" s="64"/>
      <c r="F3590" s="64"/>
      <c r="G3590" s="64"/>
    </row>
    <row r="3591" spans="2:7" ht="32.25" customHeight="1" x14ac:dyDescent="0.25">
      <c r="B3591" s="64"/>
      <c r="C3591" s="64"/>
      <c r="D3591" s="64"/>
      <c r="E3591" s="64"/>
      <c r="F3591" s="64"/>
      <c r="G3591" s="64"/>
    </row>
    <row r="3592" spans="2:7" ht="32.25" customHeight="1" x14ac:dyDescent="0.25">
      <c r="B3592" s="64"/>
      <c r="C3592" s="64"/>
      <c r="D3592" s="64"/>
      <c r="E3592" s="64"/>
      <c r="F3592" s="64"/>
      <c r="G3592" s="64"/>
    </row>
    <row r="3593" spans="2:7" ht="32.25" customHeight="1" x14ac:dyDescent="0.25">
      <c r="B3593" s="64"/>
      <c r="C3593" s="64"/>
      <c r="D3593" s="64"/>
      <c r="E3593" s="64"/>
      <c r="F3593" s="64"/>
      <c r="G3593" s="64"/>
    </row>
    <row r="3594" spans="2:7" ht="32.25" customHeight="1" x14ac:dyDescent="0.25">
      <c r="B3594" s="64"/>
      <c r="C3594" s="64"/>
      <c r="D3594" s="64"/>
      <c r="E3594" s="64"/>
      <c r="F3594" s="64"/>
      <c r="G3594" s="64"/>
    </row>
    <row r="3595" spans="2:7" ht="32.25" customHeight="1" x14ac:dyDescent="0.25">
      <c r="B3595" s="64"/>
      <c r="C3595" s="64"/>
      <c r="D3595" s="64"/>
      <c r="E3595" s="64"/>
      <c r="F3595" s="64"/>
      <c r="G3595" s="64"/>
    </row>
    <row r="3596" spans="2:7" ht="32.25" customHeight="1" x14ac:dyDescent="0.25">
      <c r="B3596" s="64"/>
      <c r="C3596" s="64"/>
      <c r="D3596" s="64"/>
      <c r="E3596" s="64"/>
      <c r="F3596" s="64"/>
      <c r="G3596" s="64"/>
    </row>
    <row r="3597" spans="2:7" ht="32.25" customHeight="1" x14ac:dyDescent="0.25">
      <c r="B3597" s="64"/>
      <c r="C3597" s="64"/>
      <c r="D3597" s="64"/>
      <c r="E3597" s="64"/>
      <c r="F3597" s="64"/>
      <c r="G3597" s="64"/>
    </row>
    <row r="3598" spans="2:7" ht="32.25" customHeight="1" x14ac:dyDescent="0.25">
      <c r="B3598" s="64"/>
      <c r="C3598" s="64"/>
      <c r="D3598" s="64"/>
      <c r="E3598" s="64"/>
      <c r="F3598" s="64"/>
      <c r="G3598" s="64"/>
    </row>
    <row r="3599" spans="2:7" ht="32.25" customHeight="1" x14ac:dyDescent="0.25">
      <c r="B3599" s="64"/>
      <c r="C3599" s="64"/>
      <c r="D3599" s="64"/>
      <c r="E3599" s="64"/>
      <c r="F3599" s="64"/>
      <c r="G3599" s="64"/>
    </row>
    <row r="3600" spans="2:7" ht="32.25" customHeight="1" x14ac:dyDescent="0.25">
      <c r="B3600" s="64"/>
      <c r="C3600" s="64"/>
      <c r="D3600" s="64"/>
      <c r="E3600" s="64"/>
      <c r="F3600" s="64"/>
      <c r="G3600" s="64"/>
    </row>
    <row r="3601" spans="2:7" ht="32.25" customHeight="1" x14ac:dyDescent="0.25">
      <c r="B3601" s="64"/>
      <c r="C3601" s="64"/>
      <c r="D3601" s="64"/>
      <c r="E3601" s="64"/>
      <c r="F3601" s="64"/>
      <c r="G3601" s="64"/>
    </row>
    <row r="3602" spans="2:7" ht="32.25" customHeight="1" x14ac:dyDescent="0.25">
      <c r="B3602" s="64"/>
      <c r="C3602" s="64"/>
      <c r="D3602" s="64"/>
      <c r="E3602" s="64"/>
      <c r="F3602" s="64"/>
      <c r="G3602" s="64"/>
    </row>
    <row r="3603" spans="2:7" ht="32.25" customHeight="1" x14ac:dyDescent="0.25">
      <c r="B3603" s="64"/>
      <c r="C3603" s="64"/>
      <c r="D3603" s="64"/>
      <c r="E3603" s="64"/>
      <c r="F3603" s="64"/>
      <c r="G3603" s="64"/>
    </row>
    <row r="3604" spans="2:7" ht="32.25" customHeight="1" x14ac:dyDescent="0.25">
      <c r="B3604" s="64"/>
      <c r="C3604" s="64"/>
      <c r="D3604" s="64"/>
      <c r="E3604" s="64"/>
      <c r="F3604" s="64"/>
      <c r="G3604" s="64"/>
    </row>
    <row r="3605" spans="2:7" ht="32.25" customHeight="1" x14ac:dyDescent="0.25">
      <c r="B3605" s="64"/>
      <c r="C3605" s="64"/>
      <c r="D3605" s="64"/>
      <c r="E3605" s="64"/>
      <c r="F3605" s="64"/>
      <c r="G3605" s="64"/>
    </row>
    <row r="3606" spans="2:7" ht="32.25" customHeight="1" x14ac:dyDescent="0.25">
      <c r="B3606" s="64"/>
      <c r="C3606" s="64"/>
      <c r="D3606" s="64"/>
      <c r="E3606" s="64"/>
      <c r="F3606" s="64"/>
      <c r="G3606" s="64"/>
    </row>
    <row r="3607" spans="2:7" ht="32.25" customHeight="1" x14ac:dyDescent="0.25">
      <c r="B3607" s="64"/>
      <c r="C3607" s="64"/>
      <c r="D3607" s="64"/>
      <c r="E3607" s="64"/>
      <c r="F3607" s="64"/>
      <c r="G3607" s="64"/>
    </row>
    <row r="3608" spans="2:7" ht="32.25" customHeight="1" x14ac:dyDescent="0.25">
      <c r="B3608" s="64"/>
      <c r="C3608" s="64"/>
      <c r="D3608" s="64"/>
      <c r="E3608" s="64"/>
      <c r="F3608" s="64"/>
      <c r="G3608" s="64"/>
    </row>
    <row r="3609" spans="2:7" ht="32.25" customHeight="1" x14ac:dyDescent="0.25">
      <c r="B3609" s="64"/>
      <c r="C3609" s="64"/>
      <c r="D3609" s="64"/>
      <c r="E3609" s="64"/>
      <c r="F3609" s="64"/>
      <c r="G3609" s="64"/>
    </row>
    <row r="3610" spans="2:7" ht="32.25" customHeight="1" x14ac:dyDescent="0.25">
      <c r="B3610" s="64"/>
      <c r="C3610" s="64"/>
      <c r="D3610" s="64"/>
      <c r="E3610" s="64"/>
      <c r="F3610" s="64"/>
      <c r="G3610" s="64"/>
    </row>
    <row r="3611" spans="2:7" ht="32.25" customHeight="1" x14ac:dyDescent="0.25">
      <c r="B3611" s="64"/>
      <c r="C3611" s="64"/>
      <c r="D3611" s="64"/>
      <c r="E3611" s="64"/>
      <c r="F3611" s="64"/>
      <c r="G3611" s="64"/>
    </row>
    <row r="3612" spans="2:7" ht="32.25" customHeight="1" x14ac:dyDescent="0.25">
      <c r="B3612" s="64"/>
      <c r="C3612" s="64"/>
      <c r="D3612" s="64"/>
      <c r="E3612" s="64"/>
      <c r="F3612" s="64"/>
      <c r="G3612" s="64"/>
    </row>
    <row r="3613" spans="2:7" ht="32.25" customHeight="1" x14ac:dyDescent="0.25">
      <c r="B3613" s="64"/>
      <c r="C3613" s="64"/>
      <c r="D3613" s="64"/>
      <c r="E3613" s="64"/>
      <c r="F3613" s="64"/>
      <c r="G3613" s="64"/>
    </row>
    <row r="3614" spans="2:7" ht="32.25" customHeight="1" x14ac:dyDescent="0.25">
      <c r="B3614" s="64"/>
      <c r="C3614" s="64"/>
      <c r="D3614" s="64"/>
      <c r="E3614" s="64"/>
      <c r="F3614" s="64"/>
      <c r="G3614" s="64"/>
    </row>
    <row r="3615" spans="2:7" ht="32.25" customHeight="1" x14ac:dyDescent="0.25">
      <c r="B3615" s="64"/>
      <c r="C3615" s="64"/>
      <c r="D3615" s="64"/>
      <c r="E3615" s="64"/>
      <c r="F3615" s="64"/>
      <c r="G3615" s="64"/>
    </row>
    <row r="3616" spans="2:7" ht="32.25" customHeight="1" x14ac:dyDescent="0.25">
      <c r="B3616" s="64"/>
      <c r="C3616" s="64"/>
      <c r="D3616" s="64"/>
      <c r="E3616" s="64"/>
      <c r="F3616" s="64"/>
      <c r="G3616" s="64"/>
    </row>
    <row r="3617" spans="2:7" ht="32.25" customHeight="1" x14ac:dyDescent="0.25">
      <c r="B3617" s="64"/>
      <c r="C3617" s="64"/>
      <c r="D3617" s="64"/>
      <c r="E3617" s="64"/>
      <c r="F3617" s="64"/>
      <c r="G3617" s="64"/>
    </row>
    <row r="3618" spans="2:7" ht="32.25" customHeight="1" x14ac:dyDescent="0.25">
      <c r="B3618" s="64"/>
      <c r="C3618" s="64"/>
      <c r="D3618" s="64"/>
      <c r="E3618" s="64"/>
      <c r="F3618" s="64"/>
      <c r="G3618" s="64"/>
    </row>
    <row r="3619" spans="2:7" ht="32.25" customHeight="1" x14ac:dyDescent="0.25">
      <c r="B3619" s="64"/>
      <c r="C3619" s="64"/>
      <c r="D3619" s="64"/>
      <c r="E3619" s="64"/>
      <c r="F3619" s="64"/>
      <c r="G3619" s="64"/>
    </row>
    <row r="3620" spans="2:7" ht="32.25" customHeight="1" x14ac:dyDescent="0.25">
      <c r="B3620" s="64"/>
      <c r="C3620" s="64"/>
      <c r="D3620" s="64"/>
      <c r="E3620" s="64"/>
      <c r="F3620" s="64"/>
      <c r="G3620" s="64"/>
    </row>
    <row r="3621" spans="2:7" ht="32.25" customHeight="1" x14ac:dyDescent="0.25">
      <c r="B3621" s="64"/>
      <c r="C3621" s="64"/>
      <c r="D3621" s="64"/>
      <c r="E3621" s="64"/>
      <c r="F3621" s="64"/>
      <c r="G3621" s="64"/>
    </row>
    <row r="3622" spans="2:7" ht="32.25" customHeight="1" x14ac:dyDescent="0.25">
      <c r="B3622" s="64"/>
      <c r="C3622" s="64"/>
      <c r="D3622" s="64"/>
      <c r="E3622" s="64"/>
      <c r="F3622" s="64"/>
      <c r="G3622" s="64"/>
    </row>
    <row r="3623" spans="2:7" ht="32.25" customHeight="1" x14ac:dyDescent="0.25">
      <c r="B3623" s="64"/>
      <c r="C3623" s="64"/>
      <c r="D3623" s="64"/>
      <c r="E3623" s="64"/>
      <c r="F3623" s="64"/>
      <c r="G3623" s="64"/>
    </row>
    <row r="3624" spans="2:7" ht="32.25" customHeight="1" x14ac:dyDescent="0.25">
      <c r="B3624" s="64"/>
      <c r="C3624" s="64"/>
      <c r="D3624" s="64"/>
      <c r="E3624" s="64"/>
      <c r="F3624" s="64"/>
      <c r="G3624" s="64"/>
    </row>
    <row r="3625" spans="2:7" ht="32.25" customHeight="1" x14ac:dyDescent="0.25">
      <c r="B3625" s="64"/>
      <c r="C3625" s="64"/>
      <c r="D3625" s="64"/>
      <c r="E3625" s="64"/>
      <c r="F3625" s="64"/>
      <c r="G3625" s="64"/>
    </row>
    <row r="3626" spans="2:7" ht="32.25" customHeight="1" x14ac:dyDescent="0.25">
      <c r="B3626" s="64"/>
      <c r="C3626" s="64"/>
      <c r="D3626" s="64"/>
      <c r="E3626" s="64"/>
      <c r="F3626" s="64"/>
      <c r="G3626" s="64"/>
    </row>
    <row r="3627" spans="2:7" ht="32.25" customHeight="1" x14ac:dyDescent="0.25">
      <c r="B3627" s="64"/>
      <c r="C3627" s="64"/>
      <c r="D3627" s="64"/>
      <c r="E3627" s="64"/>
      <c r="F3627" s="64"/>
      <c r="G3627" s="64"/>
    </row>
    <row r="3628" spans="2:7" ht="32.25" customHeight="1" x14ac:dyDescent="0.25">
      <c r="B3628" s="64"/>
      <c r="C3628" s="64"/>
      <c r="D3628" s="64"/>
      <c r="E3628" s="64"/>
      <c r="F3628" s="64"/>
      <c r="G3628" s="64"/>
    </row>
    <row r="3629" spans="2:7" ht="32.25" customHeight="1" x14ac:dyDescent="0.25">
      <c r="B3629" s="64"/>
      <c r="C3629" s="64"/>
      <c r="D3629" s="64"/>
      <c r="E3629" s="64"/>
      <c r="F3629" s="64"/>
      <c r="G3629" s="64"/>
    </row>
    <row r="3630" spans="2:7" ht="32.25" customHeight="1" x14ac:dyDescent="0.25">
      <c r="B3630" s="64"/>
      <c r="C3630" s="64"/>
      <c r="D3630" s="64"/>
      <c r="E3630" s="64"/>
      <c r="F3630" s="64"/>
      <c r="G3630" s="64"/>
    </row>
    <row r="3631" spans="2:7" ht="32.25" customHeight="1" x14ac:dyDescent="0.25">
      <c r="B3631" s="64"/>
      <c r="C3631" s="64"/>
      <c r="D3631" s="64"/>
      <c r="E3631" s="64"/>
      <c r="F3631" s="64"/>
      <c r="G3631" s="64"/>
    </row>
    <row r="3632" spans="2:7" ht="32.25" customHeight="1" x14ac:dyDescent="0.25">
      <c r="B3632" s="64"/>
      <c r="C3632" s="64"/>
      <c r="D3632" s="64"/>
      <c r="E3632" s="64"/>
      <c r="F3632" s="64"/>
      <c r="G3632" s="64"/>
    </row>
    <row r="3633" spans="2:7" ht="32.25" customHeight="1" x14ac:dyDescent="0.25">
      <c r="B3633" s="64"/>
      <c r="C3633" s="64"/>
      <c r="D3633" s="64"/>
      <c r="E3633" s="64"/>
      <c r="F3633" s="64"/>
      <c r="G3633" s="64"/>
    </row>
    <row r="3634" spans="2:7" ht="32.25" customHeight="1" x14ac:dyDescent="0.25">
      <c r="B3634" s="64"/>
      <c r="C3634" s="64"/>
      <c r="D3634" s="64"/>
      <c r="E3634" s="64"/>
      <c r="F3634" s="64"/>
      <c r="G3634" s="64"/>
    </row>
    <row r="3635" spans="2:7" ht="32.25" customHeight="1" x14ac:dyDescent="0.25">
      <c r="B3635" s="64"/>
      <c r="C3635" s="64"/>
      <c r="D3635" s="64"/>
      <c r="E3635" s="64"/>
      <c r="F3635" s="64"/>
      <c r="G3635" s="64"/>
    </row>
    <row r="3636" spans="2:7" ht="32.25" customHeight="1" x14ac:dyDescent="0.25">
      <c r="B3636" s="64"/>
      <c r="C3636" s="64"/>
      <c r="D3636" s="64"/>
      <c r="E3636" s="64"/>
      <c r="F3636" s="64"/>
      <c r="G3636" s="64"/>
    </row>
    <row r="3637" spans="2:7" ht="32.25" customHeight="1" x14ac:dyDescent="0.25">
      <c r="B3637" s="64"/>
      <c r="C3637" s="64"/>
      <c r="D3637" s="64"/>
      <c r="E3637" s="64"/>
      <c r="F3637" s="64"/>
      <c r="G3637" s="64"/>
    </row>
    <row r="3638" spans="2:7" ht="32.25" customHeight="1" x14ac:dyDescent="0.25">
      <c r="B3638" s="64"/>
      <c r="C3638" s="64"/>
      <c r="D3638" s="64"/>
      <c r="E3638" s="64"/>
      <c r="F3638" s="64"/>
      <c r="G3638" s="64"/>
    </row>
    <row r="3639" spans="2:7" ht="32.25" customHeight="1" x14ac:dyDescent="0.25">
      <c r="B3639" s="64"/>
      <c r="C3639" s="64"/>
      <c r="D3639" s="64"/>
      <c r="E3639" s="64"/>
      <c r="F3639" s="64"/>
      <c r="G3639" s="64"/>
    </row>
    <row r="3640" spans="2:7" ht="32.25" customHeight="1" x14ac:dyDescent="0.25">
      <c r="B3640" s="64"/>
      <c r="C3640" s="64"/>
      <c r="D3640" s="64"/>
      <c r="E3640" s="64"/>
      <c r="F3640" s="64"/>
      <c r="G3640" s="64"/>
    </row>
    <row r="3641" spans="2:7" ht="32.25" customHeight="1" x14ac:dyDescent="0.25">
      <c r="B3641" s="64"/>
      <c r="C3641" s="64"/>
      <c r="D3641" s="64"/>
      <c r="E3641" s="64"/>
      <c r="F3641" s="64"/>
      <c r="G3641" s="64"/>
    </row>
    <row r="3642" spans="2:7" ht="32.25" customHeight="1" x14ac:dyDescent="0.25">
      <c r="B3642" s="64"/>
      <c r="C3642" s="64"/>
      <c r="D3642" s="64"/>
      <c r="E3642" s="64"/>
      <c r="F3642" s="64"/>
      <c r="G3642" s="64"/>
    </row>
    <row r="3643" spans="2:7" ht="32.25" customHeight="1" x14ac:dyDescent="0.25">
      <c r="B3643" s="64"/>
      <c r="C3643" s="64"/>
      <c r="D3643" s="64"/>
      <c r="E3643" s="64"/>
      <c r="F3643" s="64"/>
      <c r="G3643" s="64"/>
    </row>
    <row r="3644" spans="2:7" ht="32.25" customHeight="1" x14ac:dyDescent="0.25">
      <c r="B3644" s="64"/>
      <c r="C3644" s="64"/>
      <c r="D3644" s="64"/>
      <c r="E3644" s="64"/>
      <c r="F3644" s="64"/>
      <c r="G3644" s="64"/>
    </row>
    <row r="3645" spans="2:7" ht="32.25" customHeight="1" x14ac:dyDescent="0.25">
      <c r="B3645" s="64"/>
      <c r="C3645" s="64"/>
      <c r="D3645" s="64"/>
      <c r="E3645" s="64"/>
      <c r="F3645" s="64"/>
      <c r="G3645" s="64"/>
    </row>
    <row r="3646" spans="2:7" ht="32.25" customHeight="1" x14ac:dyDescent="0.25">
      <c r="B3646" s="64"/>
      <c r="C3646" s="64"/>
      <c r="D3646" s="64"/>
      <c r="E3646" s="64"/>
      <c r="F3646" s="64"/>
      <c r="G3646" s="64"/>
    </row>
    <row r="3647" spans="2:7" ht="32.25" customHeight="1" x14ac:dyDescent="0.25">
      <c r="B3647" s="64"/>
      <c r="C3647" s="64"/>
      <c r="D3647" s="64"/>
      <c r="E3647" s="64"/>
      <c r="F3647" s="64"/>
      <c r="G3647" s="64"/>
    </row>
    <row r="3648" spans="2:7" ht="32.25" customHeight="1" x14ac:dyDescent="0.25">
      <c r="B3648" s="64"/>
      <c r="C3648" s="64"/>
      <c r="D3648" s="64"/>
      <c r="E3648" s="64"/>
      <c r="F3648" s="64"/>
      <c r="G3648" s="64"/>
    </row>
    <row r="3649" spans="2:7" ht="32.25" customHeight="1" x14ac:dyDescent="0.25">
      <c r="B3649" s="64"/>
      <c r="C3649" s="64"/>
      <c r="D3649" s="64"/>
      <c r="E3649" s="64"/>
      <c r="F3649" s="64"/>
      <c r="G3649" s="64"/>
    </row>
    <row r="3650" spans="2:7" ht="32.25" customHeight="1" x14ac:dyDescent="0.25">
      <c r="B3650" s="64"/>
      <c r="C3650" s="64"/>
      <c r="D3650" s="64"/>
      <c r="E3650" s="64"/>
      <c r="F3650" s="64"/>
      <c r="G3650" s="64"/>
    </row>
    <row r="3651" spans="2:7" ht="32.25" customHeight="1" x14ac:dyDescent="0.25">
      <c r="B3651" s="64"/>
      <c r="C3651" s="64"/>
      <c r="D3651" s="64"/>
      <c r="E3651" s="64"/>
      <c r="F3651" s="64"/>
      <c r="G3651" s="64"/>
    </row>
    <row r="3652" spans="2:7" ht="32.25" customHeight="1" x14ac:dyDescent="0.25">
      <c r="B3652" s="64"/>
      <c r="C3652" s="64"/>
      <c r="D3652" s="64"/>
      <c r="E3652" s="64"/>
      <c r="F3652" s="64"/>
      <c r="G3652" s="64"/>
    </row>
    <row r="3653" spans="2:7" ht="32.25" customHeight="1" x14ac:dyDescent="0.25">
      <c r="B3653" s="64"/>
      <c r="C3653" s="64"/>
      <c r="D3653" s="64"/>
      <c r="E3653" s="64"/>
      <c r="F3653" s="64"/>
      <c r="G3653" s="64"/>
    </row>
    <row r="3654" spans="2:7" ht="32.25" customHeight="1" x14ac:dyDescent="0.25">
      <c r="B3654" s="64"/>
      <c r="C3654" s="64"/>
      <c r="D3654" s="64"/>
      <c r="E3654" s="64"/>
      <c r="F3654" s="64"/>
      <c r="G3654" s="64"/>
    </row>
    <row r="3655" spans="2:7" ht="32.25" customHeight="1" x14ac:dyDescent="0.25">
      <c r="B3655" s="64"/>
      <c r="C3655" s="64"/>
      <c r="D3655" s="64"/>
      <c r="E3655" s="64"/>
      <c r="F3655" s="64"/>
      <c r="G3655" s="64"/>
    </row>
    <row r="3656" spans="2:7" ht="32.25" customHeight="1" x14ac:dyDescent="0.25">
      <c r="B3656" s="64"/>
      <c r="C3656" s="64"/>
      <c r="D3656" s="64"/>
      <c r="E3656" s="64"/>
      <c r="F3656" s="64"/>
      <c r="G3656" s="64"/>
    </row>
    <row r="3657" spans="2:7" ht="32.25" customHeight="1" x14ac:dyDescent="0.25">
      <c r="B3657" s="64"/>
      <c r="C3657" s="64"/>
      <c r="D3657" s="64"/>
      <c r="E3657" s="64"/>
      <c r="F3657" s="64"/>
      <c r="G3657" s="64"/>
    </row>
    <row r="3658" spans="2:7" ht="32.25" customHeight="1" x14ac:dyDescent="0.25">
      <c r="B3658" s="64"/>
      <c r="C3658" s="64"/>
      <c r="D3658" s="64"/>
      <c r="E3658" s="64"/>
      <c r="F3658" s="64"/>
      <c r="G3658" s="64"/>
    </row>
    <row r="3659" spans="2:7" ht="32.25" customHeight="1" x14ac:dyDescent="0.25">
      <c r="B3659" s="64"/>
      <c r="C3659" s="64"/>
      <c r="D3659" s="64"/>
      <c r="E3659" s="64"/>
      <c r="F3659" s="64"/>
      <c r="G3659" s="64"/>
    </row>
    <row r="3660" spans="2:7" ht="32.25" customHeight="1" x14ac:dyDescent="0.25">
      <c r="B3660" s="64"/>
      <c r="C3660" s="64"/>
      <c r="D3660" s="64"/>
      <c r="E3660" s="64"/>
      <c r="F3660" s="64"/>
      <c r="G3660" s="64"/>
    </row>
    <row r="3661" spans="2:7" ht="32.25" customHeight="1" x14ac:dyDescent="0.25">
      <c r="B3661" s="64"/>
      <c r="C3661" s="64"/>
      <c r="D3661" s="64"/>
      <c r="E3661" s="64"/>
      <c r="F3661" s="64"/>
      <c r="G3661" s="64"/>
    </row>
    <row r="3662" spans="2:7" ht="32.25" customHeight="1" x14ac:dyDescent="0.25">
      <c r="B3662" s="64"/>
      <c r="C3662" s="64"/>
      <c r="D3662" s="64"/>
      <c r="E3662" s="64"/>
      <c r="F3662" s="64"/>
      <c r="G3662" s="64"/>
    </row>
    <row r="3663" spans="2:7" ht="32.25" customHeight="1" x14ac:dyDescent="0.25">
      <c r="B3663" s="64"/>
      <c r="C3663" s="64"/>
      <c r="D3663" s="64"/>
      <c r="E3663" s="64"/>
      <c r="F3663" s="64"/>
      <c r="G3663" s="64"/>
    </row>
    <row r="3664" spans="2:7" ht="32.25" customHeight="1" x14ac:dyDescent="0.25">
      <c r="B3664" s="64"/>
      <c r="C3664" s="64"/>
      <c r="D3664" s="64"/>
      <c r="E3664" s="64"/>
      <c r="F3664" s="64"/>
      <c r="G3664" s="64"/>
    </row>
    <row r="3665" spans="2:7" ht="32.25" customHeight="1" x14ac:dyDescent="0.25">
      <c r="B3665" s="64"/>
      <c r="C3665" s="64"/>
      <c r="D3665" s="64"/>
      <c r="E3665" s="64"/>
      <c r="F3665" s="64"/>
      <c r="G3665" s="64"/>
    </row>
    <row r="3666" spans="2:7" ht="32.25" customHeight="1" x14ac:dyDescent="0.25">
      <c r="B3666" s="64"/>
      <c r="C3666" s="64"/>
      <c r="D3666" s="64"/>
      <c r="E3666" s="64"/>
      <c r="F3666" s="64"/>
      <c r="G3666" s="64"/>
    </row>
    <row r="3667" spans="2:7" ht="32.25" customHeight="1" x14ac:dyDescent="0.25">
      <c r="B3667" s="64"/>
      <c r="C3667" s="64"/>
      <c r="D3667" s="64"/>
      <c r="E3667" s="64"/>
      <c r="F3667" s="64"/>
      <c r="G3667" s="64"/>
    </row>
    <row r="3668" spans="2:7" ht="32.25" customHeight="1" x14ac:dyDescent="0.25">
      <c r="B3668" s="64"/>
      <c r="C3668" s="64"/>
      <c r="D3668" s="64"/>
      <c r="E3668" s="64"/>
      <c r="F3668" s="64"/>
      <c r="G3668" s="64"/>
    </row>
    <row r="3669" spans="2:7" ht="32.25" customHeight="1" x14ac:dyDescent="0.25">
      <c r="B3669" s="64"/>
      <c r="C3669" s="64"/>
      <c r="D3669" s="64"/>
      <c r="E3669" s="64"/>
      <c r="F3669" s="64"/>
      <c r="G3669" s="64"/>
    </row>
    <row r="3670" spans="2:7" ht="32.25" customHeight="1" x14ac:dyDescent="0.25">
      <c r="B3670" s="64"/>
      <c r="C3670" s="64"/>
      <c r="D3670" s="64"/>
      <c r="E3670" s="64"/>
      <c r="F3670" s="64"/>
      <c r="G3670" s="64"/>
    </row>
    <row r="3671" spans="2:7" ht="32.25" customHeight="1" x14ac:dyDescent="0.25">
      <c r="B3671" s="64"/>
      <c r="C3671" s="64"/>
      <c r="D3671" s="64"/>
      <c r="E3671" s="64"/>
      <c r="F3671" s="64"/>
      <c r="G3671" s="64"/>
    </row>
    <row r="3672" spans="2:7" ht="32.25" customHeight="1" x14ac:dyDescent="0.25">
      <c r="B3672" s="64"/>
      <c r="C3672" s="64"/>
      <c r="D3672" s="64"/>
      <c r="E3672" s="64"/>
      <c r="F3672" s="64"/>
      <c r="G3672" s="64"/>
    </row>
    <row r="3673" spans="2:7" ht="32.25" customHeight="1" x14ac:dyDescent="0.25">
      <c r="B3673" s="64"/>
      <c r="C3673" s="64"/>
      <c r="D3673" s="64"/>
      <c r="E3673" s="64"/>
      <c r="F3673" s="64"/>
      <c r="G3673" s="64"/>
    </row>
    <row r="3674" spans="2:7" ht="32.25" customHeight="1" x14ac:dyDescent="0.25">
      <c r="B3674" s="64"/>
      <c r="C3674" s="64"/>
      <c r="D3674" s="64"/>
      <c r="E3674" s="64"/>
      <c r="F3674" s="64"/>
      <c r="G3674" s="64"/>
    </row>
    <row r="3675" spans="2:7" ht="32.25" customHeight="1" x14ac:dyDescent="0.25">
      <c r="B3675" s="64"/>
      <c r="C3675" s="64"/>
      <c r="D3675" s="64"/>
      <c r="E3675" s="64"/>
      <c r="F3675" s="64"/>
      <c r="G3675" s="64"/>
    </row>
    <row r="3676" spans="2:7" ht="32.25" customHeight="1" x14ac:dyDescent="0.25">
      <c r="B3676" s="64"/>
      <c r="C3676" s="64"/>
      <c r="D3676" s="64"/>
      <c r="E3676" s="64"/>
      <c r="F3676" s="64"/>
      <c r="G3676" s="64"/>
    </row>
    <row r="3677" spans="2:7" ht="32.25" customHeight="1" x14ac:dyDescent="0.25">
      <c r="B3677" s="64"/>
      <c r="C3677" s="64"/>
      <c r="D3677" s="64"/>
      <c r="E3677" s="64"/>
      <c r="F3677" s="64"/>
      <c r="G3677" s="64"/>
    </row>
    <row r="3678" spans="2:7" ht="32.25" customHeight="1" x14ac:dyDescent="0.25">
      <c r="B3678" s="64"/>
      <c r="C3678" s="64"/>
      <c r="D3678" s="64"/>
      <c r="E3678" s="64"/>
      <c r="F3678" s="64"/>
      <c r="G3678" s="64"/>
    </row>
    <row r="3679" spans="2:7" ht="32.25" customHeight="1" x14ac:dyDescent="0.25">
      <c r="B3679" s="64"/>
      <c r="C3679" s="64"/>
      <c r="D3679" s="64"/>
      <c r="E3679" s="64"/>
      <c r="F3679" s="64"/>
      <c r="G3679" s="64"/>
    </row>
    <row r="3680" spans="2:7" ht="32.25" customHeight="1" x14ac:dyDescent="0.25">
      <c r="B3680" s="64"/>
      <c r="C3680" s="64"/>
      <c r="D3680" s="64"/>
      <c r="E3680" s="64"/>
      <c r="F3680" s="64"/>
      <c r="G3680" s="64"/>
    </row>
    <row r="3681" spans="2:7" ht="32.25" customHeight="1" x14ac:dyDescent="0.25">
      <c r="B3681" s="64"/>
      <c r="C3681" s="64"/>
      <c r="D3681" s="64"/>
      <c r="E3681" s="64"/>
      <c r="F3681" s="64"/>
      <c r="G3681" s="64"/>
    </row>
    <row r="3682" spans="2:7" ht="32.25" customHeight="1" x14ac:dyDescent="0.25">
      <c r="B3682" s="64"/>
      <c r="C3682" s="64"/>
      <c r="D3682" s="64"/>
      <c r="E3682" s="64"/>
      <c r="F3682" s="64"/>
      <c r="G3682" s="64"/>
    </row>
    <row r="3683" spans="2:7" ht="32.25" customHeight="1" x14ac:dyDescent="0.25">
      <c r="B3683" s="64"/>
      <c r="C3683" s="64"/>
      <c r="D3683" s="64"/>
      <c r="E3683" s="64"/>
      <c r="F3683" s="64"/>
      <c r="G3683" s="64"/>
    </row>
    <row r="3684" spans="2:7" ht="32.25" customHeight="1" x14ac:dyDescent="0.25">
      <c r="B3684" s="64"/>
      <c r="C3684" s="64"/>
      <c r="D3684" s="64"/>
      <c r="E3684" s="64"/>
      <c r="F3684" s="64"/>
      <c r="G3684" s="64"/>
    </row>
    <row r="3685" spans="2:7" ht="32.25" customHeight="1" x14ac:dyDescent="0.25">
      <c r="B3685" s="64"/>
      <c r="C3685" s="64"/>
      <c r="D3685" s="64"/>
      <c r="E3685" s="64"/>
      <c r="F3685" s="64"/>
      <c r="G3685" s="64"/>
    </row>
    <row r="3686" spans="2:7" ht="32.25" customHeight="1" x14ac:dyDescent="0.25">
      <c r="B3686" s="64"/>
      <c r="C3686" s="64"/>
      <c r="D3686" s="64"/>
      <c r="E3686" s="64"/>
      <c r="F3686" s="64"/>
      <c r="G3686" s="64"/>
    </row>
    <row r="3687" spans="2:7" ht="32.25" customHeight="1" x14ac:dyDescent="0.25">
      <c r="B3687" s="64"/>
      <c r="C3687" s="64"/>
      <c r="D3687" s="64"/>
      <c r="E3687" s="64"/>
      <c r="F3687" s="64"/>
      <c r="G3687" s="64"/>
    </row>
    <row r="3688" spans="2:7" ht="32.25" customHeight="1" x14ac:dyDescent="0.25">
      <c r="B3688" s="64"/>
      <c r="C3688" s="64"/>
      <c r="D3688" s="64"/>
      <c r="E3688" s="64"/>
      <c r="F3688" s="64"/>
      <c r="G3688" s="64"/>
    </row>
    <row r="3689" spans="2:7" ht="32.25" customHeight="1" x14ac:dyDescent="0.25">
      <c r="B3689" s="64"/>
      <c r="C3689" s="64"/>
      <c r="D3689" s="64"/>
      <c r="E3689" s="64"/>
      <c r="F3689" s="64"/>
      <c r="G3689" s="64"/>
    </row>
    <row r="3690" spans="2:7" ht="32.25" customHeight="1" x14ac:dyDescent="0.25">
      <c r="B3690" s="64"/>
      <c r="C3690" s="64"/>
      <c r="D3690" s="64"/>
      <c r="E3690" s="64"/>
      <c r="F3690" s="64"/>
      <c r="G3690" s="64"/>
    </row>
    <row r="3691" spans="2:7" ht="32.25" customHeight="1" x14ac:dyDescent="0.25">
      <c r="B3691" s="64"/>
      <c r="C3691" s="64"/>
      <c r="D3691" s="64"/>
      <c r="E3691" s="64"/>
      <c r="F3691" s="64"/>
      <c r="G3691" s="64"/>
    </row>
    <row r="3692" spans="2:7" ht="32.25" customHeight="1" x14ac:dyDescent="0.25">
      <c r="B3692" s="64"/>
      <c r="C3692" s="64"/>
      <c r="D3692" s="64"/>
      <c r="E3692" s="64"/>
      <c r="F3692" s="64"/>
      <c r="G3692" s="64"/>
    </row>
    <row r="3693" spans="2:7" ht="32.25" customHeight="1" x14ac:dyDescent="0.25">
      <c r="B3693" s="64"/>
      <c r="C3693" s="64"/>
      <c r="D3693" s="64"/>
      <c r="E3693" s="64"/>
      <c r="F3693" s="64"/>
      <c r="G3693" s="64"/>
    </row>
    <row r="3694" spans="2:7" ht="32.25" customHeight="1" x14ac:dyDescent="0.25">
      <c r="B3694" s="64"/>
      <c r="C3694" s="64"/>
      <c r="D3694" s="64"/>
      <c r="E3694" s="64"/>
      <c r="F3694" s="64"/>
      <c r="G3694" s="64"/>
    </row>
    <row r="3695" spans="2:7" ht="32.25" customHeight="1" x14ac:dyDescent="0.25">
      <c r="B3695" s="64"/>
      <c r="C3695" s="64"/>
      <c r="D3695" s="64"/>
      <c r="E3695" s="64"/>
      <c r="F3695" s="64"/>
      <c r="G3695" s="64"/>
    </row>
    <row r="3696" spans="2:7" ht="32.25" customHeight="1" x14ac:dyDescent="0.25">
      <c r="B3696" s="64"/>
      <c r="C3696" s="64"/>
      <c r="D3696" s="64"/>
      <c r="E3696" s="64"/>
      <c r="F3696" s="64"/>
      <c r="G3696" s="64"/>
    </row>
    <row r="3697" spans="2:7" ht="32.25" customHeight="1" x14ac:dyDescent="0.25">
      <c r="B3697" s="64"/>
      <c r="C3697" s="64"/>
      <c r="D3697" s="64"/>
      <c r="E3697" s="64"/>
      <c r="F3697" s="64"/>
      <c r="G3697" s="64"/>
    </row>
    <row r="3698" spans="2:7" ht="32.25" customHeight="1" x14ac:dyDescent="0.25">
      <c r="B3698" s="64"/>
      <c r="C3698" s="64"/>
      <c r="D3698" s="64"/>
      <c r="E3698" s="64"/>
      <c r="F3698" s="64"/>
      <c r="G3698" s="64"/>
    </row>
    <row r="3699" spans="2:7" ht="32.25" customHeight="1" x14ac:dyDescent="0.25">
      <c r="B3699" s="64"/>
      <c r="C3699" s="64"/>
      <c r="D3699" s="64"/>
      <c r="E3699" s="64"/>
      <c r="F3699" s="64"/>
      <c r="G3699" s="64"/>
    </row>
    <row r="3700" spans="2:7" ht="32.25" customHeight="1" x14ac:dyDescent="0.25">
      <c r="B3700" s="64"/>
      <c r="C3700" s="64"/>
      <c r="D3700" s="64"/>
      <c r="E3700" s="64"/>
      <c r="F3700" s="64"/>
      <c r="G3700" s="64"/>
    </row>
    <row r="3701" spans="2:7" ht="32.25" customHeight="1" x14ac:dyDescent="0.25">
      <c r="B3701" s="64"/>
      <c r="C3701" s="64"/>
      <c r="D3701" s="64"/>
      <c r="E3701" s="64"/>
      <c r="F3701" s="64"/>
      <c r="G3701" s="64"/>
    </row>
    <row r="3702" spans="2:7" ht="32.25" customHeight="1" x14ac:dyDescent="0.25">
      <c r="B3702" s="64"/>
      <c r="C3702" s="64"/>
      <c r="D3702" s="64"/>
      <c r="E3702" s="64"/>
      <c r="F3702" s="64"/>
      <c r="G3702" s="64"/>
    </row>
    <row r="3703" spans="2:7" ht="32.25" customHeight="1" x14ac:dyDescent="0.25">
      <c r="B3703" s="64"/>
      <c r="C3703" s="64"/>
      <c r="D3703" s="64"/>
      <c r="E3703" s="64"/>
      <c r="F3703" s="64"/>
      <c r="G3703" s="64"/>
    </row>
    <row r="3704" spans="2:7" ht="32.25" customHeight="1" x14ac:dyDescent="0.25">
      <c r="B3704" s="64"/>
      <c r="C3704" s="64"/>
      <c r="D3704" s="64"/>
      <c r="E3704" s="64"/>
      <c r="F3704" s="64"/>
      <c r="G3704" s="64"/>
    </row>
    <row r="3705" spans="2:7" ht="32.25" customHeight="1" x14ac:dyDescent="0.25">
      <c r="B3705" s="64"/>
      <c r="C3705" s="64"/>
      <c r="D3705" s="64"/>
      <c r="E3705" s="64"/>
      <c r="F3705" s="64"/>
      <c r="G3705" s="64"/>
    </row>
    <row r="3706" spans="2:7" ht="32.25" customHeight="1" x14ac:dyDescent="0.25">
      <c r="B3706" s="64"/>
      <c r="C3706" s="64"/>
      <c r="D3706" s="64"/>
      <c r="E3706" s="64"/>
      <c r="F3706" s="64"/>
      <c r="G3706" s="64"/>
    </row>
    <row r="3707" spans="2:7" ht="32.25" customHeight="1" x14ac:dyDescent="0.25">
      <c r="B3707" s="64"/>
      <c r="C3707" s="64"/>
      <c r="D3707" s="64"/>
      <c r="E3707" s="64"/>
      <c r="F3707" s="64"/>
      <c r="G3707" s="64"/>
    </row>
    <row r="3708" spans="2:7" ht="32.25" customHeight="1" x14ac:dyDescent="0.25">
      <c r="B3708" s="64"/>
      <c r="C3708" s="64"/>
      <c r="D3708" s="64"/>
      <c r="E3708" s="64"/>
      <c r="F3708" s="64"/>
      <c r="G3708" s="64"/>
    </row>
    <row r="3709" spans="2:7" ht="32.25" customHeight="1" x14ac:dyDescent="0.25">
      <c r="B3709" s="64"/>
      <c r="C3709" s="64"/>
      <c r="D3709" s="64"/>
      <c r="E3709" s="64"/>
      <c r="F3709" s="64"/>
      <c r="G3709" s="64"/>
    </row>
    <row r="3710" spans="2:7" ht="32.25" customHeight="1" x14ac:dyDescent="0.25">
      <c r="B3710" s="64"/>
      <c r="C3710" s="64"/>
      <c r="D3710" s="64"/>
      <c r="E3710" s="64"/>
      <c r="F3710" s="64"/>
      <c r="G3710" s="64"/>
    </row>
    <row r="3711" spans="2:7" ht="32.25" customHeight="1" x14ac:dyDescent="0.25">
      <c r="B3711" s="64"/>
      <c r="C3711" s="64"/>
      <c r="D3711" s="64"/>
      <c r="E3711" s="64"/>
      <c r="F3711" s="64"/>
      <c r="G3711" s="64"/>
    </row>
    <row r="3712" spans="2:7" ht="32.25" customHeight="1" x14ac:dyDescent="0.25">
      <c r="B3712" s="64"/>
      <c r="C3712" s="64"/>
      <c r="D3712" s="64"/>
      <c r="E3712" s="64"/>
      <c r="F3712" s="64"/>
      <c r="G3712" s="64"/>
    </row>
    <row r="3713" spans="2:7" ht="32.25" customHeight="1" x14ac:dyDescent="0.25">
      <c r="B3713" s="64"/>
      <c r="C3713" s="64"/>
      <c r="D3713" s="64"/>
      <c r="E3713" s="64"/>
      <c r="F3713" s="64"/>
      <c r="G3713" s="64"/>
    </row>
    <row r="3714" spans="2:7" ht="32.25" customHeight="1" x14ac:dyDescent="0.25">
      <c r="B3714" s="64"/>
      <c r="C3714" s="64"/>
      <c r="D3714" s="64"/>
      <c r="E3714" s="64"/>
      <c r="F3714" s="64"/>
      <c r="G3714" s="64"/>
    </row>
    <row r="3715" spans="2:7" ht="32.25" customHeight="1" x14ac:dyDescent="0.25">
      <c r="B3715" s="64"/>
      <c r="C3715" s="64"/>
      <c r="D3715" s="64"/>
      <c r="E3715" s="64"/>
      <c r="F3715" s="64"/>
      <c r="G3715" s="64"/>
    </row>
    <row r="3716" spans="2:7" ht="32.25" customHeight="1" x14ac:dyDescent="0.25">
      <c r="B3716" s="64"/>
      <c r="C3716" s="64"/>
      <c r="D3716" s="64"/>
      <c r="E3716" s="64"/>
      <c r="F3716" s="64"/>
      <c r="G3716" s="64"/>
    </row>
    <row r="3717" spans="2:7" ht="32.25" customHeight="1" x14ac:dyDescent="0.25">
      <c r="B3717" s="64"/>
      <c r="C3717" s="64"/>
      <c r="D3717" s="64"/>
      <c r="E3717" s="64"/>
      <c r="F3717" s="64"/>
      <c r="G3717" s="64"/>
    </row>
    <row r="3718" spans="2:7" ht="32.25" customHeight="1" x14ac:dyDescent="0.25">
      <c r="B3718" s="64"/>
      <c r="C3718" s="64"/>
      <c r="D3718" s="64"/>
      <c r="E3718" s="64"/>
      <c r="F3718" s="64"/>
      <c r="G3718" s="64"/>
    </row>
    <row r="3719" spans="2:7" ht="32.25" customHeight="1" x14ac:dyDescent="0.25">
      <c r="B3719" s="64"/>
      <c r="C3719" s="64"/>
      <c r="D3719" s="64"/>
      <c r="E3719" s="64"/>
      <c r="F3719" s="64"/>
      <c r="G3719" s="64"/>
    </row>
    <row r="3720" spans="2:7" ht="32.25" customHeight="1" x14ac:dyDescent="0.25">
      <c r="B3720" s="64"/>
      <c r="C3720" s="64"/>
      <c r="D3720" s="64"/>
      <c r="E3720" s="64"/>
      <c r="F3720" s="64"/>
      <c r="G3720" s="64"/>
    </row>
    <row r="3721" spans="2:7" ht="32.25" customHeight="1" x14ac:dyDescent="0.25">
      <c r="B3721" s="64"/>
      <c r="C3721" s="64"/>
      <c r="D3721" s="64"/>
      <c r="E3721" s="64"/>
      <c r="F3721" s="64"/>
      <c r="G3721" s="64"/>
    </row>
    <row r="3722" spans="2:7" ht="32.25" customHeight="1" x14ac:dyDescent="0.25">
      <c r="B3722" s="64"/>
      <c r="C3722" s="64"/>
      <c r="D3722" s="64"/>
      <c r="E3722" s="64"/>
      <c r="F3722" s="64"/>
      <c r="G3722" s="64"/>
    </row>
    <row r="3723" spans="2:7" ht="32.25" customHeight="1" x14ac:dyDescent="0.25">
      <c r="B3723" s="64"/>
      <c r="C3723" s="64"/>
      <c r="D3723" s="64"/>
      <c r="E3723" s="64"/>
      <c r="F3723" s="64"/>
      <c r="G3723" s="64"/>
    </row>
    <row r="3724" spans="2:7" ht="32.25" customHeight="1" x14ac:dyDescent="0.25">
      <c r="B3724" s="64"/>
      <c r="C3724" s="64"/>
      <c r="D3724" s="64"/>
      <c r="E3724" s="64"/>
      <c r="F3724" s="64"/>
      <c r="G3724" s="64"/>
    </row>
    <row r="3725" spans="2:7" ht="32.25" customHeight="1" x14ac:dyDescent="0.25">
      <c r="B3725" s="64"/>
      <c r="C3725" s="64"/>
      <c r="D3725" s="64"/>
      <c r="E3725" s="64"/>
      <c r="F3725" s="64"/>
      <c r="G3725" s="64"/>
    </row>
    <row r="3726" spans="2:7" ht="32.25" customHeight="1" x14ac:dyDescent="0.25">
      <c r="B3726" s="64"/>
      <c r="C3726" s="64"/>
      <c r="D3726" s="64"/>
      <c r="E3726" s="64"/>
      <c r="F3726" s="64"/>
      <c r="G3726" s="64"/>
    </row>
    <row r="3727" spans="2:7" ht="32.25" customHeight="1" x14ac:dyDescent="0.25">
      <c r="B3727" s="64"/>
      <c r="C3727" s="64"/>
      <c r="D3727" s="64"/>
      <c r="E3727" s="64"/>
      <c r="F3727" s="64"/>
      <c r="G3727" s="64"/>
    </row>
    <row r="3728" spans="2:7" ht="32.25" customHeight="1" x14ac:dyDescent="0.25">
      <c r="B3728" s="64"/>
      <c r="C3728" s="64"/>
      <c r="D3728" s="64"/>
      <c r="E3728" s="64"/>
      <c r="F3728" s="64"/>
      <c r="G3728" s="64"/>
    </row>
    <row r="3729" spans="2:7" ht="32.25" customHeight="1" x14ac:dyDescent="0.25">
      <c r="B3729" s="64"/>
      <c r="C3729" s="64"/>
      <c r="D3729" s="64"/>
      <c r="E3729" s="64"/>
      <c r="F3729" s="64"/>
      <c r="G3729" s="64"/>
    </row>
    <row r="3730" spans="2:7" ht="32.25" customHeight="1" x14ac:dyDescent="0.25">
      <c r="B3730" s="64"/>
      <c r="C3730" s="64"/>
      <c r="D3730" s="64"/>
      <c r="E3730" s="64"/>
      <c r="F3730" s="64"/>
      <c r="G3730" s="64"/>
    </row>
    <row r="3731" spans="2:7" ht="32.25" customHeight="1" x14ac:dyDescent="0.25">
      <c r="B3731" s="64"/>
      <c r="C3731" s="64"/>
      <c r="D3731" s="64"/>
      <c r="E3731" s="64"/>
      <c r="F3731" s="64"/>
      <c r="G3731" s="64"/>
    </row>
    <row r="3732" spans="2:7" ht="32.25" customHeight="1" x14ac:dyDescent="0.25">
      <c r="B3732" s="64"/>
      <c r="C3732" s="64"/>
      <c r="D3732" s="64"/>
      <c r="E3732" s="64"/>
      <c r="F3732" s="64"/>
      <c r="G3732" s="64"/>
    </row>
    <row r="3733" spans="2:7" ht="32.25" customHeight="1" x14ac:dyDescent="0.25">
      <c r="B3733" s="64"/>
      <c r="C3733" s="64"/>
      <c r="D3733" s="64"/>
      <c r="E3733" s="64"/>
      <c r="F3733" s="64"/>
      <c r="G3733" s="64"/>
    </row>
    <row r="3734" spans="2:7" ht="32.25" customHeight="1" x14ac:dyDescent="0.25">
      <c r="B3734" s="64"/>
      <c r="C3734" s="64"/>
      <c r="D3734" s="64"/>
      <c r="E3734" s="64"/>
      <c r="F3734" s="64"/>
      <c r="G3734" s="64"/>
    </row>
    <row r="3735" spans="2:7" ht="32.25" customHeight="1" x14ac:dyDescent="0.25">
      <c r="B3735" s="64"/>
      <c r="C3735" s="64"/>
      <c r="D3735" s="64"/>
      <c r="E3735" s="64"/>
      <c r="F3735" s="64"/>
      <c r="G3735" s="64"/>
    </row>
    <row r="3736" spans="2:7" ht="32.25" customHeight="1" x14ac:dyDescent="0.25">
      <c r="B3736" s="64"/>
      <c r="C3736" s="64"/>
      <c r="D3736" s="64"/>
      <c r="E3736" s="64"/>
      <c r="F3736" s="64"/>
      <c r="G3736" s="64"/>
    </row>
    <row r="3737" spans="2:7" ht="32.25" customHeight="1" x14ac:dyDescent="0.25">
      <c r="B3737" s="64"/>
      <c r="C3737" s="64"/>
      <c r="D3737" s="64"/>
      <c r="E3737" s="64"/>
      <c r="F3737" s="64"/>
      <c r="G3737" s="64"/>
    </row>
    <row r="3738" spans="2:7" ht="32.25" customHeight="1" x14ac:dyDescent="0.25">
      <c r="B3738" s="64"/>
      <c r="C3738" s="64"/>
      <c r="D3738" s="64"/>
      <c r="E3738" s="64"/>
      <c r="F3738" s="64"/>
      <c r="G3738" s="64"/>
    </row>
    <row r="3739" spans="2:7" ht="32.25" customHeight="1" x14ac:dyDescent="0.25">
      <c r="B3739" s="64"/>
      <c r="C3739" s="64"/>
      <c r="D3739" s="64"/>
      <c r="E3739" s="64"/>
      <c r="F3739" s="64"/>
      <c r="G3739" s="64"/>
    </row>
    <row r="3740" spans="2:7" ht="32.25" customHeight="1" x14ac:dyDescent="0.25">
      <c r="B3740" s="64"/>
      <c r="C3740" s="64"/>
      <c r="D3740" s="64"/>
      <c r="E3740" s="64"/>
      <c r="F3740" s="64"/>
      <c r="G3740" s="64"/>
    </row>
    <row r="3741" spans="2:7" ht="32.25" customHeight="1" x14ac:dyDescent="0.25">
      <c r="B3741" s="64"/>
      <c r="C3741" s="64"/>
      <c r="D3741" s="64"/>
      <c r="E3741" s="64"/>
      <c r="F3741" s="64"/>
      <c r="G3741" s="64"/>
    </row>
    <row r="3742" spans="2:7" ht="32.25" customHeight="1" x14ac:dyDescent="0.25">
      <c r="B3742" s="64"/>
      <c r="C3742" s="64"/>
      <c r="D3742" s="64"/>
      <c r="E3742" s="64"/>
      <c r="F3742" s="64"/>
      <c r="G3742" s="64"/>
    </row>
    <row r="3743" spans="2:7" ht="32.25" customHeight="1" x14ac:dyDescent="0.25">
      <c r="B3743" s="64"/>
      <c r="C3743" s="64"/>
      <c r="D3743" s="64"/>
      <c r="E3743" s="64"/>
      <c r="F3743" s="64"/>
      <c r="G3743" s="64"/>
    </row>
    <row r="3744" spans="2:7" ht="32.25" customHeight="1" x14ac:dyDescent="0.25">
      <c r="B3744" s="64"/>
      <c r="C3744" s="64"/>
      <c r="D3744" s="64"/>
      <c r="E3744" s="64"/>
      <c r="F3744" s="64"/>
      <c r="G3744" s="64"/>
    </row>
    <row r="3745" spans="2:7" ht="32.25" customHeight="1" x14ac:dyDescent="0.25">
      <c r="B3745" s="64"/>
      <c r="C3745" s="64"/>
      <c r="D3745" s="64"/>
      <c r="E3745" s="64"/>
      <c r="F3745" s="64"/>
      <c r="G3745" s="64"/>
    </row>
    <row r="3746" spans="2:7" ht="32.25" customHeight="1" x14ac:dyDescent="0.25">
      <c r="B3746" s="64"/>
      <c r="C3746" s="64"/>
      <c r="D3746" s="64"/>
      <c r="E3746" s="64"/>
      <c r="F3746" s="64"/>
      <c r="G3746" s="64"/>
    </row>
    <row r="3747" spans="2:7" ht="32.25" customHeight="1" x14ac:dyDescent="0.25">
      <c r="B3747" s="64"/>
      <c r="C3747" s="64"/>
      <c r="D3747" s="64"/>
      <c r="E3747" s="64"/>
      <c r="F3747" s="64"/>
      <c r="G3747" s="64"/>
    </row>
    <row r="3748" spans="2:7" ht="32.25" customHeight="1" x14ac:dyDescent="0.25">
      <c r="B3748" s="64"/>
      <c r="C3748" s="64"/>
      <c r="D3748" s="64"/>
      <c r="E3748" s="64"/>
      <c r="F3748" s="64"/>
      <c r="G3748" s="64"/>
    </row>
    <row r="3749" spans="2:7" ht="32.25" customHeight="1" x14ac:dyDescent="0.25">
      <c r="B3749" s="64"/>
      <c r="C3749" s="64"/>
      <c r="D3749" s="64"/>
      <c r="E3749" s="64"/>
      <c r="F3749" s="64"/>
      <c r="G3749" s="64"/>
    </row>
    <row r="3750" spans="2:7" ht="32.25" customHeight="1" x14ac:dyDescent="0.25">
      <c r="B3750" s="64"/>
      <c r="C3750" s="64"/>
      <c r="D3750" s="64"/>
      <c r="E3750" s="64"/>
      <c r="F3750" s="64"/>
      <c r="G3750" s="64"/>
    </row>
    <row r="3751" spans="2:7" ht="32.25" customHeight="1" x14ac:dyDescent="0.25">
      <c r="B3751" s="64"/>
      <c r="C3751" s="64"/>
      <c r="D3751" s="64"/>
      <c r="E3751" s="64"/>
      <c r="F3751" s="64"/>
      <c r="G3751" s="64"/>
    </row>
    <row r="3752" spans="2:7" ht="32.25" customHeight="1" x14ac:dyDescent="0.25">
      <c r="B3752" s="64"/>
      <c r="C3752" s="64"/>
      <c r="D3752" s="64"/>
      <c r="E3752" s="64"/>
      <c r="F3752" s="64"/>
      <c r="G3752" s="64"/>
    </row>
    <row r="3753" spans="2:7" ht="32.25" customHeight="1" x14ac:dyDescent="0.25">
      <c r="B3753" s="64"/>
      <c r="C3753" s="64"/>
      <c r="D3753" s="64"/>
      <c r="E3753" s="64"/>
      <c r="F3753" s="64"/>
      <c r="G3753" s="64"/>
    </row>
    <row r="3754" spans="2:7" ht="32.25" customHeight="1" x14ac:dyDescent="0.25">
      <c r="B3754" s="64"/>
      <c r="C3754" s="64"/>
      <c r="D3754" s="64"/>
      <c r="E3754" s="64"/>
      <c r="F3754" s="64"/>
      <c r="G3754" s="64"/>
    </row>
    <row r="3755" spans="2:7" ht="32.25" customHeight="1" x14ac:dyDescent="0.25">
      <c r="B3755" s="64"/>
      <c r="C3755" s="64"/>
      <c r="D3755" s="64"/>
      <c r="E3755" s="64"/>
      <c r="F3755" s="64"/>
      <c r="G3755" s="64"/>
    </row>
    <row r="3756" spans="2:7" ht="32.25" customHeight="1" x14ac:dyDescent="0.25">
      <c r="B3756" s="64"/>
      <c r="C3756" s="64"/>
      <c r="D3756" s="64"/>
      <c r="E3756" s="64"/>
      <c r="F3756" s="64"/>
      <c r="G3756" s="64"/>
    </row>
    <row r="3757" spans="2:7" ht="32.25" customHeight="1" x14ac:dyDescent="0.25">
      <c r="B3757" s="64"/>
      <c r="C3757" s="64"/>
      <c r="D3757" s="64"/>
      <c r="E3757" s="64"/>
      <c r="F3757" s="64"/>
      <c r="G3757" s="64"/>
    </row>
    <row r="3758" spans="2:7" ht="32.25" customHeight="1" x14ac:dyDescent="0.25">
      <c r="B3758" s="64"/>
      <c r="C3758" s="64"/>
      <c r="D3758" s="64"/>
      <c r="E3758" s="64"/>
      <c r="F3758" s="64"/>
      <c r="G3758" s="64"/>
    </row>
    <row r="3759" spans="2:7" ht="32.25" customHeight="1" x14ac:dyDescent="0.25">
      <c r="B3759" s="64"/>
      <c r="C3759" s="64"/>
      <c r="D3759" s="64"/>
      <c r="E3759" s="64"/>
      <c r="F3759" s="64"/>
      <c r="G3759" s="64"/>
    </row>
    <row r="3760" spans="2:7" ht="32.25" customHeight="1" x14ac:dyDescent="0.25">
      <c r="B3760" s="64"/>
      <c r="C3760" s="64"/>
      <c r="D3760" s="64"/>
      <c r="E3760" s="64"/>
      <c r="F3760" s="64"/>
      <c r="G3760" s="64"/>
    </row>
    <row r="3761" spans="2:7" ht="32.25" customHeight="1" x14ac:dyDescent="0.25">
      <c r="B3761" s="64"/>
      <c r="C3761" s="64"/>
      <c r="D3761" s="64"/>
      <c r="E3761" s="64"/>
      <c r="F3761" s="64"/>
      <c r="G3761" s="64"/>
    </row>
    <row r="3762" spans="2:7" ht="32.25" customHeight="1" x14ac:dyDescent="0.25">
      <c r="B3762" s="64"/>
      <c r="C3762" s="64"/>
      <c r="D3762" s="64"/>
      <c r="E3762" s="64"/>
      <c r="F3762" s="64"/>
      <c r="G3762" s="64"/>
    </row>
    <row r="3763" spans="2:7" ht="32.25" customHeight="1" x14ac:dyDescent="0.25">
      <c r="B3763" s="64"/>
      <c r="C3763" s="64"/>
      <c r="D3763" s="64"/>
      <c r="E3763" s="64"/>
      <c r="F3763" s="64"/>
      <c r="G3763" s="64"/>
    </row>
    <row r="3764" spans="2:7" ht="32.25" customHeight="1" x14ac:dyDescent="0.25">
      <c r="B3764" s="64"/>
      <c r="C3764" s="64"/>
      <c r="D3764" s="64"/>
      <c r="E3764" s="64"/>
      <c r="F3764" s="64"/>
      <c r="G3764" s="64"/>
    </row>
    <row r="3765" spans="2:7" ht="32.25" customHeight="1" x14ac:dyDescent="0.25">
      <c r="B3765" s="64"/>
      <c r="C3765" s="64"/>
      <c r="D3765" s="64"/>
      <c r="E3765" s="64"/>
      <c r="F3765" s="64"/>
      <c r="G3765" s="64"/>
    </row>
    <row r="3766" spans="2:7" ht="32.25" customHeight="1" x14ac:dyDescent="0.25">
      <c r="B3766" s="64"/>
      <c r="C3766" s="64"/>
      <c r="D3766" s="64"/>
      <c r="E3766" s="64"/>
      <c r="F3766" s="64"/>
      <c r="G3766" s="64"/>
    </row>
    <row r="3767" spans="2:7" ht="32.25" customHeight="1" x14ac:dyDescent="0.25">
      <c r="B3767" s="64"/>
      <c r="C3767" s="64"/>
      <c r="D3767" s="64"/>
      <c r="E3767" s="64"/>
      <c r="F3767" s="64"/>
      <c r="G3767" s="64"/>
    </row>
    <row r="3768" spans="2:7" ht="32.25" customHeight="1" x14ac:dyDescent="0.25">
      <c r="B3768" s="64"/>
      <c r="C3768" s="64"/>
      <c r="D3768" s="64"/>
      <c r="E3768" s="64"/>
      <c r="F3768" s="64"/>
      <c r="G3768" s="64"/>
    </row>
    <row r="3769" spans="2:7" ht="32.25" customHeight="1" x14ac:dyDescent="0.25">
      <c r="B3769" s="64"/>
      <c r="C3769" s="64"/>
      <c r="D3769" s="64"/>
      <c r="E3769" s="64"/>
      <c r="F3769" s="64"/>
      <c r="G3769" s="64"/>
    </row>
    <row r="3770" spans="2:7" ht="32.25" customHeight="1" x14ac:dyDescent="0.25">
      <c r="B3770" s="64"/>
      <c r="C3770" s="64"/>
      <c r="D3770" s="64"/>
      <c r="E3770" s="64"/>
      <c r="F3770" s="64"/>
      <c r="G3770" s="64"/>
    </row>
    <row r="3771" spans="2:7" ht="32.25" customHeight="1" x14ac:dyDescent="0.25">
      <c r="B3771" s="64"/>
      <c r="C3771" s="64"/>
      <c r="D3771" s="64"/>
      <c r="E3771" s="64"/>
      <c r="F3771" s="64"/>
      <c r="G3771" s="64"/>
    </row>
    <row r="3772" spans="2:7" ht="32.25" customHeight="1" x14ac:dyDescent="0.25">
      <c r="B3772" s="64"/>
      <c r="C3772" s="64"/>
      <c r="D3772" s="64"/>
      <c r="E3772" s="64"/>
      <c r="F3772" s="64"/>
      <c r="G3772" s="64"/>
    </row>
    <row r="3773" spans="2:7" ht="32.25" customHeight="1" x14ac:dyDescent="0.25">
      <c r="B3773" s="64"/>
      <c r="C3773" s="64"/>
      <c r="D3773" s="64"/>
      <c r="E3773" s="64"/>
      <c r="F3773" s="64"/>
      <c r="G3773" s="64"/>
    </row>
    <row r="3774" spans="2:7" ht="32.25" customHeight="1" x14ac:dyDescent="0.25">
      <c r="B3774" s="64"/>
      <c r="C3774" s="64"/>
      <c r="D3774" s="64"/>
      <c r="E3774" s="64"/>
      <c r="F3774" s="64"/>
      <c r="G3774" s="64"/>
    </row>
    <row r="3775" spans="2:7" ht="32.25" customHeight="1" x14ac:dyDescent="0.25">
      <c r="B3775" s="64"/>
      <c r="C3775" s="64"/>
      <c r="D3775" s="64"/>
      <c r="E3775" s="64"/>
      <c r="F3775" s="64"/>
      <c r="G3775" s="64"/>
    </row>
    <row r="3776" spans="2:7" ht="32.25" customHeight="1" x14ac:dyDescent="0.25">
      <c r="B3776" s="64"/>
      <c r="C3776" s="64"/>
      <c r="D3776" s="64"/>
      <c r="E3776" s="64"/>
      <c r="F3776" s="64"/>
      <c r="G3776" s="64"/>
    </row>
    <row r="3777" spans="2:7" ht="32.25" customHeight="1" x14ac:dyDescent="0.25">
      <c r="B3777" s="64"/>
      <c r="C3777" s="64"/>
      <c r="D3777" s="64"/>
      <c r="E3777" s="64"/>
      <c r="F3777" s="64"/>
      <c r="G3777" s="64"/>
    </row>
    <row r="3778" spans="2:7" ht="32.25" customHeight="1" x14ac:dyDescent="0.25">
      <c r="B3778" s="64"/>
      <c r="C3778" s="64"/>
      <c r="D3778" s="64"/>
      <c r="E3778" s="64"/>
      <c r="F3778" s="64"/>
      <c r="G3778" s="64"/>
    </row>
    <row r="3779" spans="2:7" ht="32.25" customHeight="1" x14ac:dyDescent="0.25">
      <c r="B3779" s="64"/>
      <c r="C3779" s="64"/>
      <c r="D3779" s="64"/>
      <c r="E3779" s="64"/>
      <c r="F3779" s="64"/>
      <c r="G3779" s="64"/>
    </row>
    <row r="3780" spans="2:7" ht="32.25" customHeight="1" x14ac:dyDescent="0.25">
      <c r="B3780" s="64"/>
      <c r="C3780" s="64"/>
      <c r="D3780" s="64"/>
      <c r="E3780" s="64"/>
      <c r="F3780" s="64"/>
      <c r="G3780" s="64"/>
    </row>
    <row r="3781" spans="2:7" ht="32.25" customHeight="1" x14ac:dyDescent="0.25">
      <c r="B3781" s="64"/>
      <c r="C3781" s="64"/>
      <c r="D3781" s="64"/>
      <c r="E3781" s="64"/>
      <c r="F3781" s="64"/>
      <c r="G3781" s="64"/>
    </row>
    <row r="3782" spans="2:7" ht="32.25" customHeight="1" x14ac:dyDescent="0.25">
      <c r="B3782" s="64"/>
      <c r="C3782" s="64"/>
      <c r="D3782" s="64"/>
      <c r="E3782" s="64"/>
      <c r="F3782" s="64"/>
      <c r="G3782" s="64"/>
    </row>
    <row r="3783" spans="2:7" ht="32.25" customHeight="1" x14ac:dyDescent="0.25">
      <c r="B3783" s="64"/>
      <c r="C3783" s="64"/>
      <c r="D3783" s="64"/>
      <c r="E3783" s="64"/>
      <c r="F3783" s="64"/>
      <c r="G3783" s="64"/>
    </row>
    <row r="3784" spans="2:7" ht="32.25" customHeight="1" x14ac:dyDescent="0.25">
      <c r="B3784" s="64"/>
      <c r="C3784" s="64"/>
      <c r="D3784" s="64"/>
      <c r="E3784" s="64"/>
      <c r="F3784" s="64"/>
      <c r="G3784" s="64"/>
    </row>
    <row r="3785" spans="2:7" ht="32.25" customHeight="1" x14ac:dyDescent="0.25">
      <c r="B3785" s="64"/>
      <c r="C3785" s="64"/>
      <c r="D3785" s="64"/>
      <c r="E3785" s="64"/>
      <c r="F3785" s="64"/>
      <c r="G3785" s="64"/>
    </row>
    <row r="3786" spans="2:7" ht="32.25" customHeight="1" x14ac:dyDescent="0.25">
      <c r="B3786" s="64"/>
      <c r="C3786" s="64"/>
      <c r="D3786" s="64"/>
      <c r="E3786" s="64"/>
      <c r="F3786" s="64"/>
      <c r="G3786" s="64"/>
    </row>
    <row r="3787" spans="2:7" ht="32.25" customHeight="1" x14ac:dyDescent="0.25">
      <c r="B3787" s="64"/>
      <c r="C3787" s="64"/>
      <c r="D3787" s="64"/>
      <c r="E3787" s="64"/>
      <c r="F3787" s="64"/>
      <c r="G3787" s="64"/>
    </row>
    <row r="3788" spans="2:7" ht="32.25" customHeight="1" x14ac:dyDescent="0.25">
      <c r="B3788" s="64"/>
      <c r="C3788" s="64"/>
      <c r="D3788" s="64"/>
      <c r="E3788" s="64"/>
      <c r="F3788" s="64"/>
      <c r="G3788" s="64"/>
    </row>
    <row r="3789" spans="2:7" ht="32.25" customHeight="1" x14ac:dyDescent="0.25">
      <c r="B3789" s="64"/>
      <c r="C3789" s="64"/>
      <c r="D3789" s="64"/>
      <c r="E3789" s="64"/>
      <c r="F3789" s="64"/>
      <c r="G3789" s="64"/>
    </row>
    <row r="3790" spans="2:7" ht="32.25" customHeight="1" x14ac:dyDescent="0.25">
      <c r="B3790" s="64"/>
      <c r="C3790" s="64"/>
      <c r="D3790" s="64"/>
      <c r="E3790" s="64"/>
      <c r="F3790" s="64"/>
      <c r="G3790" s="64"/>
    </row>
    <row r="3791" spans="2:7" ht="32.25" customHeight="1" x14ac:dyDescent="0.25">
      <c r="B3791" s="64"/>
      <c r="C3791" s="64"/>
      <c r="D3791" s="64"/>
      <c r="E3791" s="64"/>
      <c r="F3791" s="64"/>
      <c r="G3791" s="64"/>
    </row>
    <row r="3792" spans="2:7" ht="32.25" customHeight="1" x14ac:dyDescent="0.25">
      <c r="B3792" s="64"/>
      <c r="C3792" s="64"/>
      <c r="D3792" s="64"/>
      <c r="E3792" s="64"/>
      <c r="F3792" s="64"/>
      <c r="G3792" s="64"/>
    </row>
    <row r="3793" spans="2:7" ht="32.25" customHeight="1" x14ac:dyDescent="0.25">
      <c r="B3793" s="64"/>
      <c r="C3793" s="64"/>
      <c r="D3793" s="64"/>
      <c r="E3793" s="64"/>
      <c r="F3793" s="64"/>
      <c r="G3793" s="64"/>
    </row>
    <row r="3794" spans="2:7" ht="32.25" customHeight="1" x14ac:dyDescent="0.25">
      <c r="B3794" s="64"/>
      <c r="C3794" s="64"/>
      <c r="D3794" s="64"/>
      <c r="E3794" s="64"/>
      <c r="F3794" s="64"/>
      <c r="G3794" s="64"/>
    </row>
    <row r="3795" spans="2:7" ht="32.25" customHeight="1" x14ac:dyDescent="0.25">
      <c r="B3795" s="64"/>
      <c r="C3795" s="64"/>
      <c r="D3795" s="64"/>
      <c r="E3795" s="64"/>
      <c r="F3795" s="64"/>
      <c r="G3795" s="64"/>
    </row>
    <row r="3796" spans="2:7" ht="32.25" customHeight="1" x14ac:dyDescent="0.25">
      <c r="B3796" s="64"/>
      <c r="C3796" s="64"/>
      <c r="D3796" s="64"/>
      <c r="E3796" s="64"/>
      <c r="F3796" s="64"/>
      <c r="G3796" s="64"/>
    </row>
    <row r="3797" spans="2:7" ht="32.25" customHeight="1" x14ac:dyDescent="0.25">
      <c r="B3797" s="64"/>
      <c r="C3797" s="64"/>
      <c r="D3797" s="64"/>
      <c r="E3797" s="64"/>
      <c r="F3797" s="64"/>
      <c r="G3797" s="64"/>
    </row>
    <row r="3798" spans="2:7" ht="32.25" customHeight="1" x14ac:dyDescent="0.25">
      <c r="B3798" s="64"/>
      <c r="C3798" s="64"/>
      <c r="D3798" s="64"/>
      <c r="E3798" s="64"/>
      <c r="F3798" s="64"/>
      <c r="G3798" s="64"/>
    </row>
    <row r="3799" spans="2:7" ht="32.25" customHeight="1" x14ac:dyDescent="0.25">
      <c r="B3799" s="64"/>
      <c r="C3799" s="64"/>
      <c r="D3799" s="64"/>
      <c r="E3799" s="64"/>
      <c r="F3799" s="64"/>
      <c r="G3799" s="64"/>
    </row>
    <row r="3800" spans="2:7" ht="32.25" customHeight="1" x14ac:dyDescent="0.25">
      <c r="B3800" s="64"/>
      <c r="C3800" s="64"/>
      <c r="D3800" s="64"/>
      <c r="E3800" s="64"/>
      <c r="F3800" s="64"/>
      <c r="G3800" s="64"/>
    </row>
    <row r="3801" spans="2:7" ht="32.25" customHeight="1" x14ac:dyDescent="0.25">
      <c r="B3801" s="64"/>
      <c r="C3801" s="64"/>
      <c r="D3801" s="64"/>
      <c r="E3801" s="64"/>
      <c r="F3801" s="64"/>
      <c r="G3801" s="64"/>
    </row>
    <row r="3802" spans="2:7" ht="32.25" customHeight="1" x14ac:dyDescent="0.25">
      <c r="B3802" s="64"/>
      <c r="C3802" s="64"/>
      <c r="D3802" s="64"/>
      <c r="E3802" s="64"/>
      <c r="F3802" s="64"/>
      <c r="G3802" s="64"/>
    </row>
    <row r="3803" spans="2:7" ht="32.25" customHeight="1" x14ac:dyDescent="0.25">
      <c r="B3803" s="64"/>
      <c r="C3803" s="64"/>
      <c r="D3803" s="64"/>
      <c r="E3803" s="64"/>
      <c r="F3803" s="64"/>
      <c r="G3803" s="64"/>
    </row>
    <row r="3804" spans="2:7" ht="32.25" customHeight="1" x14ac:dyDescent="0.25">
      <c r="B3804" s="64"/>
      <c r="C3804" s="64"/>
      <c r="D3804" s="64"/>
      <c r="E3804" s="64"/>
      <c r="F3804" s="64"/>
      <c r="G3804" s="64"/>
    </row>
    <row r="3805" spans="2:7" ht="32.25" customHeight="1" x14ac:dyDescent="0.25">
      <c r="B3805" s="64"/>
      <c r="C3805" s="64"/>
      <c r="D3805" s="64"/>
      <c r="E3805" s="64"/>
      <c r="F3805" s="64"/>
      <c r="G3805" s="64"/>
    </row>
    <row r="3806" spans="2:7" ht="32.25" customHeight="1" x14ac:dyDescent="0.25">
      <c r="B3806" s="64"/>
      <c r="C3806" s="64"/>
      <c r="D3806" s="64"/>
      <c r="E3806" s="64"/>
      <c r="F3806" s="64"/>
      <c r="G3806" s="64"/>
    </row>
    <row r="3807" spans="2:7" ht="32.25" customHeight="1" x14ac:dyDescent="0.25">
      <c r="B3807" s="64"/>
      <c r="C3807" s="64"/>
      <c r="D3807" s="64"/>
      <c r="E3807" s="64"/>
      <c r="F3807" s="64"/>
      <c r="G3807" s="64"/>
    </row>
    <row r="3808" spans="2:7" ht="32.25" customHeight="1" x14ac:dyDescent="0.25">
      <c r="B3808" s="64"/>
      <c r="C3808" s="64"/>
      <c r="D3808" s="64"/>
      <c r="E3808" s="64"/>
      <c r="F3808" s="64"/>
      <c r="G3808" s="64"/>
    </row>
    <row r="3809" spans="2:7" ht="32.25" customHeight="1" x14ac:dyDescent="0.25">
      <c r="B3809" s="64"/>
      <c r="C3809" s="64"/>
      <c r="D3809" s="64"/>
      <c r="E3809" s="64"/>
      <c r="F3809" s="64"/>
      <c r="G3809" s="64"/>
    </row>
    <row r="3810" spans="2:7" ht="32.25" customHeight="1" x14ac:dyDescent="0.25">
      <c r="B3810" s="64"/>
      <c r="C3810" s="64"/>
      <c r="D3810" s="64"/>
      <c r="E3810" s="64"/>
      <c r="F3810" s="64"/>
      <c r="G3810" s="64"/>
    </row>
    <row r="3811" spans="2:7" ht="32.25" customHeight="1" x14ac:dyDescent="0.25">
      <c r="B3811" s="64"/>
      <c r="C3811" s="64"/>
      <c r="D3811" s="64"/>
      <c r="E3811" s="64"/>
      <c r="F3811" s="64"/>
      <c r="G3811" s="64"/>
    </row>
    <row r="3812" spans="2:7" ht="32.25" customHeight="1" x14ac:dyDescent="0.25">
      <c r="B3812" s="64"/>
      <c r="C3812" s="64"/>
      <c r="D3812" s="64"/>
      <c r="E3812" s="64"/>
      <c r="F3812" s="64"/>
      <c r="G3812" s="64"/>
    </row>
    <row r="3813" spans="2:7" ht="32.25" customHeight="1" x14ac:dyDescent="0.25">
      <c r="B3813" s="64"/>
      <c r="C3813" s="64"/>
      <c r="D3813" s="64"/>
      <c r="E3813" s="64"/>
      <c r="F3813" s="64"/>
      <c r="G3813" s="64"/>
    </row>
    <row r="3814" spans="2:7" ht="32.25" customHeight="1" x14ac:dyDescent="0.25">
      <c r="B3814" s="64"/>
      <c r="C3814" s="64"/>
      <c r="D3814" s="64"/>
      <c r="E3814" s="64"/>
      <c r="F3814" s="64"/>
      <c r="G3814" s="64"/>
    </row>
    <row r="3815" spans="2:7" ht="32.25" customHeight="1" x14ac:dyDescent="0.25">
      <c r="B3815" s="64"/>
      <c r="C3815" s="64"/>
      <c r="D3815" s="64"/>
      <c r="E3815" s="64"/>
      <c r="F3815" s="64"/>
      <c r="G3815" s="64"/>
    </row>
    <row r="3816" spans="2:7" ht="32.25" customHeight="1" x14ac:dyDescent="0.25">
      <c r="B3816" s="64"/>
      <c r="C3816" s="64"/>
      <c r="D3816" s="64"/>
      <c r="E3816" s="64"/>
      <c r="F3816" s="64"/>
      <c r="G3816" s="64"/>
    </row>
    <row r="3817" spans="2:7" ht="32.25" customHeight="1" x14ac:dyDescent="0.25">
      <c r="B3817" s="64"/>
      <c r="C3817" s="64"/>
      <c r="D3817" s="64"/>
      <c r="E3817" s="64"/>
      <c r="F3817" s="64"/>
      <c r="G3817" s="64"/>
    </row>
    <row r="3818" spans="2:7" ht="32.25" customHeight="1" x14ac:dyDescent="0.25">
      <c r="B3818" s="64"/>
      <c r="C3818" s="64"/>
      <c r="D3818" s="64"/>
      <c r="E3818" s="64"/>
      <c r="F3818" s="64"/>
      <c r="G3818" s="64"/>
    </row>
    <row r="3819" spans="2:7" ht="32.25" customHeight="1" x14ac:dyDescent="0.25">
      <c r="B3819" s="64"/>
      <c r="C3819" s="64"/>
      <c r="D3819" s="64"/>
      <c r="E3819" s="64"/>
      <c r="F3819" s="64"/>
      <c r="G3819" s="64"/>
    </row>
    <row r="3820" spans="2:7" ht="32.25" customHeight="1" x14ac:dyDescent="0.25">
      <c r="B3820" s="64"/>
      <c r="C3820" s="64"/>
      <c r="D3820" s="64"/>
      <c r="E3820" s="64"/>
      <c r="F3820" s="64"/>
      <c r="G3820" s="64"/>
    </row>
    <row r="3821" spans="2:7" ht="32.25" customHeight="1" x14ac:dyDescent="0.25">
      <c r="B3821" s="64"/>
      <c r="C3821" s="64"/>
      <c r="D3821" s="64"/>
      <c r="E3821" s="64"/>
      <c r="F3821" s="64"/>
      <c r="G3821" s="64"/>
    </row>
    <row r="3822" spans="2:7" ht="32.25" customHeight="1" x14ac:dyDescent="0.25">
      <c r="B3822" s="64"/>
      <c r="C3822" s="64"/>
      <c r="D3822" s="64"/>
      <c r="E3822" s="64"/>
      <c r="F3822" s="64"/>
      <c r="G3822" s="64"/>
    </row>
    <row r="3823" spans="2:7" ht="32.25" customHeight="1" x14ac:dyDescent="0.25">
      <c r="B3823" s="64"/>
      <c r="C3823" s="64"/>
      <c r="D3823" s="64"/>
      <c r="E3823" s="64"/>
      <c r="F3823" s="64"/>
      <c r="G3823" s="64"/>
    </row>
    <row r="3824" spans="2:7" ht="32.25" customHeight="1" x14ac:dyDescent="0.25">
      <c r="B3824" s="64"/>
      <c r="C3824" s="64"/>
      <c r="D3824" s="64"/>
      <c r="E3824" s="64"/>
      <c r="F3824" s="64"/>
      <c r="G3824" s="64"/>
    </row>
    <row r="3825" spans="2:7" ht="32.25" customHeight="1" x14ac:dyDescent="0.25">
      <c r="B3825" s="64"/>
      <c r="C3825" s="64"/>
      <c r="D3825" s="64"/>
      <c r="E3825" s="64"/>
      <c r="F3825" s="64"/>
      <c r="G3825" s="64"/>
    </row>
    <row r="3826" spans="2:7" ht="32.25" customHeight="1" x14ac:dyDescent="0.25">
      <c r="B3826" s="64"/>
      <c r="C3826" s="64"/>
      <c r="D3826" s="64"/>
      <c r="E3826" s="64"/>
      <c r="F3826" s="64"/>
      <c r="G3826" s="64"/>
    </row>
    <row r="3827" spans="2:7" ht="32.25" customHeight="1" x14ac:dyDescent="0.25">
      <c r="B3827" s="64"/>
      <c r="C3827" s="64"/>
      <c r="D3827" s="64"/>
      <c r="E3827" s="64"/>
      <c r="F3827" s="64"/>
      <c r="G3827" s="64"/>
    </row>
    <row r="3828" spans="2:7" ht="32.25" customHeight="1" x14ac:dyDescent="0.25">
      <c r="B3828" s="64"/>
      <c r="C3828" s="64"/>
      <c r="D3828" s="64"/>
      <c r="E3828" s="64"/>
      <c r="F3828" s="64"/>
      <c r="G3828" s="64"/>
    </row>
    <row r="3829" spans="2:7" ht="32.25" customHeight="1" x14ac:dyDescent="0.25">
      <c r="B3829" s="64"/>
      <c r="C3829" s="64"/>
      <c r="D3829" s="64"/>
      <c r="E3829" s="64"/>
      <c r="F3829" s="64"/>
      <c r="G3829" s="64"/>
    </row>
    <row r="3830" spans="2:7" ht="32.25" customHeight="1" x14ac:dyDescent="0.25">
      <c r="B3830" s="64"/>
      <c r="C3830" s="64"/>
      <c r="D3830" s="64"/>
      <c r="E3830" s="64"/>
      <c r="F3830" s="64"/>
      <c r="G3830" s="64"/>
    </row>
    <row r="3831" spans="2:7" ht="32.25" customHeight="1" x14ac:dyDescent="0.25">
      <c r="B3831" s="64"/>
      <c r="C3831" s="64"/>
      <c r="D3831" s="64"/>
      <c r="E3831" s="64"/>
      <c r="F3831" s="64"/>
      <c r="G3831" s="64"/>
    </row>
    <row r="3832" spans="2:7" ht="32.25" customHeight="1" x14ac:dyDescent="0.25">
      <c r="B3832" s="64"/>
      <c r="C3832" s="64"/>
      <c r="D3832" s="64"/>
      <c r="E3832" s="64"/>
      <c r="F3832" s="64"/>
      <c r="G3832" s="64"/>
    </row>
    <row r="3833" spans="2:7" ht="32.25" customHeight="1" x14ac:dyDescent="0.25">
      <c r="B3833" s="64"/>
      <c r="C3833" s="64"/>
      <c r="D3833" s="64"/>
      <c r="E3833" s="64"/>
      <c r="F3833" s="64"/>
      <c r="G3833" s="64"/>
    </row>
    <row r="3834" spans="2:7" ht="32.25" customHeight="1" x14ac:dyDescent="0.25">
      <c r="B3834" s="64"/>
      <c r="C3834" s="64"/>
      <c r="D3834" s="64"/>
      <c r="E3834" s="64"/>
      <c r="F3834" s="64"/>
      <c r="G3834" s="64"/>
    </row>
    <row r="3835" spans="2:7" ht="32.25" customHeight="1" x14ac:dyDescent="0.25">
      <c r="B3835" s="64"/>
      <c r="C3835" s="64"/>
      <c r="D3835" s="64"/>
      <c r="E3835" s="64"/>
      <c r="F3835" s="64"/>
      <c r="G3835" s="64"/>
    </row>
    <row r="3836" spans="2:7" ht="32.25" customHeight="1" x14ac:dyDescent="0.25">
      <c r="B3836" s="64"/>
      <c r="C3836" s="64"/>
      <c r="D3836" s="64"/>
      <c r="E3836" s="64"/>
      <c r="F3836" s="64"/>
      <c r="G3836" s="64"/>
    </row>
    <row r="3837" spans="2:7" ht="32.25" customHeight="1" x14ac:dyDescent="0.25">
      <c r="B3837" s="64"/>
      <c r="C3837" s="64"/>
      <c r="D3837" s="64"/>
      <c r="E3837" s="64"/>
      <c r="F3837" s="64"/>
      <c r="G3837" s="64"/>
    </row>
    <row r="3838" spans="2:7" ht="32.25" customHeight="1" x14ac:dyDescent="0.25">
      <c r="B3838" s="64"/>
      <c r="C3838" s="64"/>
      <c r="D3838" s="64"/>
      <c r="E3838" s="64"/>
      <c r="F3838" s="64"/>
      <c r="G3838" s="64"/>
    </row>
    <row r="3839" spans="2:7" ht="32.25" customHeight="1" x14ac:dyDescent="0.25">
      <c r="B3839" s="64"/>
      <c r="C3839" s="64"/>
      <c r="D3839" s="64"/>
      <c r="E3839" s="64"/>
      <c r="F3839" s="64"/>
      <c r="G3839" s="64"/>
    </row>
    <row r="3840" spans="2:7" ht="32.25" customHeight="1" x14ac:dyDescent="0.25">
      <c r="B3840" s="64"/>
      <c r="C3840" s="64"/>
      <c r="D3840" s="64"/>
      <c r="E3840" s="64"/>
      <c r="F3840" s="64"/>
      <c r="G3840" s="64"/>
    </row>
    <row r="3841" spans="2:7" ht="32.25" customHeight="1" x14ac:dyDescent="0.25">
      <c r="B3841" s="64"/>
      <c r="C3841" s="64"/>
      <c r="D3841" s="64"/>
      <c r="E3841" s="64"/>
      <c r="F3841" s="64"/>
      <c r="G3841" s="64"/>
    </row>
    <row r="3842" spans="2:7" ht="32.25" customHeight="1" x14ac:dyDescent="0.25">
      <c r="B3842" s="64"/>
      <c r="C3842" s="64"/>
      <c r="D3842" s="64"/>
      <c r="E3842" s="64"/>
      <c r="F3842" s="64"/>
      <c r="G3842" s="64"/>
    </row>
    <row r="3843" spans="2:7" ht="32.25" customHeight="1" x14ac:dyDescent="0.25">
      <c r="B3843" s="64"/>
      <c r="C3843" s="64"/>
      <c r="D3843" s="64"/>
      <c r="E3843" s="64"/>
      <c r="F3843" s="64"/>
      <c r="G3843" s="64"/>
    </row>
    <row r="3844" spans="2:7" ht="32.25" customHeight="1" x14ac:dyDescent="0.25">
      <c r="B3844" s="64"/>
      <c r="C3844" s="64"/>
      <c r="D3844" s="64"/>
      <c r="E3844" s="64"/>
      <c r="F3844" s="64"/>
      <c r="G3844" s="64"/>
    </row>
    <row r="3845" spans="2:7" ht="32.25" customHeight="1" x14ac:dyDescent="0.25">
      <c r="B3845" s="64"/>
      <c r="C3845" s="64"/>
      <c r="D3845" s="64"/>
      <c r="E3845" s="64"/>
      <c r="F3845" s="64"/>
      <c r="G3845" s="64"/>
    </row>
    <row r="3846" spans="2:7" ht="32.25" customHeight="1" x14ac:dyDescent="0.25">
      <c r="B3846" s="64"/>
      <c r="C3846" s="64"/>
      <c r="D3846" s="64"/>
      <c r="E3846" s="64"/>
      <c r="F3846" s="64"/>
      <c r="G3846" s="64"/>
    </row>
    <row r="3847" spans="2:7" ht="32.25" customHeight="1" x14ac:dyDescent="0.25">
      <c r="B3847" s="64"/>
      <c r="C3847" s="64"/>
      <c r="D3847" s="64"/>
      <c r="E3847" s="64"/>
      <c r="F3847" s="64"/>
      <c r="G3847" s="64"/>
    </row>
    <row r="3848" spans="2:7" ht="32.25" customHeight="1" x14ac:dyDescent="0.25">
      <c r="B3848" s="64"/>
      <c r="C3848" s="64"/>
      <c r="D3848" s="64"/>
      <c r="E3848" s="64"/>
      <c r="F3848" s="64"/>
      <c r="G3848" s="64"/>
    </row>
    <row r="3849" spans="2:7" ht="32.25" customHeight="1" x14ac:dyDescent="0.25">
      <c r="B3849" s="64"/>
      <c r="C3849" s="64"/>
      <c r="D3849" s="64"/>
      <c r="E3849" s="64"/>
      <c r="F3849" s="64"/>
      <c r="G3849" s="64"/>
    </row>
    <row r="3850" spans="2:7" ht="32.25" customHeight="1" x14ac:dyDescent="0.25">
      <c r="B3850" s="64"/>
      <c r="C3850" s="64"/>
      <c r="D3850" s="64"/>
      <c r="E3850" s="64"/>
      <c r="F3850" s="64"/>
      <c r="G3850" s="64"/>
    </row>
    <row r="3851" spans="2:7" ht="32.25" customHeight="1" x14ac:dyDescent="0.25">
      <c r="B3851" s="64"/>
      <c r="C3851" s="64"/>
      <c r="D3851" s="64"/>
      <c r="E3851" s="64"/>
      <c r="F3851" s="64"/>
      <c r="G3851" s="64"/>
    </row>
    <row r="3852" spans="2:7" ht="32.25" customHeight="1" x14ac:dyDescent="0.25">
      <c r="B3852" s="64"/>
      <c r="C3852" s="64"/>
      <c r="D3852" s="64"/>
      <c r="E3852" s="64"/>
      <c r="F3852" s="64"/>
      <c r="G3852" s="64"/>
    </row>
    <row r="3853" spans="2:7" ht="32.25" customHeight="1" x14ac:dyDescent="0.25">
      <c r="B3853" s="64"/>
      <c r="C3853" s="64"/>
      <c r="D3853" s="64"/>
      <c r="E3853" s="64"/>
      <c r="F3853" s="64"/>
      <c r="G3853" s="64"/>
    </row>
    <row r="3854" spans="2:7" ht="32.25" customHeight="1" x14ac:dyDescent="0.25">
      <c r="B3854" s="64"/>
      <c r="C3854" s="64"/>
      <c r="D3854" s="64"/>
      <c r="E3854" s="64"/>
      <c r="F3854" s="64"/>
      <c r="G3854" s="64"/>
    </row>
    <row r="3855" spans="2:7" ht="32.25" customHeight="1" x14ac:dyDescent="0.25">
      <c r="B3855" s="64"/>
      <c r="C3855" s="64"/>
      <c r="D3855" s="64"/>
      <c r="E3855" s="64"/>
      <c r="F3855" s="64"/>
      <c r="G3855" s="64"/>
    </row>
    <row r="3856" spans="2:7" ht="32.25" customHeight="1" x14ac:dyDescent="0.25">
      <c r="B3856" s="64"/>
      <c r="C3856" s="64"/>
      <c r="D3856" s="64"/>
      <c r="E3856" s="64"/>
      <c r="F3856" s="64"/>
      <c r="G3856" s="64"/>
    </row>
    <row r="3857" spans="2:7" ht="32.25" customHeight="1" x14ac:dyDescent="0.25">
      <c r="B3857" s="64"/>
      <c r="C3857" s="64"/>
      <c r="D3857" s="64"/>
      <c r="E3857" s="64"/>
      <c r="F3857" s="64"/>
      <c r="G3857" s="64"/>
    </row>
    <row r="3858" spans="2:7" ht="32.25" customHeight="1" x14ac:dyDescent="0.25">
      <c r="B3858" s="64"/>
      <c r="C3858" s="64"/>
      <c r="D3858" s="64"/>
      <c r="E3858" s="64"/>
      <c r="F3858" s="64"/>
      <c r="G3858" s="64"/>
    </row>
    <row r="3859" spans="2:7" ht="32.25" customHeight="1" x14ac:dyDescent="0.25">
      <c r="B3859" s="64"/>
      <c r="C3859" s="64"/>
      <c r="D3859" s="64"/>
      <c r="E3859" s="64"/>
      <c r="F3859" s="64"/>
      <c r="G3859" s="64"/>
    </row>
    <row r="3860" spans="2:7" ht="32.25" customHeight="1" x14ac:dyDescent="0.25">
      <c r="B3860" s="64"/>
      <c r="C3860" s="64"/>
      <c r="D3860" s="64"/>
      <c r="E3860" s="64"/>
      <c r="F3860" s="64"/>
      <c r="G3860" s="64"/>
    </row>
    <row r="3861" spans="2:7" ht="32.25" customHeight="1" x14ac:dyDescent="0.25">
      <c r="B3861" s="64"/>
      <c r="C3861" s="64"/>
      <c r="D3861" s="64"/>
      <c r="E3861" s="64"/>
      <c r="F3861" s="64"/>
      <c r="G3861" s="64"/>
    </row>
    <row r="3862" spans="2:7" ht="32.25" customHeight="1" x14ac:dyDescent="0.25">
      <c r="B3862" s="64"/>
      <c r="C3862" s="64"/>
      <c r="D3862" s="64"/>
      <c r="E3862" s="64"/>
      <c r="F3862" s="64"/>
      <c r="G3862" s="64"/>
    </row>
    <row r="3863" spans="2:7" ht="32.25" customHeight="1" x14ac:dyDescent="0.25">
      <c r="B3863" s="64"/>
      <c r="C3863" s="64"/>
      <c r="D3863" s="64"/>
      <c r="E3863" s="64"/>
      <c r="F3863" s="64"/>
      <c r="G3863" s="64"/>
    </row>
    <row r="3864" spans="2:7" ht="32.25" customHeight="1" x14ac:dyDescent="0.25">
      <c r="B3864" s="64"/>
      <c r="C3864" s="64"/>
      <c r="D3864" s="64"/>
      <c r="E3864" s="64"/>
      <c r="F3864" s="64"/>
      <c r="G3864" s="64"/>
    </row>
    <row r="3865" spans="2:7" ht="32.25" customHeight="1" x14ac:dyDescent="0.25">
      <c r="B3865" s="64"/>
      <c r="C3865" s="64"/>
      <c r="D3865" s="64"/>
      <c r="E3865" s="64"/>
      <c r="F3865" s="64"/>
      <c r="G3865" s="64"/>
    </row>
    <row r="3866" spans="2:7" ht="32.25" customHeight="1" x14ac:dyDescent="0.25">
      <c r="B3866" s="64"/>
      <c r="C3866" s="64"/>
      <c r="D3866" s="64"/>
      <c r="E3866" s="64"/>
      <c r="F3866" s="64"/>
      <c r="G3866" s="64"/>
    </row>
    <row r="3867" spans="2:7" ht="32.25" customHeight="1" x14ac:dyDescent="0.25">
      <c r="B3867" s="64"/>
      <c r="C3867" s="64"/>
      <c r="D3867" s="64"/>
      <c r="E3867" s="64"/>
      <c r="F3867" s="64"/>
      <c r="G3867" s="64"/>
    </row>
    <row r="3868" spans="2:7" ht="32.25" customHeight="1" x14ac:dyDescent="0.25">
      <c r="B3868" s="64"/>
      <c r="C3868" s="64"/>
      <c r="D3868" s="64"/>
      <c r="E3868" s="64"/>
      <c r="F3868" s="64"/>
      <c r="G3868" s="64"/>
    </row>
    <row r="3869" spans="2:7" ht="32.25" customHeight="1" x14ac:dyDescent="0.25">
      <c r="B3869" s="64"/>
      <c r="C3869" s="64"/>
      <c r="D3869" s="64"/>
      <c r="E3869" s="64"/>
      <c r="F3869" s="64"/>
      <c r="G3869" s="64"/>
    </row>
    <row r="3870" spans="2:7" ht="32.25" customHeight="1" x14ac:dyDescent="0.25">
      <c r="B3870" s="64"/>
      <c r="C3870" s="64"/>
      <c r="D3870" s="64"/>
      <c r="E3870" s="64"/>
      <c r="F3870" s="64"/>
      <c r="G3870" s="64"/>
    </row>
    <row r="3871" spans="2:7" ht="32.25" customHeight="1" x14ac:dyDescent="0.25">
      <c r="B3871" s="64"/>
      <c r="C3871" s="64"/>
      <c r="D3871" s="64"/>
      <c r="E3871" s="64"/>
      <c r="F3871" s="64"/>
      <c r="G3871" s="64"/>
    </row>
    <row r="3872" spans="2:7" ht="32.25" customHeight="1" x14ac:dyDescent="0.25">
      <c r="B3872" s="64"/>
      <c r="C3872" s="64"/>
      <c r="D3872" s="64"/>
      <c r="E3872" s="64"/>
      <c r="F3872" s="64"/>
      <c r="G3872" s="64"/>
    </row>
    <row r="3873" spans="2:7" ht="32.25" customHeight="1" x14ac:dyDescent="0.25">
      <c r="B3873" s="64"/>
      <c r="C3873" s="64"/>
      <c r="D3873" s="64"/>
      <c r="E3873" s="64"/>
      <c r="F3873" s="64"/>
      <c r="G3873" s="64"/>
    </row>
    <row r="3874" spans="2:7" ht="32.25" customHeight="1" x14ac:dyDescent="0.25">
      <c r="B3874" s="64"/>
      <c r="C3874" s="64"/>
      <c r="D3874" s="64"/>
      <c r="E3874" s="64"/>
      <c r="F3874" s="64"/>
      <c r="G3874" s="64"/>
    </row>
    <row r="3875" spans="2:7" ht="32.25" customHeight="1" x14ac:dyDescent="0.25">
      <c r="B3875" s="64"/>
      <c r="C3875" s="64"/>
      <c r="D3875" s="64"/>
      <c r="E3875" s="64"/>
      <c r="F3875" s="64"/>
      <c r="G3875" s="64"/>
    </row>
    <row r="3876" spans="2:7" ht="32.25" customHeight="1" x14ac:dyDescent="0.25">
      <c r="B3876" s="64"/>
      <c r="C3876" s="64"/>
      <c r="D3876" s="64"/>
      <c r="E3876" s="64"/>
      <c r="F3876" s="64"/>
      <c r="G3876" s="64"/>
    </row>
    <row r="3877" spans="2:7" ht="32.25" customHeight="1" x14ac:dyDescent="0.25">
      <c r="B3877" s="64"/>
      <c r="C3877" s="64"/>
      <c r="D3877" s="64"/>
      <c r="E3877" s="64"/>
      <c r="F3877" s="64"/>
      <c r="G3877" s="64"/>
    </row>
    <row r="3878" spans="2:7" ht="32.25" customHeight="1" x14ac:dyDescent="0.25">
      <c r="B3878" s="64"/>
      <c r="C3878" s="64"/>
      <c r="D3878" s="64"/>
      <c r="E3878" s="64"/>
      <c r="F3878" s="64"/>
      <c r="G3878" s="64"/>
    </row>
    <row r="3879" spans="2:7" ht="32.25" customHeight="1" x14ac:dyDescent="0.25">
      <c r="B3879" s="64"/>
      <c r="C3879" s="64"/>
      <c r="D3879" s="64"/>
      <c r="E3879" s="64"/>
      <c r="F3879" s="64"/>
      <c r="G3879" s="64"/>
    </row>
    <row r="3880" spans="2:7" ht="32.25" customHeight="1" x14ac:dyDescent="0.25">
      <c r="B3880" s="64"/>
      <c r="C3880" s="64"/>
      <c r="D3880" s="64"/>
      <c r="E3880" s="64"/>
      <c r="F3880" s="64"/>
      <c r="G3880" s="64"/>
    </row>
    <row r="3881" spans="2:7" ht="32.25" customHeight="1" x14ac:dyDescent="0.25">
      <c r="B3881" s="64"/>
      <c r="C3881" s="64"/>
      <c r="D3881" s="64"/>
      <c r="E3881" s="64"/>
      <c r="F3881" s="64"/>
      <c r="G3881" s="64"/>
    </row>
    <row r="3882" spans="2:7" ht="32.25" customHeight="1" x14ac:dyDescent="0.25">
      <c r="B3882" s="64"/>
      <c r="C3882" s="64"/>
      <c r="D3882" s="64"/>
      <c r="E3882" s="64"/>
      <c r="F3882" s="64"/>
      <c r="G3882" s="64"/>
    </row>
    <row r="3883" spans="2:7" ht="32.25" customHeight="1" x14ac:dyDescent="0.25">
      <c r="B3883" s="64"/>
      <c r="C3883" s="64"/>
      <c r="D3883" s="64"/>
      <c r="E3883" s="64"/>
      <c r="F3883" s="64"/>
      <c r="G3883" s="64"/>
    </row>
    <row r="3884" spans="2:7" ht="32.25" customHeight="1" x14ac:dyDescent="0.25">
      <c r="B3884" s="64"/>
      <c r="C3884" s="64"/>
      <c r="D3884" s="64"/>
      <c r="E3884" s="64"/>
      <c r="F3884" s="64"/>
      <c r="G3884" s="64"/>
    </row>
    <row r="3885" spans="2:7" ht="32.25" customHeight="1" x14ac:dyDescent="0.25">
      <c r="B3885" s="64"/>
      <c r="C3885" s="64"/>
      <c r="D3885" s="64"/>
      <c r="E3885" s="64"/>
      <c r="F3885" s="64"/>
      <c r="G3885" s="64"/>
    </row>
    <row r="3886" spans="2:7" ht="32.25" customHeight="1" x14ac:dyDescent="0.25">
      <c r="B3886" s="64"/>
      <c r="C3886" s="64"/>
      <c r="D3886" s="64"/>
      <c r="E3886" s="64"/>
      <c r="F3886" s="64"/>
      <c r="G3886" s="64"/>
    </row>
    <row r="3887" spans="2:7" ht="32.25" customHeight="1" x14ac:dyDescent="0.25">
      <c r="B3887" s="64"/>
      <c r="C3887" s="64"/>
      <c r="D3887" s="64"/>
      <c r="E3887" s="64"/>
      <c r="F3887" s="64"/>
      <c r="G3887" s="64"/>
    </row>
    <row r="3888" spans="2:7" ht="32.25" customHeight="1" x14ac:dyDescent="0.25">
      <c r="B3888" s="64"/>
      <c r="C3888" s="64"/>
      <c r="D3888" s="64"/>
      <c r="E3888" s="64"/>
      <c r="F3888" s="64"/>
      <c r="G3888" s="64"/>
    </row>
    <row r="3889" spans="2:7" ht="32.25" customHeight="1" x14ac:dyDescent="0.25">
      <c r="B3889" s="64"/>
      <c r="C3889" s="64"/>
      <c r="D3889" s="64"/>
      <c r="E3889" s="64"/>
      <c r="F3889" s="64"/>
      <c r="G3889" s="64"/>
    </row>
    <row r="3890" spans="2:7" ht="32.25" customHeight="1" x14ac:dyDescent="0.25">
      <c r="B3890" s="64"/>
      <c r="C3890" s="64"/>
      <c r="D3890" s="64"/>
      <c r="E3890" s="64"/>
      <c r="F3890" s="64"/>
      <c r="G3890" s="64"/>
    </row>
    <row r="3891" spans="2:7" ht="32.25" customHeight="1" x14ac:dyDescent="0.25">
      <c r="B3891" s="64"/>
      <c r="C3891" s="64"/>
      <c r="D3891" s="64"/>
      <c r="E3891" s="64"/>
      <c r="F3891" s="64"/>
      <c r="G3891" s="64"/>
    </row>
    <row r="3892" spans="2:7" ht="32.25" customHeight="1" x14ac:dyDescent="0.25">
      <c r="B3892" s="64"/>
      <c r="C3892" s="64"/>
      <c r="D3892" s="64"/>
      <c r="E3892" s="64"/>
      <c r="F3892" s="64"/>
      <c r="G3892" s="64"/>
    </row>
    <row r="3893" spans="2:7" ht="32.25" customHeight="1" x14ac:dyDescent="0.25">
      <c r="B3893" s="64"/>
      <c r="C3893" s="64"/>
      <c r="D3893" s="64"/>
      <c r="E3893" s="64"/>
      <c r="F3893" s="64"/>
      <c r="G3893" s="64"/>
    </row>
    <row r="3894" spans="2:7" ht="32.25" customHeight="1" x14ac:dyDescent="0.25">
      <c r="B3894" s="64"/>
      <c r="C3894" s="64"/>
      <c r="D3894" s="64"/>
      <c r="E3894" s="64"/>
      <c r="F3894" s="64"/>
      <c r="G3894" s="64"/>
    </row>
    <row r="3895" spans="2:7" ht="32.25" customHeight="1" x14ac:dyDescent="0.25">
      <c r="B3895" s="64"/>
      <c r="C3895" s="64"/>
      <c r="D3895" s="64"/>
      <c r="E3895" s="64"/>
      <c r="F3895" s="64"/>
      <c r="G3895" s="64"/>
    </row>
    <row r="3896" spans="2:7" ht="32.25" customHeight="1" x14ac:dyDescent="0.25">
      <c r="B3896" s="64"/>
      <c r="C3896" s="64"/>
      <c r="D3896" s="64"/>
      <c r="E3896" s="64"/>
      <c r="F3896" s="64"/>
      <c r="G3896" s="64"/>
    </row>
    <row r="3897" spans="2:7" ht="32.25" customHeight="1" x14ac:dyDescent="0.25">
      <c r="B3897" s="64"/>
      <c r="C3897" s="64"/>
      <c r="D3897" s="64"/>
      <c r="E3897" s="64"/>
      <c r="F3897" s="64"/>
      <c r="G3897" s="64"/>
    </row>
    <row r="3898" spans="2:7" ht="32.25" customHeight="1" x14ac:dyDescent="0.25">
      <c r="B3898" s="64"/>
      <c r="C3898" s="64"/>
      <c r="D3898" s="64"/>
      <c r="E3898" s="64"/>
      <c r="F3898" s="64"/>
      <c r="G3898" s="64"/>
    </row>
    <row r="3899" spans="2:7" ht="32.25" customHeight="1" x14ac:dyDescent="0.25">
      <c r="B3899" s="64"/>
      <c r="C3899" s="64"/>
      <c r="D3899" s="64"/>
      <c r="E3899" s="64"/>
      <c r="F3899" s="64"/>
      <c r="G3899" s="64"/>
    </row>
    <row r="3900" spans="2:7" ht="32.25" customHeight="1" x14ac:dyDescent="0.25">
      <c r="B3900" s="64"/>
      <c r="C3900" s="64"/>
      <c r="D3900" s="64"/>
      <c r="E3900" s="64"/>
      <c r="F3900" s="64"/>
      <c r="G3900" s="64"/>
    </row>
    <row r="3901" spans="2:7" ht="32.25" customHeight="1" x14ac:dyDescent="0.25">
      <c r="B3901" s="64"/>
      <c r="C3901" s="64"/>
      <c r="D3901" s="64"/>
      <c r="E3901" s="64"/>
      <c r="F3901" s="64"/>
      <c r="G3901" s="64"/>
    </row>
    <row r="3902" spans="2:7" ht="32.25" customHeight="1" x14ac:dyDescent="0.25">
      <c r="B3902" s="64"/>
      <c r="C3902" s="64"/>
      <c r="D3902" s="64"/>
      <c r="E3902" s="64"/>
      <c r="F3902" s="64"/>
      <c r="G3902" s="64"/>
    </row>
    <row r="3903" spans="2:7" ht="32.25" customHeight="1" x14ac:dyDescent="0.25">
      <c r="B3903" s="64"/>
      <c r="C3903" s="64"/>
      <c r="D3903" s="64"/>
      <c r="E3903" s="64"/>
      <c r="F3903" s="64"/>
      <c r="G3903" s="64"/>
    </row>
    <row r="3904" spans="2:7" ht="32.25" customHeight="1" x14ac:dyDescent="0.25">
      <c r="B3904" s="64"/>
      <c r="C3904" s="64"/>
      <c r="D3904" s="64"/>
      <c r="E3904" s="64"/>
      <c r="F3904" s="64"/>
      <c r="G3904" s="64"/>
    </row>
    <row r="3905" spans="2:7" ht="32.25" customHeight="1" x14ac:dyDescent="0.25">
      <c r="B3905" s="64"/>
      <c r="C3905" s="64"/>
      <c r="D3905" s="64"/>
      <c r="E3905" s="64"/>
      <c r="F3905" s="64"/>
      <c r="G3905" s="64"/>
    </row>
    <row r="3906" spans="2:7" ht="32.25" customHeight="1" x14ac:dyDescent="0.25">
      <c r="B3906" s="64"/>
      <c r="C3906" s="64"/>
      <c r="D3906" s="64"/>
      <c r="E3906" s="64"/>
      <c r="F3906" s="64"/>
      <c r="G3906" s="64"/>
    </row>
    <row r="3907" spans="2:7" ht="32.25" customHeight="1" x14ac:dyDescent="0.25">
      <c r="B3907" s="64"/>
      <c r="C3907" s="64"/>
      <c r="D3907" s="64"/>
      <c r="E3907" s="64"/>
      <c r="F3907" s="64"/>
      <c r="G3907" s="64"/>
    </row>
    <row r="3908" spans="2:7" ht="32.25" customHeight="1" x14ac:dyDescent="0.25">
      <c r="B3908" s="64"/>
      <c r="C3908" s="64"/>
      <c r="D3908" s="64"/>
      <c r="E3908" s="64"/>
      <c r="F3908" s="64"/>
      <c r="G3908" s="64"/>
    </row>
    <row r="3909" spans="2:7" ht="32.25" customHeight="1" x14ac:dyDescent="0.25">
      <c r="B3909" s="64"/>
      <c r="C3909" s="64"/>
      <c r="D3909" s="64"/>
      <c r="E3909" s="64"/>
      <c r="F3909" s="64"/>
      <c r="G3909" s="64"/>
    </row>
    <row r="3910" spans="2:7" ht="32.25" customHeight="1" x14ac:dyDescent="0.25">
      <c r="B3910" s="64"/>
      <c r="C3910" s="64"/>
      <c r="D3910" s="64"/>
      <c r="E3910" s="64"/>
      <c r="F3910" s="64"/>
      <c r="G3910" s="64"/>
    </row>
    <row r="3911" spans="2:7" ht="32.25" customHeight="1" x14ac:dyDescent="0.25">
      <c r="B3911" s="64"/>
      <c r="C3911" s="64"/>
      <c r="D3911" s="64"/>
      <c r="E3911" s="64"/>
      <c r="F3911" s="64"/>
      <c r="G3911" s="64"/>
    </row>
    <row r="3912" spans="2:7" ht="32.25" customHeight="1" x14ac:dyDescent="0.25">
      <c r="B3912" s="64"/>
      <c r="C3912" s="64"/>
      <c r="D3912" s="64"/>
      <c r="E3912" s="64"/>
      <c r="F3912" s="64"/>
      <c r="G3912" s="64"/>
    </row>
    <row r="3913" spans="2:7" ht="32.25" customHeight="1" x14ac:dyDescent="0.25">
      <c r="B3913" s="64"/>
      <c r="C3913" s="64"/>
      <c r="D3913" s="64"/>
      <c r="E3913" s="64"/>
      <c r="F3913" s="64"/>
      <c r="G3913" s="64"/>
    </row>
    <row r="3914" spans="2:7" ht="32.25" customHeight="1" x14ac:dyDescent="0.25">
      <c r="B3914" s="64"/>
      <c r="C3914" s="64"/>
      <c r="D3914" s="64"/>
      <c r="E3914" s="64"/>
      <c r="F3914" s="64"/>
      <c r="G3914" s="64"/>
    </row>
    <row r="3915" spans="2:7" ht="32.25" customHeight="1" x14ac:dyDescent="0.25">
      <c r="B3915" s="64"/>
      <c r="C3915" s="64"/>
      <c r="D3915" s="64"/>
      <c r="E3915" s="64"/>
      <c r="F3915" s="64"/>
      <c r="G3915" s="64"/>
    </row>
    <row r="3916" spans="2:7" ht="32.25" customHeight="1" x14ac:dyDescent="0.25">
      <c r="B3916" s="64"/>
      <c r="C3916" s="64"/>
      <c r="D3916" s="64"/>
      <c r="E3916" s="64"/>
      <c r="F3916" s="64"/>
      <c r="G3916" s="64"/>
    </row>
    <row r="3917" spans="2:7" ht="32.25" customHeight="1" x14ac:dyDescent="0.25">
      <c r="B3917" s="64"/>
      <c r="C3917" s="64"/>
      <c r="D3917" s="64"/>
      <c r="E3917" s="64"/>
      <c r="F3917" s="64"/>
      <c r="G3917" s="64"/>
    </row>
    <row r="3918" spans="2:7" ht="32.25" customHeight="1" x14ac:dyDescent="0.25">
      <c r="B3918" s="64"/>
      <c r="C3918" s="64"/>
      <c r="D3918" s="64"/>
      <c r="E3918" s="64"/>
      <c r="F3918" s="64"/>
      <c r="G3918" s="64"/>
    </row>
    <row r="3919" spans="2:7" ht="32.25" customHeight="1" x14ac:dyDescent="0.25">
      <c r="B3919" s="64"/>
      <c r="C3919" s="64"/>
      <c r="D3919" s="64"/>
      <c r="E3919" s="64"/>
      <c r="F3919" s="64"/>
      <c r="G3919" s="64"/>
    </row>
    <row r="3920" spans="2:7" ht="32.25" customHeight="1" x14ac:dyDescent="0.25">
      <c r="B3920" s="64"/>
      <c r="C3920" s="64"/>
      <c r="D3920" s="64"/>
      <c r="E3920" s="64"/>
      <c r="F3920" s="64"/>
      <c r="G3920" s="64"/>
    </row>
    <row r="3921" spans="2:7" ht="32.25" customHeight="1" x14ac:dyDescent="0.25">
      <c r="B3921" s="64"/>
      <c r="C3921" s="64"/>
      <c r="D3921" s="64"/>
      <c r="E3921" s="64"/>
      <c r="F3921" s="64"/>
      <c r="G3921" s="64"/>
    </row>
    <row r="3922" spans="2:7" ht="32.25" customHeight="1" x14ac:dyDescent="0.25">
      <c r="B3922" s="64"/>
      <c r="C3922" s="64"/>
      <c r="D3922" s="64"/>
      <c r="E3922" s="64"/>
      <c r="F3922" s="64"/>
      <c r="G3922" s="64"/>
    </row>
    <row r="3923" spans="2:7" ht="32.25" customHeight="1" x14ac:dyDescent="0.25">
      <c r="B3923" s="64"/>
      <c r="C3923" s="64"/>
      <c r="D3923" s="64"/>
      <c r="E3923" s="64"/>
      <c r="F3923" s="64"/>
      <c r="G3923" s="64"/>
    </row>
    <row r="3924" spans="2:7" ht="32.25" customHeight="1" x14ac:dyDescent="0.25">
      <c r="B3924" s="64"/>
      <c r="C3924" s="64"/>
      <c r="D3924" s="64"/>
      <c r="E3924" s="64"/>
      <c r="F3924" s="64"/>
      <c r="G3924" s="64"/>
    </row>
    <row r="3925" spans="2:7" ht="32.25" customHeight="1" x14ac:dyDescent="0.25">
      <c r="B3925" s="64"/>
      <c r="C3925" s="64"/>
      <c r="D3925" s="64"/>
      <c r="E3925" s="64"/>
      <c r="F3925" s="64"/>
      <c r="G3925" s="64"/>
    </row>
    <row r="3926" spans="2:7" ht="32.25" customHeight="1" x14ac:dyDescent="0.25">
      <c r="B3926" s="64"/>
      <c r="C3926" s="64"/>
      <c r="D3926" s="64"/>
      <c r="E3926" s="64"/>
      <c r="F3926" s="64"/>
      <c r="G3926" s="64"/>
    </row>
    <row r="3927" spans="2:7" ht="32.25" customHeight="1" x14ac:dyDescent="0.25">
      <c r="B3927" s="64"/>
      <c r="C3927" s="64"/>
      <c r="D3927" s="64"/>
      <c r="E3927" s="64"/>
      <c r="F3927" s="64"/>
      <c r="G3927" s="64"/>
    </row>
    <row r="3928" spans="2:7" ht="32.25" customHeight="1" x14ac:dyDescent="0.25">
      <c r="B3928" s="64"/>
      <c r="C3928" s="64"/>
      <c r="D3928" s="64"/>
      <c r="E3928" s="64"/>
      <c r="F3928" s="64"/>
      <c r="G3928" s="64"/>
    </row>
    <row r="3929" spans="2:7" ht="32.25" customHeight="1" x14ac:dyDescent="0.25">
      <c r="B3929" s="64"/>
      <c r="C3929" s="64"/>
      <c r="D3929" s="64"/>
      <c r="E3929" s="64"/>
      <c r="F3929" s="64"/>
      <c r="G3929" s="64"/>
    </row>
    <row r="3930" spans="2:7" ht="32.25" customHeight="1" x14ac:dyDescent="0.25">
      <c r="B3930" s="64"/>
      <c r="C3930" s="64"/>
      <c r="D3930" s="64"/>
      <c r="E3930" s="64"/>
      <c r="F3930" s="64"/>
      <c r="G3930" s="64"/>
    </row>
    <row r="3931" spans="2:7" ht="32.25" customHeight="1" x14ac:dyDescent="0.25">
      <c r="B3931" s="64"/>
      <c r="C3931" s="64"/>
      <c r="D3931" s="64"/>
      <c r="E3931" s="64"/>
      <c r="F3931" s="64"/>
      <c r="G3931" s="64"/>
    </row>
    <row r="3932" spans="2:7" ht="32.25" customHeight="1" x14ac:dyDescent="0.25">
      <c r="B3932" s="64"/>
      <c r="C3932" s="64"/>
      <c r="D3932" s="64"/>
      <c r="E3932" s="64"/>
      <c r="F3932" s="64"/>
      <c r="G3932" s="64"/>
    </row>
    <row r="3933" spans="2:7" ht="32.25" customHeight="1" x14ac:dyDescent="0.25">
      <c r="B3933" s="64"/>
      <c r="C3933" s="64"/>
      <c r="D3933" s="64"/>
      <c r="E3933" s="64"/>
      <c r="F3933" s="64"/>
      <c r="G3933" s="64"/>
    </row>
    <row r="3934" spans="2:7" ht="32.25" customHeight="1" x14ac:dyDescent="0.25">
      <c r="B3934" s="64"/>
      <c r="C3934" s="64"/>
      <c r="D3934" s="64"/>
      <c r="E3934" s="64"/>
      <c r="F3934" s="64"/>
      <c r="G3934" s="64"/>
    </row>
    <row r="3935" spans="2:7" ht="32.25" customHeight="1" x14ac:dyDescent="0.25">
      <c r="B3935" s="64"/>
      <c r="C3935" s="64"/>
      <c r="D3935" s="64"/>
      <c r="E3935" s="64"/>
      <c r="F3935" s="64"/>
      <c r="G3935" s="64"/>
    </row>
    <row r="3936" spans="2:7" ht="32.25" customHeight="1" x14ac:dyDescent="0.25">
      <c r="B3936" s="64"/>
      <c r="C3936" s="64"/>
      <c r="D3936" s="64"/>
      <c r="E3936" s="64"/>
      <c r="F3936" s="64"/>
      <c r="G3936" s="64"/>
    </row>
    <row r="3937" spans="2:7" ht="32.25" customHeight="1" x14ac:dyDescent="0.25">
      <c r="B3937" s="64"/>
      <c r="C3937" s="64"/>
      <c r="D3937" s="64"/>
      <c r="E3937" s="64"/>
      <c r="F3937" s="64"/>
      <c r="G3937" s="64"/>
    </row>
    <row r="3938" spans="2:7" ht="32.25" customHeight="1" x14ac:dyDescent="0.25">
      <c r="B3938" s="64"/>
      <c r="C3938" s="64"/>
      <c r="D3938" s="64"/>
      <c r="E3938" s="64"/>
      <c r="F3938" s="64"/>
      <c r="G3938" s="64"/>
    </row>
    <row r="3939" spans="2:7" ht="32.25" customHeight="1" x14ac:dyDescent="0.25">
      <c r="B3939" s="64"/>
      <c r="C3939" s="64"/>
      <c r="D3939" s="64"/>
      <c r="E3939" s="64"/>
      <c r="F3939" s="64"/>
      <c r="G3939" s="64"/>
    </row>
    <row r="3940" spans="2:7" ht="32.25" customHeight="1" x14ac:dyDescent="0.25">
      <c r="B3940" s="64"/>
      <c r="C3940" s="64"/>
      <c r="D3940" s="64"/>
      <c r="E3940" s="64"/>
      <c r="F3940" s="64"/>
      <c r="G3940" s="64"/>
    </row>
    <row r="3941" spans="2:7" ht="32.25" customHeight="1" x14ac:dyDescent="0.25">
      <c r="B3941" s="64"/>
      <c r="C3941" s="64"/>
      <c r="D3941" s="64"/>
      <c r="E3941" s="64"/>
      <c r="F3941" s="64"/>
      <c r="G3941" s="64"/>
    </row>
    <row r="3942" spans="2:7" ht="32.25" customHeight="1" x14ac:dyDescent="0.25">
      <c r="B3942" s="64"/>
      <c r="C3942" s="64"/>
      <c r="D3942" s="64"/>
      <c r="E3942" s="64"/>
      <c r="F3942" s="64"/>
      <c r="G3942" s="64"/>
    </row>
    <row r="3943" spans="2:7" ht="32.25" customHeight="1" x14ac:dyDescent="0.25">
      <c r="B3943" s="64"/>
      <c r="C3943" s="64"/>
      <c r="D3943" s="64"/>
      <c r="E3943" s="64"/>
      <c r="F3943" s="64"/>
      <c r="G3943" s="64"/>
    </row>
    <row r="3944" spans="2:7" ht="32.25" customHeight="1" x14ac:dyDescent="0.25">
      <c r="B3944" s="64"/>
      <c r="C3944" s="64"/>
      <c r="D3944" s="64"/>
      <c r="E3944" s="64"/>
      <c r="F3944" s="64"/>
      <c r="G3944" s="64"/>
    </row>
    <row r="3945" spans="2:7" ht="32.25" customHeight="1" x14ac:dyDescent="0.25">
      <c r="B3945" s="64"/>
      <c r="C3945" s="64"/>
      <c r="D3945" s="64"/>
      <c r="E3945" s="64"/>
      <c r="F3945" s="64"/>
      <c r="G3945" s="64"/>
    </row>
    <row r="3946" spans="2:7" ht="32.25" customHeight="1" x14ac:dyDescent="0.25">
      <c r="B3946" s="64"/>
      <c r="C3946" s="64"/>
      <c r="D3946" s="64"/>
      <c r="E3946" s="64"/>
      <c r="F3946" s="64"/>
      <c r="G3946" s="64"/>
    </row>
    <row r="3947" spans="2:7" ht="32.25" customHeight="1" x14ac:dyDescent="0.25">
      <c r="B3947" s="64"/>
      <c r="C3947" s="64"/>
      <c r="D3947" s="64"/>
      <c r="E3947" s="64"/>
      <c r="F3947" s="64"/>
      <c r="G3947" s="64"/>
    </row>
    <row r="3948" spans="2:7" ht="32.25" customHeight="1" x14ac:dyDescent="0.25">
      <c r="B3948" s="64"/>
      <c r="C3948" s="64"/>
      <c r="D3948" s="64"/>
      <c r="E3948" s="64"/>
      <c r="F3948" s="64"/>
      <c r="G3948" s="64"/>
    </row>
    <row r="3949" spans="2:7" ht="32.25" customHeight="1" x14ac:dyDescent="0.25">
      <c r="B3949" s="64"/>
      <c r="C3949" s="64"/>
      <c r="D3949" s="64"/>
      <c r="E3949" s="64"/>
      <c r="F3949" s="64"/>
      <c r="G3949" s="64"/>
    </row>
    <row r="3950" spans="2:7" ht="32.25" customHeight="1" x14ac:dyDescent="0.25">
      <c r="B3950" s="64"/>
      <c r="C3950" s="64"/>
      <c r="D3950" s="64"/>
      <c r="E3950" s="64"/>
      <c r="F3950" s="64"/>
      <c r="G3950" s="64"/>
    </row>
    <row r="3951" spans="2:7" ht="32.25" customHeight="1" x14ac:dyDescent="0.25">
      <c r="B3951" s="64"/>
      <c r="C3951" s="64"/>
      <c r="D3951" s="64"/>
      <c r="E3951" s="64"/>
      <c r="F3951" s="64"/>
      <c r="G3951" s="64"/>
    </row>
    <row r="3952" spans="2:7" ht="32.25" customHeight="1" x14ac:dyDescent="0.25">
      <c r="B3952" s="64"/>
      <c r="C3952" s="64"/>
      <c r="D3952" s="64"/>
      <c r="E3952" s="64"/>
      <c r="F3952" s="64"/>
      <c r="G3952" s="64"/>
    </row>
    <row r="3953" spans="2:7" ht="32.25" customHeight="1" x14ac:dyDescent="0.25">
      <c r="B3953" s="64"/>
      <c r="C3953" s="64"/>
      <c r="D3953" s="64"/>
      <c r="E3953" s="64"/>
      <c r="F3953" s="64"/>
      <c r="G3953" s="64"/>
    </row>
    <row r="3954" spans="2:7" ht="32.25" customHeight="1" x14ac:dyDescent="0.25">
      <c r="B3954" s="64"/>
      <c r="C3954" s="64"/>
      <c r="D3954" s="64"/>
      <c r="E3954" s="64"/>
      <c r="F3954" s="64"/>
      <c r="G3954" s="64"/>
    </row>
    <row r="3955" spans="2:7" ht="32.25" customHeight="1" x14ac:dyDescent="0.25">
      <c r="B3955" s="64"/>
      <c r="C3955" s="64"/>
      <c r="D3955" s="64"/>
      <c r="E3955" s="64"/>
      <c r="F3955" s="64"/>
      <c r="G3955" s="64"/>
    </row>
    <row r="3956" spans="2:7" ht="32.25" customHeight="1" x14ac:dyDescent="0.25">
      <c r="B3956" s="64"/>
      <c r="C3956" s="64"/>
      <c r="D3956" s="64"/>
      <c r="E3956" s="64"/>
      <c r="F3956" s="64"/>
      <c r="G3956" s="64"/>
    </row>
    <row r="3957" spans="2:7" ht="32.25" customHeight="1" x14ac:dyDescent="0.25">
      <c r="B3957" s="64"/>
      <c r="C3957" s="64"/>
      <c r="D3957" s="64"/>
      <c r="E3957" s="64"/>
      <c r="F3957" s="64"/>
      <c r="G3957" s="64"/>
    </row>
    <row r="3958" spans="2:7" ht="32.25" customHeight="1" x14ac:dyDescent="0.25">
      <c r="B3958" s="64"/>
      <c r="C3958" s="64"/>
      <c r="D3958" s="64"/>
      <c r="E3958" s="64"/>
      <c r="F3958" s="64"/>
      <c r="G3958" s="64"/>
    </row>
    <row r="3959" spans="2:7" ht="32.25" customHeight="1" x14ac:dyDescent="0.25">
      <c r="B3959" s="64"/>
      <c r="C3959" s="64"/>
      <c r="D3959" s="64"/>
      <c r="E3959" s="64"/>
      <c r="F3959" s="64"/>
      <c r="G3959" s="64"/>
    </row>
    <row r="3960" spans="2:7" ht="32.25" customHeight="1" x14ac:dyDescent="0.25">
      <c r="B3960" s="64"/>
      <c r="C3960" s="64"/>
      <c r="D3960" s="64"/>
      <c r="E3960" s="64"/>
      <c r="F3960" s="64"/>
      <c r="G3960" s="64"/>
    </row>
    <row r="3961" spans="2:7" ht="32.25" customHeight="1" x14ac:dyDescent="0.25">
      <c r="B3961" s="64"/>
      <c r="C3961" s="64"/>
      <c r="D3961" s="64"/>
      <c r="E3961" s="64"/>
      <c r="F3961" s="64"/>
      <c r="G3961" s="64"/>
    </row>
    <row r="3962" spans="2:7" ht="32.25" customHeight="1" x14ac:dyDescent="0.25">
      <c r="B3962" s="64"/>
      <c r="C3962" s="64"/>
      <c r="D3962" s="64"/>
      <c r="E3962" s="64"/>
      <c r="F3962" s="64"/>
      <c r="G3962" s="64"/>
    </row>
    <row r="3963" spans="2:7" ht="32.25" customHeight="1" x14ac:dyDescent="0.25">
      <c r="B3963" s="64"/>
      <c r="C3963" s="64"/>
      <c r="D3963" s="64"/>
      <c r="E3963" s="64"/>
      <c r="F3963" s="64"/>
      <c r="G3963" s="64"/>
    </row>
    <row r="3964" spans="2:7" ht="32.25" customHeight="1" x14ac:dyDescent="0.25">
      <c r="B3964" s="64"/>
      <c r="C3964" s="64"/>
      <c r="D3964" s="64"/>
      <c r="E3964" s="64"/>
      <c r="F3964" s="64"/>
      <c r="G3964" s="64"/>
    </row>
    <row r="3965" spans="2:7" ht="32.25" customHeight="1" x14ac:dyDescent="0.25">
      <c r="B3965" s="64"/>
      <c r="C3965" s="64"/>
      <c r="D3965" s="64"/>
      <c r="E3965" s="64"/>
      <c r="F3965" s="64"/>
      <c r="G3965" s="64"/>
    </row>
    <row r="3966" spans="2:7" ht="32.25" customHeight="1" x14ac:dyDescent="0.25">
      <c r="B3966" s="64"/>
      <c r="C3966" s="64"/>
      <c r="D3966" s="64"/>
      <c r="E3966" s="64"/>
      <c r="F3966" s="64"/>
      <c r="G3966" s="64"/>
    </row>
    <row r="3967" spans="2:7" ht="32.25" customHeight="1" x14ac:dyDescent="0.25">
      <c r="B3967" s="64"/>
      <c r="C3967" s="64"/>
      <c r="D3967" s="64"/>
      <c r="E3967" s="64"/>
      <c r="F3967" s="64"/>
      <c r="G3967" s="64"/>
    </row>
    <row r="3968" spans="2:7" ht="32.25" customHeight="1" x14ac:dyDescent="0.25">
      <c r="B3968" s="64"/>
      <c r="C3968" s="64"/>
      <c r="D3968" s="64"/>
      <c r="E3968" s="64"/>
      <c r="F3968" s="64"/>
      <c r="G3968" s="64"/>
    </row>
    <row r="3969" spans="2:7" ht="32.25" customHeight="1" x14ac:dyDescent="0.25">
      <c r="B3969" s="64"/>
      <c r="C3969" s="64"/>
      <c r="D3969" s="64"/>
      <c r="E3969" s="64"/>
      <c r="F3969" s="64"/>
      <c r="G3969" s="64"/>
    </row>
    <row r="3970" spans="2:7" ht="32.25" customHeight="1" x14ac:dyDescent="0.25">
      <c r="B3970" s="64"/>
      <c r="C3970" s="64"/>
      <c r="D3970" s="64"/>
      <c r="E3970" s="64"/>
      <c r="F3970" s="64"/>
      <c r="G3970" s="64"/>
    </row>
    <row r="3971" spans="2:7" ht="32.25" customHeight="1" x14ac:dyDescent="0.25">
      <c r="B3971" s="64"/>
      <c r="C3971" s="64"/>
      <c r="D3971" s="64"/>
      <c r="E3971" s="64"/>
      <c r="F3971" s="64"/>
      <c r="G3971" s="64"/>
    </row>
    <row r="3972" spans="2:7" ht="32.25" customHeight="1" x14ac:dyDescent="0.25">
      <c r="B3972" s="64"/>
      <c r="C3972" s="64"/>
      <c r="D3972" s="64"/>
      <c r="E3972" s="64"/>
      <c r="F3972" s="64"/>
      <c r="G3972" s="64"/>
    </row>
    <row r="3973" spans="2:7" ht="32.25" customHeight="1" x14ac:dyDescent="0.25">
      <c r="B3973" s="64"/>
      <c r="C3973" s="64"/>
      <c r="D3973" s="64"/>
      <c r="E3973" s="64"/>
      <c r="F3973" s="64"/>
      <c r="G3973" s="64"/>
    </row>
    <row r="3974" spans="2:7" ht="32.25" customHeight="1" x14ac:dyDescent="0.25">
      <c r="B3974" s="64"/>
      <c r="C3974" s="64"/>
      <c r="D3974" s="64"/>
      <c r="E3974" s="64"/>
      <c r="F3974" s="64"/>
      <c r="G3974" s="64"/>
    </row>
    <row r="3975" spans="2:7" ht="32.25" customHeight="1" x14ac:dyDescent="0.25">
      <c r="B3975" s="64"/>
      <c r="C3975" s="64"/>
      <c r="D3975" s="64"/>
      <c r="E3975" s="64"/>
      <c r="F3975" s="64"/>
      <c r="G3975" s="64"/>
    </row>
    <row r="3976" spans="2:7" ht="32.25" customHeight="1" x14ac:dyDescent="0.25">
      <c r="B3976" s="64"/>
      <c r="C3976" s="64"/>
      <c r="D3976" s="64"/>
      <c r="E3976" s="64"/>
      <c r="F3976" s="64"/>
      <c r="G3976" s="64"/>
    </row>
    <row r="3977" spans="2:7" ht="32.25" customHeight="1" x14ac:dyDescent="0.25">
      <c r="B3977" s="64"/>
      <c r="C3977" s="64"/>
      <c r="D3977" s="64"/>
      <c r="E3977" s="64"/>
      <c r="F3977" s="64"/>
      <c r="G3977" s="64"/>
    </row>
    <row r="3978" spans="2:7" ht="32.25" customHeight="1" x14ac:dyDescent="0.25">
      <c r="B3978" s="64"/>
      <c r="C3978" s="64"/>
      <c r="D3978" s="64"/>
      <c r="E3978" s="64"/>
      <c r="F3978" s="64"/>
      <c r="G3978" s="64"/>
    </row>
    <row r="3979" spans="2:7" ht="32.25" customHeight="1" x14ac:dyDescent="0.25">
      <c r="B3979" s="64"/>
      <c r="C3979" s="64"/>
      <c r="D3979" s="64"/>
      <c r="E3979" s="64"/>
      <c r="F3979" s="64"/>
      <c r="G3979" s="64"/>
    </row>
    <row r="3980" spans="2:7" ht="32.25" customHeight="1" x14ac:dyDescent="0.25">
      <c r="B3980" s="64"/>
      <c r="C3980" s="64"/>
      <c r="D3980" s="64"/>
      <c r="E3980" s="64"/>
      <c r="F3980" s="64"/>
      <c r="G3980" s="64"/>
    </row>
    <row r="3981" spans="2:7" ht="32.25" customHeight="1" x14ac:dyDescent="0.25">
      <c r="B3981" s="64"/>
      <c r="C3981" s="64"/>
      <c r="D3981" s="64"/>
      <c r="E3981" s="64"/>
      <c r="F3981" s="64"/>
      <c r="G3981" s="64"/>
    </row>
    <row r="3982" spans="2:7" ht="32.25" customHeight="1" x14ac:dyDescent="0.25">
      <c r="B3982" s="64"/>
      <c r="C3982" s="64"/>
      <c r="D3982" s="64"/>
      <c r="E3982" s="64"/>
      <c r="F3982" s="64"/>
      <c r="G3982" s="64"/>
    </row>
    <row r="3983" spans="2:7" ht="32.25" customHeight="1" x14ac:dyDescent="0.25">
      <c r="B3983" s="64"/>
      <c r="C3983" s="64"/>
      <c r="D3983" s="64"/>
      <c r="E3983" s="64"/>
      <c r="F3983" s="64"/>
      <c r="G3983" s="64"/>
    </row>
    <row r="3984" spans="2:7" ht="32.25" customHeight="1" x14ac:dyDescent="0.25">
      <c r="B3984" s="64"/>
      <c r="C3984" s="64"/>
      <c r="D3984" s="64"/>
      <c r="E3984" s="64"/>
      <c r="F3984" s="64"/>
      <c r="G3984" s="64"/>
    </row>
    <row r="3985" spans="2:7" ht="32.25" customHeight="1" x14ac:dyDescent="0.25">
      <c r="B3985" s="64"/>
      <c r="C3985" s="64"/>
      <c r="D3985" s="64"/>
      <c r="E3985" s="64"/>
      <c r="F3985" s="64"/>
      <c r="G3985" s="64"/>
    </row>
    <row r="3986" spans="2:7" ht="32.25" customHeight="1" x14ac:dyDescent="0.25">
      <c r="B3986" s="64"/>
      <c r="C3986" s="64"/>
      <c r="D3986" s="64"/>
      <c r="E3986" s="64"/>
      <c r="F3986" s="64"/>
      <c r="G3986" s="64"/>
    </row>
    <row r="3987" spans="2:7" ht="32.25" customHeight="1" x14ac:dyDescent="0.25">
      <c r="B3987" s="64"/>
      <c r="C3987" s="64"/>
      <c r="D3987" s="64"/>
      <c r="E3987" s="64"/>
      <c r="F3987" s="64"/>
      <c r="G3987" s="64"/>
    </row>
    <row r="3988" spans="2:7" ht="32.25" customHeight="1" x14ac:dyDescent="0.25">
      <c r="B3988" s="64"/>
      <c r="C3988" s="64"/>
      <c r="D3988" s="64"/>
      <c r="E3988" s="64"/>
      <c r="F3988" s="64"/>
      <c r="G3988" s="64"/>
    </row>
    <row r="3989" spans="2:7" ht="32.25" customHeight="1" x14ac:dyDescent="0.25">
      <c r="B3989" s="64"/>
      <c r="C3989" s="64"/>
      <c r="D3989" s="64"/>
      <c r="E3989" s="64"/>
      <c r="F3989" s="64"/>
      <c r="G3989" s="64"/>
    </row>
    <row r="3990" spans="2:7" ht="32.25" customHeight="1" x14ac:dyDescent="0.25">
      <c r="B3990" s="64"/>
      <c r="C3990" s="64"/>
      <c r="D3990" s="64"/>
      <c r="E3990" s="64"/>
      <c r="F3990" s="64"/>
      <c r="G3990" s="64"/>
    </row>
    <row r="3991" spans="2:7" ht="32.25" customHeight="1" x14ac:dyDescent="0.25">
      <c r="B3991" s="64"/>
      <c r="C3991" s="64"/>
      <c r="D3991" s="64"/>
      <c r="E3991" s="64"/>
      <c r="F3991" s="64"/>
      <c r="G3991" s="64"/>
    </row>
    <row r="3992" spans="2:7" ht="32.25" customHeight="1" x14ac:dyDescent="0.25">
      <c r="B3992" s="64"/>
      <c r="C3992" s="64"/>
      <c r="D3992" s="64"/>
      <c r="E3992" s="64"/>
      <c r="F3992" s="64"/>
      <c r="G3992" s="64"/>
    </row>
    <row r="3993" spans="2:7" ht="32.25" customHeight="1" x14ac:dyDescent="0.25">
      <c r="B3993" s="64"/>
      <c r="C3993" s="64"/>
      <c r="D3993" s="64"/>
      <c r="E3993" s="64"/>
      <c r="F3993" s="64"/>
      <c r="G3993" s="64"/>
    </row>
    <row r="3994" spans="2:7" ht="32.25" customHeight="1" x14ac:dyDescent="0.25">
      <c r="B3994" s="64"/>
      <c r="C3994" s="64"/>
      <c r="D3994" s="64"/>
      <c r="E3994" s="64"/>
      <c r="F3994" s="64"/>
      <c r="G3994" s="64"/>
    </row>
    <row r="3995" spans="2:7" ht="32.25" customHeight="1" x14ac:dyDescent="0.25">
      <c r="B3995" s="64"/>
      <c r="C3995" s="64"/>
      <c r="D3995" s="64"/>
      <c r="E3995" s="64"/>
      <c r="F3995" s="64"/>
      <c r="G3995" s="64"/>
    </row>
    <row r="3996" spans="2:7" ht="32.25" customHeight="1" x14ac:dyDescent="0.25">
      <c r="B3996" s="64"/>
      <c r="C3996" s="64"/>
      <c r="D3996" s="64"/>
      <c r="E3996" s="64"/>
      <c r="F3996" s="64"/>
      <c r="G3996" s="64"/>
    </row>
    <row r="3997" spans="2:7" ht="32.25" customHeight="1" x14ac:dyDescent="0.25">
      <c r="B3997" s="64"/>
      <c r="C3997" s="64"/>
      <c r="D3997" s="64"/>
      <c r="E3997" s="64"/>
      <c r="F3997" s="64"/>
      <c r="G3997" s="64"/>
    </row>
    <row r="3998" spans="2:7" ht="32.25" customHeight="1" x14ac:dyDescent="0.25">
      <c r="B3998" s="64"/>
      <c r="C3998" s="64"/>
      <c r="D3998" s="64"/>
      <c r="E3998" s="64"/>
      <c r="F3998" s="64"/>
      <c r="G3998" s="64"/>
    </row>
    <row r="3999" spans="2:7" ht="32.25" customHeight="1" x14ac:dyDescent="0.25">
      <c r="B3999" s="64"/>
      <c r="C3999" s="64"/>
      <c r="D3999" s="64"/>
      <c r="E3999" s="64"/>
      <c r="F3999" s="64"/>
      <c r="G3999" s="64"/>
    </row>
    <row r="4000" spans="2:7" ht="32.25" customHeight="1" x14ac:dyDescent="0.25">
      <c r="B4000" s="64"/>
      <c r="C4000" s="64"/>
      <c r="D4000" s="64"/>
      <c r="E4000" s="64"/>
      <c r="F4000" s="64"/>
      <c r="G4000" s="64"/>
    </row>
    <row r="4001" spans="2:7" ht="32.25" customHeight="1" x14ac:dyDescent="0.25">
      <c r="B4001" s="64"/>
      <c r="C4001" s="64"/>
      <c r="D4001" s="64"/>
      <c r="E4001" s="64"/>
      <c r="F4001" s="64"/>
      <c r="G4001" s="64"/>
    </row>
    <row r="4002" spans="2:7" ht="32.25" customHeight="1" x14ac:dyDescent="0.25">
      <c r="B4002" s="64"/>
      <c r="C4002" s="64"/>
      <c r="D4002" s="64"/>
      <c r="E4002" s="64"/>
      <c r="F4002" s="64"/>
      <c r="G4002" s="64"/>
    </row>
    <row r="4003" spans="2:7" ht="32.25" customHeight="1" x14ac:dyDescent="0.25">
      <c r="B4003" s="64"/>
      <c r="C4003" s="64"/>
      <c r="D4003" s="64"/>
      <c r="E4003" s="64"/>
      <c r="F4003" s="64"/>
      <c r="G4003" s="64"/>
    </row>
    <row r="4004" spans="2:7" ht="32.25" customHeight="1" x14ac:dyDescent="0.25">
      <c r="B4004" s="64"/>
      <c r="C4004" s="64"/>
      <c r="D4004" s="64"/>
      <c r="E4004" s="64"/>
      <c r="F4004" s="64"/>
      <c r="G4004" s="64"/>
    </row>
    <row r="4005" spans="2:7" ht="32.25" customHeight="1" x14ac:dyDescent="0.25">
      <c r="B4005" s="64"/>
      <c r="C4005" s="64"/>
      <c r="D4005" s="64"/>
      <c r="E4005" s="64"/>
      <c r="F4005" s="64"/>
      <c r="G4005" s="64"/>
    </row>
    <row r="4006" spans="2:7" ht="32.25" customHeight="1" x14ac:dyDescent="0.25">
      <c r="B4006" s="64"/>
      <c r="C4006" s="64"/>
      <c r="D4006" s="64"/>
      <c r="E4006" s="64"/>
      <c r="F4006" s="64"/>
      <c r="G4006" s="64"/>
    </row>
    <row r="4007" spans="2:7" ht="32.25" customHeight="1" x14ac:dyDescent="0.25">
      <c r="B4007" s="64"/>
      <c r="C4007" s="64"/>
      <c r="D4007" s="64"/>
      <c r="E4007" s="64"/>
      <c r="F4007" s="64"/>
      <c r="G4007" s="64"/>
    </row>
    <row r="4008" spans="2:7" ht="32.25" customHeight="1" x14ac:dyDescent="0.25">
      <c r="B4008" s="64"/>
      <c r="C4008" s="64"/>
      <c r="D4008" s="64"/>
      <c r="E4008" s="64"/>
      <c r="F4008" s="64"/>
      <c r="G4008" s="64"/>
    </row>
    <row r="4009" spans="2:7" ht="32.25" customHeight="1" x14ac:dyDescent="0.25">
      <c r="B4009" s="64"/>
      <c r="C4009" s="64"/>
      <c r="D4009" s="64"/>
      <c r="E4009" s="64"/>
      <c r="F4009" s="64"/>
      <c r="G4009" s="64"/>
    </row>
    <row r="4010" spans="2:7" ht="32.25" customHeight="1" x14ac:dyDescent="0.25">
      <c r="B4010" s="64"/>
      <c r="C4010" s="64"/>
      <c r="D4010" s="64"/>
      <c r="E4010" s="64"/>
      <c r="F4010" s="64"/>
      <c r="G4010" s="64"/>
    </row>
    <row r="4011" spans="2:7" ht="32.25" customHeight="1" x14ac:dyDescent="0.25">
      <c r="B4011" s="64"/>
      <c r="C4011" s="64"/>
      <c r="D4011" s="64"/>
      <c r="E4011" s="64"/>
      <c r="F4011" s="64"/>
      <c r="G4011" s="64"/>
    </row>
    <row r="4012" spans="2:7" ht="32.25" customHeight="1" x14ac:dyDescent="0.25">
      <c r="B4012" s="64"/>
      <c r="C4012" s="64"/>
      <c r="D4012" s="64"/>
      <c r="E4012" s="64"/>
      <c r="F4012" s="64"/>
      <c r="G4012" s="64"/>
    </row>
    <row r="4013" spans="2:7" ht="32.25" customHeight="1" x14ac:dyDescent="0.25">
      <c r="B4013" s="64"/>
      <c r="C4013" s="64"/>
      <c r="D4013" s="64"/>
      <c r="E4013" s="64"/>
      <c r="F4013" s="64"/>
      <c r="G4013" s="64"/>
    </row>
    <row r="4014" spans="2:7" ht="32.25" customHeight="1" x14ac:dyDescent="0.25">
      <c r="B4014" s="64"/>
      <c r="C4014" s="64"/>
      <c r="D4014" s="64"/>
      <c r="E4014" s="64"/>
      <c r="F4014" s="64"/>
      <c r="G4014" s="64"/>
    </row>
    <row r="4015" spans="2:7" ht="32.25" customHeight="1" x14ac:dyDescent="0.25">
      <c r="B4015" s="64"/>
      <c r="C4015" s="64"/>
      <c r="D4015" s="64"/>
      <c r="E4015" s="64"/>
      <c r="F4015" s="64"/>
      <c r="G4015" s="64"/>
    </row>
    <row r="4016" spans="2:7" ht="32.25" customHeight="1" x14ac:dyDescent="0.25">
      <c r="B4016" s="64"/>
      <c r="C4016" s="64"/>
      <c r="D4016" s="64"/>
      <c r="E4016" s="64"/>
      <c r="F4016" s="64"/>
      <c r="G4016" s="64"/>
    </row>
    <row r="4017" spans="2:7" ht="32.25" customHeight="1" x14ac:dyDescent="0.25">
      <c r="B4017" s="64"/>
      <c r="C4017" s="64"/>
      <c r="D4017" s="64"/>
      <c r="E4017" s="64"/>
      <c r="F4017" s="64"/>
      <c r="G4017" s="64"/>
    </row>
    <row r="4018" spans="2:7" ht="32.25" customHeight="1" x14ac:dyDescent="0.25">
      <c r="B4018" s="64"/>
      <c r="C4018" s="64"/>
      <c r="D4018" s="64"/>
      <c r="E4018" s="64"/>
      <c r="F4018" s="64"/>
      <c r="G4018" s="64"/>
    </row>
    <row r="4019" spans="2:7" ht="32.25" customHeight="1" x14ac:dyDescent="0.25">
      <c r="B4019" s="64"/>
      <c r="C4019" s="64"/>
      <c r="D4019" s="64"/>
      <c r="E4019" s="64"/>
      <c r="F4019" s="64"/>
      <c r="G4019" s="64"/>
    </row>
    <row r="4020" spans="2:7" ht="32.25" customHeight="1" x14ac:dyDescent="0.25">
      <c r="B4020" s="64"/>
      <c r="C4020" s="64"/>
      <c r="D4020" s="64"/>
      <c r="E4020" s="64"/>
      <c r="F4020" s="64"/>
      <c r="G4020" s="64"/>
    </row>
    <row r="4021" spans="2:7" ht="32.25" customHeight="1" x14ac:dyDescent="0.25">
      <c r="B4021" s="64"/>
      <c r="C4021" s="64"/>
      <c r="D4021" s="64"/>
      <c r="E4021" s="64"/>
      <c r="F4021" s="64"/>
      <c r="G4021" s="64"/>
    </row>
    <row r="4022" spans="2:7" ht="32.25" customHeight="1" x14ac:dyDescent="0.25">
      <c r="B4022" s="64"/>
      <c r="C4022" s="64"/>
      <c r="D4022" s="64"/>
      <c r="E4022" s="64"/>
      <c r="F4022" s="64"/>
      <c r="G4022" s="64"/>
    </row>
    <row r="4023" spans="2:7" ht="32.25" customHeight="1" x14ac:dyDescent="0.25">
      <c r="B4023" s="64"/>
      <c r="C4023" s="64"/>
      <c r="D4023" s="64"/>
      <c r="E4023" s="64"/>
      <c r="F4023" s="64"/>
      <c r="G4023" s="64"/>
    </row>
    <row r="4024" spans="2:7" ht="32.25" customHeight="1" x14ac:dyDescent="0.25">
      <c r="B4024" s="64"/>
      <c r="C4024" s="64"/>
      <c r="D4024" s="64"/>
      <c r="E4024" s="64"/>
      <c r="F4024" s="64"/>
      <c r="G4024" s="64"/>
    </row>
    <row r="4025" spans="2:7" ht="32.25" customHeight="1" x14ac:dyDescent="0.25">
      <c r="B4025" s="64"/>
      <c r="C4025" s="64"/>
      <c r="D4025" s="64"/>
      <c r="E4025" s="64"/>
      <c r="F4025" s="64"/>
      <c r="G4025" s="64"/>
    </row>
    <row r="4026" spans="2:7" ht="32.25" customHeight="1" x14ac:dyDescent="0.25">
      <c r="B4026" s="64"/>
      <c r="C4026" s="64"/>
      <c r="D4026" s="64"/>
      <c r="E4026" s="64"/>
      <c r="F4026" s="64"/>
      <c r="G4026" s="64"/>
    </row>
    <row r="4027" spans="2:7" ht="32.25" customHeight="1" x14ac:dyDescent="0.25">
      <c r="B4027" s="64"/>
      <c r="C4027" s="64"/>
      <c r="D4027" s="64"/>
      <c r="E4027" s="64"/>
      <c r="F4027" s="64"/>
      <c r="G4027" s="64"/>
    </row>
    <row r="4028" spans="2:7" ht="32.25" customHeight="1" x14ac:dyDescent="0.25">
      <c r="B4028" s="64"/>
      <c r="C4028" s="64"/>
      <c r="D4028" s="64"/>
      <c r="E4028" s="64"/>
      <c r="F4028" s="64"/>
      <c r="G4028" s="64"/>
    </row>
    <row r="4029" spans="2:7" ht="32.25" customHeight="1" x14ac:dyDescent="0.25">
      <c r="B4029" s="64"/>
      <c r="C4029" s="64"/>
      <c r="D4029" s="64"/>
      <c r="E4029" s="64"/>
      <c r="F4029" s="64"/>
      <c r="G4029" s="64"/>
    </row>
    <row r="4030" spans="2:7" ht="32.25" customHeight="1" x14ac:dyDescent="0.25">
      <c r="B4030" s="64"/>
      <c r="C4030" s="64"/>
      <c r="D4030" s="64"/>
      <c r="E4030" s="64"/>
      <c r="F4030" s="64"/>
      <c r="G4030" s="64"/>
    </row>
    <row r="4031" spans="2:7" ht="32.25" customHeight="1" x14ac:dyDescent="0.25">
      <c r="B4031" s="64"/>
      <c r="C4031" s="64"/>
      <c r="D4031" s="64"/>
      <c r="E4031" s="64"/>
      <c r="F4031" s="64"/>
      <c r="G4031" s="64"/>
    </row>
    <row r="4032" spans="2:7" ht="32.25" customHeight="1" x14ac:dyDescent="0.25">
      <c r="B4032" s="64"/>
      <c r="C4032" s="64"/>
      <c r="D4032" s="64"/>
      <c r="E4032" s="64"/>
      <c r="F4032" s="64"/>
      <c r="G4032" s="64"/>
    </row>
    <row r="4033" spans="2:7" ht="32.25" customHeight="1" x14ac:dyDescent="0.25">
      <c r="B4033" s="64"/>
      <c r="C4033" s="64"/>
      <c r="D4033" s="64"/>
      <c r="E4033" s="64"/>
      <c r="F4033" s="64"/>
      <c r="G4033" s="64"/>
    </row>
    <row r="4034" spans="2:7" ht="32.25" customHeight="1" x14ac:dyDescent="0.25">
      <c r="B4034" s="64"/>
      <c r="C4034" s="64"/>
      <c r="D4034" s="64"/>
      <c r="E4034" s="64"/>
      <c r="F4034" s="64"/>
      <c r="G4034" s="64"/>
    </row>
    <row r="4035" spans="2:7" ht="32.25" customHeight="1" x14ac:dyDescent="0.25">
      <c r="B4035" s="64"/>
      <c r="C4035" s="64"/>
      <c r="D4035" s="64"/>
      <c r="E4035" s="64"/>
      <c r="F4035" s="64"/>
      <c r="G4035" s="64"/>
    </row>
    <row r="4036" spans="2:7" ht="32.25" customHeight="1" x14ac:dyDescent="0.25">
      <c r="B4036" s="64"/>
      <c r="C4036" s="64"/>
      <c r="D4036" s="64"/>
      <c r="E4036" s="64"/>
      <c r="F4036" s="64"/>
      <c r="G4036" s="64"/>
    </row>
    <row r="4037" spans="2:7" ht="32.25" customHeight="1" x14ac:dyDescent="0.25">
      <c r="B4037" s="64"/>
      <c r="C4037" s="64"/>
      <c r="D4037" s="64"/>
      <c r="E4037" s="64"/>
      <c r="F4037" s="64"/>
      <c r="G4037" s="64"/>
    </row>
    <row r="4038" spans="2:7" ht="32.25" customHeight="1" x14ac:dyDescent="0.25">
      <c r="B4038" s="64"/>
      <c r="C4038" s="64"/>
      <c r="D4038" s="64"/>
      <c r="E4038" s="64"/>
      <c r="F4038" s="64"/>
      <c r="G4038" s="64"/>
    </row>
    <row r="4039" spans="2:7" ht="32.25" customHeight="1" x14ac:dyDescent="0.25">
      <c r="B4039" s="64"/>
      <c r="C4039" s="64"/>
      <c r="D4039" s="64"/>
      <c r="E4039" s="64"/>
      <c r="F4039" s="64"/>
      <c r="G4039" s="64"/>
    </row>
    <row r="4040" spans="2:7" ht="32.25" customHeight="1" x14ac:dyDescent="0.25">
      <c r="B4040" s="64"/>
      <c r="C4040" s="64"/>
      <c r="D4040" s="64"/>
      <c r="E4040" s="64"/>
      <c r="F4040" s="64"/>
      <c r="G4040" s="64"/>
    </row>
    <row r="4041" spans="2:7" ht="32.25" customHeight="1" x14ac:dyDescent="0.25">
      <c r="B4041" s="64"/>
      <c r="C4041" s="64"/>
      <c r="D4041" s="64"/>
      <c r="E4041" s="64"/>
      <c r="F4041" s="64"/>
      <c r="G4041" s="64"/>
    </row>
    <row r="4042" spans="2:7" ht="32.25" customHeight="1" x14ac:dyDescent="0.25">
      <c r="B4042" s="64"/>
      <c r="C4042" s="64"/>
      <c r="D4042" s="64"/>
      <c r="E4042" s="64"/>
      <c r="F4042" s="64"/>
      <c r="G4042" s="64"/>
    </row>
    <row r="4043" spans="2:7" ht="32.25" customHeight="1" x14ac:dyDescent="0.25">
      <c r="B4043" s="64"/>
      <c r="C4043" s="64"/>
      <c r="D4043" s="64"/>
      <c r="E4043" s="64"/>
      <c r="F4043" s="64"/>
      <c r="G4043" s="64"/>
    </row>
    <row r="4044" spans="2:7" ht="32.25" customHeight="1" x14ac:dyDescent="0.25">
      <c r="B4044" s="64"/>
      <c r="C4044" s="64"/>
      <c r="D4044" s="64"/>
      <c r="E4044" s="64"/>
      <c r="F4044" s="64"/>
      <c r="G4044" s="64"/>
    </row>
    <row r="4045" spans="2:7" ht="32.25" customHeight="1" x14ac:dyDescent="0.25">
      <c r="B4045" s="64"/>
      <c r="C4045" s="64"/>
      <c r="D4045" s="64"/>
      <c r="E4045" s="64"/>
      <c r="F4045" s="64"/>
      <c r="G4045" s="64"/>
    </row>
    <row r="4046" spans="2:7" ht="32.25" customHeight="1" x14ac:dyDescent="0.25">
      <c r="B4046" s="64"/>
      <c r="C4046" s="64"/>
      <c r="D4046" s="64"/>
      <c r="E4046" s="64"/>
      <c r="F4046" s="64"/>
      <c r="G4046" s="64"/>
    </row>
    <row r="4047" spans="2:7" ht="32.25" customHeight="1" x14ac:dyDescent="0.25">
      <c r="B4047" s="64"/>
      <c r="C4047" s="64"/>
      <c r="D4047" s="64"/>
      <c r="E4047" s="64"/>
      <c r="F4047" s="64"/>
      <c r="G4047" s="64"/>
    </row>
    <row r="4048" spans="2:7" ht="32.25" customHeight="1" x14ac:dyDescent="0.25">
      <c r="B4048" s="64"/>
      <c r="C4048" s="64"/>
      <c r="D4048" s="64"/>
      <c r="E4048" s="64"/>
      <c r="F4048" s="64"/>
      <c r="G4048" s="64"/>
    </row>
    <row r="4049" spans="2:7" ht="32.25" customHeight="1" x14ac:dyDescent="0.25">
      <c r="B4049" s="64"/>
      <c r="C4049" s="64"/>
      <c r="D4049" s="64"/>
      <c r="E4049" s="64"/>
      <c r="F4049" s="64"/>
      <c r="G4049" s="64"/>
    </row>
    <row r="4050" spans="2:7" ht="32.25" customHeight="1" x14ac:dyDescent="0.25">
      <c r="B4050" s="64"/>
      <c r="C4050" s="64"/>
      <c r="D4050" s="64"/>
      <c r="E4050" s="64"/>
      <c r="F4050" s="64"/>
      <c r="G4050" s="64"/>
    </row>
    <row r="4051" spans="2:7" ht="32.25" customHeight="1" x14ac:dyDescent="0.25">
      <c r="B4051" s="64"/>
      <c r="C4051" s="64"/>
      <c r="D4051" s="64"/>
      <c r="E4051" s="64"/>
      <c r="F4051" s="64"/>
      <c r="G4051" s="64"/>
    </row>
    <row r="4052" spans="2:7" ht="32.25" customHeight="1" x14ac:dyDescent="0.25">
      <c r="B4052" s="64"/>
      <c r="C4052" s="64"/>
      <c r="D4052" s="64"/>
      <c r="E4052" s="64"/>
      <c r="F4052" s="64"/>
      <c r="G4052" s="64"/>
    </row>
    <row r="4053" spans="2:7" ht="32.25" customHeight="1" x14ac:dyDescent="0.25">
      <c r="B4053" s="64"/>
      <c r="C4053" s="64"/>
      <c r="D4053" s="64"/>
      <c r="E4053" s="64"/>
      <c r="F4053" s="64"/>
      <c r="G4053" s="64"/>
    </row>
    <row r="4054" spans="2:7" ht="32.25" customHeight="1" x14ac:dyDescent="0.25">
      <c r="B4054" s="64"/>
      <c r="C4054" s="64"/>
      <c r="D4054" s="64"/>
      <c r="E4054" s="64"/>
      <c r="F4054" s="64"/>
      <c r="G4054" s="64"/>
    </row>
    <row r="4055" spans="2:7" ht="32.25" customHeight="1" x14ac:dyDescent="0.25">
      <c r="B4055" s="64"/>
      <c r="C4055" s="64"/>
      <c r="D4055" s="64"/>
      <c r="E4055" s="64"/>
      <c r="F4055" s="64"/>
      <c r="G4055" s="64"/>
    </row>
    <row r="4056" spans="2:7" ht="32.25" customHeight="1" x14ac:dyDescent="0.25">
      <c r="B4056" s="64"/>
      <c r="C4056" s="64"/>
      <c r="D4056" s="64"/>
      <c r="E4056" s="64"/>
      <c r="F4056" s="64"/>
      <c r="G4056" s="64"/>
    </row>
    <row r="4057" spans="2:7" ht="32.25" customHeight="1" x14ac:dyDescent="0.25">
      <c r="B4057" s="64"/>
      <c r="C4057" s="64"/>
      <c r="D4057" s="64"/>
      <c r="E4057" s="64"/>
      <c r="F4057" s="64"/>
      <c r="G4057" s="64"/>
    </row>
    <row r="4058" spans="2:7" ht="32.25" customHeight="1" x14ac:dyDescent="0.25">
      <c r="B4058" s="64"/>
      <c r="C4058" s="64"/>
      <c r="D4058" s="64"/>
      <c r="E4058" s="64"/>
      <c r="F4058" s="64"/>
      <c r="G4058" s="64"/>
    </row>
    <row r="4059" spans="2:7" ht="32.25" customHeight="1" x14ac:dyDescent="0.25">
      <c r="B4059" s="64"/>
      <c r="C4059" s="64"/>
      <c r="D4059" s="64"/>
      <c r="E4059" s="64"/>
      <c r="F4059" s="64"/>
      <c r="G4059" s="64"/>
    </row>
    <row r="4060" spans="2:7" ht="32.25" customHeight="1" x14ac:dyDescent="0.25">
      <c r="B4060" s="64"/>
      <c r="C4060" s="64"/>
      <c r="D4060" s="64"/>
      <c r="E4060" s="64"/>
      <c r="F4060" s="64"/>
      <c r="G4060" s="64"/>
    </row>
    <row r="4061" spans="2:7" ht="32.25" customHeight="1" x14ac:dyDescent="0.25">
      <c r="B4061" s="64"/>
      <c r="C4061" s="64"/>
      <c r="D4061" s="64"/>
      <c r="E4061" s="64"/>
      <c r="F4061" s="64"/>
      <c r="G4061" s="64"/>
    </row>
    <row r="4062" spans="2:7" ht="32.25" customHeight="1" x14ac:dyDescent="0.25">
      <c r="B4062" s="64"/>
      <c r="C4062" s="64"/>
      <c r="D4062" s="64"/>
      <c r="E4062" s="64"/>
      <c r="F4062" s="64"/>
      <c r="G4062" s="64"/>
    </row>
    <row r="4063" spans="2:7" ht="32.25" customHeight="1" x14ac:dyDescent="0.25">
      <c r="B4063" s="64"/>
      <c r="C4063" s="64"/>
      <c r="D4063" s="64"/>
      <c r="E4063" s="64"/>
      <c r="F4063" s="64"/>
      <c r="G4063" s="64"/>
    </row>
    <row r="4064" spans="2:7" ht="32.25" customHeight="1" x14ac:dyDescent="0.25">
      <c r="B4064" s="64"/>
      <c r="C4064" s="64"/>
      <c r="D4064" s="64"/>
      <c r="E4064" s="64"/>
      <c r="F4064" s="64"/>
      <c r="G4064" s="64"/>
    </row>
    <row r="4065" spans="2:7" ht="32.25" customHeight="1" x14ac:dyDescent="0.25">
      <c r="B4065" s="64"/>
      <c r="C4065" s="64"/>
      <c r="D4065" s="64"/>
      <c r="E4065" s="64"/>
      <c r="F4065" s="64"/>
      <c r="G4065" s="64"/>
    </row>
    <row r="4066" spans="2:7" ht="32.25" customHeight="1" x14ac:dyDescent="0.25">
      <c r="B4066" s="64"/>
      <c r="C4066" s="64"/>
      <c r="D4066" s="64"/>
      <c r="E4066" s="64"/>
      <c r="F4066" s="64"/>
      <c r="G4066" s="64"/>
    </row>
    <row r="4067" spans="2:7" ht="32.25" customHeight="1" x14ac:dyDescent="0.25">
      <c r="B4067" s="64"/>
      <c r="C4067" s="64"/>
      <c r="D4067" s="64"/>
      <c r="E4067" s="64"/>
      <c r="F4067" s="64"/>
      <c r="G4067" s="64"/>
    </row>
    <row r="4068" spans="2:7" ht="32.25" customHeight="1" x14ac:dyDescent="0.25">
      <c r="B4068" s="64"/>
      <c r="C4068" s="64"/>
      <c r="D4068" s="64"/>
      <c r="E4068" s="64"/>
      <c r="F4068" s="64"/>
      <c r="G4068" s="64"/>
    </row>
    <row r="4069" spans="2:7" ht="32.25" customHeight="1" x14ac:dyDescent="0.25">
      <c r="B4069" s="64"/>
      <c r="C4069" s="64"/>
      <c r="D4069" s="64"/>
      <c r="E4069" s="64"/>
      <c r="F4069" s="64"/>
      <c r="G4069" s="64"/>
    </row>
    <row r="4070" spans="2:7" ht="32.25" customHeight="1" x14ac:dyDescent="0.25">
      <c r="B4070" s="64"/>
      <c r="C4070" s="64"/>
      <c r="D4070" s="64"/>
      <c r="E4070" s="64"/>
      <c r="F4070" s="64"/>
      <c r="G4070" s="64"/>
    </row>
    <row r="4071" spans="2:7" ht="32.25" customHeight="1" x14ac:dyDescent="0.25">
      <c r="B4071" s="64"/>
      <c r="C4071" s="64"/>
      <c r="D4071" s="64"/>
      <c r="E4071" s="64"/>
      <c r="F4071" s="64"/>
      <c r="G4071" s="64"/>
    </row>
    <row r="4072" spans="2:7" ht="32.25" customHeight="1" x14ac:dyDescent="0.25">
      <c r="B4072" s="64"/>
      <c r="C4072" s="64"/>
      <c r="D4072" s="64"/>
      <c r="E4072" s="64"/>
      <c r="F4072" s="64"/>
      <c r="G4072" s="64"/>
    </row>
    <row r="4073" spans="2:7" ht="32.25" customHeight="1" x14ac:dyDescent="0.25">
      <c r="B4073" s="64"/>
      <c r="C4073" s="64"/>
      <c r="D4073" s="64"/>
      <c r="E4073" s="64"/>
      <c r="F4073" s="64"/>
      <c r="G4073" s="64"/>
    </row>
    <row r="4074" spans="2:7" ht="32.25" customHeight="1" x14ac:dyDescent="0.25">
      <c r="B4074" s="64"/>
      <c r="C4074" s="64"/>
      <c r="D4074" s="64"/>
      <c r="E4074" s="64"/>
      <c r="F4074" s="64"/>
      <c r="G4074" s="64"/>
    </row>
    <row r="4075" spans="2:7" ht="32.25" customHeight="1" x14ac:dyDescent="0.25">
      <c r="B4075" s="64"/>
      <c r="C4075" s="64"/>
      <c r="D4075" s="64"/>
      <c r="E4075" s="64"/>
      <c r="F4075" s="64"/>
      <c r="G4075" s="64"/>
    </row>
    <row r="4076" spans="2:7" ht="32.25" customHeight="1" x14ac:dyDescent="0.25">
      <c r="B4076" s="64"/>
      <c r="C4076" s="64"/>
      <c r="D4076" s="64"/>
      <c r="E4076" s="64"/>
      <c r="F4076" s="64"/>
      <c r="G4076" s="64"/>
    </row>
    <row r="4077" spans="2:7" ht="32.25" customHeight="1" x14ac:dyDescent="0.25">
      <c r="B4077" s="64"/>
      <c r="C4077" s="64"/>
      <c r="D4077" s="64"/>
      <c r="E4077" s="64"/>
      <c r="F4077" s="64"/>
      <c r="G4077" s="64"/>
    </row>
    <row r="4078" spans="2:7" ht="32.25" customHeight="1" x14ac:dyDescent="0.25">
      <c r="B4078" s="64"/>
      <c r="C4078" s="64"/>
      <c r="D4078" s="64"/>
      <c r="E4078" s="64"/>
      <c r="F4078" s="64"/>
      <c r="G4078" s="64"/>
    </row>
    <row r="4079" spans="2:7" ht="32.25" customHeight="1" x14ac:dyDescent="0.25">
      <c r="B4079" s="64"/>
      <c r="C4079" s="64"/>
      <c r="D4079" s="64"/>
      <c r="E4079" s="64"/>
      <c r="F4079" s="64"/>
      <c r="G4079" s="64"/>
    </row>
    <row r="4080" spans="2:7" ht="32.25" customHeight="1" x14ac:dyDescent="0.25">
      <c r="B4080" s="64"/>
      <c r="C4080" s="64"/>
      <c r="D4080" s="64"/>
      <c r="E4080" s="64"/>
      <c r="F4080" s="64"/>
      <c r="G4080" s="64"/>
    </row>
    <row r="4081" spans="2:7" ht="32.25" customHeight="1" x14ac:dyDescent="0.25">
      <c r="B4081" s="64"/>
      <c r="C4081" s="64"/>
      <c r="D4081" s="64"/>
      <c r="E4081" s="64"/>
      <c r="F4081" s="64"/>
      <c r="G4081" s="64"/>
    </row>
    <row r="4082" spans="2:7" ht="32.25" customHeight="1" x14ac:dyDescent="0.25">
      <c r="B4082" s="64"/>
      <c r="C4082" s="64"/>
      <c r="D4082" s="64"/>
      <c r="E4082" s="64"/>
      <c r="F4082" s="64"/>
      <c r="G4082" s="64"/>
    </row>
    <row r="4083" spans="2:7" ht="32.25" customHeight="1" x14ac:dyDescent="0.25">
      <c r="B4083" s="64"/>
      <c r="C4083" s="64"/>
      <c r="D4083" s="64"/>
      <c r="E4083" s="64"/>
      <c r="F4083" s="64"/>
      <c r="G4083" s="64"/>
    </row>
    <row r="4084" spans="2:7" ht="32.25" customHeight="1" x14ac:dyDescent="0.25">
      <c r="B4084" s="64"/>
      <c r="C4084" s="64"/>
      <c r="D4084" s="64"/>
      <c r="E4084" s="64"/>
      <c r="F4084" s="64"/>
      <c r="G4084" s="64"/>
    </row>
    <row r="4085" spans="2:7" ht="32.25" customHeight="1" x14ac:dyDescent="0.25">
      <c r="B4085" s="64"/>
      <c r="C4085" s="64"/>
      <c r="D4085" s="64"/>
      <c r="E4085" s="64"/>
      <c r="F4085" s="64"/>
      <c r="G4085" s="64"/>
    </row>
    <row r="4086" spans="2:7" ht="32.25" customHeight="1" x14ac:dyDescent="0.25">
      <c r="B4086" s="64"/>
      <c r="C4086" s="64"/>
      <c r="D4086" s="64"/>
      <c r="E4086" s="64"/>
      <c r="F4086" s="64"/>
      <c r="G4086" s="64"/>
    </row>
    <row r="4087" spans="2:7" ht="32.25" customHeight="1" x14ac:dyDescent="0.25">
      <c r="B4087" s="64"/>
      <c r="C4087" s="64"/>
      <c r="D4087" s="64"/>
      <c r="E4087" s="64"/>
      <c r="F4087" s="64"/>
      <c r="G4087" s="64"/>
    </row>
    <row r="4088" spans="2:7" ht="32.25" customHeight="1" x14ac:dyDescent="0.25">
      <c r="B4088" s="64"/>
      <c r="C4088" s="64"/>
      <c r="D4088" s="64"/>
      <c r="E4088" s="64"/>
      <c r="F4088" s="64"/>
      <c r="G4088" s="64"/>
    </row>
    <row r="4089" spans="2:7" ht="32.25" customHeight="1" x14ac:dyDescent="0.25">
      <c r="B4089" s="64"/>
      <c r="C4089" s="64"/>
      <c r="D4089" s="64"/>
      <c r="E4089" s="64"/>
      <c r="F4089" s="64"/>
      <c r="G4089" s="64"/>
    </row>
    <row r="4090" spans="2:7" ht="32.25" customHeight="1" x14ac:dyDescent="0.25">
      <c r="B4090" s="64"/>
      <c r="C4090" s="64"/>
      <c r="D4090" s="64"/>
      <c r="E4090" s="64"/>
      <c r="F4090" s="64"/>
      <c r="G4090" s="64"/>
    </row>
    <row r="4091" spans="2:7" ht="32.25" customHeight="1" x14ac:dyDescent="0.25">
      <c r="B4091" s="64"/>
      <c r="C4091" s="64"/>
      <c r="D4091" s="64"/>
      <c r="E4091" s="64"/>
      <c r="F4091" s="64"/>
      <c r="G4091" s="64"/>
    </row>
    <row r="4092" spans="2:7" ht="32.25" customHeight="1" x14ac:dyDescent="0.25">
      <c r="B4092" s="64"/>
      <c r="C4092" s="64"/>
      <c r="D4092" s="64"/>
      <c r="E4092" s="64"/>
      <c r="F4092" s="64"/>
      <c r="G4092" s="64"/>
    </row>
    <row r="4093" spans="2:7" ht="32.25" customHeight="1" x14ac:dyDescent="0.25">
      <c r="B4093" s="64"/>
      <c r="C4093" s="64"/>
      <c r="D4093" s="64"/>
      <c r="E4093" s="64"/>
      <c r="F4093" s="64"/>
      <c r="G4093" s="64"/>
    </row>
    <row r="4094" spans="2:7" ht="32.25" customHeight="1" x14ac:dyDescent="0.25">
      <c r="B4094" s="64"/>
      <c r="C4094" s="64"/>
      <c r="D4094" s="64"/>
      <c r="E4094" s="64"/>
      <c r="F4094" s="64"/>
      <c r="G4094" s="64"/>
    </row>
    <row r="4095" spans="2:7" ht="32.25" customHeight="1" x14ac:dyDescent="0.25">
      <c r="B4095" s="64"/>
      <c r="C4095" s="64"/>
      <c r="D4095" s="64"/>
      <c r="E4095" s="64"/>
      <c r="F4095" s="64"/>
      <c r="G4095" s="64"/>
    </row>
    <row r="4096" spans="2:7" ht="32.25" customHeight="1" x14ac:dyDescent="0.25">
      <c r="B4096" s="64"/>
      <c r="C4096" s="64"/>
      <c r="D4096" s="64"/>
      <c r="E4096" s="64"/>
      <c r="F4096" s="64"/>
      <c r="G4096" s="64"/>
    </row>
    <row r="4097" spans="2:7" ht="32.25" customHeight="1" x14ac:dyDescent="0.25">
      <c r="B4097" s="64"/>
      <c r="C4097" s="64"/>
      <c r="D4097" s="64"/>
      <c r="E4097" s="64"/>
      <c r="F4097" s="64"/>
      <c r="G4097" s="64"/>
    </row>
    <row r="4098" spans="2:7" ht="32.25" customHeight="1" x14ac:dyDescent="0.25">
      <c r="B4098" s="64"/>
      <c r="C4098" s="64"/>
      <c r="D4098" s="64"/>
      <c r="E4098" s="64"/>
      <c r="F4098" s="64"/>
      <c r="G4098" s="64"/>
    </row>
    <row r="4099" spans="2:7" ht="32.25" customHeight="1" x14ac:dyDescent="0.25">
      <c r="B4099" s="64"/>
      <c r="C4099" s="64"/>
      <c r="D4099" s="64"/>
      <c r="E4099" s="64"/>
      <c r="F4099" s="64"/>
      <c r="G4099" s="64"/>
    </row>
    <row r="4100" spans="2:7" ht="32.25" customHeight="1" x14ac:dyDescent="0.25">
      <c r="B4100" s="64"/>
      <c r="C4100" s="64"/>
      <c r="D4100" s="64"/>
      <c r="E4100" s="64"/>
      <c r="F4100" s="64"/>
      <c r="G4100" s="64"/>
    </row>
    <row r="4101" spans="2:7" ht="32.25" customHeight="1" x14ac:dyDescent="0.25">
      <c r="B4101" s="64"/>
      <c r="C4101" s="64"/>
      <c r="D4101" s="64"/>
      <c r="E4101" s="64"/>
      <c r="F4101" s="64"/>
      <c r="G4101" s="64"/>
    </row>
    <row r="4102" spans="2:7" ht="32.25" customHeight="1" x14ac:dyDescent="0.25">
      <c r="B4102" s="64"/>
      <c r="C4102" s="64"/>
      <c r="D4102" s="64"/>
      <c r="E4102" s="64"/>
      <c r="F4102" s="64"/>
      <c r="G4102" s="64"/>
    </row>
    <row r="4103" spans="2:7" ht="32.25" customHeight="1" x14ac:dyDescent="0.25">
      <c r="B4103" s="64"/>
      <c r="C4103" s="64"/>
      <c r="D4103" s="64"/>
      <c r="E4103" s="64"/>
      <c r="F4103" s="64"/>
      <c r="G4103" s="64"/>
    </row>
    <row r="4104" spans="2:7" ht="32.25" customHeight="1" x14ac:dyDescent="0.25">
      <c r="B4104" s="64"/>
      <c r="C4104" s="64"/>
      <c r="D4104" s="64"/>
      <c r="E4104" s="64"/>
      <c r="F4104" s="64"/>
      <c r="G4104" s="64"/>
    </row>
    <row r="4105" spans="2:7" ht="32.25" customHeight="1" x14ac:dyDescent="0.25">
      <c r="B4105" s="64"/>
      <c r="C4105" s="64"/>
      <c r="D4105" s="64"/>
      <c r="E4105" s="64"/>
      <c r="F4105" s="64"/>
      <c r="G4105" s="64"/>
    </row>
    <row r="4106" spans="2:7" ht="32.25" customHeight="1" x14ac:dyDescent="0.25">
      <c r="B4106" s="64"/>
      <c r="C4106" s="64"/>
      <c r="D4106" s="64"/>
      <c r="E4106" s="64"/>
      <c r="F4106" s="64"/>
      <c r="G4106" s="64"/>
    </row>
    <row r="4107" spans="2:7" ht="32.25" customHeight="1" x14ac:dyDescent="0.25">
      <c r="B4107" s="64"/>
      <c r="C4107" s="64"/>
      <c r="D4107" s="64"/>
      <c r="E4107" s="64"/>
      <c r="F4107" s="64"/>
      <c r="G4107" s="64"/>
    </row>
    <row r="4108" spans="2:7" ht="32.25" customHeight="1" x14ac:dyDescent="0.25">
      <c r="B4108" s="64"/>
      <c r="C4108" s="64"/>
      <c r="D4108" s="64"/>
      <c r="E4108" s="64"/>
      <c r="F4108" s="64"/>
      <c r="G4108" s="64"/>
    </row>
    <row r="4109" spans="2:7" ht="32.25" customHeight="1" x14ac:dyDescent="0.25">
      <c r="B4109" s="64"/>
      <c r="C4109" s="64"/>
      <c r="D4109" s="64"/>
      <c r="E4109" s="64"/>
      <c r="F4109" s="64"/>
      <c r="G4109" s="64"/>
    </row>
    <row r="4110" spans="2:7" ht="32.25" customHeight="1" x14ac:dyDescent="0.25">
      <c r="B4110" s="64"/>
      <c r="C4110" s="64"/>
      <c r="D4110" s="64"/>
      <c r="E4110" s="64"/>
      <c r="F4110" s="64"/>
      <c r="G4110" s="64"/>
    </row>
    <row r="4111" spans="2:7" ht="32.25" customHeight="1" x14ac:dyDescent="0.25">
      <c r="B4111" s="64"/>
      <c r="C4111" s="64"/>
      <c r="D4111" s="64"/>
      <c r="E4111" s="64"/>
      <c r="F4111" s="64"/>
      <c r="G4111" s="64"/>
    </row>
    <row r="4112" spans="2:7" ht="32.25" customHeight="1" x14ac:dyDescent="0.25">
      <c r="B4112" s="64"/>
      <c r="C4112" s="64"/>
      <c r="D4112" s="64"/>
      <c r="E4112" s="64"/>
      <c r="F4112" s="64"/>
      <c r="G4112" s="64"/>
    </row>
    <row r="4113" spans="2:7" ht="32.25" customHeight="1" x14ac:dyDescent="0.25">
      <c r="B4113" s="64"/>
      <c r="C4113" s="64"/>
      <c r="D4113" s="64"/>
      <c r="E4113" s="64"/>
      <c r="F4113" s="64"/>
      <c r="G4113" s="64"/>
    </row>
    <row r="4114" spans="2:7" ht="32.25" customHeight="1" x14ac:dyDescent="0.25">
      <c r="B4114" s="64"/>
      <c r="C4114" s="64"/>
      <c r="D4114" s="64"/>
      <c r="E4114" s="64"/>
      <c r="F4114" s="64"/>
      <c r="G4114" s="64"/>
    </row>
    <row r="4115" spans="2:7" ht="32.25" customHeight="1" x14ac:dyDescent="0.25">
      <c r="B4115" s="64"/>
      <c r="C4115" s="64"/>
      <c r="D4115" s="64"/>
      <c r="E4115" s="64"/>
      <c r="F4115" s="64"/>
      <c r="G4115" s="64"/>
    </row>
    <row r="4116" spans="2:7" ht="32.25" customHeight="1" x14ac:dyDescent="0.25">
      <c r="B4116" s="64"/>
      <c r="C4116" s="64"/>
      <c r="D4116" s="64"/>
      <c r="E4116" s="64"/>
      <c r="F4116" s="64"/>
      <c r="G4116" s="64"/>
    </row>
    <row r="4117" spans="2:7" ht="32.25" customHeight="1" x14ac:dyDescent="0.25">
      <c r="B4117" s="64"/>
      <c r="C4117" s="64"/>
      <c r="D4117" s="64"/>
      <c r="E4117" s="64"/>
      <c r="F4117" s="64"/>
      <c r="G4117" s="64"/>
    </row>
    <row r="4118" spans="2:7" ht="32.25" customHeight="1" x14ac:dyDescent="0.25">
      <c r="B4118" s="64"/>
      <c r="C4118" s="64"/>
      <c r="D4118" s="64"/>
      <c r="E4118" s="64"/>
      <c r="F4118" s="64"/>
      <c r="G4118" s="64"/>
    </row>
    <row r="4119" spans="2:7" ht="32.25" customHeight="1" x14ac:dyDescent="0.25">
      <c r="B4119" s="64"/>
      <c r="C4119" s="64"/>
      <c r="D4119" s="64"/>
      <c r="E4119" s="64"/>
      <c r="F4119" s="64"/>
      <c r="G4119" s="64"/>
    </row>
    <row r="4120" spans="2:7" ht="32.25" customHeight="1" x14ac:dyDescent="0.25">
      <c r="B4120" s="64"/>
      <c r="C4120" s="64"/>
      <c r="D4120" s="64"/>
      <c r="E4120" s="64"/>
      <c r="F4120" s="64"/>
      <c r="G4120" s="64"/>
    </row>
    <row r="4121" spans="2:7" ht="32.25" customHeight="1" x14ac:dyDescent="0.25">
      <c r="B4121" s="64"/>
      <c r="C4121" s="64"/>
      <c r="D4121" s="64"/>
      <c r="E4121" s="64"/>
      <c r="F4121" s="64"/>
      <c r="G4121" s="64"/>
    </row>
    <row r="4122" spans="2:7" ht="32.25" customHeight="1" x14ac:dyDescent="0.25">
      <c r="B4122" s="64"/>
      <c r="C4122" s="64"/>
      <c r="D4122" s="64"/>
      <c r="E4122" s="64"/>
      <c r="F4122" s="64"/>
      <c r="G4122" s="64"/>
    </row>
    <row r="4123" spans="2:7" ht="32.25" customHeight="1" x14ac:dyDescent="0.25">
      <c r="B4123" s="64"/>
      <c r="C4123" s="64"/>
      <c r="D4123" s="64"/>
      <c r="E4123" s="64"/>
      <c r="F4123" s="64"/>
      <c r="G4123" s="64"/>
    </row>
    <row r="4124" spans="2:7" ht="32.25" customHeight="1" x14ac:dyDescent="0.25">
      <c r="B4124" s="64"/>
      <c r="C4124" s="64"/>
      <c r="D4124" s="64"/>
      <c r="E4124" s="64"/>
      <c r="F4124" s="64"/>
      <c r="G4124" s="64"/>
    </row>
    <row r="4125" spans="2:7" ht="32.25" customHeight="1" x14ac:dyDescent="0.25">
      <c r="B4125" s="64"/>
      <c r="C4125" s="64"/>
      <c r="D4125" s="64"/>
      <c r="E4125" s="64"/>
      <c r="F4125" s="64"/>
      <c r="G4125" s="64"/>
    </row>
    <row r="4126" spans="2:7" ht="32.25" customHeight="1" x14ac:dyDescent="0.25">
      <c r="B4126" s="64"/>
      <c r="C4126" s="64"/>
      <c r="D4126" s="64"/>
      <c r="E4126" s="64"/>
      <c r="F4126" s="64"/>
      <c r="G4126" s="64"/>
    </row>
    <row r="4127" spans="2:7" ht="32.25" customHeight="1" x14ac:dyDescent="0.25">
      <c r="B4127" s="64"/>
      <c r="C4127" s="64"/>
      <c r="D4127" s="64"/>
      <c r="E4127" s="64"/>
      <c r="F4127" s="64"/>
      <c r="G4127" s="64"/>
    </row>
    <row r="4128" spans="2:7" ht="32.25" customHeight="1" x14ac:dyDescent="0.25">
      <c r="B4128" s="64"/>
      <c r="C4128" s="64"/>
      <c r="D4128" s="64"/>
      <c r="E4128" s="64"/>
      <c r="F4128" s="64"/>
      <c r="G4128" s="64"/>
    </row>
    <row r="4129" spans="2:7" ht="32.25" customHeight="1" x14ac:dyDescent="0.25">
      <c r="B4129" s="64"/>
      <c r="C4129" s="64"/>
      <c r="D4129" s="64"/>
      <c r="E4129" s="64"/>
      <c r="F4129" s="64"/>
      <c r="G4129" s="64"/>
    </row>
    <row r="4130" spans="2:7" ht="32.25" customHeight="1" x14ac:dyDescent="0.25">
      <c r="B4130" s="64"/>
      <c r="C4130" s="64"/>
      <c r="D4130" s="64"/>
      <c r="E4130" s="64"/>
      <c r="F4130" s="64"/>
      <c r="G4130" s="64"/>
    </row>
    <row r="4131" spans="2:7" ht="32.25" customHeight="1" x14ac:dyDescent="0.25">
      <c r="B4131" s="64"/>
      <c r="C4131" s="64"/>
      <c r="D4131" s="64"/>
      <c r="E4131" s="64"/>
      <c r="F4131" s="64"/>
      <c r="G4131" s="64"/>
    </row>
    <row r="4132" spans="2:7" ht="32.25" customHeight="1" x14ac:dyDescent="0.25">
      <c r="B4132" s="64"/>
      <c r="C4132" s="64"/>
      <c r="D4132" s="64"/>
      <c r="E4132" s="64"/>
      <c r="F4132" s="64"/>
      <c r="G4132" s="64"/>
    </row>
    <row r="4133" spans="2:7" ht="32.25" customHeight="1" x14ac:dyDescent="0.25">
      <c r="B4133" s="64"/>
      <c r="C4133" s="64"/>
      <c r="D4133" s="64"/>
      <c r="E4133" s="64"/>
      <c r="F4133" s="64"/>
      <c r="G4133" s="64"/>
    </row>
    <row r="4134" spans="2:7" ht="32.25" customHeight="1" x14ac:dyDescent="0.25">
      <c r="B4134" s="64"/>
      <c r="C4134" s="64"/>
      <c r="D4134" s="64"/>
      <c r="E4134" s="64"/>
      <c r="F4134" s="64"/>
      <c r="G4134" s="64"/>
    </row>
    <row r="4135" spans="2:7" ht="32.25" customHeight="1" x14ac:dyDescent="0.25">
      <c r="B4135" s="64"/>
      <c r="C4135" s="64"/>
      <c r="D4135" s="64"/>
      <c r="E4135" s="64"/>
      <c r="F4135" s="64"/>
      <c r="G4135" s="64"/>
    </row>
    <row r="4136" spans="2:7" ht="32.25" customHeight="1" x14ac:dyDescent="0.25">
      <c r="B4136" s="64"/>
      <c r="C4136" s="64"/>
      <c r="D4136" s="64"/>
      <c r="E4136" s="64"/>
      <c r="F4136" s="64"/>
      <c r="G4136" s="64"/>
    </row>
    <row r="4137" spans="2:7" ht="32.25" customHeight="1" x14ac:dyDescent="0.25">
      <c r="B4137" s="64"/>
      <c r="C4137" s="64"/>
      <c r="D4137" s="64"/>
      <c r="E4137" s="64"/>
      <c r="F4137" s="64"/>
      <c r="G4137" s="64"/>
    </row>
    <row r="4138" spans="2:7" ht="32.25" customHeight="1" x14ac:dyDescent="0.25">
      <c r="B4138" s="64"/>
      <c r="C4138" s="64"/>
      <c r="D4138" s="64"/>
      <c r="E4138" s="64"/>
      <c r="F4138" s="64"/>
      <c r="G4138" s="64"/>
    </row>
    <row r="4139" spans="2:7" ht="32.25" customHeight="1" x14ac:dyDescent="0.25">
      <c r="B4139" s="64"/>
      <c r="C4139" s="64"/>
      <c r="D4139" s="64"/>
      <c r="E4139" s="64"/>
      <c r="F4139" s="64"/>
      <c r="G4139" s="64"/>
    </row>
    <row r="4140" spans="2:7" ht="32.25" customHeight="1" x14ac:dyDescent="0.25">
      <c r="B4140" s="64"/>
      <c r="C4140" s="64"/>
      <c r="D4140" s="64"/>
      <c r="E4140" s="64"/>
      <c r="F4140" s="64"/>
      <c r="G4140" s="64"/>
    </row>
    <row r="4141" spans="2:7" ht="32.25" customHeight="1" x14ac:dyDescent="0.25">
      <c r="B4141" s="64"/>
      <c r="C4141" s="64"/>
      <c r="D4141" s="64"/>
      <c r="E4141" s="64"/>
      <c r="F4141" s="64"/>
      <c r="G4141" s="64"/>
    </row>
    <row r="4142" spans="2:7" ht="32.25" customHeight="1" x14ac:dyDescent="0.25">
      <c r="B4142" s="64"/>
      <c r="C4142" s="64"/>
      <c r="D4142" s="64"/>
      <c r="E4142" s="64"/>
      <c r="F4142" s="64"/>
      <c r="G4142" s="64"/>
    </row>
    <row r="4143" spans="2:7" ht="32.25" customHeight="1" x14ac:dyDescent="0.25">
      <c r="B4143" s="64"/>
      <c r="C4143" s="64"/>
      <c r="D4143" s="64"/>
      <c r="E4143" s="64"/>
      <c r="F4143" s="64"/>
      <c r="G4143" s="64"/>
    </row>
    <row r="4144" spans="2:7" ht="32.25" customHeight="1" x14ac:dyDescent="0.25">
      <c r="B4144" s="64"/>
      <c r="C4144" s="64"/>
      <c r="D4144" s="64"/>
      <c r="E4144" s="64"/>
      <c r="F4144" s="64"/>
      <c r="G4144" s="64"/>
    </row>
    <row r="4145" spans="2:7" ht="32.25" customHeight="1" x14ac:dyDescent="0.25">
      <c r="B4145" s="64"/>
      <c r="C4145" s="64"/>
      <c r="D4145" s="64"/>
      <c r="E4145" s="64"/>
      <c r="F4145" s="64"/>
      <c r="G4145" s="64"/>
    </row>
    <row r="4146" spans="2:7" ht="32.25" customHeight="1" x14ac:dyDescent="0.25">
      <c r="B4146" s="64"/>
      <c r="C4146" s="64"/>
      <c r="D4146" s="64"/>
      <c r="E4146" s="64"/>
      <c r="F4146" s="64"/>
      <c r="G4146" s="64"/>
    </row>
    <row r="4147" spans="2:7" ht="32.25" customHeight="1" x14ac:dyDescent="0.25">
      <c r="B4147" s="64"/>
      <c r="C4147" s="64"/>
      <c r="D4147" s="64"/>
      <c r="E4147" s="64"/>
      <c r="F4147" s="64"/>
      <c r="G4147" s="64"/>
    </row>
    <row r="4148" spans="2:7" ht="32.25" customHeight="1" x14ac:dyDescent="0.25">
      <c r="B4148" s="64"/>
      <c r="C4148" s="64"/>
      <c r="D4148" s="64"/>
      <c r="E4148" s="64"/>
      <c r="F4148" s="64"/>
      <c r="G4148" s="64"/>
    </row>
    <row r="4149" spans="2:7" ht="32.25" customHeight="1" x14ac:dyDescent="0.25">
      <c r="B4149" s="64"/>
      <c r="C4149" s="64"/>
      <c r="D4149" s="64"/>
      <c r="E4149" s="64"/>
      <c r="F4149" s="64"/>
      <c r="G4149" s="64"/>
    </row>
    <row r="4150" spans="2:7" ht="32.25" customHeight="1" x14ac:dyDescent="0.25">
      <c r="B4150" s="64"/>
      <c r="C4150" s="64"/>
      <c r="D4150" s="64"/>
      <c r="E4150" s="64"/>
      <c r="F4150" s="64"/>
      <c r="G4150" s="64"/>
    </row>
    <row r="4151" spans="2:7" ht="32.25" customHeight="1" x14ac:dyDescent="0.25">
      <c r="B4151" s="64"/>
      <c r="C4151" s="64"/>
      <c r="D4151" s="64"/>
      <c r="E4151" s="64"/>
      <c r="F4151" s="64"/>
      <c r="G4151" s="64"/>
    </row>
    <row r="4152" spans="2:7" ht="32.25" customHeight="1" x14ac:dyDescent="0.25">
      <c r="B4152" s="64"/>
      <c r="C4152" s="64"/>
      <c r="D4152" s="64"/>
      <c r="E4152" s="64"/>
      <c r="F4152" s="64"/>
      <c r="G4152" s="64"/>
    </row>
    <row r="4153" spans="2:7" ht="32.25" customHeight="1" x14ac:dyDescent="0.25">
      <c r="B4153" s="64"/>
      <c r="C4153" s="64"/>
      <c r="D4153" s="64"/>
      <c r="E4153" s="64"/>
      <c r="F4153" s="64"/>
      <c r="G4153" s="64"/>
    </row>
    <row r="4154" spans="2:7" ht="32.25" customHeight="1" x14ac:dyDescent="0.25">
      <c r="B4154" s="64"/>
      <c r="C4154" s="64"/>
      <c r="D4154" s="64"/>
      <c r="E4154" s="64"/>
      <c r="F4154" s="64"/>
      <c r="G4154" s="64"/>
    </row>
    <row r="4155" spans="2:7" ht="32.25" customHeight="1" x14ac:dyDescent="0.25">
      <c r="B4155" s="64"/>
      <c r="C4155" s="64"/>
      <c r="D4155" s="64"/>
      <c r="E4155" s="64"/>
      <c r="F4155" s="64"/>
      <c r="G4155" s="64"/>
    </row>
    <row r="4156" spans="2:7" ht="32.25" customHeight="1" x14ac:dyDescent="0.25">
      <c r="B4156" s="64"/>
      <c r="C4156" s="64"/>
      <c r="D4156" s="64"/>
      <c r="E4156" s="64"/>
      <c r="F4156" s="64"/>
      <c r="G4156" s="64"/>
    </row>
    <row r="4157" spans="2:7" ht="32.25" customHeight="1" x14ac:dyDescent="0.25">
      <c r="B4157" s="64"/>
      <c r="C4157" s="64"/>
      <c r="D4157" s="64"/>
      <c r="E4157" s="64"/>
      <c r="F4157" s="64"/>
      <c r="G4157" s="64"/>
    </row>
    <row r="4158" spans="2:7" ht="32.25" customHeight="1" x14ac:dyDescent="0.25">
      <c r="B4158" s="64"/>
      <c r="C4158" s="64"/>
      <c r="D4158" s="64"/>
      <c r="E4158" s="64"/>
      <c r="F4158" s="64"/>
      <c r="G4158" s="64"/>
    </row>
    <row r="4159" spans="2:7" ht="32.25" customHeight="1" x14ac:dyDescent="0.25">
      <c r="B4159" s="64"/>
      <c r="C4159" s="64"/>
      <c r="D4159" s="64"/>
      <c r="E4159" s="64"/>
      <c r="F4159" s="64"/>
      <c r="G4159" s="64"/>
    </row>
    <row r="4160" spans="2:7" ht="32.25" customHeight="1" x14ac:dyDescent="0.25">
      <c r="B4160" s="64"/>
      <c r="C4160" s="64"/>
      <c r="D4160" s="64"/>
      <c r="E4160" s="64"/>
      <c r="F4160" s="64"/>
      <c r="G4160" s="64"/>
    </row>
    <row r="4161" spans="2:7" ht="32.25" customHeight="1" x14ac:dyDescent="0.25">
      <c r="B4161" s="64"/>
      <c r="C4161" s="64"/>
      <c r="D4161" s="64"/>
      <c r="E4161" s="64"/>
      <c r="F4161" s="64"/>
      <c r="G4161" s="64"/>
    </row>
    <row r="4162" spans="2:7" ht="32.25" customHeight="1" x14ac:dyDescent="0.25">
      <c r="B4162" s="64"/>
      <c r="C4162" s="64"/>
      <c r="D4162" s="64"/>
      <c r="E4162" s="64"/>
      <c r="F4162" s="64"/>
      <c r="G4162" s="64"/>
    </row>
    <row r="4163" spans="2:7" ht="32.25" customHeight="1" x14ac:dyDescent="0.25">
      <c r="B4163" s="64"/>
      <c r="C4163" s="64"/>
      <c r="D4163" s="64"/>
      <c r="E4163" s="64"/>
      <c r="F4163" s="64"/>
      <c r="G4163" s="64"/>
    </row>
    <row r="4164" spans="2:7" ht="32.25" customHeight="1" x14ac:dyDescent="0.25">
      <c r="B4164" s="64"/>
      <c r="C4164" s="64"/>
      <c r="D4164" s="64"/>
      <c r="E4164" s="64"/>
      <c r="F4164" s="64"/>
      <c r="G4164" s="64"/>
    </row>
    <row r="4165" spans="2:7" ht="32.25" customHeight="1" x14ac:dyDescent="0.25">
      <c r="B4165" s="64"/>
      <c r="C4165" s="64"/>
      <c r="D4165" s="64"/>
      <c r="E4165" s="64"/>
      <c r="F4165" s="64"/>
      <c r="G4165" s="64"/>
    </row>
    <row r="4166" spans="2:7" ht="32.25" customHeight="1" x14ac:dyDescent="0.25">
      <c r="B4166" s="64"/>
      <c r="C4166" s="64"/>
      <c r="D4166" s="64"/>
      <c r="E4166" s="64"/>
      <c r="F4166" s="64"/>
      <c r="G4166" s="64"/>
    </row>
    <row r="4167" spans="2:7" ht="32.25" customHeight="1" x14ac:dyDescent="0.25">
      <c r="B4167" s="64"/>
      <c r="C4167" s="64"/>
      <c r="D4167" s="64"/>
      <c r="E4167" s="64"/>
      <c r="F4167" s="64"/>
      <c r="G4167" s="64"/>
    </row>
    <row r="4168" spans="2:7" ht="32.25" customHeight="1" x14ac:dyDescent="0.25">
      <c r="B4168" s="64"/>
      <c r="C4168" s="64"/>
      <c r="D4168" s="64"/>
      <c r="E4168" s="64"/>
      <c r="F4168" s="64"/>
      <c r="G4168" s="64"/>
    </row>
    <row r="4169" spans="2:7" ht="32.25" customHeight="1" x14ac:dyDescent="0.25">
      <c r="B4169" s="64"/>
      <c r="C4169" s="64"/>
      <c r="D4169" s="64"/>
      <c r="E4169" s="64"/>
      <c r="F4169" s="64"/>
      <c r="G4169" s="64"/>
    </row>
    <row r="4170" spans="2:7" ht="32.25" customHeight="1" x14ac:dyDescent="0.25">
      <c r="B4170" s="64"/>
      <c r="C4170" s="64"/>
      <c r="D4170" s="64"/>
      <c r="E4170" s="64"/>
      <c r="F4170" s="64"/>
      <c r="G4170" s="64"/>
    </row>
    <row r="4171" spans="2:7" ht="32.25" customHeight="1" x14ac:dyDescent="0.25">
      <c r="B4171" s="64"/>
      <c r="C4171" s="64"/>
      <c r="D4171" s="64"/>
      <c r="E4171" s="64"/>
      <c r="F4171" s="64"/>
      <c r="G4171" s="64"/>
    </row>
    <row r="4172" spans="2:7" ht="32.25" customHeight="1" x14ac:dyDescent="0.25">
      <c r="B4172" s="64"/>
      <c r="C4172" s="64"/>
      <c r="D4172" s="64"/>
      <c r="E4172" s="64"/>
      <c r="F4172" s="64"/>
      <c r="G4172" s="64"/>
    </row>
    <row r="4173" spans="2:7" ht="32.25" customHeight="1" x14ac:dyDescent="0.25">
      <c r="B4173" s="64"/>
      <c r="C4173" s="64"/>
      <c r="D4173" s="64"/>
      <c r="E4173" s="64"/>
      <c r="F4173" s="64"/>
      <c r="G4173" s="64"/>
    </row>
    <row r="4174" spans="2:7" ht="32.25" customHeight="1" x14ac:dyDescent="0.25">
      <c r="B4174" s="64"/>
      <c r="C4174" s="64"/>
      <c r="D4174" s="64"/>
      <c r="E4174" s="64"/>
      <c r="F4174" s="64"/>
      <c r="G4174" s="64"/>
    </row>
    <row r="4175" spans="2:7" ht="32.25" customHeight="1" x14ac:dyDescent="0.25">
      <c r="B4175" s="64"/>
      <c r="C4175" s="64"/>
      <c r="D4175" s="64"/>
      <c r="E4175" s="64"/>
      <c r="F4175" s="64"/>
      <c r="G4175" s="64"/>
    </row>
    <row r="4176" spans="2:7" ht="32.25" customHeight="1" x14ac:dyDescent="0.25">
      <c r="B4176" s="64"/>
      <c r="C4176" s="64"/>
      <c r="D4176" s="64"/>
      <c r="E4176" s="64"/>
      <c r="F4176" s="64"/>
      <c r="G4176" s="64"/>
    </row>
    <row r="4177" spans="2:7" ht="32.25" customHeight="1" x14ac:dyDescent="0.25">
      <c r="B4177" s="64"/>
      <c r="C4177" s="64"/>
      <c r="D4177" s="64"/>
      <c r="E4177" s="64"/>
      <c r="F4177" s="64"/>
      <c r="G4177" s="64"/>
    </row>
    <row r="4178" spans="2:7" ht="32.25" customHeight="1" x14ac:dyDescent="0.25">
      <c r="B4178" s="64"/>
      <c r="C4178" s="64"/>
      <c r="D4178" s="64"/>
      <c r="E4178" s="64"/>
      <c r="F4178" s="64"/>
      <c r="G4178" s="64"/>
    </row>
    <row r="4179" spans="2:7" ht="32.25" customHeight="1" x14ac:dyDescent="0.25">
      <c r="B4179" s="64"/>
      <c r="C4179" s="64"/>
      <c r="D4179" s="64"/>
      <c r="E4179" s="64"/>
      <c r="F4179" s="64"/>
      <c r="G4179" s="64"/>
    </row>
    <row r="4180" spans="2:7" ht="32.25" customHeight="1" x14ac:dyDescent="0.25">
      <c r="B4180" s="64"/>
      <c r="C4180" s="64"/>
      <c r="D4180" s="64"/>
      <c r="E4180" s="64"/>
      <c r="F4180" s="64"/>
      <c r="G4180" s="64"/>
    </row>
    <row r="4181" spans="2:7" ht="32.25" customHeight="1" x14ac:dyDescent="0.25">
      <c r="B4181" s="64"/>
      <c r="C4181" s="64"/>
      <c r="D4181" s="64"/>
      <c r="E4181" s="64"/>
      <c r="F4181" s="64"/>
      <c r="G4181" s="64"/>
    </row>
    <row r="4182" spans="2:7" ht="32.25" customHeight="1" x14ac:dyDescent="0.25">
      <c r="B4182" s="64"/>
      <c r="C4182" s="64"/>
      <c r="D4182" s="64"/>
      <c r="E4182" s="64"/>
      <c r="F4182" s="64"/>
      <c r="G4182" s="64"/>
    </row>
    <row r="4183" spans="2:7" ht="32.25" customHeight="1" x14ac:dyDescent="0.25">
      <c r="B4183" s="64"/>
      <c r="C4183" s="64"/>
      <c r="D4183" s="64"/>
      <c r="E4183" s="64"/>
      <c r="F4183" s="64"/>
      <c r="G4183" s="64"/>
    </row>
    <row r="4184" spans="2:7" ht="32.25" customHeight="1" x14ac:dyDescent="0.25">
      <c r="B4184" s="64"/>
      <c r="C4184" s="64"/>
      <c r="D4184" s="64"/>
      <c r="E4184" s="64"/>
      <c r="F4184" s="64"/>
      <c r="G4184" s="64"/>
    </row>
    <row r="4185" spans="2:7" ht="32.25" customHeight="1" x14ac:dyDescent="0.25">
      <c r="B4185" s="64"/>
      <c r="C4185" s="64"/>
      <c r="D4185" s="64"/>
      <c r="E4185" s="64"/>
      <c r="F4185" s="64"/>
      <c r="G4185" s="64"/>
    </row>
    <row r="4186" spans="2:7" ht="32.25" customHeight="1" x14ac:dyDescent="0.25">
      <c r="B4186" s="64"/>
      <c r="C4186" s="64"/>
      <c r="D4186" s="64"/>
      <c r="E4186" s="64"/>
      <c r="F4186" s="64"/>
      <c r="G4186" s="64"/>
    </row>
    <row r="4187" spans="2:7" ht="32.25" customHeight="1" x14ac:dyDescent="0.25">
      <c r="B4187" s="64"/>
      <c r="C4187" s="64"/>
      <c r="D4187" s="64"/>
      <c r="E4187" s="64"/>
      <c r="F4187" s="64"/>
      <c r="G4187" s="64"/>
    </row>
    <row r="4188" spans="2:7" ht="32.25" customHeight="1" x14ac:dyDescent="0.25">
      <c r="B4188" s="64"/>
      <c r="C4188" s="64"/>
      <c r="D4188" s="64"/>
      <c r="E4188" s="64"/>
      <c r="F4188" s="64"/>
      <c r="G4188" s="64"/>
    </row>
    <row r="4189" spans="2:7" ht="32.25" customHeight="1" x14ac:dyDescent="0.25">
      <c r="B4189" s="64"/>
      <c r="C4189" s="64"/>
      <c r="D4189" s="64"/>
      <c r="E4189" s="64"/>
      <c r="F4189" s="64"/>
      <c r="G4189" s="64"/>
    </row>
    <row r="4190" spans="2:7" ht="32.25" customHeight="1" x14ac:dyDescent="0.25">
      <c r="B4190" s="64"/>
      <c r="C4190" s="64"/>
      <c r="D4190" s="64"/>
      <c r="E4190" s="64"/>
      <c r="F4190" s="64"/>
      <c r="G4190" s="64"/>
    </row>
    <row r="4191" spans="2:7" ht="32.25" customHeight="1" x14ac:dyDescent="0.25">
      <c r="B4191" s="64"/>
      <c r="C4191" s="64"/>
      <c r="D4191" s="64"/>
      <c r="E4191" s="64"/>
      <c r="F4191" s="64"/>
      <c r="G4191" s="64"/>
    </row>
    <row r="4192" spans="2:7" ht="32.25" customHeight="1" x14ac:dyDescent="0.25">
      <c r="B4192" s="64"/>
      <c r="C4192" s="64"/>
      <c r="D4192" s="64"/>
      <c r="E4192" s="64"/>
      <c r="F4192" s="64"/>
      <c r="G4192" s="64"/>
    </row>
    <row r="4193" spans="2:7" ht="32.25" customHeight="1" x14ac:dyDescent="0.25">
      <c r="B4193" s="64"/>
      <c r="C4193" s="64"/>
      <c r="D4193" s="64"/>
      <c r="E4193" s="64"/>
      <c r="F4193" s="64"/>
      <c r="G4193" s="64"/>
    </row>
    <row r="4194" spans="2:7" ht="32.25" customHeight="1" x14ac:dyDescent="0.25">
      <c r="B4194" s="64"/>
      <c r="C4194" s="64"/>
      <c r="D4194" s="64"/>
      <c r="E4194" s="64"/>
      <c r="F4194" s="64"/>
      <c r="G4194" s="64"/>
    </row>
    <row r="4195" spans="2:7" ht="32.25" customHeight="1" x14ac:dyDescent="0.25">
      <c r="B4195" s="64"/>
      <c r="C4195" s="64"/>
      <c r="D4195" s="64"/>
      <c r="E4195" s="64"/>
      <c r="F4195" s="64"/>
      <c r="G4195" s="64"/>
    </row>
    <row r="4196" spans="2:7" ht="32.25" customHeight="1" x14ac:dyDescent="0.25">
      <c r="B4196" s="64"/>
      <c r="C4196" s="64"/>
      <c r="D4196" s="64"/>
      <c r="E4196" s="64"/>
      <c r="F4196" s="64"/>
      <c r="G4196" s="64"/>
    </row>
    <row r="4197" spans="2:7" ht="32.25" customHeight="1" x14ac:dyDescent="0.25">
      <c r="B4197" s="64"/>
      <c r="C4197" s="64"/>
      <c r="D4197" s="64"/>
      <c r="E4197" s="64"/>
      <c r="F4197" s="64"/>
      <c r="G4197" s="64"/>
    </row>
    <row r="4198" spans="2:7" ht="32.25" customHeight="1" x14ac:dyDescent="0.25">
      <c r="B4198" s="64"/>
      <c r="C4198" s="64"/>
      <c r="D4198" s="64"/>
      <c r="E4198" s="64"/>
      <c r="F4198" s="64"/>
      <c r="G4198" s="64"/>
    </row>
    <row r="4199" spans="2:7" ht="32.25" customHeight="1" x14ac:dyDescent="0.25">
      <c r="B4199" s="64"/>
      <c r="C4199" s="64"/>
      <c r="D4199" s="64"/>
      <c r="E4199" s="64"/>
      <c r="F4199" s="64"/>
      <c r="G4199" s="64"/>
    </row>
    <row r="4200" spans="2:7" ht="32.25" customHeight="1" x14ac:dyDescent="0.25">
      <c r="B4200" s="64"/>
      <c r="C4200" s="64"/>
      <c r="D4200" s="64"/>
      <c r="E4200" s="64"/>
      <c r="F4200" s="64"/>
      <c r="G4200" s="64"/>
    </row>
    <row r="4201" spans="2:7" ht="32.25" customHeight="1" x14ac:dyDescent="0.25">
      <c r="B4201" s="64"/>
      <c r="C4201" s="64"/>
      <c r="D4201" s="64"/>
      <c r="E4201" s="64"/>
      <c r="F4201" s="64"/>
      <c r="G4201" s="64"/>
    </row>
    <row r="4202" spans="2:7" ht="32.25" customHeight="1" x14ac:dyDescent="0.25">
      <c r="B4202" s="64"/>
      <c r="C4202" s="64"/>
      <c r="D4202" s="64"/>
      <c r="E4202" s="64"/>
      <c r="F4202" s="64"/>
      <c r="G4202" s="64"/>
    </row>
    <row r="4203" spans="2:7" ht="32.25" customHeight="1" x14ac:dyDescent="0.25">
      <c r="B4203" s="64"/>
      <c r="C4203" s="64"/>
      <c r="D4203" s="64"/>
      <c r="E4203" s="64"/>
      <c r="F4203" s="64"/>
      <c r="G4203" s="64"/>
    </row>
    <row r="4204" spans="2:7" ht="32.25" customHeight="1" x14ac:dyDescent="0.25">
      <c r="B4204" s="64"/>
      <c r="C4204" s="64"/>
      <c r="D4204" s="64"/>
      <c r="E4204" s="64"/>
      <c r="F4204" s="64"/>
      <c r="G4204" s="64"/>
    </row>
    <row r="4205" spans="2:7" ht="32.25" customHeight="1" x14ac:dyDescent="0.25">
      <c r="B4205" s="64"/>
      <c r="C4205" s="64"/>
      <c r="D4205" s="64"/>
      <c r="E4205" s="64"/>
      <c r="F4205" s="64"/>
      <c r="G4205" s="64"/>
    </row>
    <row r="4206" spans="2:7" ht="32.25" customHeight="1" x14ac:dyDescent="0.25">
      <c r="B4206" s="64"/>
      <c r="C4206" s="64"/>
      <c r="D4206" s="64"/>
      <c r="E4206" s="64"/>
      <c r="F4206" s="64"/>
      <c r="G4206" s="64"/>
    </row>
    <row r="4207" spans="2:7" ht="32.25" customHeight="1" x14ac:dyDescent="0.25">
      <c r="B4207" s="64"/>
      <c r="C4207" s="64"/>
      <c r="D4207" s="64"/>
      <c r="E4207" s="64"/>
      <c r="F4207" s="64"/>
      <c r="G4207" s="64"/>
    </row>
    <row r="4208" spans="2:7" ht="32.25" customHeight="1" x14ac:dyDescent="0.25">
      <c r="B4208" s="64"/>
      <c r="C4208" s="64"/>
      <c r="D4208" s="64"/>
      <c r="E4208" s="64"/>
      <c r="F4208" s="64"/>
      <c r="G4208" s="64"/>
    </row>
    <row r="4209" spans="2:7" ht="32.25" customHeight="1" x14ac:dyDescent="0.25">
      <c r="B4209" s="64"/>
      <c r="C4209" s="64"/>
      <c r="D4209" s="64"/>
      <c r="E4209" s="64"/>
      <c r="F4209" s="64"/>
      <c r="G4209" s="64"/>
    </row>
    <row r="4210" spans="2:7" ht="32.25" customHeight="1" x14ac:dyDescent="0.25">
      <c r="B4210" s="64"/>
      <c r="C4210" s="64"/>
      <c r="D4210" s="64"/>
      <c r="E4210" s="64"/>
      <c r="F4210" s="64"/>
      <c r="G4210" s="64"/>
    </row>
    <row r="4211" spans="2:7" ht="32.25" customHeight="1" x14ac:dyDescent="0.25">
      <c r="B4211" s="64"/>
      <c r="C4211" s="64"/>
      <c r="D4211" s="64"/>
      <c r="E4211" s="64"/>
      <c r="F4211" s="64"/>
      <c r="G4211" s="64"/>
    </row>
    <row r="4212" spans="2:7" ht="32.25" customHeight="1" x14ac:dyDescent="0.25">
      <c r="B4212" s="64"/>
      <c r="C4212" s="64"/>
      <c r="D4212" s="64"/>
      <c r="E4212" s="64"/>
      <c r="F4212" s="64"/>
      <c r="G4212" s="64"/>
    </row>
    <row r="4213" spans="2:7" ht="32.25" customHeight="1" x14ac:dyDescent="0.25">
      <c r="B4213" s="64"/>
      <c r="C4213" s="64"/>
      <c r="D4213" s="64"/>
      <c r="E4213" s="64"/>
      <c r="F4213" s="64"/>
      <c r="G4213" s="64"/>
    </row>
    <row r="4214" spans="2:7" ht="32.25" customHeight="1" x14ac:dyDescent="0.25">
      <c r="B4214" s="64"/>
      <c r="C4214" s="64"/>
      <c r="D4214" s="64"/>
      <c r="E4214" s="64"/>
      <c r="F4214" s="64"/>
      <c r="G4214" s="64"/>
    </row>
    <row r="4215" spans="2:7" ht="32.25" customHeight="1" x14ac:dyDescent="0.25">
      <c r="B4215" s="64"/>
      <c r="C4215" s="64"/>
      <c r="D4215" s="64"/>
      <c r="E4215" s="64"/>
      <c r="F4215" s="64"/>
      <c r="G4215" s="64"/>
    </row>
    <row r="4216" spans="2:7" ht="32.25" customHeight="1" x14ac:dyDescent="0.25">
      <c r="B4216" s="64"/>
      <c r="C4216" s="64"/>
      <c r="D4216" s="64"/>
      <c r="E4216" s="64"/>
      <c r="F4216" s="64"/>
      <c r="G4216" s="64"/>
    </row>
    <row r="4217" spans="2:7" ht="32.25" customHeight="1" x14ac:dyDescent="0.25">
      <c r="B4217" s="64"/>
      <c r="C4217" s="64"/>
      <c r="D4217" s="64"/>
      <c r="E4217" s="64"/>
      <c r="F4217" s="64"/>
      <c r="G4217" s="64"/>
    </row>
    <row r="4218" spans="2:7" ht="32.25" customHeight="1" x14ac:dyDescent="0.25">
      <c r="B4218" s="64"/>
      <c r="C4218" s="64"/>
      <c r="D4218" s="64"/>
      <c r="E4218" s="64"/>
      <c r="F4218" s="64"/>
      <c r="G4218" s="64"/>
    </row>
    <row r="4219" spans="2:7" ht="32.25" customHeight="1" x14ac:dyDescent="0.25">
      <c r="B4219" s="64"/>
      <c r="C4219" s="64"/>
      <c r="D4219" s="64"/>
      <c r="E4219" s="64"/>
      <c r="F4219" s="64"/>
      <c r="G4219" s="64"/>
    </row>
    <row r="4220" spans="2:7" ht="32.25" customHeight="1" x14ac:dyDescent="0.25">
      <c r="B4220" s="64"/>
      <c r="C4220" s="64"/>
      <c r="D4220" s="64"/>
      <c r="E4220" s="64"/>
      <c r="F4220" s="64"/>
      <c r="G4220" s="64"/>
    </row>
    <row r="4221" spans="2:7" ht="32.25" customHeight="1" x14ac:dyDescent="0.25">
      <c r="B4221" s="64"/>
      <c r="C4221" s="64"/>
      <c r="D4221" s="64"/>
      <c r="E4221" s="64"/>
      <c r="F4221" s="64"/>
      <c r="G4221" s="64"/>
    </row>
    <row r="4222" spans="2:7" ht="32.25" customHeight="1" x14ac:dyDescent="0.25">
      <c r="B4222" s="64"/>
      <c r="C4222" s="64"/>
      <c r="D4222" s="64"/>
      <c r="E4222" s="64"/>
      <c r="F4222" s="64"/>
      <c r="G4222" s="64"/>
    </row>
    <row r="4223" spans="2:7" ht="32.25" customHeight="1" x14ac:dyDescent="0.25">
      <c r="B4223" s="64"/>
      <c r="C4223" s="64"/>
      <c r="D4223" s="64"/>
      <c r="E4223" s="64"/>
      <c r="F4223" s="64"/>
      <c r="G4223" s="64"/>
    </row>
    <row r="4224" spans="2:7" ht="32.25" customHeight="1" x14ac:dyDescent="0.25">
      <c r="B4224" s="64"/>
      <c r="C4224" s="64"/>
      <c r="D4224" s="64"/>
      <c r="E4224" s="64"/>
      <c r="F4224" s="64"/>
      <c r="G4224" s="64"/>
    </row>
    <row r="4225" spans="2:7" ht="32.25" customHeight="1" x14ac:dyDescent="0.25">
      <c r="B4225" s="64"/>
      <c r="C4225" s="64"/>
      <c r="D4225" s="64"/>
      <c r="E4225" s="64"/>
      <c r="F4225" s="64"/>
      <c r="G4225" s="64"/>
    </row>
    <row r="4226" spans="2:7" ht="32.25" customHeight="1" x14ac:dyDescent="0.25">
      <c r="B4226" s="64"/>
      <c r="C4226" s="64"/>
      <c r="D4226" s="64"/>
      <c r="E4226" s="64"/>
      <c r="F4226" s="64"/>
      <c r="G4226" s="64"/>
    </row>
    <row r="4227" spans="2:7" ht="32.25" customHeight="1" x14ac:dyDescent="0.25">
      <c r="B4227" s="64"/>
      <c r="C4227" s="64"/>
      <c r="D4227" s="64"/>
      <c r="E4227" s="64"/>
      <c r="F4227" s="64"/>
      <c r="G4227" s="64"/>
    </row>
    <row r="4228" spans="2:7" ht="32.25" customHeight="1" x14ac:dyDescent="0.25">
      <c r="B4228" s="64"/>
      <c r="C4228" s="64"/>
      <c r="D4228" s="64"/>
      <c r="E4228" s="64"/>
      <c r="F4228" s="64"/>
      <c r="G4228" s="64"/>
    </row>
    <row r="4229" spans="2:7" ht="32.25" customHeight="1" x14ac:dyDescent="0.25">
      <c r="B4229" s="64"/>
      <c r="C4229" s="64"/>
      <c r="D4229" s="64"/>
      <c r="E4229" s="64"/>
      <c r="F4229" s="64"/>
      <c r="G4229" s="64"/>
    </row>
    <row r="4230" spans="2:7" ht="32.25" customHeight="1" x14ac:dyDescent="0.25">
      <c r="B4230" s="64"/>
      <c r="C4230" s="64"/>
      <c r="D4230" s="64"/>
      <c r="E4230" s="64"/>
      <c r="F4230" s="64"/>
      <c r="G4230" s="64"/>
    </row>
    <row r="4231" spans="2:7" ht="32.25" customHeight="1" x14ac:dyDescent="0.25">
      <c r="B4231" s="64"/>
      <c r="C4231" s="64"/>
      <c r="D4231" s="64"/>
      <c r="E4231" s="64"/>
      <c r="F4231" s="64"/>
      <c r="G4231" s="64"/>
    </row>
    <row r="4232" spans="2:7" ht="32.25" customHeight="1" x14ac:dyDescent="0.25">
      <c r="B4232" s="64"/>
      <c r="C4232" s="64"/>
      <c r="D4232" s="64"/>
      <c r="E4232" s="64"/>
      <c r="F4232" s="64"/>
      <c r="G4232" s="64"/>
    </row>
    <row r="4233" spans="2:7" ht="32.25" customHeight="1" x14ac:dyDescent="0.25">
      <c r="B4233" s="64"/>
      <c r="C4233" s="64"/>
      <c r="D4233" s="64"/>
      <c r="E4233" s="64"/>
      <c r="F4233" s="64"/>
      <c r="G4233" s="64"/>
    </row>
    <row r="4234" spans="2:7" ht="32.25" customHeight="1" x14ac:dyDescent="0.25">
      <c r="B4234" s="64"/>
      <c r="C4234" s="64"/>
      <c r="D4234" s="64"/>
      <c r="E4234" s="64"/>
      <c r="F4234" s="64"/>
      <c r="G4234" s="64"/>
    </row>
    <row r="4235" spans="2:7" ht="32.25" customHeight="1" x14ac:dyDescent="0.25">
      <c r="B4235" s="64"/>
      <c r="C4235" s="64"/>
      <c r="D4235" s="64"/>
      <c r="E4235" s="64"/>
      <c r="F4235" s="64"/>
      <c r="G4235" s="64"/>
    </row>
    <row r="4236" spans="2:7" ht="32.25" customHeight="1" x14ac:dyDescent="0.25">
      <c r="B4236" s="64"/>
      <c r="C4236" s="64"/>
      <c r="D4236" s="64"/>
      <c r="E4236" s="64"/>
      <c r="F4236" s="64"/>
      <c r="G4236" s="64"/>
    </row>
    <row r="4237" spans="2:7" ht="32.25" customHeight="1" x14ac:dyDescent="0.25">
      <c r="B4237" s="64"/>
      <c r="C4237" s="64"/>
      <c r="D4237" s="64"/>
      <c r="E4237" s="64"/>
      <c r="F4237" s="64"/>
      <c r="G4237" s="64"/>
    </row>
    <row r="4238" spans="2:7" ht="32.25" customHeight="1" x14ac:dyDescent="0.25">
      <c r="B4238" s="64"/>
      <c r="C4238" s="64"/>
      <c r="D4238" s="64"/>
      <c r="E4238" s="64"/>
      <c r="F4238" s="64"/>
      <c r="G4238" s="64"/>
    </row>
    <row r="4239" spans="2:7" ht="32.25" customHeight="1" x14ac:dyDescent="0.25">
      <c r="B4239" s="64"/>
      <c r="C4239" s="64"/>
      <c r="D4239" s="64"/>
      <c r="E4239" s="64"/>
      <c r="F4239" s="64"/>
      <c r="G4239" s="64"/>
    </row>
    <row r="4240" spans="2:7" ht="32.25" customHeight="1" x14ac:dyDescent="0.25">
      <c r="B4240" s="64"/>
      <c r="C4240" s="64"/>
      <c r="D4240" s="64"/>
      <c r="E4240" s="64"/>
      <c r="F4240" s="64"/>
      <c r="G4240" s="64"/>
    </row>
    <row r="4241" spans="2:7" ht="32.25" customHeight="1" x14ac:dyDescent="0.25">
      <c r="B4241" s="64"/>
      <c r="C4241" s="64"/>
      <c r="D4241" s="64"/>
      <c r="E4241" s="64"/>
      <c r="F4241" s="64"/>
      <c r="G4241" s="64"/>
    </row>
    <row r="4242" spans="2:7" ht="32.25" customHeight="1" x14ac:dyDescent="0.25">
      <c r="B4242" s="64"/>
      <c r="C4242" s="64"/>
      <c r="D4242" s="64"/>
      <c r="E4242" s="64"/>
      <c r="F4242" s="64"/>
      <c r="G4242" s="64"/>
    </row>
    <row r="4243" spans="2:7" ht="32.25" customHeight="1" x14ac:dyDescent="0.25">
      <c r="B4243" s="64"/>
      <c r="C4243" s="64"/>
      <c r="D4243" s="64"/>
      <c r="E4243" s="64"/>
      <c r="F4243" s="64"/>
      <c r="G4243" s="64"/>
    </row>
    <row r="4244" spans="2:7" ht="32.25" customHeight="1" x14ac:dyDescent="0.25">
      <c r="B4244" s="64"/>
      <c r="C4244" s="64"/>
      <c r="D4244" s="64"/>
      <c r="E4244" s="64"/>
      <c r="F4244" s="64"/>
      <c r="G4244" s="64"/>
    </row>
    <row r="4245" spans="2:7" ht="32.25" customHeight="1" x14ac:dyDescent="0.25">
      <c r="B4245" s="64"/>
      <c r="C4245" s="64"/>
      <c r="D4245" s="64"/>
      <c r="E4245" s="64"/>
      <c r="F4245" s="64"/>
      <c r="G4245" s="64"/>
    </row>
    <row r="4246" spans="2:7" ht="32.25" customHeight="1" x14ac:dyDescent="0.25">
      <c r="B4246" s="64"/>
      <c r="C4246" s="64"/>
      <c r="D4246" s="64"/>
      <c r="E4246" s="64"/>
      <c r="F4246" s="64"/>
      <c r="G4246" s="64"/>
    </row>
    <row r="4247" spans="2:7" ht="32.25" customHeight="1" x14ac:dyDescent="0.25">
      <c r="B4247" s="64"/>
      <c r="C4247" s="64"/>
      <c r="D4247" s="64"/>
      <c r="E4247" s="64"/>
      <c r="F4247" s="64"/>
      <c r="G4247" s="64"/>
    </row>
    <row r="4248" spans="2:7" ht="32.25" customHeight="1" x14ac:dyDescent="0.25">
      <c r="B4248" s="64"/>
      <c r="C4248" s="64"/>
      <c r="D4248" s="64"/>
      <c r="E4248" s="64"/>
      <c r="F4248" s="64"/>
      <c r="G4248" s="64"/>
    </row>
    <row r="4249" spans="2:7" ht="32.25" customHeight="1" x14ac:dyDescent="0.25">
      <c r="B4249" s="64"/>
      <c r="C4249" s="64"/>
      <c r="D4249" s="64"/>
      <c r="E4249" s="64"/>
      <c r="F4249" s="64"/>
      <c r="G4249" s="64"/>
    </row>
    <row r="4250" spans="2:7" ht="32.25" customHeight="1" x14ac:dyDescent="0.25">
      <c r="B4250" s="64"/>
      <c r="C4250" s="64"/>
      <c r="D4250" s="64"/>
      <c r="E4250" s="64"/>
      <c r="F4250" s="64"/>
      <c r="G4250" s="64"/>
    </row>
    <row r="4251" spans="2:7" ht="32.25" customHeight="1" x14ac:dyDescent="0.25">
      <c r="B4251" s="64"/>
      <c r="C4251" s="64"/>
      <c r="D4251" s="64"/>
      <c r="E4251" s="64"/>
      <c r="F4251" s="64"/>
      <c r="G4251" s="64"/>
    </row>
    <row r="4252" spans="2:7" ht="32.25" customHeight="1" x14ac:dyDescent="0.25">
      <c r="B4252" s="64"/>
      <c r="C4252" s="64"/>
      <c r="D4252" s="64"/>
      <c r="E4252" s="64"/>
      <c r="F4252" s="64"/>
      <c r="G4252" s="64"/>
    </row>
    <row r="4253" spans="2:7" ht="32.25" customHeight="1" x14ac:dyDescent="0.25">
      <c r="B4253" s="64"/>
      <c r="C4253" s="64"/>
      <c r="D4253" s="64"/>
      <c r="E4253" s="64"/>
      <c r="F4253" s="64"/>
      <c r="G4253" s="64"/>
    </row>
    <row r="4254" spans="2:7" ht="32.25" customHeight="1" x14ac:dyDescent="0.25">
      <c r="B4254" s="64"/>
      <c r="C4254" s="64"/>
      <c r="D4254" s="64"/>
      <c r="E4254" s="64"/>
      <c r="F4254" s="64"/>
      <c r="G4254" s="64"/>
    </row>
    <row r="4255" spans="2:7" ht="32.25" customHeight="1" x14ac:dyDescent="0.25">
      <c r="B4255" s="64"/>
      <c r="C4255" s="64"/>
      <c r="D4255" s="64"/>
      <c r="E4255" s="64"/>
      <c r="F4255" s="64"/>
      <c r="G4255" s="64"/>
    </row>
    <row r="4256" spans="2:7" ht="32.25" customHeight="1" x14ac:dyDescent="0.25">
      <c r="B4256" s="64"/>
      <c r="C4256" s="64"/>
      <c r="D4256" s="64"/>
      <c r="E4256" s="64"/>
      <c r="F4256" s="64"/>
      <c r="G4256" s="64"/>
    </row>
    <row r="4257" spans="2:7" ht="32.25" customHeight="1" x14ac:dyDescent="0.25">
      <c r="B4257" s="64"/>
      <c r="C4257" s="64"/>
      <c r="D4257" s="64"/>
      <c r="E4257" s="64"/>
      <c r="F4257" s="64"/>
      <c r="G4257" s="64"/>
    </row>
    <row r="4258" spans="2:7" ht="32.25" customHeight="1" x14ac:dyDescent="0.25">
      <c r="B4258" s="64"/>
      <c r="C4258" s="64"/>
      <c r="D4258" s="64"/>
      <c r="E4258" s="64"/>
      <c r="F4258" s="64"/>
      <c r="G4258" s="64"/>
    </row>
    <row r="4259" spans="2:7" ht="32.25" customHeight="1" x14ac:dyDescent="0.25">
      <c r="B4259" s="64"/>
      <c r="C4259" s="64"/>
      <c r="D4259" s="64"/>
      <c r="E4259" s="64"/>
      <c r="F4259" s="64"/>
      <c r="G4259" s="64"/>
    </row>
    <row r="4260" spans="2:7" ht="32.25" customHeight="1" x14ac:dyDescent="0.25">
      <c r="B4260" s="64"/>
      <c r="C4260" s="64"/>
      <c r="D4260" s="64"/>
      <c r="E4260" s="64"/>
      <c r="F4260" s="64"/>
      <c r="G4260" s="64"/>
    </row>
    <row r="4261" spans="2:7" ht="32.25" customHeight="1" x14ac:dyDescent="0.25">
      <c r="B4261" s="64"/>
      <c r="C4261" s="64"/>
      <c r="D4261" s="64"/>
      <c r="E4261" s="64"/>
      <c r="F4261" s="64"/>
      <c r="G4261" s="64"/>
    </row>
    <row r="4262" spans="2:7" ht="32.25" customHeight="1" x14ac:dyDescent="0.25">
      <c r="B4262" s="64"/>
      <c r="C4262" s="64"/>
      <c r="D4262" s="64"/>
      <c r="E4262" s="64"/>
      <c r="F4262" s="64"/>
      <c r="G4262" s="64"/>
    </row>
    <row r="4263" spans="2:7" ht="32.25" customHeight="1" x14ac:dyDescent="0.25">
      <c r="B4263" s="64"/>
      <c r="C4263" s="64"/>
      <c r="D4263" s="64"/>
      <c r="E4263" s="64"/>
      <c r="F4263" s="64"/>
      <c r="G4263" s="64"/>
    </row>
    <row r="4264" spans="2:7" ht="32.25" customHeight="1" x14ac:dyDescent="0.25">
      <c r="B4264" s="64"/>
      <c r="C4264" s="64"/>
      <c r="D4264" s="64"/>
      <c r="E4264" s="64"/>
      <c r="F4264" s="64"/>
      <c r="G4264" s="64"/>
    </row>
    <row r="4265" spans="2:7" ht="32.25" customHeight="1" x14ac:dyDescent="0.25">
      <c r="B4265" s="64"/>
      <c r="C4265" s="64"/>
      <c r="D4265" s="64"/>
      <c r="E4265" s="64"/>
      <c r="F4265" s="64"/>
      <c r="G4265" s="64"/>
    </row>
    <row r="4266" spans="2:7" ht="32.25" customHeight="1" x14ac:dyDescent="0.25">
      <c r="B4266" s="64"/>
      <c r="C4266" s="64"/>
      <c r="D4266" s="64"/>
      <c r="E4266" s="64"/>
      <c r="F4266" s="64"/>
      <c r="G4266" s="64"/>
    </row>
    <row r="4267" spans="2:7" ht="32.25" customHeight="1" x14ac:dyDescent="0.25">
      <c r="B4267" s="64"/>
      <c r="C4267" s="64"/>
      <c r="D4267" s="64"/>
      <c r="E4267" s="64"/>
      <c r="F4267" s="64"/>
      <c r="G4267" s="64"/>
    </row>
    <row r="4268" spans="2:7" ht="32.25" customHeight="1" x14ac:dyDescent="0.25">
      <c r="B4268" s="64"/>
      <c r="C4268" s="64"/>
      <c r="D4268" s="64"/>
      <c r="E4268" s="64"/>
      <c r="F4268" s="64"/>
      <c r="G4268" s="64"/>
    </row>
    <row r="4269" spans="2:7" ht="32.25" customHeight="1" x14ac:dyDescent="0.25">
      <c r="B4269" s="64"/>
      <c r="C4269" s="64"/>
      <c r="D4269" s="64"/>
      <c r="E4269" s="64"/>
      <c r="F4269" s="64"/>
      <c r="G4269" s="64"/>
    </row>
    <row r="4270" spans="2:7" ht="32.25" customHeight="1" x14ac:dyDescent="0.25">
      <c r="B4270" s="64"/>
      <c r="C4270" s="64"/>
      <c r="D4270" s="64"/>
      <c r="E4270" s="64"/>
      <c r="F4270" s="64"/>
      <c r="G4270" s="64"/>
    </row>
    <row r="4271" spans="2:7" ht="32.25" customHeight="1" x14ac:dyDescent="0.25">
      <c r="B4271" s="64"/>
      <c r="C4271" s="64"/>
      <c r="D4271" s="64"/>
      <c r="E4271" s="64"/>
      <c r="F4271" s="64"/>
      <c r="G4271" s="64"/>
    </row>
    <row r="4272" spans="2:7" ht="32.25" customHeight="1" x14ac:dyDescent="0.25">
      <c r="B4272" s="64"/>
      <c r="C4272" s="64"/>
      <c r="D4272" s="64"/>
      <c r="E4272" s="64"/>
      <c r="F4272" s="64"/>
      <c r="G4272" s="64"/>
    </row>
    <row r="4273" spans="2:7" ht="32.25" customHeight="1" x14ac:dyDescent="0.25">
      <c r="B4273" s="64"/>
      <c r="C4273" s="64"/>
      <c r="D4273" s="64"/>
      <c r="E4273" s="64"/>
      <c r="F4273" s="64"/>
      <c r="G4273" s="64"/>
    </row>
    <row r="4274" spans="2:7" ht="32.25" customHeight="1" x14ac:dyDescent="0.25">
      <c r="B4274" s="64"/>
      <c r="C4274" s="64"/>
      <c r="D4274" s="64"/>
      <c r="E4274" s="64"/>
      <c r="F4274" s="64"/>
      <c r="G4274" s="64"/>
    </row>
    <row r="4275" spans="2:7" ht="32.25" customHeight="1" x14ac:dyDescent="0.25">
      <c r="B4275" s="64"/>
      <c r="C4275" s="64"/>
      <c r="D4275" s="64"/>
      <c r="E4275" s="64"/>
      <c r="F4275" s="64"/>
      <c r="G4275" s="64"/>
    </row>
    <row r="4276" spans="2:7" ht="32.25" customHeight="1" x14ac:dyDescent="0.25">
      <c r="B4276" s="64"/>
      <c r="C4276" s="64"/>
      <c r="D4276" s="64"/>
      <c r="E4276" s="64"/>
      <c r="F4276" s="64"/>
      <c r="G4276" s="64"/>
    </row>
    <row r="4277" spans="2:7" ht="32.25" customHeight="1" x14ac:dyDescent="0.25">
      <c r="B4277" s="64"/>
      <c r="C4277" s="64"/>
      <c r="D4277" s="64"/>
      <c r="E4277" s="64"/>
      <c r="F4277" s="64"/>
      <c r="G4277" s="64"/>
    </row>
    <row r="4278" spans="2:7" ht="32.25" customHeight="1" x14ac:dyDescent="0.25">
      <c r="B4278" s="64"/>
      <c r="C4278" s="64"/>
      <c r="D4278" s="64"/>
      <c r="E4278" s="64"/>
      <c r="F4278" s="64"/>
      <c r="G4278" s="64"/>
    </row>
    <row r="4279" spans="2:7" ht="32.25" customHeight="1" x14ac:dyDescent="0.25">
      <c r="B4279" s="64"/>
      <c r="C4279" s="64"/>
      <c r="D4279" s="64"/>
      <c r="E4279" s="64"/>
      <c r="F4279" s="64"/>
      <c r="G4279" s="64"/>
    </row>
    <row r="4280" spans="2:7" ht="32.25" customHeight="1" x14ac:dyDescent="0.25">
      <c r="B4280" s="64"/>
      <c r="C4280" s="64"/>
      <c r="D4280" s="64"/>
      <c r="E4280" s="64"/>
      <c r="F4280" s="64"/>
      <c r="G4280" s="64"/>
    </row>
    <row r="4281" spans="2:7" ht="32.25" customHeight="1" x14ac:dyDescent="0.25">
      <c r="B4281" s="64"/>
      <c r="C4281" s="64"/>
      <c r="D4281" s="64"/>
      <c r="E4281" s="64"/>
      <c r="F4281" s="64"/>
      <c r="G4281" s="64"/>
    </row>
    <row r="4282" spans="2:7" ht="32.25" customHeight="1" x14ac:dyDescent="0.25">
      <c r="B4282" s="64"/>
      <c r="C4282" s="64"/>
      <c r="D4282" s="64"/>
      <c r="E4282" s="64"/>
      <c r="F4282" s="64"/>
      <c r="G4282" s="64"/>
    </row>
    <row r="4283" spans="2:7" ht="32.25" customHeight="1" x14ac:dyDescent="0.25">
      <c r="B4283" s="64"/>
      <c r="C4283" s="64"/>
      <c r="D4283" s="64"/>
      <c r="E4283" s="64"/>
      <c r="F4283" s="64"/>
      <c r="G4283" s="64"/>
    </row>
    <row r="4284" spans="2:7" ht="32.25" customHeight="1" x14ac:dyDescent="0.25">
      <c r="B4284" s="64"/>
      <c r="C4284" s="64"/>
      <c r="D4284" s="64"/>
      <c r="E4284" s="64"/>
      <c r="F4284" s="64"/>
      <c r="G4284" s="64"/>
    </row>
    <row r="4285" spans="2:7" ht="32.25" customHeight="1" x14ac:dyDescent="0.25">
      <c r="B4285" s="64"/>
      <c r="C4285" s="64"/>
      <c r="D4285" s="64"/>
      <c r="E4285" s="64"/>
      <c r="F4285" s="64"/>
      <c r="G4285" s="64"/>
    </row>
    <row r="4286" spans="2:7" ht="32.25" customHeight="1" x14ac:dyDescent="0.25">
      <c r="B4286" s="64"/>
      <c r="C4286" s="64"/>
      <c r="D4286" s="64"/>
      <c r="E4286" s="64"/>
      <c r="F4286" s="64"/>
      <c r="G4286" s="64"/>
    </row>
    <row r="4287" spans="2:7" ht="32.25" customHeight="1" x14ac:dyDescent="0.25">
      <c r="B4287" s="64"/>
      <c r="C4287" s="64"/>
      <c r="D4287" s="64"/>
      <c r="E4287" s="64"/>
      <c r="F4287" s="64"/>
      <c r="G4287" s="64"/>
    </row>
    <row r="4288" spans="2:7" ht="32.25" customHeight="1" x14ac:dyDescent="0.25">
      <c r="B4288" s="64"/>
      <c r="C4288" s="64"/>
      <c r="D4288" s="64"/>
      <c r="E4288" s="64"/>
      <c r="F4288" s="64"/>
      <c r="G4288" s="64"/>
    </row>
    <row r="4289" spans="2:7" ht="32.25" customHeight="1" x14ac:dyDescent="0.25">
      <c r="B4289" s="64"/>
      <c r="C4289" s="64"/>
      <c r="D4289" s="64"/>
      <c r="E4289" s="64"/>
      <c r="F4289" s="64"/>
      <c r="G4289" s="64"/>
    </row>
    <row r="4290" spans="2:7" ht="32.25" customHeight="1" x14ac:dyDescent="0.25">
      <c r="B4290" s="64"/>
      <c r="C4290" s="64"/>
      <c r="D4290" s="64"/>
      <c r="E4290" s="64"/>
      <c r="F4290" s="64"/>
      <c r="G4290" s="64"/>
    </row>
    <row r="4291" spans="2:7" ht="32.25" customHeight="1" x14ac:dyDescent="0.25">
      <c r="B4291" s="64"/>
      <c r="C4291" s="64"/>
      <c r="D4291" s="64"/>
      <c r="E4291" s="64"/>
      <c r="F4291" s="64"/>
      <c r="G4291" s="64"/>
    </row>
    <row r="4292" spans="2:7" ht="32.25" customHeight="1" x14ac:dyDescent="0.25">
      <c r="B4292" s="64"/>
      <c r="C4292" s="64"/>
      <c r="D4292" s="64"/>
      <c r="E4292" s="64"/>
      <c r="F4292" s="64"/>
      <c r="G4292" s="64"/>
    </row>
    <row r="4293" spans="2:7" ht="32.25" customHeight="1" x14ac:dyDescent="0.25">
      <c r="B4293" s="64"/>
      <c r="C4293" s="64"/>
      <c r="D4293" s="64"/>
      <c r="E4293" s="64"/>
      <c r="F4293" s="64"/>
      <c r="G4293" s="64"/>
    </row>
    <row r="4294" spans="2:7" ht="32.25" customHeight="1" x14ac:dyDescent="0.25">
      <c r="B4294" s="64"/>
      <c r="C4294" s="64"/>
      <c r="D4294" s="64"/>
      <c r="E4294" s="64"/>
      <c r="F4294" s="64"/>
      <c r="G4294" s="64"/>
    </row>
    <row r="4295" spans="2:7" ht="32.25" customHeight="1" x14ac:dyDescent="0.25">
      <c r="B4295" s="64"/>
      <c r="C4295" s="64"/>
      <c r="D4295" s="64"/>
      <c r="E4295" s="64"/>
      <c r="F4295" s="64"/>
      <c r="G4295" s="64"/>
    </row>
    <row r="4296" spans="2:7" ht="32.25" customHeight="1" x14ac:dyDescent="0.25">
      <c r="B4296" s="64"/>
      <c r="C4296" s="64"/>
      <c r="D4296" s="64"/>
      <c r="E4296" s="64"/>
      <c r="F4296" s="64"/>
      <c r="G4296" s="64"/>
    </row>
    <row r="4297" spans="2:7" ht="32.25" customHeight="1" x14ac:dyDescent="0.25">
      <c r="B4297" s="64"/>
      <c r="C4297" s="64"/>
      <c r="D4297" s="64"/>
      <c r="E4297" s="64"/>
      <c r="F4297" s="64"/>
      <c r="G4297" s="64"/>
    </row>
    <row r="4298" spans="2:7" ht="32.25" customHeight="1" x14ac:dyDescent="0.25">
      <c r="B4298" s="64"/>
      <c r="C4298" s="64"/>
      <c r="D4298" s="64"/>
      <c r="E4298" s="64"/>
      <c r="F4298" s="64"/>
      <c r="G4298" s="64"/>
    </row>
    <row r="4299" spans="2:7" ht="32.25" customHeight="1" x14ac:dyDescent="0.25">
      <c r="B4299" s="64"/>
      <c r="C4299" s="64"/>
      <c r="D4299" s="64"/>
      <c r="E4299" s="64"/>
      <c r="F4299" s="64"/>
      <c r="G4299" s="64"/>
    </row>
    <row r="4300" spans="2:7" ht="32.25" customHeight="1" x14ac:dyDescent="0.25">
      <c r="B4300" s="64"/>
      <c r="C4300" s="64"/>
      <c r="D4300" s="64"/>
      <c r="E4300" s="64"/>
      <c r="F4300" s="64"/>
      <c r="G4300" s="64"/>
    </row>
    <row r="4301" spans="2:7" ht="32.25" customHeight="1" x14ac:dyDescent="0.25">
      <c r="B4301" s="64"/>
      <c r="C4301" s="64"/>
      <c r="D4301" s="64"/>
      <c r="E4301" s="64"/>
      <c r="F4301" s="64"/>
      <c r="G4301" s="64"/>
    </row>
    <row r="4302" spans="2:7" ht="32.25" customHeight="1" x14ac:dyDescent="0.25">
      <c r="B4302" s="64"/>
      <c r="C4302" s="64"/>
      <c r="D4302" s="64"/>
      <c r="E4302" s="64"/>
      <c r="F4302" s="64"/>
      <c r="G4302" s="64"/>
    </row>
    <row r="4303" spans="2:7" ht="32.25" customHeight="1" x14ac:dyDescent="0.25">
      <c r="B4303" s="64"/>
      <c r="C4303" s="64"/>
      <c r="D4303" s="64"/>
      <c r="E4303" s="64"/>
      <c r="F4303" s="64"/>
      <c r="G4303" s="64"/>
    </row>
    <row r="4304" spans="2:7" ht="32.25" customHeight="1" x14ac:dyDescent="0.25">
      <c r="B4304" s="64"/>
      <c r="C4304" s="64"/>
      <c r="D4304" s="64"/>
      <c r="E4304" s="64"/>
      <c r="F4304" s="64"/>
      <c r="G4304" s="64"/>
    </row>
    <row r="4305" spans="2:7" ht="32.25" customHeight="1" x14ac:dyDescent="0.25">
      <c r="B4305" s="64"/>
      <c r="C4305" s="64"/>
      <c r="D4305" s="64"/>
      <c r="E4305" s="64"/>
      <c r="F4305" s="64"/>
      <c r="G4305" s="64"/>
    </row>
    <row r="4306" spans="2:7" ht="32.25" customHeight="1" x14ac:dyDescent="0.25">
      <c r="B4306" s="64"/>
      <c r="C4306" s="64"/>
      <c r="D4306" s="64"/>
      <c r="E4306" s="64"/>
      <c r="F4306" s="64"/>
      <c r="G4306" s="64"/>
    </row>
    <row r="4307" spans="2:7" ht="32.25" customHeight="1" x14ac:dyDescent="0.25">
      <c r="B4307" s="64"/>
      <c r="C4307" s="64"/>
      <c r="D4307" s="64"/>
      <c r="E4307" s="64"/>
      <c r="F4307" s="64"/>
      <c r="G4307" s="64"/>
    </row>
    <row r="4308" spans="2:7" ht="32.25" customHeight="1" x14ac:dyDescent="0.25">
      <c r="B4308" s="64"/>
      <c r="C4308" s="64"/>
      <c r="D4308" s="64"/>
      <c r="E4308" s="64"/>
      <c r="F4308" s="64"/>
      <c r="G4308" s="64"/>
    </row>
    <row r="4309" spans="2:7" ht="32.25" customHeight="1" x14ac:dyDescent="0.25">
      <c r="B4309" s="64"/>
      <c r="C4309" s="64"/>
      <c r="D4309" s="64"/>
      <c r="E4309" s="64"/>
      <c r="F4309" s="64"/>
      <c r="G4309" s="64"/>
    </row>
    <row r="4310" spans="2:7" ht="32.25" customHeight="1" x14ac:dyDescent="0.25">
      <c r="B4310" s="64"/>
      <c r="C4310" s="64"/>
      <c r="D4310" s="64"/>
      <c r="E4310" s="64"/>
      <c r="F4310" s="64"/>
      <c r="G4310" s="64"/>
    </row>
    <row r="4311" spans="2:7" ht="32.25" customHeight="1" x14ac:dyDescent="0.25">
      <c r="B4311" s="64"/>
      <c r="C4311" s="64"/>
      <c r="D4311" s="64"/>
      <c r="E4311" s="64"/>
      <c r="F4311" s="64"/>
      <c r="G4311" s="64"/>
    </row>
    <row r="4312" spans="2:7" ht="32.25" customHeight="1" x14ac:dyDescent="0.25">
      <c r="B4312" s="64"/>
      <c r="C4312" s="64"/>
      <c r="D4312" s="64"/>
      <c r="E4312" s="64"/>
      <c r="F4312" s="64"/>
      <c r="G4312" s="64"/>
    </row>
    <row r="4313" spans="2:7" ht="32.25" customHeight="1" x14ac:dyDescent="0.25">
      <c r="B4313" s="64"/>
      <c r="C4313" s="64"/>
      <c r="D4313" s="64"/>
      <c r="E4313" s="64"/>
      <c r="F4313" s="64"/>
      <c r="G4313" s="64"/>
    </row>
    <row r="4314" spans="2:7" ht="32.25" customHeight="1" x14ac:dyDescent="0.25">
      <c r="B4314" s="64"/>
      <c r="C4314" s="64"/>
      <c r="D4314" s="64"/>
      <c r="E4314" s="64"/>
      <c r="F4314" s="64"/>
      <c r="G4314" s="64"/>
    </row>
    <row r="4315" spans="2:7" ht="32.25" customHeight="1" x14ac:dyDescent="0.25">
      <c r="B4315" s="64"/>
      <c r="C4315" s="64"/>
      <c r="D4315" s="64"/>
      <c r="E4315" s="64"/>
      <c r="F4315" s="64"/>
      <c r="G4315" s="64"/>
    </row>
    <row r="4316" spans="2:7" ht="32.25" customHeight="1" x14ac:dyDescent="0.25">
      <c r="B4316" s="64"/>
      <c r="C4316" s="64"/>
      <c r="D4316" s="64"/>
      <c r="E4316" s="64"/>
      <c r="F4316" s="64"/>
      <c r="G4316" s="64"/>
    </row>
    <row r="4317" spans="2:7" ht="32.25" customHeight="1" x14ac:dyDescent="0.25">
      <c r="B4317" s="64"/>
      <c r="C4317" s="64"/>
      <c r="D4317" s="64"/>
      <c r="E4317" s="64"/>
      <c r="F4317" s="64"/>
      <c r="G4317" s="64"/>
    </row>
    <row r="4318" spans="2:7" ht="32.25" customHeight="1" x14ac:dyDescent="0.25">
      <c r="B4318" s="64"/>
      <c r="C4318" s="64"/>
      <c r="D4318" s="64"/>
      <c r="E4318" s="64"/>
      <c r="F4318" s="64"/>
      <c r="G4318" s="64"/>
    </row>
    <row r="4319" spans="2:7" ht="32.25" customHeight="1" x14ac:dyDescent="0.25">
      <c r="B4319" s="64"/>
      <c r="C4319" s="64"/>
      <c r="D4319" s="64"/>
      <c r="E4319" s="64"/>
      <c r="F4319" s="64"/>
      <c r="G4319" s="64"/>
    </row>
    <row r="4320" spans="2:7" ht="32.25" customHeight="1" x14ac:dyDescent="0.25">
      <c r="B4320" s="64"/>
      <c r="C4320" s="64"/>
      <c r="D4320" s="64"/>
      <c r="E4320" s="64"/>
      <c r="F4320" s="64"/>
      <c r="G4320" s="64"/>
    </row>
    <row r="4321" spans="2:7" ht="32.25" customHeight="1" x14ac:dyDescent="0.25">
      <c r="B4321" s="64"/>
      <c r="C4321" s="64"/>
      <c r="D4321" s="64"/>
      <c r="E4321" s="64"/>
      <c r="F4321" s="64"/>
      <c r="G4321" s="64"/>
    </row>
    <row r="4322" spans="2:7" ht="32.25" customHeight="1" x14ac:dyDescent="0.25">
      <c r="B4322" s="64"/>
      <c r="C4322" s="64"/>
      <c r="D4322" s="64"/>
      <c r="E4322" s="64"/>
      <c r="F4322" s="64"/>
      <c r="G4322" s="64"/>
    </row>
    <row r="4323" spans="2:7" ht="32.25" customHeight="1" x14ac:dyDescent="0.25">
      <c r="B4323" s="64"/>
      <c r="C4323" s="64"/>
      <c r="D4323" s="64"/>
      <c r="E4323" s="64"/>
      <c r="F4323" s="64"/>
      <c r="G4323" s="64"/>
    </row>
    <row r="4324" spans="2:7" ht="32.25" customHeight="1" x14ac:dyDescent="0.25">
      <c r="B4324" s="64"/>
      <c r="C4324" s="64"/>
      <c r="D4324" s="64"/>
      <c r="E4324" s="64"/>
      <c r="F4324" s="64"/>
      <c r="G4324" s="64"/>
    </row>
    <row r="4325" spans="2:7" ht="32.25" customHeight="1" x14ac:dyDescent="0.25">
      <c r="B4325" s="64"/>
      <c r="C4325" s="64"/>
      <c r="D4325" s="64"/>
      <c r="E4325" s="64"/>
      <c r="F4325" s="64"/>
      <c r="G4325" s="64"/>
    </row>
    <row r="4326" spans="2:7" ht="32.25" customHeight="1" x14ac:dyDescent="0.25">
      <c r="B4326" s="64"/>
      <c r="C4326" s="64"/>
      <c r="D4326" s="64"/>
      <c r="E4326" s="64"/>
      <c r="F4326" s="64"/>
      <c r="G4326" s="64"/>
    </row>
    <row r="4327" spans="2:7" ht="32.25" customHeight="1" x14ac:dyDescent="0.25">
      <c r="B4327" s="64"/>
      <c r="C4327" s="64"/>
      <c r="D4327" s="64"/>
      <c r="E4327" s="64"/>
      <c r="F4327" s="64"/>
      <c r="G4327" s="64"/>
    </row>
    <row r="4328" spans="2:7" ht="32.25" customHeight="1" x14ac:dyDescent="0.25">
      <c r="B4328" s="64"/>
      <c r="C4328" s="64"/>
      <c r="D4328" s="64"/>
      <c r="E4328" s="64"/>
      <c r="F4328" s="64"/>
      <c r="G4328" s="64"/>
    </row>
    <row r="4329" spans="2:7" ht="32.25" customHeight="1" x14ac:dyDescent="0.25">
      <c r="B4329" s="64"/>
      <c r="C4329" s="64"/>
      <c r="D4329" s="64"/>
      <c r="E4329" s="64"/>
      <c r="F4329" s="64"/>
      <c r="G4329" s="64"/>
    </row>
    <row r="4330" spans="2:7" ht="32.25" customHeight="1" x14ac:dyDescent="0.25">
      <c r="B4330" s="64"/>
      <c r="C4330" s="64"/>
      <c r="D4330" s="64"/>
      <c r="E4330" s="64"/>
      <c r="F4330" s="64"/>
      <c r="G4330" s="64"/>
    </row>
    <row r="4331" spans="2:7" ht="32.25" customHeight="1" x14ac:dyDescent="0.25">
      <c r="B4331" s="64"/>
      <c r="C4331" s="64"/>
      <c r="D4331" s="64"/>
      <c r="E4331" s="64"/>
      <c r="F4331" s="64"/>
      <c r="G4331" s="64"/>
    </row>
    <row r="4332" spans="2:7" ht="32.25" customHeight="1" x14ac:dyDescent="0.25">
      <c r="B4332" s="64"/>
      <c r="C4332" s="64"/>
      <c r="D4332" s="64"/>
      <c r="E4332" s="64"/>
      <c r="F4332" s="64"/>
      <c r="G4332" s="64"/>
    </row>
    <row r="4333" spans="2:7" ht="32.25" customHeight="1" x14ac:dyDescent="0.25">
      <c r="B4333" s="64"/>
      <c r="C4333" s="64"/>
      <c r="D4333" s="64"/>
      <c r="E4333" s="64"/>
      <c r="F4333" s="64"/>
      <c r="G4333" s="64"/>
    </row>
    <row r="4334" spans="2:7" ht="32.25" customHeight="1" x14ac:dyDescent="0.25">
      <c r="B4334" s="64"/>
      <c r="C4334" s="64"/>
      <c r="D4334" s="64"/>
      <c r="E4334" s="64"/>
      <c r="F4334" s="64"/>
      <c r="G4334" s="64"/>
    </row>
    <row r="4335" spans="2:7" ht="32.25" customHeight="1" x14ac:dyDescent="0.25">
      <c r="B4335" s="64"/>
      <c r="C4335" s="64"/>
      <c r="D4335" s="64"/>
      <c r="E4335" s="64"/>
      <c r="F4335" s="64"/>
      <c r="G4335" s="64"/>
    </row>
    <row r="4336" spans="2:7" ht="32.25" customHeight="1" x14ac:dyDescent="0.25">
      <c r="B4336" s="64"/>
      <c r="C4336" s="64"/>
      <c r="D4336" s="64"/>
      <c r="E4336" s="64"/>
      <c r="F4336" s="64"/>
      <c r="G4336" s="64"/>
    </row>
    <row r="4337" spans="2:7" ht="32.25" customHeight="1" x14ac:dyDescent="0.25">
      <c r="B4337" s="64"/>
      <c r="C4337" s="64"/>
      <c r="D4337" s="64"/>
      <c r="E4337" s="64"/>
      <c r="F4337" s="64"/>
      <c r="G4337" s="64"/>
    </row>
    <row r="4338" spans="2:7" ht="32.25" customHeight="1" x14ac:dyDescent="0.25">
      <c r="B4338" s="64"/>
      <c r="C4338" s="64"/>
      <c r="D4338" s="64"/>
      <c r="E4338" s="64"/>
      <c r="F4338" s="64"/>
      <c r="G4338" s="64"/>
    </row>
    <row r="4339" spans="2:7" ht="32.25" customHeight="1" x14ac:dyDescent="0.25">
      <c r="B4339" s="64"/>
      <c r="C4339" s="64"/>
      <c r="D4339" s="64"/>
      <c r="E4339" s="64"/>
      <c r="F4339" s="64"/>
      <c r="G4339" s="64"/>
    </row>
    <row r="4340" spans="2:7" ht="32.25" customHeight="1" x14ac:dyDescent="0.25">
      <c r="B4340" s="64"/>
      <c r="C4340" s="64"/>
      <c r="D4340" s="64"/>
      <c r="E4340" s="64"/>
      <c r="F4340" s="64"/>
      <c r="G4340" s="64"/>
    </row>
    <row r="4341" spans="2:7" ht="32.25" customHeight="1" x14ac:dyDescent="0.25">
      <c r="B4341" s="64"/>
      <c r="C4341" s="64"/>
      <c r="D4341" s="64"/>
      <c r="E4341" s="64"/>
      <c r="F4341" s="64"/>
      <c r="G4341" s="64"/>
    </row>
    <row r="4342" spans="2:7" ht="32.25" customHeight="1" x14ac:dyDescent="0.25">
      <c r="B4342" s="64"/>
      <c r="C4342" s="64"/>
      <c r="D4342" s="64"/>
      <c r="E4342" s="64"/>
      <c r="F4342" s="64"/>
      <c r="G4342" s="64"/>
    </row>
    <row r="4343" spans="2:7" ht="32.25" customHeight="1" x14ac:dyDescent="0.25">
      <c r="B4343" s="64"/>
      <c r="C4343" s="64"/>
      <c r="D4343" s="64"/>
      <c r="E4343" s="64"/>
      <c r="F4343" s="64"/>
      <c r="G4343" s="64"/>
    </row>
    <row r="4344" spans="2:7" ht="32.25" customHeight="1" x14ac:dyDescent="0.25">
      <c r="B4344" s="64"/>
      <c r="C4344" s="64"/>
      <c r="D4344" s="64"/>
      <c r="E4344" s="64"/>
      <c r="F4344" s="64"/>
      <c r="G4344" s="64"/>
    </row>
    <row r="4345" spans="2:7" ht="32.25" customHeight="1" x14ac:dyDescent="0.25">
      <c r="B4345" s="64"/>
      <c r="C4345" s="64"/>
      <c r="D4345" s="64"/>
      <c r="E4345" s="64"/>
      <c r="F4345" s="64"/>
      <c r="G4345" s="64"/>
    </row>
    <row r="4346" spans="2:7" ht="32.25" customHeight="1" x14ac:dyDescent="0.25">
      <c r="B4346" s="64"/>
      <c r="C4346" s="64"/>
      <c r="D4346" s="64"/>
      <c r="E4346" s="64"/>
      <c r="F4346" s="64"/>
      <c r="G4346" s="64"/>
    </row>
    <row r="4347" spans="2:7" ht="32.25" customHeight="1" x14ac:dyDescent="0.25">
      <c r="B4347" s="64"/>
      <c r="C4347" s="64"/>
      <c r="D4347" s="64"/>
      <c r="E4347" s="64"/>
      <c r="F4347" s="64"/>
      <c r="G4347" s="64"/>
    </row>
    <row r="4348" spans="2:7" ht="32.25" customHeight="1" x14ac:dyDescent="0.25">
      <c r="B4348" s="64"/>
      <c r="C4348" s="64"/>
      <c r="D4348" s="64"/>
      <c r="E4348" s="64"/>
      <c r="F4348" s="64"/>
      <c r="G4348" s="64"/>
    </row>
    <row r="4349" spans="2:7" ht="32.25" customHeight="1" x14ac:dyDescent="0.25">
      <c r="B4349" s="64"/>
      <c r="C4349" s="64"/>
      <c r="D4349" s="64"/>
      <c r="E4349" s="64"/>
      <c r="F4349" s="64"/>
      <c r="G4349" s="64"/>
    </row>
    <row r="4350" spans="2:7" ht="32.25" customHeight="1" x14ac:dyDescent="0.25">
      <c r="B4350" s="64"/>
      <c r="C4350" s="64"/>
      <c r="D4350" s="64"/>
      <c r="E4350" s="64"/>
      <c r="F4350" s="64"/>
      <c r="G4350" s="64"/>
    </row>
    <row r="4351" spans="2:7" ht="32.25" customHeight="1" x14ac:dyDescent="0.25">
      <c r="B4351" s="64"/>
      <c r="C4351" s="64"/>
      <c r="D4351" s="64"/>
      <c r="E4351" s="64"/>
      <c r="F4351" s="64"/>
      <c r="G4351" s="64"/>
    </row>
    <row r="4352" spans="2:7" ht="32.25" customHeight="1" x14ac:dyDescent="0.25">
      <c r="B4352" s="64"/>
      <c r="C4352" s="64"/>
      <c r="D4352" s="64"/>
      <c r="E4352" s="64"/>
      <c r="F4352" s="64"/>
      <c r="G4352" s="64"/>
    </row>
    <row r="4353" spans="2:7" ht="32.25" customHeight="1" x14ac:dyDescent="0.25">
      <c r="B4353" s="64"/>
      <c r="C4353" s="64"/>
      <c r="D4353" s="64"/>
      <c r="E4353" s="64"/>
      <c r="F4353" s="64"/>
      <c r="G4353" s="64"/>
    </row>
    <row r="4354" spans="2:7" ht="32.25" customHeight="1" x14ac:dyDescent="0.25">
      <c r="B4354" s="64"/>
      <c r="C4354" s="64"/>
      <c r="D4354" s="64"/>
      <c r="E4354" s="64"/>
      <c r="F4354" s="64"/>
      <c r="G4354" s="64"/>
    </row>
    <row r="4355" spans="2:7" ht="32.25" customHeight="1" x14ac:dyDescent="0.25">
      <c r="B4355" s="64"/>
      <c r="C4355" s="64"/>
      <c r="D4355" s="64"/>
      <c r="E4355" s="64"/>
      <c r="F4355" s="64"/>
      <c r="G4355" s="64"/>
    </row>
    <row r="4356" spans="2:7" ht="32.25" customHeight="1" x14ac:dyDescent="0.25">
      <c r="B4356" s="64"/>
      <c r="C4356" s="64"/>
      <c r="D4356" s="64"/>
      <c r="E4356" s="64"/>
      <c r="F4356" s="64"/>
      <c r="G4356" s="64"/>
    </row>
    <row r="4357" spans="2:7" ht="32.25" customHeight="1" x14ac:dyDescent="0.25">
      <c r="B4357" s="64"/>
      <c r="C4357" s="64"/>
      <c r="D4357" s="64"/>
      <c r="E4357" s="64"/>
      <c r="F4357" s="64"/>
      <c r="G4357" s="64"/>
    </row>
    <row r="4358" spans="2:7" ht="32.25" customHeight="1" x14ac:dyDescent="0.25">
      <c r="B4358" s="64"/>
      <c r="C4358" s="64"/>
      <c r="D4358" s="64"/>
      <c r="E4358" s="64"/>
      <c r="F4358" s="64"/>
      <c r="G4358" s="64"/>
    </row>
    <row r="4359" spans="2:7" ht="32.25" customHeight="1" x14ac:dyDescent="0.25">
      <c r="B4359" s="64"/>
      <c r="C4359" s="64"/>
      <c r="D4359" s="64"/>
      <c r="E4359" s="64"/>
      <c r="F4359" s="64"/>
      <c r="G4359" s="64"/>
    </row>
    <row r="4360" spans="2:7" ht="32.25" customHeight="1" x14ac:dyDescent="0.25">
      <c r="B4360" s="64"/>
      <c r="C4360" s="64"/>
      <c r="D4360" s="64"/>
      <c r="E4360" s="64"/>
      <c r="F4360" s="64"/>
      <c r="G4360" s="64"/>
    </row>
    <row r="4361" spans="2:7" ht="32.25" customHeight="1" x14ac:dyDescent="0.25">
      <c r="B4361" s="64"/>
      <c r="C4361" s="64"/>
      <c r="D4361" s="64"/>
      <c r="E4361" s="64"/>
      <c r="F4361" s="64"/>
      <c r="G4361" s="64"/>
    </row>
    <row r="4362" spans="2:7" ht="32.25" customHeight="1" x14ac:dyDescent="0.25">
      <c r="B4362" s="64"/>
      <c r="C4362" s="64"/>
      <c r="D4362" s="64"/>
      <c r="E4362" s="64"/>
      <c r="F4362" s="64"/>
      <c r="G4362" s="64"/>
    </row>
    <row r="4363" spans="2:7" ht="32.25" customHeight="1" x14ac:dyDescent="0.25">
      <c r="B4363" s="64"/>
      <c r="C4363" s="64"/>
      <c r="D4363" s="64"/>
      <c r="E4363" s="64"/>
      <c r="F4363" s="64"/>
      <c r="G4363" s="64"/>
    </row>
    <row r="4364" spans="2:7" ht="32.25" customHeight="1" x14ac:dyDescent="0.25">
      <c r="B4364" s="64"/>
      <c r="C4364" s="64"/>
      <c r="D4364" s="64"/>
      <c r="E4364" s="64"/>
      <c r="F4364" s="64"/>
      <c r="G4364" s="64"/>
    </row>
    <row r="4365" spans="2:7" ht="32.25" customHeight="1" x14ac:dyDescent="0.25">
      <c r="B4365" s="64"/>
      <c r="C4365" s="64"/>
      <c r="D4365" s="64"/>
      <c r="E4365" s="64"/>
      <c r="F4365" s="64"/>
      <c r="G4365" s="64"/>
    </row>
    <row r="4366" spans="2:7" ht="32.25" customHeight="1" x14ac:dyDescent="0.25">
      <c r="B4366" s="64"/>
      <c r="C4366" s="64"/>
      <c r="D4366" s="64"/>
      <c r="E4366" s="64"/>
      <c r="F4366" s="64"/>
      <c r="G4366" s="64"/>
    </row>
    <row r="4367" spans="2:7" ht="32.25" customHeight="1" x14ac:dyDescent="0.25">
      <c r="B4367" s="64"/>
      <c r="C4367" s="64"/>
      <c r="D4367" s="64"/>
      <c r="E4367" s="64"/>
      <c r="F4367" s="64"/>
      <c r="G4367" s="64"/>
    </row>
    <row r="4368" spans="2:7" ht="32.25" customHeight="1" x14ac:dyDescent="0.25">
      <c r="B4368" s="64"/>
      <c r="C4368" s="64"/>
      <c r="D4368" s="64"/>
      <c r="E4368" s="64"/>
      <c r="F4368" s="64"/>
      <c r="G4368" s="64"/>
    </row>
    <row r="4369" spans="2:7" ht="32.25" customHeight="1" x14ac:dyDescent="0.25">
      <c r="B4369" s="64"/>
      <c r="C4369" s="64"/>
      <c r="D4369" s="64"/>
      <c r="E4369" s="64"/>
      <c r="F4369" s="64"/>
      <c r="G4369" s="64"/>
    </row>
    <row r="4370" spans="2:7" ht="32.25" customHeight="1" x14ac:dyDescent="0.25">
      <c r="B4370" s="64"/>
      <c r="C4370" s="64"/>
      <c r="D4370" s="64"/>
      <c r="E4370" s="64"/>
      <c r="F4370" s="64"/>
      <c r="G4370" s="64"/>
    </row>
    <row r="4371" spans="2:7" ht="32.25" customHeight="1" x14ac:dyDescent="0.25">
      <c r="B4371" s="64"/>
      <c r="C4371" s="64"/>
      <c r="D4371" s="64"/>
      <c r="E4371" s="64"/>
      <c r="F4371" s="64"/>
      <c r="G4371" s="64"/>
    </row>
    <row r="4372" spans="2:7" ht="32.25" customHeight="1" x14ac:dyDescent="0.25">
      <c r="B4372" s="64"/>
      <c r="C4372" s="64"/>
      <c r="D4372" s="64"/>
      <c r="E4372" s="64"/>
      <c r="F4372" s="64"/>
      <c r="G4372" s="64"/>
    </row>
    <row r="4373" spans="2:7" ht="32.25" customHeight="1" x14ac:dyDescent="0.25">
      <c r="B4373" s="64"/>
      <c r="C4373" s="64"/>
      <c r="D4373" s="64"/>
      <c r="E4373" s="64"/>
      <c r="F4373" s="64"/>
      <c r="G4373" s="64"/>
    </row>
    <row r="4374" spans="2:7" ht="32.25" customHeight="1" x14ac:dyDescent="0.25">
      <c r="B4374" s="64"/>
      <c r="C4374" s="64"/>
      <c r="D4374" s="64"/>
      <c r="E4374" s="64"/>
      <c r="F4374" s="64"/>
      <c r="G4374" s="64"/>
    </row>
    <row r="4375" spans="2:7" ht="32.25" customHeight="1" x14ac:dyDescent="0.25">
      <c r="B4375" s="64"/>
      <c r="C4375" s="64"/>
      <c r="D4375" s="64"/>
      <c r="E4375" s="64"/>
      <c r="F4375" s="64"/>
      <c r="G4375" s="64"/>
    </row>
    <row r="4376" spans="2:7" ht="32.25" customHeight="1" x14ac:dyDescent="0.25">
      <c r="B4376" s="64"/>
      <c r="C4376" s="64"/>
      <c r="D4376" s="64"/>
      <c r="E4376" s="64"/>
      <c r="F4376" s="64"/>
      <c r="G4376" s="64"/>
    </row>
    <row r="4377" spans="2:7" ht="32.25" customHeight="1" x14ac:dyDescent="0.25">
      <c r="B4377" s="64"/>
      <c r="C4377" s="64"/>
      <c r="D4377" s="64"/>
      <c r="E4377" s="64"/>
      <c r="F4377" s="64"/>
      <c r="G4377" s="64"/>
    </row>
    <row r="4378" spans="2:7" ht="32.25" customHeight="1" x14ac:dyDescent="0.25">
      <c r="B4378" s="64"/>
      <c r="C4378" s="64"/>
      <c r="D4378" s="64"/>
      <c r="E4378" s="64"/>
      <c r="F4378" s="64"/>
      <c r="G4378" s="64"/>
    </row>
    <row r="4379" spans="2:7" ht="32.25" customHeight="1" x14ac:dyDescent="0.25">
      <c r="B4379" s="64"/>
      <c r="C4379" s="64"/>
      <c r="D4379" s="64"/>
      <c r="E4379" s="64"/>
      <c r="F4379" s="64"/>
      <c r="G4379" s="64"/>
    </row>
    <row r="4380" spans="2:7" ht="32.25" customHeight="1" x14ac:dyDescent="0.25">
      <c r="B4380" s="64"/>
      <c r="C4380" s="64"/>
      <c r="D4380" s="64"/>
      <c r="E4380" s="64"/>
      <c r="F4380" s="64"/>
      <c r="G4380" s="64"/>
    </row>
    <row r="4381" spans="2:7" ht="32.25" customHeight="1" x14ac:dyDescent="0.25">
      <c r="B4381" s="64"/>
      <c r="C4381" s="64"/>
      <c r="D4381" s="64"/>
      <c r="E4381" s="64"/>
      <c r="F4381" s="64"/>
      <c r="G4381" s="64"/>
    </row>
    <row r="4382" spans="2:7" ht="32.25" customHeight="1" x14ac:dyDescent="0.25">
      <c r="B4382" s="64"/>
      <c r="C4382" s="64"/>
      <c r="D4382" s="64"/>
      <c r="E4382" s="64"/>
      <c r="F4382" s="64"/>
      <c r="G4382" s="64"/>
    </row>
    <row r="4383" spans="2:7" ht="32.25" customHeight="1" x14ac:dyDescent="0.25">
      <c r="B4383" s="64"/>
      <c r="C4383" s="64"/>
      <c r="D4383" s="64"/>
      <c r="E4383" s="64"/>
      <c r="F4383" s="64"/>
      <c r="G4383" s="64"/>
    </row>
    <row r="4384" spans="2:7" ht="32.25" customHeight="1" x14ac:dyDescent="0.25">
      <c r="B4384" s="64"/>
      <c r="C4384" s="64"/>
      <c r="D4384" s="64"/>
      <c r="E4384" s="64"/>
      <c r="F4384" s="64"/>
      <c r="G4384" s="64"/>
    </row>
    <row r="4385" spans="2:7" ht="32.25" customHeight="1" x14ac:dyDescent="0.25">
      <c r="B4385" s="64"/>
      <c r="C4385" s="64"/>
      <c r="D4385" s="64"/>
      <c r="E4385" s="64"/>
      <c r="F4385" s="64"/>
      <c r="G4385" s="64"/>
    </row>
    <row r="4386" spans="2:7" ht="32.25" customHeight="1" x14ac:dyDescent="0.25">
      <c r="B4386" s="64"/>
      <c r="C4386" s="64"/>
      <c r="D4386" s="64"/>
      <c r="E4386" s="64"/>
      <c r="F4386" s="64"/>
      <c r="G4386" s="64"/>
    </row>
    <row r="4387" spans="2:7" ht="32.25" customHeight="1" x14ac:dyDescent="0.25">
      <c r="B4387" s="64"/>
      <c r="C4387" s="64"/>
      <c r="D4387" s="64"/>
      <c r="E4387" s="64"/>
      <c r="F4387" s="64"/>
      <c r="G4387" s="64"/>
    </row>
    <row r="4388" spans="2:7" ht="32.25" customHeight="1" x14ac:dyDescent="0.25">
      <c r="B4388" s="64"/>
      <c r="C4388" s="64"/>
      <c r="D4388" s="64"/>
      <c r="E4388" s="64"/>
      <c r="F4388" s="64"/>
      <c r="G4388" s="64"/>
    </row>
    <row r="4389" spans="2:7" ht="32.25" customHeight="1" x14ac:dyDescent="0.25">
      <c r="B4389" s="64"/>
      <c r="C4389" s="64"/>
      <c r="D4389" s="64"/>
      <c r="E4389" s="64"/>
      <c r="F4389" s="64"/>
      <c r="G4389" s="64"/>
    </row>
    <row r="4390" spans="2:7" ht="32.25" customHeight="1" x14ac:dyDescent="0.25">
      <c r="B4390" s="64"/>
      <c r="C4390" s="64"/>
      <c r="D4390" s="64"/>
      <c r="E4390" s="64"/>
      <c r="F4390" s="64"/>
      <c r="G4390" s="64"/>
    </row>
    <row r="4391" spans="2:7" ht="32.25" customHeight="1" x14ac:dyDescent="0.25">
      <c r="B4391" s="64"/>
      <c r="C4391" s="64"/>
      <c r="D4391" s="64"/>
      <c r="E4391" s="64"/>
      <c r="F4391" s="64"/>
      <c r="G4391" s="64"/>
    </row>
    <row r="4392" spans="2:7" ht="32.25" customHeight="1" x14ac:dyDescent="0.25">
      <c r="B4392" s="64"/>
      <c r="C4392" s="64"/>
      <c r="D4392" s="64"/>
      <c r="E4392" s="64"/>
      <c r="F4392" s="64"/>
      <c r="G4392" s="64"/>
    </row>
    <row r="4393" spans="2:7" ht="32.25" customHeight="1" x14ac:dyDescent="0.25">
      <c r="B4393" s="64"/>
      <c r="C4393" s="64"/>
      <c r="D4393" s="64"/>
      <c r="E4393" s="64"/>
      <c r="F4393" s="64"/>
      <c r="G4393" s="64"/>
    </row>
    <row r="4394" spans="2:7" ht="32.25" customHeight="1" x14ac:dyDescent="0.25">
      <c r="B4394" s="64"/>
      <c r="C4394" s="64"/>
      <c r="D4394" s="64"/>
      <c r="E4394" s="64"/>
      <c r="F4394" s="64"/>
      <c r="G4394" s="64"/>
    </row>
    <row r="4395" spans="2:7" ht="32.25" customHeight="1" x14ac:dyDescent="0.25">
      <c r="B4395" s="64"/>
      <c r="C4395" s="64"/>
      <c r="D4395" s="64"/>
      <c r="E4395" s="64"/>
      <c r="F4395" s="64"/>
      <c r="G4395" s="64"/>
    </row>
    <row r="4396" spans="2:7" ht="32.25" customHeight="1" x14ac:dyDescent="0.25">
      <c r="B4396" s="64"/>
      <c r="C4396" s="64"/>
      <c r="D4396" s="64"/>
      <c r="E4396" s="64"/>
      <c r="F4396" s="64"/>
      <c r="G4396" s="64"/>
    </row>
    <row r="4397" spans="2:7" ht="32.25" customHeight="1" x14ac:dyDescent="0.25">
      <c r="B4397" s="64"/>
      <c r="C4397" s="64"/>
      <c r="D4397" s="64"/>
      <c r="E4397" s="64"/>
      <c r="F4397" s="64"/>
      <c r="G4397" s="64"/>
    </row>
    <row r="4398" spans="2:7" ht="32.25" customHeight="1" x14ac:dyDescent="0.25">
      <c r="B4398" s="64"/>
      <c r="C4398" s="64"/>
      <c r="D4398" s="64"/>
      <c r="E4398" s="64"/>
      <c r="F4398" s="64"/>
      <c r="G4398" s="64"/>
    </row>
    <row r="4399" spans="2:7" ht="32.25" customHeight="1" x14ac:dyDescent="0.25">
      <c r="B4399" s="64"/>
      <c r="C4399" s="64"/>
      <c r="D4399" s="64"/>
      <c r="E4399" s="64"/>
      <c r="F4399" s="64"/>
      <c r="G4399" s="64"/>
    </row>
    <row r="4400" spans="2:7" ht="32.25" customHeight="1" x14ac:dyDescent="0.25">
      <c r="B4400" s="64"/>
      <c r="C4400" s="64"/>
      <c r="D4400" s="64"/>
      <c r="E4400" s="64"/>
      <c r="F4400" s="64"/>
      <c r="G4400" s="64"/>
    </row>
    <row r="4401" spans="2:7" ht="32.25" customHeight="1" x14ac:dyDescent="0.25">
      <c r="B4401" s="64"/>
      <c r="C4401" s="64"/>
      <c r="D4401" s="64"/>
      <c r="E4401" s="64"/>
      <c r="F4401" s="64"/>
      <c r="G4401" s="64"/>
    </row>
    <row r="4402" spans="2:7" ht="32.25" customHeight="1" x14ac:dyDescent="0.25">
      <c r="B4402" s="64"/>
      <c r="C4402" s="64"/>
      <c r="D4402" s="64"/>
      <c r="E4402" s="64"/>
      <c r="F4402" s="64"/>
      <c r="G4402" s="64"/>
    </row>
    <row r="4403" spans="2:7" ht="32.25" customHeight="1" x14ac:dyDescent="0.25">
      <c r="B4403" s="64"/>
      <c r="C4403" s="64"/>
      <c r="D4403" s="64"/>
      <c r="E4403" s="64"/>
      <c r="F4403" s="64"/>
      <c r="G4403" s="64"/>
    </row>
    <row r="4404" spans="2:7" ht="32.25" customHeight="1" x14ac:dyDescent="0.25">
      <c r="B4404" s="64"/>
      <c r="C4404" s="64"/>
      <c r="D4404" s="64"/>
      <c r="E4404" s="64"/>
      <c r="F4404" s="64"/>
      <c r="G4404" s="64"/>
    </row>
    <row r="4405" spans="2:7" ht="32.25" customHeight="1" x14ac:dyDescent="0.25">
      <c r="B4405" s="64"/>
      <c r="C4405" s="64"/>
      <c r="D4405" s="64"/>
      <c r="E4405" s="64"/>
      <c r="F4405" s="64"/>
      <c r="G4405" s="64"/>
    </row>
    <row r="4406" spans="2:7" ht="32.25" customHeight="1" x14ac:dyDescent="0.25">
      <c r="B4406" s="64"/>
      <c r="C4406" s="64"/>
      <c r="D4406" s="64"/>
      <c r="E4406" s="64"/>
      <c r="F4406" s="64"/>
      <c r="G4406" s="64"/>
    </row>
    <row r="4407" spans="2:7" ht="32.25" customHeight="1" x14ac:dyDescent="0.25">
      <c r="B4407" s="64"/>
      <c r="C4407" s="64"/>
      <c r="D4407" s="64"/>
      <c r="E4407" s="64"/>
      <c r="F4407" s="64"/>
      <c r="G4407" s="64"/>
    </row>
    <row r="4408" spans="2:7" ht="32.25" customHeight="1" x14ac:dyDescent="0.25">
      <c r="B4408" s="64"/>
      <c r="C4408" s="64"/>
      <c r="D4408" s="64"/>
      <c r="E4408" s="64"/>
      <c r="F4408" s="64"/>
      <c r="G4408" s="64"/>
    </row>
    <row r="4409" spans="2:7" ht="32.25" customHeight="1" x14ac:dyDescent="0.25">
      <c r="B4409" s="64"/>
      <c r="C4409" s="64"/>
      <c r="D4409" s="64"/>
      <c r="E4409" s="64"/>
      <c r="F4409" s="64"/>
      <c r="G4409" s="64"/>
    </row>
    <row r="4410" spans="2:7" ht="32.25" customHeight="1" x14ac:dyDescent="0.25">
      <c r="B4410" s="64"/>
      <c r="C4410" s="64"/>
      <c r="D4410" s="64"/>
      <c r="E4410" s="64"/>
      <c r="F4410" s="64"/>
      <c r="G4410" s="64"/>
    </row>
    <row r="4411" spans="2:7" ht="32.25" customHeight="1" x14ac:dyDescent="0.25">
      <c r="B4411" s="64"/>
      <c r="C4411" s="64"/>
      <c r="D4411" s="64"/>
      <c r="E4411" s="64"/>
      <c r="F4411" s="64"/>
      <c r="G4411" s="64"/>
    </row>
    <row r="4412" spans="2:7" ht="32.25" customHeight="1" x14ac:dyDescent="0.25">
      <c r="B4412" s="64"/>
      <c r="C4412" s="64"/>
      <c r="D4412" s="64"/>
      <c r="E4412" s="64"/>
      <c r="F4412" s="64"/>
      <c r="G4412" s="64"/>
    </row>
    <row r="4413" spans="2:7" ht="32.25" customHeight="1" x14ac:dyDescent="0.25">
      <c r="B4413" s="64"/>
      <c r="C4413" s="64"/>
      <c r="D4413" s="64"/>
      <c r="E4413" s="64"/>
      <c r="F4413" s="64"/>
      <c r="G4413" s="64"/>
    </row>
    <row r="4414" spans="2:7" ht="32.25" customHeight="1" x14ac:dyDescent="0.25">
      <c r="B4414" s="64"/>
      <c r="C4414" s="64"/>
      <c r="D4414" s="64"/>
      <c r="E4414" s="64"/>
      <c r="F4414" s="64"/>
      <c r="G4414" s="64"/>
    </row>
    <row r="4415" spans="2:7" ht="32.25" customHeight="1" x14ac:dyDescent="0.25">
      <c r="B4415" s="64"/>
      <c r="C4415" s="64"/>
      <c r="D4415" s="64"/>
      <c r="E4415" s="64"/>
      <c r="F4415" s="64"/>
      <c r="G4415" s="64"/>
    </row>
    <row r="4416" spans="2:7" ht="32.25" customHeight="1" x14ac:dyDescent="0.25">
      <c r="B4416" s="64"/>
      <c r="C4416" s="64"/>
      <c r="D4416" s="64"/>
      <c r="E4416" s="64"/>
      <c r="F4416" s="64"/>
      <c r="G4416" s="64"/>
    </row>
    <row r="4417" spans="2:7" ht="32.25" customHeight="1" x14ac:dyDescent="0.25">
      <c r="B4417" s="64"/>
      <c r="C4417" s="64"/>
      <c r="D4417" s="64"/>
      <c r="E4417" s="64"/>
      <c r="F4417" s="64"/>
      <c r="G4417" s="64"/>
    </row>
    <row r="4418" spans="2:7" ht="32.25" customHeight="1" x14ac:dyDescent="0.25">
      <c r="B4418" s="64"/>
      <c r="C4418" s="64"/>
      <c r="D4418" s="64"/>
      <c r="E4418" s="64"/>
      <c r="F4418" s="64"/>
      <c r="G4418" s="64"/>
    </row>
    <row r="4419" spans="2:7" ht="32.25" customHeight="1" x14ac:dyDescent="0.25">
      <c r="B4419" s="64"/>
      <c r="C4419" s="64"/>
      <c r="D4419" s="64"/>
      <c r="E4419" s="64"/>
      <c r="F4419" s="64"/>
      <c r="G4419" s="64"/>
    </row>
    <row r="4420" spans="2:7" ht="32.25" customHeight="1" x14ac:dyDescent="0.25">
      <c r="B4420" s="64"/>
      <c r="C4420" s="64"/>
      <c r="D4420" s="64"/>
      <c r="E4420" s="64"/>
      <c r="F4420" s="64"/>
      <c r="G4420" s="64"/>
    </row>
    <row r="4421" spans="2:7" ht="32.25" customHeight="1" x14ac:dyDescent="0.25">
      <c r="B4421" s="64"/>
      <c r="C4421" s="64"/>
      <c r="D4421" s="64"/>
      <c r="E4421" s="64"/>
      <c r="F4421" s="64"/>
      <c r="G4421" s="64"/>
    </row>
    <row r="4422" spans="2:7" ht="32.25" customHeight="1" x14ac:dyDescent="0.25">
      <c r="B4422" s="64"/>
      <c r="C4422" s="64"/>
      <c r="D4422" s="64"/>
      <c r="E4422" s="64"/>
      <c r="F4422" s="64"/>
      <c r="G4422" s="64"/>
    </row>
    <row r="4423" spans="2:7" ht="32.25" customHeight="1" x14ac:dyDescent="0.25">
      <c r="B4423" s="64"/>
      <c r="C4423" s="64"/>
      <c r="D4423" s="64"/>
      <c r="E4423" s="64"/>
      <c r="F4423" s="64"/>
      <c r="G4423" s="64"/>
    </row>
    <row r="4424" spans="2:7" ht="32.25" customHeight="1" x14ac:dyDescent="0.25">
      <c r="B4424" s="64"/>
      <c r="C4424" s="64"/>
      <c r="D4424" s="64"/>
      <c r="E4424" s="64"/>
      <c r="F4424" s="64"/>
      <c r="G4424" s="64"/>
    </row>
    <row r="4425" spans="2:7" ht="32.25" customHeight="1" x14ac:dyDescent="0.25">
      <c r="B4425" s="64"/>
      <c r="C4425" s="64"/>
      <c r="D4425" s="64"/>
      <c r="E4425" s="64"/>
      <c r="F4425" s="64"/>
      <c r="G4425" s="64"/>
    </row>
    <row r="4426" spans="2:7" ht="32.25" customHeight="1" x14ac:dyDescent="0.25">
      <c r="B4426" s="64"/>
      <c r="C4426" s="64"/>
      <c r="D4426" s="64"/>
      <c r="E4426" s="64"/>
      <c r="F4426" s="64"/>
      <c r="G4426" s="64"/>
    </row>
    <row r="4427" spans="2:7" ht="32.25" customHeight="1" x14ac:dyDescent="0.25">
      <c r="B4427" s="64"/>
      <c r="C4427" s="64"/>
      <c r="D4427" s="64"/>
      <c r="E4427" s="64"/>
      <c r="F4427" s="64"/>
      <c r="G4427" s="64"/>
    </row>
    <row r="4428" spans="2:7" ht="32.25" customHeight="1" x14ac:dyDescent="0.25">
      <c r="B4428" s="64"/>
      <c r="C4428" s="64"/>
      <c r="D4428" s="64"/>
      <c r="E4428" s="64"/>
      <c r="F4428" s="64"/>
      <c r="G4428" s="64"/>
    </row>
    <row r="4429" spans="2:7" ht="32.25" customHeight="1" x14ac:dyDescent="0.25">
      <c r="B4429" s="64"/>
      <c r="C4429" s="64"/>
      <c r="D4429" s="64"/>
      <c r="E4429" s="64"/>
      <c r="F4429" s="64"/>
      <c r="G4429" s="64"/>
    </row>
    <row r="4430" spans="2:7" ht="32.25" customHeight="1" x14ac:dyDescent="0.25">
      <c r="B4430" s="64"/>
      <c r="C4430" s="64"/>
      <c r="D4430" s="64"/>
      <c r="E4430" s="64"/>
      <c r="F4430" s="64"/>
      <c r="G4430" s="64"/>
    </row>
    <row r="4431" spans="2:7" ht="32.25" customHeight="1" x14ac:dyDescent="0.25">
      <c r="B4431" s="64"/>
      <c r="C4431" s="64"/>
      <c r="D4431" s="64"/>
      <c r="E4431" s="64"/>
      <c r="F4431" s="64"/>
      <c r="G4431" s="64"/>
    </row>
    <row r="4432" spans="2:7" ht="32.25" customHeight="1" x14ac:dyDescent="0.25">
      <c r="B4432" s="64"/>
      <c r="C4432" s="64"/>
      <c r="D4432" s="64"/>
      <c r="E4432" s="64"/>
      <c r="F4432" s="64"/>
      <c r="G4432" s="64"/>
    </row>
    <row r="4433" spans="2:7" ht="32.25" customHeight="1" x14ac:dyDescent="0.25">
      <c r="B4433" s="64"/>
      <c r="C4433" s="64"/>
      <c r="D4433" s="64"/>
      <c r="E4433" s="64"/>
      <c r="F4433" s="64"/>
      <c r="G4433" s="64"/>
    </row>
    <row r="4434" spans="2:7" ht="32.25" customHeight="1" x14ac:dyDescent="0.25">
      <c r="B4434" s="64"/>
      <c r="C4434" s="64"/>
      <c r="D4434" s="64"/>
      <c r="E4434" s="64"/>
      <c r="F4434" s="64"/>
      <c r="G4434" s="64"/>
    </row>
    <row r="4435" spans="2:7" ht="32.25" customHeight="1" x14ac:dyDescent="0.25">
      <c r="B4435" s="64"/>
      <c r="C4435" s="64"/>
      <c r="D4435" s="64"/>
      <c r="E4435" s="64"/>
      <c r="F4435" s="64"/>
      <c r="G4435" s="64"/>
    </row>
    <row r="4436" spans="2:7" ht="32.25" customHeight="1" x14ac:dyDescent="0.25">
      <c r="B4436" s="64"/>
      <c r="C4436" s="64"/>
      <c r="D4436" s="64"/>
      <c r="E4436" s="64"/>
      <c r="F4436" s="64"/>
      <c r="G4436" s="64"/>
    </row>
    <row r="4437" spans="2:7" ht="32.25" customHeight="1" x14ac:dyDescent="0.25">
      <c r="B4437" s="64"/>
      <c r="C4437" s="64"/>
      <c r="D4437" s="64"/>
      <c r="E4437" s="64"/>
      <c r="F4437" s="64"/>
      <c r="G4437" s="64"/>
    </row>
    <row r="4438" spans="2:7" ht="32.25" customHeight="1" x14ac:dyDescent="0.25">
      <c r="B4438" s="64"/>
      <c r="C4438" s="64"/>
      <c r="D4438" s="64"/>
      <c r="E4438" s="64"/>
      <c r="F4438" s="64"/>
      <c r="G4438" s="64"/>
    </row>
    <row r="4439" spans="2:7" ht="32.25" customHeight="1" x14ac:dyDescent="0.25">
      <c r="B4439" s="64"/>
      <c r="C4439" s="64"/>
      <c r="D4439" s="64"/>
      <c r="E4439" s="64"/>
      <c r="F4439" s="64"/>
      <c r="G4439" s="64"/>
    </row>
    <row r="4440" spans="2:7" ht="32.25" customHeight="1" x14ac:dyDescent="0.25">
      <c r="B4440" s="64"/>
      <c r="C4440" s="64"/>
      <c r="D4440" s="64"/>
      <c r="E4440" s="64"/>
      <c r="F4440" s="64"/>
      <c r="G4440" s="64"/>
    </row>
    <row r="4441" spans="2:7" ht="32.25" customHeight="1" x14ac:dyDescent="0.25">
      <c r="B4441" s="64"/>
      <c r="C4441" s="64"/>
      <c r="D4441" s="64"/>
      <c r="E4441" s="64"/>
      <c r="F4441" s="64"/>
      <c r="G4441" s="64"/>
    </row>
    <row r="4442" spans="2:7" ht="32.25" customHeight="1" x14ac:dyDescent="0.25">
      <c r="B4442" s="64"/>
      <c r="C4442" s="64"/>
      <c r="D4442" s="64"/>
      <c r="E4442" s="64"/>
      <c r="F4442" s="64"/>
      <c r="G4442" s="64"/>
    </row>
    <row r="4443" spans="2:7" ht="32.25" customHeight="1" x14ac:dyDescent="0.25">
      <c r="B4443" s="64"/>
      <c r="C4443" s="64"/>
      <c r="D4443" s="64"/>
      <c r="E4443" s="64"/>
      <c r="F4443" s="64"/>
      <c r="G4443" s="64"/>
    </row>
    <row r="4444" spans="2:7" ht="32.25" customHeight="1" x14ac:dyDescent="0.25">
      <c r="B4444" s="64"/>
      <c r="C4444" s="64"/>
      <c r="D4444" s="64"/>
      <c r="E4444" s="64"/>
      <c r="F4444" s="64"/>
      <c r="G4444" s="64"/>
    </row>
    <row r="4445" spans="2:7" ht="32.25" customHeight="1" x14ac:dyDescent="0.25">
      <c r="B4445" s="64"/>
      <c r="C4445" s="64"/>
      <c r="D4445" s="64"/>
      <c r="E4445" s="64"/>
      <c r="F4445" s="64"/>
      <c r="G4445" s="64"/>
    </row>
    <row r="4446" spans="2:7" ht="32.25" customHeight="1" x14ac:dyDescent="0.25">
      <c r="B4446" s="64"/>
      <c r="C4446" s="64"/>
      <c r="D4446" s="64"/>
      <c r="E4446" s="64"/>
      <c r="F4446" s="64"/>
      <c r="G4446" s="64"/>
    </row>
    <row r="4447" spans="2:7" ht="32.25" customHeight="1" x14ac:dyDescent="0.25">
      <c r="B4447" s="64"/>
      <c r="C4447" s="64"/>
      <c r="D4447" s="64"/>
      <c r="E4447" s="64"/>
      <c r="F4447" s="64"/>
      <c r="G4447" s="64"/>
    </row>
    <row r="4448" spans="2:7" ht="32.25" customHeight="1" x14ac:dyDescent="0.25">
      <c r="B4448" s="64"/>
      <c r="C4448" s="64"/>
      <c r="D4448" s="64"/>
      <c r="E4448" s="64"/>
      <c r="F4448" s="64"/>
      <c r="G4448" s="64"/>
    </row>
    <row r="4449" spans="2:7" ht="32.25" customHeight="1" x14ac:dyDescent="0.25">
      <c r="B4449" s="64"/>
      <c r="C4449" s="64"/>
      <c r="D4449" s="64"/>
      <c r="E4449" s="64"/>
      <c r="F4449" s="64"/>
      <c r="G4449" s="64"/>
    </row>
    <row r="4450" spans="2:7" ht="32.25" customHeight="1" x14ac:dyDescent="0.25">
      <c r="B4450" s="64"/>
      <c r="C4450" s="64"/>
      <c r="D4450" s="64"/>
      <c r="E4450" s="64"/>
      <c r="F4450" s="64"/>
      <c r="G4450" s="64"/>
    </row>
    <row r="4451" spans="2:7" ht="32.25" customHeight="1" x14ac:dyDescent="0.25">
      <c r="B4451" s="64"/>
      <c r="C4451" s="64"/>
      <c r="D4451" s="64"/>
      <c r="E4451" s="64"/>
      <c r="F4451" s="64"/>
      <c r="G4451" s="64"/>
    </row>
    <row r="4452" spans="2:7" ht="32.25" customHeight="1" x14ac:dyDescent="0.25">
      <c r="B4452" s="64"/>
      <c r="C4452" s="64"/>
      <c r="D4452" s="64"/>
      <c r="E4452" s="64"/>
      <c r="F4452" s="64"/>
      <c r="G4452" s="64"/>
    </row>
    <row r="4453" spans="2:7" ht="32.25" customHeight="1" x14ac:dyDescent="0.25">
      <c r="B4453" s="64"/>
      <c r="C4453" s="64"/>
      <c r="D4453" s="64"/>
      <c r="E4453" s="64"/>
      <c r="F4453" s="64"/>
      <c r="G4453" s="64"/>
    </row>
    <row r="4454" spans="2:7" ht="32.25" customHeight="1" x14ac:dyDescent="0.25">
      <c r="B4454" s="64"/>
      <c r="C4454" s="64"/>
      <c r="D4454" s="64"/>
      <c r="E4454" s="64"/>
      <c r="F4454" s="64"/>
      <c r="G4454" s="64"/>
    </row>
    <row r="4455" spans="2:7" ht="32.25" customHeight="1" x14ac:dyDescent="0.25">
      <c r="B4455" s="64"/>
      <c r="C4455" s="64"/>
      <c r="D4455" s="64"/>
      <c r="E4455" s="64"/>
      <c r="F4455" s="64"/>
      <c r="G4455" s="64"/>
    </row>
    <row r="4456" spans="2:7" ht="32.25" customHeight="1" x14ac:dyDescent="0.25">
      <c r="B4456" s="64"/>
      <c r="C4456" s="64"/>
      <c r="D4456" s="64"/>
      <c r="E4456" s="64"/>
      <c r="F4456" s="64"/>
      <c r="G4456" s="64"/>
    </row>
    <row r="4457" spans="2:7" ht="32.25" customHeight="1" x14ac:dyDescent="0.25">
      <c r="B4457" s="64"/>
      <c r="C4457" s="64"/>
      <c r="D4457" s="64"/>
      <c r="E4457" s="64"/>
      <c r="F4457" s="64"/>
      <c r="G4457" s="64"/>
    </row>
    <row r="4458" spans="2:7" ht="32.25" customHeight="1" x14ac:dyDescent="0.25">
      <c r="B4458" s="64"/>
      <c r="C4458" s="64"/>
      <c r="D4458" s="64"/>
      <c r="E4458" s="64"/>
      <c r="F4458" s="64"/>
      <c r="G4458" s="64"/>
    </row>
    <row r="4459" spans="2:7" ht="32.25" customHeight="1" x14ac:dyDescent="0.25">
      <c r="B4459" s="64"/>
      <c r="C4459" s="64"/>
      <c r="D4459" s="64"/>
      <c r="E4459" s="64"/>
      <c r="F4459" s="64"/>
      <c r="G4459" s="64"/>
    </row>
    <row r="4460" spans="2:7" ht="32.25" customHeight="1" x14ac:dyDescent="0.25">
      <c r="B4460" s="64"/>
      <c r="C4460" s="64"/>
      <c r="D4460" s="64"/>
      <c r="E4460" s="64"/>
      <c r="F4460" s="64"/>
      <c r="G4460" s="64"/>
    </row>
    <row r="4461" spans="2:7" ht="32.25" customHeight="1" x14ac:dyDescent="0.25">
      <c r="B4461" s="64"/>
      <c r="C4461" s="64"/>
      <c r="D4461" s="64"/>
      <c r="E4461" s="64"/>
      <c r="F4461" s="64"/>
      <c r="G4461" s="64"/>
    </row>
    <row r="4462" spans="2:7" ht="32.25" customHeight="1" x14ac:dyDescent="0.25">
      <c r="B4462" s="64"/>
      <c r="C4462" s="64"/>
      <c r="D4462" s="64"/>
      <c r="E4462" s="64"/>
      <c r="F4462" s="64"/>
      <c r="G4462" s="64"/>
    </row>
    <row r="4463" spans="2:7" ht="32.25" customHeight="1" x14ac:dyDescent="0.25">
      <c r="B4463" s="64"/>
      <c r="C4463" s="64"/>
      <c r="D4463" s="64"/>
      <c r="E4463" s="64"/>
      <c r="F4463" s="64"/>
      <c r="G4463" s="64"/>
    </row>
    <row r="4464" spans="2:7" ht="32.25" customHeight="1" x14ac:dyDescent="0.25">
      <c r="B4464" s="64"/>
      <c r="C4464" s="64"/>
      <c r="D4464" s="64"/>
      <c r="E4464" s="64"/>
      <c r="F4464" s="64"/>
      <c r="G4464" s="64"/>
    </row>
    <row r="4465" spans="2:7" ht="32.25" customHeight="1" x14ac:dyDescent="0.25">
      <c r="B4465" s="64"/>
      <c r="C4465" s="64"/>
      <c r="D4465" s="64"/>
      <c r="E4465" s="64"/>
      <c r="F4465" s="64"/>
      <c r="G4465" s="64"/>
    </row>
    <row r="4466" spans="2:7" ht="32.25" customHeight="1" x14ac:dyDescent="0.25">
      <c r="B4466" s="64"/>
      <c r="C4466" s="64"/>
      <c r="D4466" s="64"/>
      <c r="E4466" s="64"/>
      <c r="F4466" s="64"/>
      <c r="G4466" s="64"/>
    </row>
    <row r="4467" spans="2:7" ht="32.25" customHeight="1" x14ac:dyDescent="0.25">
      <c r="B4467" s="64"/>
      <c r="C4467" s="64"/>
      <c r="D4467" s="64"/>
      <c r="E4467" s="64"/>
      <c r="F4467" s="64"/>
      <c r="G4467" s="64"/>
    </row>
    <row r="4468" spans="2:7" ht="32.25" customHeight="1" x14ac:dyDescent="0.25">
      <c r="B4468" s="64"/>
      <c r="C4468" s="64"/>
      <c r="D4468" s="64"/>
      <c r="E4468" s="64"/>
      <c r="F4468" s="64"/>
      <c r="G4468" s="64"/>
    </row>
    <row r="4469" spans="2:7" ht="32.25" customHeight="1" x14ac:dyDescent="0.25">
      <c r="B4469" s="64"/>
      <c r="C4469" s="64"/>
      <c r="D4469" s="64"/>
      <c r="E4469" s="64"/>
      <c r="F4469" s="64"/>
      <c r="G4469" s="64"/>
    </row>
    <row r="4470" spans="2:7" ht="32.25" customHeight="1" x14ac:dyDescent="0.25">
      <c r="B4470" s="64"/>
      <c r="C4470" s="64"/>
      <c r="D4470" s="64"/>
      <c r="E4470" s="64"/>
      <c r="F4470" s="64"/>
      <c r="G4470" s="64"/>
    </row>
    <row r="4471" spans="2:7" ht="32.25" customHeight="1" x14ac:dyDescent="0.25">
      <c r="B4471" s="64"/>
      <c r="C4471" s="64"/>
      <c r="D4471" s="64"/>
      <c r="E4471" s="64"/>
      <c r="F4471" s="64"/>
      <c r="G4471" s="64"/>
    </row>
    <row r="4472" spans="2:7" ht="32.25" customHeight="1" x14ac:dyDescent="0.25">
      <c r="B4472" s="64"/>
      <c r="C4472" s="64"/>
      <c r="D4472" s="64"/>
      <c r="E4472" s="64"/>
      <c r="F4472" s="64"/>
      <c r="G4472" s="64"/>
    </row>
    <row r="4473" spans="2:7" ht="32.25" customHeight="1" x14ac:dyDescent="0.25">
      <c r="B4473" s="64"/>
      <c r="C4473" s="64"/>
      <c r="D4473" s="64"/>
      <c r="E4473" s="64"/>
      <c r="F4473" s="64"/>
      <c r="G4473" s="64"/>
    </row>
    <row r="4474" spans="2:7" ht="32.25" customHeight="1" x14ac:dyDescent="0.25">
      <c r="B4474" s="64"/>
      <c r="C4474" s="64"/>
      <c r="D4474" s="64"/>
      <c r="E4474" s="64"/>
      <c r="F4474" s="64"/>
      <c r="G4474" s="64"/>
    </row>
    <row r="4475" spans="2:7" ht="32.25" customHeight="1" x14ac:dyDescent="0.25">
      <c r="B4475" s="64"/>
      <c r="C4475" s="64"/>
      <c r="D4475" s="64"/>
      <c r="E4475" s="64"/>
      <c r="F4475" s="64"/>
      <c r="G4475" s="64"/>
    </row>
    <row r="4476" spans="2:7" ht="32.25" customHeight="1" x14ac:dyDescent="0.25">
      <c r="B4476" s="64"/>
      <c r="C4476" s="64"/>
      <c r="D4476" s="64"/>
      <c r="E4476" s="64"/>
      <c r="F4476" s="64"/>
      <c r="G4476" s="64"/>
    </row>
    <row r="4477" spans="2:7" ht="32.25" customHeight="1" x14ac:dyDescent="0.25">
      <c r="B4477" s="64"/>
      <c r="C4477" s="64"/>
      <c r="D4477" s="64"/>
      <c r="E4477" s="64"/>
      <c r="F4477" s="64"/>
      <c r="G4477" s="64"/>
    </row>
    <row r="4478" spans="2:7" ht="32.25" customHeight="1" x14ac:dyDescent="0.25">
      <c r="B4478" s="64"/>
      <c r="C4478" s="64"/>
      <c r="D4478" s="64"/>
      <c r="E4478" s="64"/>
      <c r="F4478" s="64"/>
      <c r="G4478" s="64"/>
    </row>
    <row r="4479" spans="2:7" ht="32.25" customHeight="1" x14ac:dyDescent="0.25">
      <c r="B4479" s="64"/>
      <c r="C4479" s="64"/>
      <c r="D4479" s="64"/>
      <c r="E4479" s="64"/>
      <c r="F4479" s="64"/>
      <c r="G4479" s="64"/>
    </row>
    <row r="4480" spans="2:7" ht="32.25" customHeight="1" x14ac:dyDescent="0.25">
      <c r="B4480" s="64"/>
      <c r="C4480" s="64"/>
      <c r="D4480" s="64"/>
      <c r="E4480" s="64"/>
      <c r="F4480" s="64"/>
      <c r="G4480" s="64"/>
    </row>
    <row r="4481" spans="2:7" ht="32.25" customHeight="1" x14ac:dyDescent="0.25">
      <c r="B4481" s="64"/>
      <c r="C4481" s="64"/>
      <c r="D4481" s="64"/>
      <c r="E4481" s="64"/>
      <c r="F4481" s="64"/>
      <c r="G4481" s="64"/>
    </row>
    <row r="4482" spans="2:7" ht="32.25" customHeight="1" x14ac:dyDescent="0.25">
      <c r="B4482" s="64"/>
      <c r="C4482" s="64"/>
      <c r="D4482" s="64"/>
      <c r="E4482" s="64"/>
      <c r="F4482" s="64"/>
      <c r="G4482" s="64"/>
    </row>
    <row r="4483" spans="2:7" ht="32.25" customHeight="1" x14ac:dyDescent="0.25">
      <c r="B4483" s="64"/>
      <c r="C4483" s="64"/>
      <c r="D4483" s="64"/>
      <c r="E4483" s="64"/>
      <c r="F4483" s="64"/>
      <c r="G4483" s="64"/>
    </row>
    <row r="4484" spans="2:7" ht="32.25" customHeight="1" x14ac:dyDescent="0.25">
      <c r="B4484" s="64"/>
      <c r="C4484" s="64"/>
      <c r="D4484" s="64"/>
      <c r="E4484" s="64"/>
      <c r="F4484" s="64"/>
      <c r="G4484" s="64"/>
    </row>
    <row r="4485" spans="2:7" ht="32.25" customHeight="1" x14ac:dyDescent="0.25">
      <c r="B4485" s="64"/>
      <c r="C4485" s="64"/>
      <c r="D4485" s="64"/>
      <c r="E4485" s="64"/>
      <c r="F4485" s="64"/>
      <c r="G4485" s="64"/>
    </row>
    <row r="4486" spans="2:7" ht="32.25" customHeight="1" x14ac:dyDescent="0.25">
      <c r="B4486" s="64"/>
      <c r="C4486" s="64"/>
      <c r="D4486" s="64"/>
      <c r="E4486" s="64"/>
      <c r="F4486" s="64"/>
      <c r="G4486" s="64"/>
    </row>
    <row r="4487" spans="2:7" ht="32.25" customHeight="1" x14ac:dyDescent="0.25">
      <c r="B4487" s="64"/>
      <c r="C4487" s="64"/>
      <c r="D4487" s="64"/>
      <c r="E4487" s="64"/>
      <c r="F4487" s="64"/>
      <c r="G4487" s="64"/>
    </row>
    <row r="4488" spans="2:7" ht="32.25" customHeight="1" x14ac:dyDescent="0.25">
      <c r="B4488" s="64"/>
      <c r="C4488" s="64"/>
      <c r="D4488" s="64"/>
      <c r="E4488" s="64"/>
      <c r="F4488" s="64"/>
      <c r="G4488" s="64"/>
    </row>
    <row r="4489" spans="2:7" ht="32.25" customHeight="1" x14ac:dyDescent="0.25">
      <c r="B4489" s="64"/>
      <c r="C4489" s="64"/>
      <c r="D4489" s="64"/>
      <c r="E4489" s="64"/>
      <c r="F4489" s="64"/>
      <c r="G4489" s="64"/>
    </row>
    <row r="4490" spans="2:7" ht="32.25" customHeight="1" x14ac:dyDescent="0.25">
      <c r="B4490" s="64"/>
      <c r="C4490" s="64"/>
      <c r="D4490" s="64"/>
      <c r="E4490" s="64"/>
      <c r="F4490" s="64"/>
      <c r="G4490" s="64"/>
    </row>
    <row r="4491" spans="2:7" ht="32.25" customHeight="1" x14ac:dyDescent="0.25">
      <c r="B4491" s="64"/>
      <c r="C4491" s="64"/>
      <c r="D4491" s="64"/>
      <c r="E4491" s="64"/>
      <c r="F4491" s="64"/>
      <c r="G4491" s="64"/>
    </row>
    <row r="4492" spans="2:7" ht="32.25" customHeight="1" x14ac:dyDescent="0.25">
      <c r="B4492" s="64"/>
      <c r="C4492" s="64"/>
      <c r="D4492" s="64"/>
      <c r="E4492" s="64"/>
      <c r="F4492" s="64"/>
      <c r="G4492" s="64"/>
    </row>
    <row r="4493" spans="2:7" ht="32.25" customHeight="1" x14ac:dyDescent="0.25">
      <c r="B4493" s="64"/>
      <c r="C4493" s="64"/>
      <c r="D4493" s="64"/>
      <c r="E4493" s="64"/>
      <c r="F4493" s="64"/>
      <c r="G4493" s="64"/>
    </row>
    <row r="4494" spans="2:7" ht="32.25" customHeight="1" x14ac:dyDescent="0.25">
      <c r="B4494" s="64"/>
      <c r="C4494" s="64"/>
      <c r="D4494" s="64"/>
      <c r="E4494" s="64"/>
      <c r="F4494" s="64"/>
      <c r="G4494" s="64"/>
    </row>
    <row r="4495" spans="2:7" ht="32.25" customHeight="1" x14ac:dyDescent="0.25">
      <c r="B4495" s="64"/>
      <c r="C4495" s="64"/>
      <c r="D4495" s="64"/>
      <c r="E4495" s="64"/>
      <c r="F4495" s="64"/>
      <c r="G4495" s="64"/>
    </row>
    <row r="4496" spans="2:7" ht="32.25" customHeight="1" x14ac:dyDescent="0.25">
      <c r="B4496" s="64"/>
      <c r="C4496" s="64"/>
      <c r="D4496" s="64"/>
      <c r="E4496" s="64"/>
      <c r="F4496" s="64"/>
      <c r="G4496" s="64"/>
    </row>
    <row r="4497" spans="2:7" ht="32.25" customHeight="1" x14ac:dyDescent="0.25">
      <c r="B4497" s="64"/>
      <c r="C4497" s="64"/>
      <c r="D4497" s="64"/>
      <c r="E4497" s="64"/>
      <c r="F4497" s="64"/>
      <c r="G4497" s="64"/>
    </row>
    <row r="4498" spans="2:7" ht="32.25" customHeight="1" x14ac:dyDescent="0.25">
      <c r="B4498" s="64"/>
      <c r="C4498" s="64"/>
      <c r="D4498" s="64"/>
      <c r="E4498" s="64"/>
      <c r="F4498" s="64"/>
      <c r="G4498" s="64"/>
    </row>
    <row r="4499" spans="2:7" ht="32.25" customHeight="1" x14ac:dyDescent="0.25">
      <c r="B4499" s="64"/>
      <c r="C4499" s="64"/>
      <c r="D4499" s="64"/>
      <c r="E4499" s="64"/>
      <c r="F4499" s="64"/>
      <c r="G4499" s="64"/>
    </row>
    <row r="4500" spans="2:7" ht="32.25" customHeight="1" x14ac:dyDescent="0.25">
      <c r="B4500" s="64"/>
      <c r="C4500" s="64"/>
      <c r="D4500" s="64"/>
      <c r="E4500" s="64"/>
      <c r="F4500" s="64"/>
      <c r="G4500" s="64"/>
    </row>
    <row r="4501" spans="2:7" ht="32.25" customHeight="1" x14ac:dyDescent="0.25">
      <c r="B4501" s="64"/>
      <c r="C4501" s="64"/>
      <c r="D4501" s="64"/>
      <c r="E4501" s="64"/>
      <c r="F4501" s="64"/>
      <c r="G4501" s="64"/>
    </row>
    <row r="4502" spans="2:7" ht="32.25" customHeight="1" x14ac:dyDescent="0.25">
      <c r="B4502" s="64"/>
      <c r="C4502" s="64"/>
      <c r="D4502" s="64"/>
      <c r="E4502" s="64"/>
      <c r="F4502" s="64"/>
      <c r="G4502" s="64"/>
    </row>
    <row r="4503" spans="2:7" ht="32.25" customHeight="1" x14ac:dyDescent="0.25">
      <c r="B4503" s="64"/>
      <c r="C4503" s="64"/>
      <c r="D4503" s="64"/>
      <c r="E4503" s="64"/>
      <c r="F4503" s="64"/>
      <c r="G4503" s="64"/>
    </row>
    <row r="4504" spans="2:7" ht="32.25" customHeight="1" x14ac:dyDescent="0.25">
      <c r="B4504" s="64"/>
      <c r="C4504" s="64"/>
      <c r="D4504" s="64"/>
      <c r="E4504" s="64"/>
      <c r="F4504" s="64"/>
      <c r="G4504" s="64"/>
    </row>
    <row r="4505" spans="2:7" ht="32.25" customHeight="1" x14ac:dyDescent="0.25">
      <c r="B4505" s="64"/>
      <c r="C4505" s="64"/>
      <c r="D4505" s="64"/>
      <c r="E4505" s="64"/>
      <c r="F4505" s="64"/>
      <c r="G4505" s="64"/>
    </row>
    <row r="4506" spans="2:7" ht="32.25" customHeight="1" x14ac:dyDescent="0.25">
      <c r="B4506" s="64"/>
      <c r="C4506" s="64"/>
      <c r="D4506" s="64"/>
      <c r="E4506" s="64"/>
      <c r="F4506" s="64"/>
      <c r="G4506" s="64"/>
    </row>
    <row r="4507" spans="2:7" ht="32.25" customHeight="1" x14ac:dyDescent="0.25">
      <c r="B4507" s="64"/>
      <c r="C4507" s="64"/>
      <c r="D4507" s="64"/>
      <c r="E4507" s="64"/>
      <c r="F4507" s="64"/>
      <c r="G4507" s="64"/>
    </row>
    <row r="4508" spans="2:7" ht="32.25" customHeight="1" x14ac:dyDescent="0.25">
      <c r="B4508" s="64"/>
      <c r="C4508" s="64"/>
      <c r="D4508" s="64"/>
      <c r="E4508" s="64"/>
      <c r="F4508" s="64"/>
      <c r="G4508" s="64"/>
    </row>
    <row r="4509" spans="2:7" ht="32.25" customHeight="1" x14ac:dyDescent="0.25">
      <c r="B4509" s="64"/>
      <c r="C4509" s="64"/>
      <c r="D4509" s="64"/>
      <c r="E4509" s="64"/>
      <c r="F4509" s="64"/>
      <c r="G4509" s="64"/>
    </row>
    <row r="4510" spans="2:7" ht="32.25" customHeight="1" x14ac:dyDescent="0.25">
      <c r="B4510" s="64"/>
      <c r="C4510" s="64"/>
      <c r="D4510" s="64"/>
      <c r="E4510" s="64"/>
      <c r="F4510" s="64"/>
      <c r="G4510" s="64"/>
    </row>
    <row r="4511" spans="2:7" ht="32.25" customHeight="1" x14ac:dyDescent="0.25">
      <c r="B4511" s="64"/>
      <c r="C4511" s="64"/>
      <c r="D4511" s="64"/>
      <c r="E4511" s="64"/>
      <c r="F4511" s="64"/>
      <c r="G4511" s="64"/>
    </row>
    <row r="4512" spans="2:7" ht="32.25" customHeight="1" x14ac:dyDescent="0.25">
      <c r="B4512" s="64"/>
      <c r="C4512" s="64"/>
      <c r="D4512" s="64"/>
      <c r="E4512" s="64"/>
      <c r="F4512" s="64"/>
      <c r="G4512" s="64"/>
    </row>
    <row r="4513" spans="2:7" ht="32.25" customHeight="1" x14ac:dyDescent="0.25">
      <c r="B4513" s="64"/>
      <c r="C4513" s="64"/>
      <c r="D4513" s="64"/>
      <c r="E4513" s="64"/>
      <c r="F4513" s="64"/>
      <c r="G4513" s="64"/>
    </row>
    <row r="4514" spans="2:7" ht="32.25" customHeight="1" x14ac:dyDescent="0.25">
      <c r="B4514" s="64"/>
      <c r="C4514" s="64"/>
      <c r="D4514" s="64"/>
      <c r="E4514" s="64"/>
      <c r="F4514" s="64"/>
      <c r="G4514" s="64"/>
    </row>
    <row r="4515" spans="2:7" ht="32.25" customHeight="1" x14ac:dyDescent="0.25">
      <c r="B4515" s="64"/>
      <c r="C4515" s="64"/>
      <c r="D4515" s="64"/>
      <c r="E4515" s="64"/>
      <c r="F4515" s="64"/>
      <c r="G4515" s="64"/>
    </row>
    <row r="4516" spans="2:7" ht="32.25" customHeight="1" x14ac:dyDescent="0.25">
      <c r="B4516" s="64"/>
      <c r="C4516" s="64"/>
      <c r="D4516" s="64"/>
      <c r="E4516" s="64"/>
      <c r="F4516" s="64"/>
      <c r="G4516" s="64"/>
    </row>
    <row r="4517" spans="2:7" ht="32.25" customHeight="1" x14ac:dyDescent="0.25">
      <c r="B4517" s="64"/>
      <c r="C4517" s="64"/>
      <c r="D4517" s="64"/>
      <c r="E4517" s="64"/>
      <c r="F4517" s="64"/>
      <c r="G4517" s="64"/>
    </row>
    <row r="4518" spans="2:7" ht="32.25" customHeight="1" x14ac:dyDescent="0.25">
      <c r="B4518" s="64"/>
      <c r="C4518" s="64"/>
      <c r="D4518" s="64"/>
      <c r="E4518" s="64"/>
      <c r="F4518" s="64"/>
      <c r="G4518" s="64"/>
    </row>
    <row r="4519" spans="2:7" ht="32.25" customHeight="1" x14ac:dyDescent="0.25">
      <c r="B4519" s="64"/>
      <c r="C4519" s="64"/>
      <c r="D4519" s="64"/>
      <c r="E4519" s="64"/>
      <c r="F4519" s="64"/>
      <c r="G4519" s="64"/>
    </row>
    <row r="4520" spans="2:7" ht="32.25" customHeight="1" x14ac:dyDescent="0.25">
      <c r="B4520" s="64"/>
      <c r="C4520" s="64"/>
      <c r="D4520" s="64"/>
      <c r="E4520" s="64"/>
      <c r="F4520" s="64"/>
      <c r="G4520" s="64"/>
    </row>
    <row r="4521" spans="2:7" ht="32.25" customHeight="1" x14ac:dyDescent="0.25">
      <c r="B4521" s="64"/>
      <c r="C4521" s="64"/>
      <c r="D4521" s="64"/>
      <c r="E4521" s="64"/>
      <c r="F4521" s="64"/>
      <c r="G4521" s="64"/>
    </row>
    <row r="4522" spans="2:7" ht="32.25" customHeight="1" x14ac:dyDescent="0.25">
      <c r="B4522" s="64"/>
      <c r="C4522" s="64"/>
      <c r="D4522" s="64"/>
      <c r="E4522" s="64"/>
      <c r="F4522" s="64"/>
      <c r="G4522" s="64"/>
    </row>
    <row r="4523" spans="2:7" ht="32.25" customHeight="1" x14ac:dyDescent="0.25">
      <c r="B4523" s="64"/>
      <c r="C4523" s="64"/>
      <c r="D4523" s="64"/>
      <c r="E4523" s="64"/>
      <c r="F4523" s="64"/>
      <c r="G4523" s="64"/>
    </row>
    <row r="4524" spans="2:7" ht="32.25" customHeight="1" x14ac:dyDescent="0.25">
      <c r="B4524" s="64"/>
      <c r="C4524" s="64"/>
      <c r="D4524" s="64"/>
      <c r="E4524" s="64"/>
      <c r="F4524" s="64"/>
      <c r="G4524" s="64"/>
    </row>
    <row r="4525" spans="2:7" ht="32.25" customHeight="1" x14ac:dyDescent="0.25">
      <c r="B4525" s="64"/>
      <c r="C4525" s="64"/>
      <c r="D4525" s="64"/>
      <c r="E4525" s="64"/>
      <c r="F4525" s="64"/>
      <c r="G4525" s="64"/>
    </row>
    <row r="4526" spans="2:7" ht="32.25" customHeight="1" x14ac:dyDescent="0.25">
      <c r="B4526" s="64"/>
      <c r="C4526" s="64"/>
      <c r="D4526" s="64"/>
      <c r="E4526" s="64"/>
      <c r="F4526" s="64"/>
      <c r="G4526" s="64"/>
    </row>
    <row r="4527" spans="2:7" ht="32.25" customHeight="1" x14ac:dyDescent="0.25">
      <c r="B4527" s="64"/>
      <c r="C4527" s="64"/>
      <c r="D4527" s="64"/>
      <c r="E4527" s="64"/>
      <c r="F4527" s="64"/>
      <c r="G4527" s="64"/>
    </row>
    <row r="4528" spans="2:7" ht="32.25" customHeight="1" x14ac:dyDescent="0.25">
      <c r="B4528" s="64"/>
      <c r="C4528" s="64"/>
      <c r="D4528" s="64"/>
      <c r="E4528" s="64"/>
      <c r="F4528" s="64"/>
      <c r="G4528" s="64"/>
    </row>
    <row r="4529" spans="2:7" ht="32.25" customHeight="1" x14ac:dyDescent="0.25">
      <c r="B4529" s="64"/>
      <c r="C4529" s="64"/>
      <c r="D4529" s="64"/>
      <c r="E4529" s="64"/>
      <c r="F4529" s="64"/>
      <c r="G4529" s="64"/>
    </row>
    <row r="4530" spans="2:7" ht="32.25" customHeight="1" x14ac:dyDescent="0.25">
      <c r="B4530" s="64"/>
      <c r="C4530" s="64"/>
      <c r="D4530" s="64"/>
      <c r="E4530" s="64"/>
      <c r="F4530" s="64"/>
      <c r="G4530" s="64"/>
    </row>
    <row r="4531" spans="2:7" ht="32.25" customHeight="1" x14ac:dyDescent="0.25">
      <c r="B4531" s="64"/>
      <c r="C4531" s="64"/>
      <c r="D4531" s="64"/>
      <c r="E4531" s="64"/>
      <c r="F4531" s="64"/>
      <c r="G4531" s="64"/>
    </row>
    <row r="4532" spans="2:7" ht="32.25" customHeight="1" x14ac:dyDescent="0.25">
      <c r="B4532" s="64"/>
      <c r="C4532" s="64"/>
      <c r="D4532" s="64"/>
      <c r="E4532" s="64"/>
      <c r="F4532" s="64"/>
      <c r="G4532" s="64"/>
    </row>
    <row r="4533" spans="2:7" ht="32.25" customHeight="1" x14ac:dyDescent="0.25">
      <c r="B4533" s="64"/>
      <c r="C4533" s="64"/>
      <c r="D4533" s="64"/>
      <c r="E4533" s="64"/>
      <c r="F4533" s="64"/>
      <c r="G4533" s="64"/>
    </row>
    <row r="4534" spans="2:7" ht="32.25" customHeight="1" x14ac:dyDescent="0.25">
      <c r="B4534" s="64"/>
      <c r="C4534" s="64"/>
      <c r="D4534" s="64"/>
      <c r="E4534" s="64"/>
      <c r="F4534" s="64"/>
      <c r="G4534" s="64"/>
    </row>
    <row r="4535" spans="2:7" ht="32.25" customHeight="1" x14ac:dyDescent="0.25">
      <c r="B4535" s="64"/>
      <c r="C4535" s="64"/>
      <c r="D4535" s="64"/>
      <c r="E4535" s="64"/>
      <c r="F4535" s="64"/>
      <c r="G4535" s="64"/>
    </row>
    <row r="4536" spans="2:7" ht="32.25" customHeight="1" x14ac:dyDescent="0.25">
      <c r="B4536" s="64"/>
      <c r="C4536" s="64"/>
      <c r="D4536" s="64"/>
      <c r="E4536" s="64"/>
      <c r="F4536" s="64"/>
      <c r="G4536" s="64"/>
    </row>
    <row r="4537" spans="2:7" ht="32.25" customHeight="1" x14ac:dyDescent="0.25">
      <c r="B4537" s="64"/>
      <c r="C4537" s="64"/>
      <c r="D4537" s="64"/>
      <c r="E4537" s="64"/>
      <c r="F4537" s="64"/>
      <c r="G4537" s="64"/>
    </row>
    <row r="4538" spans="2:7" ht="32.25" customHeight="1" x14ac:dyDescent="0.25">
      <c r="B4538" s="64"/>
      <c r="C4538" s="64"/>
      <c r="D4538" s="64"/>
      <c r="E4538" s="64"/>
      <c r="F4538" s="64"/>
      <c r="G4538" s="64"/>
    </row>
    <row r="4539" spans="2:7" ht="32.25" customHeight="1" x14ac:dyDescent="0.25">
      <c r="B4539" s="64"/>
      <c r="C4539" s="64"/>
      <c r="D4539" s="64"/>
      <c r="E4539" s="64"/>
      <c r="F4539" s="64"/>
      <c r="G4539" s="64"/>
    </row>
    <row r="4540" spans="2:7" ht="32.25" customHeight="1" x14ac:dyDescent="0.25">
      <c r="B4540" s="64"/>
      <c r="C4540" s="64"/>
      <c r="D4540" s="64"/>
      <c r="E4540" s="64"/>
      <c r="F4540" s="64"/>
      <c r="G4540" s="64"/>
    </row>
    <row r="4541" spans="2:7" ht="32.25" customHeight="1" x14ac:dyDescent="0.25">
      <c r="B4541" s="64"/>
      <c r="C4541" s="64"/>
      <c r="D4541" s="64"/>
      <c r="E4541" s="64"/>
      <c r="F4541" s="64"/>
      <c r="G4541" s="64"/>
    </row>
    <row r="4542" spans="2:7" ht="32.25" customHeight="1" x14ac:dyDescent="0.25">
      <c r="B4542" s="64"/>
      <c r="C4542" s="64"/>
      <c r="D4542" s="64"/>
      <c r="E4542" s="64"/>
      <c r="F4542" s="64"/>
      <c r="G4542" s="64"/>
    </row>
    <row r="4543" spans="2:7" ht="32.25" customHeight="1" x14ac:dyDescent="0.25">
      <c r="B4543" s="64"/>
      <c r="C4543" s="64"/>
      <c r="D4543" s="64"/>
      <c r="E4543" s="64"/>
      <c r="F4543" s="64"/>
      <c r="G4543" s="64"/>
    </row>
    <row r="4544" spans="2:7" ht="32.25" customHeight="1" x14ac:dyDescent="0.25">
      <c r="B4544" s="64"/>
      <c r="C4544" s="64"/>
      <c r="D4544" s="64"/>
      <c r="E4544" s="64"/>
      <c r="F4544" s="64"/>
      <c r="G4544" s="64"/>
    </row>
    <row r="4545" spans="2:7" ht="32.25" customHeight="1" x14ac:dyDescent="0.25">
      <c r="B4545" s="64"/>
      <c r="C4545" s="64"/>
      <c r="D4545" s="64"/>
      <c r="E4545" s="64"/>
      <c r="F4545" s="64"/>
      <c r="G4545" s="64"/>
    </row>
    <row r="4546" spans="2:7" ht="32.25" customHeight="1" x14ac:dyDescent="0.25">
      <c r="B4546" s="64"/>
      <c r="C4546" s="64"/>
      <c r="D4546" s="64"/>
      <c r="E4546" s="64"/>
      <c r="F4546" s="64"/>
      <c r="G4546" s="64"/>
    </row>
    <row r="4547" spans="2:7" ht="32.25" customHeight="1" x14ac:dyDescent="0.25">
      <c r="B4547" s="64"/>
      <c r="C4547" s="64"/>
      <c r="D4547" s="64"/>
      <c r="E4547" s="64"/>
      <c r="F4547" s="64"/>
      <c r="G4547" s="64"/>
    </row>
    <row r="4548" spans="2:7" ht="32.25" customHeight="1" x14ac:dyDescent="0.25">
      <c r="B4548" s="64"/>
      <c r="C4548" s="64"/>
      <c r="D4548" s="64"/>
      <c r="E4548" s="64"/>
      <c r="F4548" s="64"/>
      <c r="G4548" s="64"/>
    </row>
    <row r="4549" spans="2:7" ht="32.25" customHeight="1" x14ac:dyDescent="0.25">
      <c r="B4549" s="64"/>
      <c r="C4549" s="64"/>
      <c r="D4549" s="64"/>
      <c r="E4549" s="64"/>
      <c r="F4549" s="64"/>
      <c r="G4549" s="64"/>
    </row>
    <row r="4550" spans="2:7" ht="32.25" customHeight="1" x14ac:dyDescent="0.25">
      <c r="B4550" s="64"/>
      <c r="C4550" s="64"/>
      <c r="D4550" s="64"/>
      <c r="E4550" s="64"/>
      <c r="F4550" s="64"/>
      <c r="G4550" s="64"/>
    </row>
    <row r="4551" spans="2:7" ht="32.25" customHeight="1" x14ac:dyDescent="0.25">
      <c r="B4551" s="64"/>
      <c r="C4551" s="64"/>
      <c r="D4551" s="64"/>
      <c r="E4551" s="64"/>
      <c r="F4551" s="64"/>
      <c r="G4551" s="64"/>
    </row>
    <row r="4552" spans="2:7" ht="32.25" customHeight="1" x14ac:dyDescent="0.25">
      <c r="B4552" s="64"/>
      <c r="C4552" s="64"/>
      <c r="D4552" s="64"/>
      <c r="E4552" s="64"/>
      <c r="F4552" s="64"/>
      <c r="G4552" s="64"/>
    </row>
    <row r="4553" spans="2:7" ht="32.25" customHeight="1" x14ac:dyDescent="0.25">
      <c r="B4553" s="64"/>
      <c r="C4553" s="64"/>
      <c r="D4553" s="64"/>
      <c r="E4553" s="64"/>
      <c r="F4553" s="64"/>
      <c r="G4553" s="64"/>
    </row>
    <row r="4554" spans="2:7" ht="32.25" customHeight="1" x14ac:dyDescent="0.25">
      <c r="B4554" s="64"/>
      <c r="C4554" s="64"/>
      <c r="D4554" s="64"/>
      <c r="E4554" s="64"/>
      <c r="F4554" s="64"/>
      <c r="G4554" s="64"/>
    </row>
    <row r="4555" spans="2:7" ht="32.25" customHeight="1" x14ac:dyDescent="0.25">
      <c r="B4555" s="64"/>
      <c r="C4555" s="64"/>
      <c r="D4555" s="64"/>
      <c r="E4555" s="64"/>
      <c r="F4555" s="64"/>
      <c r="G4555" s="64"/>
    </row>
    <row r="4556" spans="2:7" ht="32.25" customHeight="1" x14ac:dyDescent="0.25">
      <c r="B4556" s="64"/>
      <c r="C4556" s="64"/>
      <c r="D4556" s="64"/>
      <c r="E4556" s="64"/>
      <c r="F4556" s="64"/>
      <c r="G4556" s="64"/>
    </row>
    <row r="4557" spans="2:7" ht="32.25" customHeight="1" x14ac:dyDescent="0.25">
      <c r="B4557" s="64"/>
      <c r="C4557" s="64"/>
      <c r="D4557" s="64"/>
      <c r="E4557" s="64"/>
      <c r="F4557" s="64"/>
      <c r="G4557" s="64"/>
    </row>
    <row r="4558" spans="2:7" ht="32.25" customHeight="1" x14ac:dyDescent="0.25">
      <c r="B4558" s="64"/>
      <c r="C4558" s="64"/>
      <c r="D4558" s="64"/>
      <c r="E4558" s="64"/>
      <c r="F4558" s="64"/>
      <c r="G4558" s="64"/>
    </row>
    <row r="4559" spans="2:7" ht="32.25" customHeight="1" x14ac:dyDescent="0.25">
      <c r="B4559" s="64"/>
      <c r="C4559" s="64"/>
      <c r="D4559" s="64"/>
      <c r="E4559" s="64"/>
      <c r="F4559" s="64"/>
      <c r="G4559" s="64"/>
    </row>
    <row r="4560" spans="2:7" ht="32.25" customHeight="1" x14ac:dyDescent="0.25">
      <c r="B4560" s="64"/>
      <c r="C4560" s="64"/>
      <c r="D4560" s="64"/>
      <c r="E4560" s="64"/>
      <c r="F4560" s="64"/>
      <c r="G4560" s="64"/>
    </row>
    <row r="4561" spans="2:7" ht="32.25" customHeight="1" x14ac:dyDescent="0.25">
      <c r="B4561" s="64"/>
      <c r="C4561" s="64"/>
      <c r="D4561" s="64"/>
      <c r="E4561" s="64"/>
      <c r="F4561" s="64"/>
      <c r="G4561" s="64"/>
    </row>
    <row r="4562" spans="2:7" ht="32.25" customHeight="1" x14ac:dyDescent="0.25">
      <c r="B4562" s="64"/>
      <c r="C4562" s="64"/>
      <c r="D4562" s="64"/>
      <c r="E4562" s="64"/>
      <c r="F4562" s="64"/>
      <c r="G4562" s="64"/>
    </row>
    <row r="4563" spans="2:7" ht="32.25" customHeight="1" x14ac:dyDescent="0.25">
      <c r="B4563" s="64"/>
      <c r="C4563" s="64"/>
      <c r="D4563" s="64"/>
      <c r="E4563" s="64"/>
      <c r="F4563" s="64"/>
      <c r="G4563" s="64"/>
    </row>
    <row r="4564" spans="2:7" ht="32.25" customHeight="1" x14ac:dyDescent="0.25">
      <c r="B4564" s="64"/>
      <c r="C4564" s="64"/>
      <c r="D4564" s="64"/>
      <c r="E4564" s="64"/>
      <c r="F4564" s="64"/>
      <c r="G4564" s="64"/>
    </row>
    <row r="4565" spans="2:7" ht="32.25" customHeight="1" x14ac:dyDescent="0.25">
      <c r="B4565" s="64"/>
      <c r="C4565" s="64"/>
      <c r="D4565" s="64"/>
      <c r="E4565" s="64"/>
      <c r="F4565" s="64"/>
      <c r="G4565" s="64"/>
    </row>
    <row r="4566" spans="2:7" ht="32.25" customHeight="1" x14ac:dyDescent="0.25">
      <c r="B4566" s="64"/>
      <c r="C4566" s="64"/>
      <c r="D4566" s="64"/>
      <c r="E4566" s="64"/>
      <c r="F4566" s="64"/>
      <c r="G4566" s="64"/>
    </row>
    <row r="4567" spans="2:7" ht="32.25" customHeight="1" x14ac:dyDescent="0.25">
      <c r="B4567" s="64"/>
      <c r="C4567" s="64"/>
      <c r="D4567" s="64"/>
      <c r="E4567" s="64"/>
      <c r="F4567" s="64"/>
      <c r="G4567" s="64"/>
    </row>
    <row r="4568" spans="2:7" ht="32.25" customHeight="1" x14ac:dyDescent="0.25">
      <c r="B4568" s="64"/>
      <c r="C4568" s="64"/>
      <c r="D4568" s="64"/>
      <c r="E4568" s="64"/>
      <c r="F4568" s="64"/>
      <c r="G4568" s="64"/>
    </row>
    <row r="4569" spans="2:7" ht="32.25" customHeight="1" x14ac:dyDescent="0.25">
      <c r="B4569" s="64"/>
      <c r="C4569" s="64"/>
      <c r="D4569" s="64"/>
      <c r="E4569" s="64"/>
      <c r="F4569" s="64"/>
      <c r="G4569" s="64"/>
    </row>
    <row r="4570" spans="2:7" ht="32.25" customHeight="1" x14ac:dyDescent="0.25">
      <c r="B4570" s="64"/>
      <c r="C4570" s="64"/>
      <c r="D4570" s="64"/>
      <c r="E4570" s="64"/>
      <c r="F4570" s="64"/>
      <c r="G4570" s="64"/>
    </row>
    <row r="4571" spans="2:7" ht="32.25" customHeight="1" x14ac:dyDescent="0.25">
      <c r="B4571" s="64"/>
      <c r="C4571" s="64"/>
      <c r="D4571" s="64"/>
      <c r="E4571" s="64"/>
      <c r="F4571" s="64"/>
      <c r="G4571" s="64"/>
    </row>
    <row r="4572" spans="2:7" ht="32.25" customHeight="1" x14ac:dyDescent="0.25">
      <c r="B4572" s="64"/>
      <c r="C4572" s="64"/>
      <c r="D4572" s="64"/>
      <c r="E4572" s="64"/>
      <c r="F4572" s="64"/>
      <c r="G4572" s="64"/>
    </row>
    <row r="4573" spans="2:7" ht="32.25" customHeight="1" x14ac:dyDescent="0.25">
      <c r="B4573" s="64"/>
      <c r="C4573" s="64"/>
      <c r="D4573" s="64"/>
      <c r="E4573" s="64"/>
      <c r="F4573" s="64"/>
      <c r="G4573" s="64"/>
    </row>
    <row r="4574" spans="2:7" ht="32.25" customHeight="1" x14ac:dyDescent="0.25">
      <c r="B4574" s="64"/>
      <c r="C4574" s="64"/>
      <c r="D4574" s="64"/>
      <c r="E4574" s="64"/>
      <c r="F4574" s="64"/>
      <c r="G4574" s="64"/>
    </row>
    <row r="4575" spans="2:7" ht="32.25" customHeight="1" x14ac:dyDescent="0.25">
      <c r="B4575" s="64"/>
      <c r="C4575" s="64"/>
      <c r="D4575" s="64"/>
      <c r="E4575" s="64"/>
      <c r="F4575" s="64"/>
      <c r="G4575" s="64"/>
    </row>
    <row r="4576" spans="2:7" ht="32.25" customHeight="1" x14ac:dyDescent="0.25">
      <c r="B4576" s="64"/>
      <c r="C4576" s="64"/>
      <c r="D4576" s="64"/>
      <c r="E4576" s="64"/>
      <c r="F4576" s="64"/>
      <c r="G4576" s="64"/>
    </row>
    <row r="4577" spans="2:7" ht="32.25" customHeight="1" x14ac:dyDescent="0.25">
      <c r="B4577" s="64"/>
      <c r="C4577" s="64"/>
      <c r="D4577" s="64"/>
      <c r="E4577" s="64"/>
      <c r="F4577" s="64"/>
      <c r="G4577" s="64"/>
    </row>
    <row r="4578" spans="2:7" ht="32.25" customHeight="1" x14ac:dyDescent="0.25">
      <c r="B4578" s="64"/>
      <c r="C4578" s="64"/>
      <c r="D4578" s="64"/>
      <c r="E4578" s="64"/>
      <c r="F4578" s="64"/>
      <c r="G4578" s="64"/>
    </row>
    <row r="4579" spans="2:7" ht="32.25" customHeight="1" x14ac:dyDescent="0.25">
      <c r="B4579" s="64"/>
      <c r="C4579" s="64"/>
      <c r="D4579" s="64"/>
      <c r="E4579" s="64"/>
      <c r="F4579" s="64"/>
      <c r="G4579" s="64"/>
    </row>
    <row r="4580" spans="2:7" ht="32.25" customHeight="1" x14ac:dyDescent="0.25">
      <c r="B4580" s="64"/>
      <c r="C4580" s="64"/>
      <c r="D4580" s="64"/>
      <c r="E4580" s="64"/>
      <c r="F4580" s="64"/>
      <c r="G4580" s="64"/>
    </row>
    <row r="4581" spans="2:7" ht="32.25" customHeight="1" x14ac:dyDescent="0.25">
      <c r="B4581" s="64"/>
      <c r="C4581" s="64"/>
      <c r="D4581" s="64"/>
      <c r="E4581" s="64"/>
      <c r="F4581" s="64"/>
      <c r="G4581" s="64"/>
    </row>
    <row r="4582" spans="2:7" ht="32.25" customHeight="1" x14ac:dyDescent="0.25">
      <c r="B4582" s="64"/>
      <c r="C4582" s="64"/>
      <c r="D4582" s="64"/>
      <c r="E4582" s="64"/>
      <c r="F4582" s="64"/>
      <c r="G4582" s="64"/>
    </row>
    <row r="4583" spans="2:7" ht="32.25" customHeight="1" x14ac:dyDescent="0.25">
      <c r="B4583" s="64"/>
      <c r="C4583" s="64"/>
      <c r="D4583" s="64"/>
      <c r="E4583" s="64"/>
      <c r="F4583" s="64"/>
      <c r="G4583" s="64"/>
    </row>
    <row r="4584" spans="2:7" ht="32.25" customHeight="1" x14ac:dyDescent="0.25">
      <c r="B4584" s="64"/>
      <c r="C4584" s="64"/>
      <c r="D4584" s="64"/>
      <c r="E4584" s="64"/>
      <c r="F4584" s="64"/>
      <c r="G4584" s="64"/>
    </row>
    <row r="4585" spans="2:7" ht="32.25" customHeight="1" x14ac:dyDescent="0.25">
      <c r="B4585" s="64"/>
      <c r="C4585" s="64"/>
      <c r="D4585" s="64"/>
      <c r="E4585" s="64"/>
      <c r="F4585" s="64"/>
      <c r="G4585" s="64"/>
    </row>
    <row r="4586" spans="2:7" ht="32.25" customHeight="1" x14ac:dyDescent="0.25">
      <c r="B4586" s="64"/>
      <c r="C4586" s="64"/>
      <c r="D4586" s="64"/>
      <c r="E4586" s="64"/>
      <c r="F4586" s="64"/>
      <c r="G4586" s="64"/>
    </row>
    <row r="4587" spans="2:7" ht="32.25" customHeight="1" x14ac:dyDescent="0.25">
      <c r="B4587" s="64"/>
      <c r="C4587" s="64"/>
      <c r="D4587" s="64"/>
      <c r="E4587" s="64"/>
      <c r="F4587" s="64"/>
      <c r="G4587" s="64"/>
    </row>
    <row r="4588" spans="2:7" ht="32.25" customHeight="1" x14ac:dyDescent="0.25">
      <c r="B4588" s="64"/>
      <c r="C4588" s="64"/>
      <c r="D4588" s="64"/>
      <c r="E4588" s="64"/>
      <c r="F4588" s="64"/>
      <c r="G4588" s="64"/>
    </row>
    <row r="4589" spans="2:7" ht="32.25" customHeight="1" x14ac:dyDescent="0.25">
      <c r="B4589" s="64"/>
      <c r="C4589" s="64"/>
      <c r="D4589" s="64"/>
      <c r="E4589" s="64"/>
      <c r="F4589" s="64"/>
      <c r="G4589" s="64"/>
    </row>
    <row r="4590" spans="2:7" ht="32.25" customHeight="1" x14ac:dyDescent="0.25">
      <c r="B4590" s="64"/>
      <c r="C4590" s="64"/>
      <c r="D4590" s="64"/>
      <c r="E4590" s="64"/>
      <c r="F4590" s="64"/>
      <c r="G4590" s="64"/>
    </row>
    <row r="4591" spans="2:7" ht="32.25" customHeight="1" x14ac:dyDescent="0.25">
      <c r="B4591" s="64"/>
      <c r="C4591" s="64"/>
      <c r="D4591" s="64"/>
      <c r="E4591" s="64"/>
      <c r="F4591" s="64"/>
      <c r="G4591" s="64"/>
    </row>
    <row r="4592" spans="2:7" ht="32.25" customHeight="1" x14ac:dyDescent="0.25">
      <c r="B4592" s="64"/>
      <c r="C4592" s="64"/>
      <c r="D4592" s="64"/>
      <c r="E4592" s="64"/>
      <c r="F4592" s="64"/>
      <c r="G4592" s="64"/>
    </row>
    <row r="4593" spans="2:7" ht="32.25" customHeight="1" x14ac:dyDescent="0.25">
      <c r="B4593" s="64"/>
      <c r="C4593" s="64"/>
      <c r="D4593" s="64"/>
      <c r="E4593" s="64"/>
      <c r="F4593" s="64"/>
      <c r="G4593" s="64"/>
    </row>
    <row r="4594" spans="2:7" ht="32.25" customHeight="1" x14ac:dyDescent="0.25">
      <c r="B4594" s="64"/>
      <c r="C4594" s="64"/>
      <c r="D4594" s="64"/>
      <c r="E4594" s="64"/>
      <c r="F4594" s="64"/>
      <c r="G4594" s="64"/>
    </row>
    <row r="4595" spans="2:7" ht="32.25" customHeight="1" x14ac:dyDescent="0.25">
      <c r="B4595" s="64"/>
      <c r="C4595" s="64"/>
      <c r="D4595" s="64"/>
      <c r="E4595" s="64"/>
      <c r="F4595" s="64"/>
      <c r="G4595" s="64"/>
    </row>
    <row r="4596" spans="2:7" ht="32.25" customHeight="1" x14ac:dyDescent="0.25">
      <c r="B4596" s="64"/>
      <c r="C4596" s="64"/>
      <c r="D4596" s="64"/>
      <c r="E4596" s="64"/>
      <c r="F4596" s="64"/>
      <c r="G4596" s="64"/>
    </row>
    <row r="4597" spans="2:7" ht="32.25" customHeight="1" x14ac:dyDescent="0.25">
      <c r="B4597" s="64"/>
      <c r="C4597" s="64"/>
      <c r="D4597" s="64"/>
      <c r="E4597" s="64"/>
      <c r="F4597" s="64"/>
      <c r="G4597" s="64"/>
    </row>
    <row r="4598" spans="2:7" ht="32.25" customHeight="1" x14ac:dyDescent="0.25">
      <c r="B4598" s="64"/>
      <c r="C4598" s="64"/>
      <c r="D4598" s="64"/>
      <c r="E4598" s="64"/>
      <c r="F4598" s="64"/>
      <c r="G4598" s="64"/>
    </row>
    <row r="4599" spans="2:7" ht="32.25" customHeight="1" x14ac:dyDescent="0.25">
      <c r="B4599" s="64"/>
      <c r="C4599" s="64"/>
      <c r="D4599" s="64"/>
      <c r="E4599" s="64"/>
      <c r="F4599" s="64"/>
      <c r="G4599" s="64"/>
    </row>
    <row r="4600" spans="2:7" ht="32.25" customHeight="1" x14ac:dyDescent="0.25">
      <c r="B4600" s="64"/>
      <c r="C4600" s="64"/>
      <c r="D4600" s="64"/>
      <c r="E4600" s="64"/>
      <c r="F4600" s="64"/>
      <c r="G4600" s="64"/>
    </row>
    <row r="4601" spans="2:7" ht="32.25" customHeight="1" x14ac:dyDescent="0.25">
      <c r="B4601" s="64"/>
      <c r="C4601" s="64"/>
      <c r="D4601" s="64"/>
      <c r="E4601" s="64"/>
      <c r="F4601" s="64"/>
      <c r="G4601" s="64"/>
    </row>
    <row r="4602" spans="2:7" ht="32.25" customHeight="1" x14ac:dyDescent="0.25">
      <c r="B4602" s="64"/>
      <c r="C4602" s="64"/>
      <c r="D4602" s="64"/>
      <c r="E4602" s="64"/>
      <c r="F4602" s="64"/>
      <c r="G4602" s="64"/>
    </row>
    <row r="4603" spans="2:7" ht="32.25" customHeight="1" x14ac:dyDescent="0.25">
      <c r="B4603" s="64"/>
      <c r="C4603" s="64"/>
      <c r="D4603" s="64"/>
      <c r="E4603" s="64"/>
      <c r="F4603" s="64"/>
      <c r="G4603" s="64"/>
    </row>
    <row r="4604" spans="2:7" ht="32.25" customHeight="1" x14ac:dyDescent="0.25">
      <c r="B4604" s="64"/>
      <c r="C4604" s="64"/>
      <c r="D4604" s="64"/>
      <c r="E4604" s="64"/>
      <c r="F4604" s="64"/>
      <c r="G4604" s="64"/>
    </row>
    <row r="4605" spans="2:7" ht="32.25" customHeight="1" x14ac:dyDescent="0.25">
      <c r="B4605" s="64"/>
      <c r="C4605" s="64"/>
      <c r="D4605" s="64"/>
      <c r="E4605" s="64"/>
      <c r="F4605" s="64"/>
      <c r="G4605" s="64"/>
    </row>
    <row r="4606" spans="2:7" ht="32.25" customHeight="1" x14ac:dyDescent="0.25">
      <c r="B4606" s="64"/>
      <c r="C4606" s="64"/>
      <c r="D4606" s="64"/>
      <c r="E4606" s="64"/>
      <c r="F4606" s="64"/>
      <c r="G4606" s="64"/>
    </row>
    <row r="4607" spans="2:7" ht="32.25" customHeight="1" x14ac:dyDescent="0.25">
      <c r="B4607" s="64"/>
      <c r="C4607" s="64"/>
      <c r="D4607" s="64"/>
      <c r="E4607" s="64"/>
      <c r="F4607" s="64"/>
      <c r="G4607" s="64"/>
    </row>
    <row r="4608" spans="2:7" ht="32.25" customHeight="1" x14ac:dyDescent="0.25">
      <c r="B4608" s="64"/>
      <c r="C4608" s="64"/>
      <c r="D4608" s="64"/>
      <c r="E4608" s="64"/>
      <c r="F4608" s="64"/>
      <c r="G4608" s="64"/>
    </row>
    <row r="4609" spans="2:7" ht="32.25" customHeight="1" x14ac:dyDescent="0.25">
      <c r="B4609" s="64"/>
      <c r="C4609" s="64"/>
      <c r="D4609" s="64"/>
      <c r="E4609" s="64"/>
      <c r="F4609" s="64"/>
      <c r="G4609" s="64"/>
    </row>
    <row r="4610" spans="2:7" ht="32.25" customHeight="1" x14ac:dyDescent="0.25">
      <c r="B4610" s="64"/>
      <c r="C4610" s="64"/>
      <c r="D4610" s="64"/>
      <c r="E4610" s="64"/>
      <c r="F4610" s="64"/>
      <c r="G4610" s="64"/>
    </row>
    <row r="4611" spans="2:7" ht="32.25" customHeight="1" x14ac:dyDescent="0.25">
      <c r="B4611" s="64"/>
      <c r="C4611" s="64"/>
      <c r="D4611" s="64"/>
      <c r="E4611" s="64"/>
      <c r="F4611" s="64"/>
      <c r="G4611" s="64"/>
    </row>
    <row r="4612" spans="2:7" ht="32.25" customHeight="1" x14ac:dyDescent="0.25">
      <c r="B4612" s="64"/>
      <c r="C4612" s="64"/>
      <c r="D4612" s="64"/>
      <c r="E4612" s="64"/>
      <c r="F4612" s="64"/>
      <c r="G4612" s="64"/>
    </row>
    <row r="4613" spans="2:7" ht="32.25" customHeight="1" x14ac:dyDescent="0.25">
      <c r="B4613" s="64"/>
      <c r="C4613" s="64"/>
      <c r="D4613" s="64"/>
      <c r="E4613" s="64"/>
      <c r="F4613" s="64"/>
      <c r="G4613" s="64"/>
    </row>
    <row r="4614" spans="2:7" ht="32.25" customHeight="1" x14ac:dyDescent="0.25">
      <c r="B4614" s="64"/>
      <c r="C4614" s="64"/>
      <c r="D4614" s="64"/>
      <c r="E4614" s="64"/>
      <c r="F4614" s="64"/>
      <c r="G4614" s="64"/>
    </row>
    <row r="4615" spans="2:7" ht="32.25" customHeight="1" x14ac:dyDescent="0.25">
      <c r="B4615" s="64"/>
      <c r="C4615" s="64"/>
      <c r="D4615" s="64"/>
      <c r="E4615" s="64"/>
      <c r="F4615" s="64"/>
      <c r="G4615" s="64"/>
    </row>
    <row r="4616" spans="2:7" ht="32.25" customHeight="1" x14ac:dyDescent="0.25">
      <c r="B4616" s="64"/>
      <c r="C4616" s="64"/>
      <c r="D4616" s="64"/>
      <c r="E4616" s="64"/>
      <c r="F4616" s="64"/>
      <c r="G4616" s="64"/>
    </row>
    <row r="4617" spans="2:7" ht="32.25" customHeight="1" x14ac:dyDescent="0.25">
      <c r="B4617" s="64"/>
      <c r="C4617" s="64"/>
      <c r="D4617" s="64"/>
      <c r="E4617" s="64"/>
      <c r="F4617" s="64"/>
      <c r="G4617" s="64"/>
    </row>
    <row r="4618" spans="2:7" ht="32.25" customHeight="1" x14ac:dyDescent="0.25">
      <c r="B4618" s="64"/>
      <c r="C4618" s="64"/>
      <c r="D4618" s="64"/>
      <c r="E4618" s="64"/>
      <c r="F4618" s="64"/>
      <c r="G4618" s="64"/>
    </row>
    <row r="4619" spans="2:7" ht="32.25" customHeight="1" x14ac:dyDescent="0.25">
      <c r="B4619" s="64"/>
      <c r="C4619" s="64"/>
      <c r="D4619" s="64"/>
      <c r="E4619" s="64"/>
      <c r="F4619" s="64"/>
      <c r="G4619" s="64"/>
    </row>
    <row r="4620" spans="2:7" ht="32.25" customHeight="1" x14ac:dyDescent="0.25">
      <c r="B4620" s="64"/>
      <c r="C4620" s="64"/>
      <c r="D4620" s="64"/>
      <c r="E4620" s="64"/>
      <c r="F4620" s="64"/>
      <c r="G4620" s="64"/>
    </row>
    <row r="4621" spans="2:7" ht="32.25" customHeight="1" x14ac:dyDescent="0.25">
      <c r="B4621" s="64"/>
      <c r="C4621" s="64"/>
      <c r="D4621" s="64"/>
      <c r="E4621" s="64"/>
      <c r="F4621" s="64"/>
      <c r="G4621" s="64"/>
    </row>
    <row r="4622" spans="2:7" ht="32.25" customHeight="1" x14ac:dyDescent="0.25">
      <c r="B4622" s="64"/>
      <c r="C4622" s="64"/>
      <c r="D4622" s="64"/>
      <c r="E4622" s="64"/>
      <c r="F4622" s="64"/>
      <c r="G4622" s="64"/>
    </row>
    <row r="4623" spans="2:7" ht="32.25" customHeight="1" x14ac:dyDescent="0.25">
      <c r="B4623" s="64"/>
      <c r="C4623" s="64"/>
      <c r="D4623" s="64"/>
      <c r="E4623" s="64"/>
      <c r="F4623" s="64"/>
      <c r="G4623" s="64"/>
    </row>
    <row r="4624" spans="2:7" ht="32.25" customHeight="1" x14ac:dyDescent="0.25">
      <c r="B4624" s="64"/>
      <c r="C4624" s="64"/>
      <c r="D4624" s="64"/>
      <c r="E4624" s="64"/>
      <c r="F4624" s="64"/>
      <c r="G4624" s="64"/>
    </row>
    <row r="4625" spans="2:7" ht="32.25" customHeight="1" x14ac:dyDescent="0.25">
      <c r="B4625" s="64"/>
      <c r="C4625" s="64"/>
      <c r="D4625" s="64"/>
      <c r="E4625" s="64"/>
      <c r="F4625" s="64"/>
      <c r="G4625" s="64"/>
    </row>
    <row r="4626" spans="2:7" ht="32.25" customHeight="1" x14ac:dyDescent="0.25">
      <c r="B4626" s="64"/>
      <c r="C4626" s="64"/>
      <c r="D4626" s="64"/>
      <c r="E4626" s="64"/>
      <c r="F4626" s="64"/>
      <c r="G4626" s="64"/>
    </row>
    <row r="4627" spans="2:7" ht="32.25" customHeight="1" x14ac:dyDescent="0.25">
      <c r="B4627" s="64"/>
      <c r="C4627" s="64"/>
      <c r="D4627" s="64"/>
      <c r="E4627" s="64"/>
      <c r="F4627" s="64"/>
      <c r="G4627" s="64"/>
    </row>
    <row r="4628" spans="2:7" ht="32.25" customHeight="1" x14ac:dyDescent="0.25">
      <c r="B4628" s="64"/>
      <c r="C4628" s="64"/>
      <c r="D4628" s="64"/>
      <c r="E4628" s="64"/>
      <c r="F4628" s="64"/>
      <c r="G4628" s="64"/>
    </row>
    <row r="4629" spans="2:7" ht="32.25" customHeight="1" x14ac:dyDescent="0.25">
      <c r="B4629" s="64"/>
      <c r="C4629" s="64"/>
      <c r="D4629" s="64"/>
      <c r="E4629" s="64"/>
      <c r="F4629" s="64"/>
      <c r="G4629" s="64"/>
    </row>
    <row r="4630" spans="2:7" ht="32.25" customHeight="1" x14ac:dyDescent="0.25">
      <c r="B4630" s="64"/>
      <c r="C4630" s="64"/>
      <c r="D4630" s="64"/>
      <c r="E4630" s="64"/>
      <c r="F4630" s="64"/>
      <c r="G4630" s="64"/>
    </row>
    <row r="4631" spans="2:7" ht="32.25" customHeight="1" x14ac:dyDescent="0.25">
      <c r="B4631" s="64"/>
      <c r="C4631" s="64"/>
      <c r="D4631" s="64"/>
      <c r="E4631" s="64"/>
      <c r="F4631" s="64"/>
      <c r="G4631" s="64"/>
    </row>
    <row r="4632" spans="2:7" ht="32.25" customHeight="1" x14ac:dyDescent="0.25">
      <c r="B4632" s="64"/>
      <c r="C4632" s="64"/>
      <c r="D4632" s="64"/>
      <c r="E4632" s="64"/>
      <c r="F4632" s="64"/>
      <c r="G4632" s="64"/>
    </row>
    <row r="4633" spans="2:7" ht="32.25" customHeight="1" x14ac:dyDescent="0.25">
      <c r="B4633" s="64"/>
      <c r="C4633" s="64"/>
      <c r="D4633" s="64"/>
      <c r="E4633" s="64"/>
      <c r="F4633" s="64"/>
      <c r="G4633" s="64"/>
    </row>
    <row r="4634" spans="2:7" ht="32.25" customHeight="1" x14ac:dyDescent="0.25">
      <c r="B4634" s="64"/>
      <c r="C4634" s="64"/>
      <c r="D4634" s="64"/>
      <c r="E4634" s="64"/>
      <c r="F4634" s="64"/>
      <c r="G4634" s="64"/>
    </row>
    <row r="4635" spans="2:7" ht="32.25" customHeight="1" x14ac:dyDescent="0.25">
      <c r="B4635" s="64"/>
      <c r="C4635" s="64"/>
      <c r="D4635" s="64"/>
      <c r="E4635" s="64"/>
      <c r="F4635" s="64"/>
      <c r="G4635" s="64"/>
    </row>
    <row r="4636" spans="2:7" ht="32.25" customHeight="1" x14ac:dyDescent="0.25">
      <c r="B4636" s="64"/>
      <c r="C4636" s="64"/>
      <c r="D4636" s="64"/>
      <c r="E4636" s="64"/>
      <c r="F4636" s="64"/>
      <c r="G4636" s="64"/>
    </row>
    <row r="4637" spans="2:7" ht="32.25" customHeight="1" x14ac:dyDescent="0.25">
      <c r="B4637" s="64"/>
      <c r="C4637" s="64"/>
      <c r="D4637" s="64"/>
      <c r="E4637" s="64"/>
      <c r="F4637" s="64"/>
      <c r="G4637" s="64"/>
    </row>
    <row r="4638" spans="2:7" ht="32.25" customHeight="1" x14ac:dyDescent="0.25">
      <c r="B4638" s="64"/>
      <c r="C4638" s="64"/>
      <c r="D4638" s="64"/>
      <c r="E4638" s="64"/>
      <c r="F4638" s="64"/>
      <c r="G4638" s="64"/>
    </row>
    <row r="4639" spans="2:7" ht="32.25" customHeight="1" x14ac:dyDescent="0.25">
      <c r="B4639" s="64"/>
      <c r="C4639" s="64"/>
      <c r="D4639" s="64"/>
      <c r="E4639" s="64"/>
      <c r="F4639" s="64"/>
      <c r="G4639" s="64"/>
    </row>
    <row r="4640" spans="2:7" ht="32.25" customHeight="1" x14ac:dyDescent="0.25">
      <c r="B4640" s="64"/>
      <c r="C4640" s="64"/>
      <c r="D4640" s="64"/>
      <c r="E4640" s="64"/>
      <c r="F4640" s="64"/>
      <c r="G4640" s="64"/>
    </row>
    <row r="4641" spans="2:7" ht="32.25" customHeight="1" x14ac:dyDescent="0.25">
      <c r="B4641" s="64"/>
      <c r="C4641" s="64"/>
      <c r="D4641" s="64"/>
      <c r="E4641" s="64"/>
      <c r="F4641" s="64"/>
      <c r="G4641" s="64"/>
    </row>
    <row r="4642" spans="2:7" ht="32.25" customHeight="1" x14ac:dyDescent="0.25">
      <c r="B4642" s="64"/>
      <c r="C4642" s="64"/>
      <c r="D4642" s="64"/>
      <c r="E4642" s="64"/>
      <c r="F4642" s="64"/>
      <c r="G4642" s="64"/>
    </row>
    <row r="4643" spans="2:7" ht="32.25" customHeight="1" x14ac:dyDescent="0.25">
      <c r="B4643" s="64"/>
      <c r="C4643" s="64"/>
      <c r="D4643" s="64"/>
      <c r="E4643" s="64"/>
      <c r="F4643" s="64"/>
      <c r="G4643" s="64"/>
    </row>
    <row r="4644" spans="2:7" ht="32.25" customHeight="1" x14ac:dyDescent="0.25">
      <c r="B4644" s="64"/>
      <c r="C4644" s="64"/>
      <c r="D4644" s="64"/>
      <c r="E4644" s="64"/>
      <c r="F4644" s="64"/>
      <c r="G4644" s="64"/>
    </row>
    <row r="4645" spans="2:7" ht="32.25" customHeight="1" x14ac:dyDescent="0.25">
      <c r="B4645" s="64"/>
      <c r="C4645" s="64"/>
      <c r="D4645" s="64"/>
      <c r="E4645" s="64"/>
      <c r="F4645" s="64"/>
      <c r="G4645" s="64"/>
    </row>
    <row r="4646" spans="2:7" ht="32.25" customHeight="1" x14ac:dyDescent="0.25">
      <c r="B4646" s="64"/>
      <c r="C4646" s="64"/>
      <c r="D4646" s="64"/>
      <c r="E4646" s="64"/>
      <c r="F4646" s="64"/>
      <c r="G4646" s="64"/>
    </row>
    <row r="4647" spans="2:7" ht="32.25" customHeight="1" x14ac:dyDescent="0.25">
      <c r="B4647" s="64"/>
      <c r="C4647" s="64"/>
      <c r="D4647" s="64"/>
      <c r="E4647" s="64"/>
      <c r="F4647" s="64"/>
      <c r="G4647" s="64"/>
    </row>
    <row r="4648" spans="2:7" ht="32.25" customHeight="1" x14ac:dyDescent="0.25">
      <c r="B4648" s="64"/>
      <c r="C4648" s="64"/>
      <c r="D4648" s="64"/>
      <c r="E4648" s="64"/>
      <c r="F4648" s="64"/>
      <c r="G4648" s="64"/>
    </row>
    <row r="4649" spans="2:7" ht="32.25" customHeight="1" x14ac:dyDescent="0.25">
      <c r="B4649" s="64"/>
      <c r="C4649" s="64"/>
      <c r="D4649" s="64"/>
      <c r="E4649" s="64"/>
      <c r="F4649" s="64"/>
      <c r="G4649" s="64"/>
    </row>
    <row r="4650" spans="2:7" ht="32.25" customHeight="1" x14ac:dyDescent="0.25">
      <c r="B4650" s="64"/>
      <c r="C4650" s="64"/>
      <c r="D4650" s="64"/>
      <c r="E4650" s="64"/>
      <c r="F4650" s="64"/>
      <c r="G4650" s="64"/>
    </row>
    <row r="4651" spans="2:7" ht="32.25" customHeight="1" x14ac:dyDescent="0.25">
      <c r="B4651" s="64"/>
      <c r="C4651" s="64"/>
      <c r="D4651" s="64"/>
      <c r="E4651" s="64"/>
      <c r="F4651" s="64"/>
      <c r="G4651" s="64"/>
    </row>
    <row r="4652" spans="2:7" ht="32.25" customHeight="1" x14ac:dyDescent="0.25">
      <c r="B4652" s="64"/>
      <c r="C4652" s="64"/>
      <c r="D4652" s="64"/>
      <c r="E4652" s="64"/>
      <c r="F4652" s="64"/>
      <c r="G4652" s="64"/>
    </row>
    <row r="4653" spans="2:7" ht="32.25" customHeight="1" x14ac:dyDescent="0.25">
      <c r="B4653" s="64"/>
      <c r="C4653" s="64"/>
      <c r="D4653" s="64"/>
      <c r="E4653" s="64"/>
      <c r="F4653" s="64"/>
      <c r="G4653" s="64"/>
    </row>
    <row r="4654" spans="2:7" ht="32.25" customHeight="1" x14ac:dyDescent="0.25">
      <c r="B4654" s="64"/>
      <c r="C4654" s="64"/>
      <c r="D4654" s="64"/>
      <c r="E4654" s="64"/>
      <c r="F4654" s="64"/>
      <c r="G4654" s="64"/>
    </row>
    <row r="4655" spans="2:7" ht="32.25" customHeight="1" x14ac:dyDescent="0.25">
      <c r="B4655" s="64"/>
      <c r="C4655" s="64"/>
      <c r="D4655" s="64"/>
      <c r="E4655" s="64"/>
      <c r="F4655" s="64"/>
      <c r="G4655" s="64"/>
    </row>
    <row r="4656" spans="2:7" ht="32.25" customHeight="1" x14ac:dyDescent="0.25">
      <c r="B4656" s="64"/>
      <c r="C4656" s="64"/>
      <c r="D4656" s="64"/>
      <c r="E4656" s="64"/>
      <c r="F4656" s="64"/>
      <c r="G4656" s="64"/>
    </row>
    <row r="4657" spans="2:7" ht="32.25" customHeight="1" x14ac:dyDescent="0.25">
      <c r="B4657" s="64"/>
      <c r="C4657" s="64"/>
      <c r="D4657" s="64"/>
      <c r="E4657" s="64"/>
      <c r="F4657" s="64"/>
      <c r="G4657" s="64"/>
    </row>
    <row r="4658" spans="2:7" ht="32.25" customHeight="1" x14ac:dyDescent="0.25">
      <c r="B4658" s="64"/>
      <c r="C4658" s="64"/>
      <c r="D4658" s="64"/>
      <c r="E4658" s="64"/>
      <c r="F4658" s="64"/>
      <c r="G4658" s="64"/>
    </row>
    <row r="4659" spans="2:7" ht="32.25" customHeight="1" x14ac:dyDescent="0.25">
      <c r="B4659" s="64"/>
      <c r="C4659" s="64"/>
      <c r="D4659" s="64"/>
      <c r="E4659" s="64"/>
      <c r="F4659" s="64"/>
      <c r="G4659" s="64"/>
    </row>
    <row r="4660" spans="2:7" ht="32.25" customHeight="1" x14ac:dyDescent="0.25">
      <c r="B4660" s="64"/>
      <c r="C4660" s="64"/>
      <c r="D4660" s="64"/>
      <c r="E4660" s="64"/>
      <c r="F4660" s="64"/>
      <c r="G4660" s="64"/>
    </row>
    <row r="4661" spans="2:7" ht="32.25" customHeight="1" x14ac:dyDescent="0.25">
      <c r="B4661" s="64"/>
      <c r="C4661" s="64"/>
      <c r="D4661" s="64"/>
      <c r="E4661" s="64"/>
      <c r="F4661" s="64"/>
      <c r="G4661" s="64"/>
    </row>
    <row r="4662" spans="2:7" ht="32.25" customHeight="1" x14ac:dyDescent="0.25">
      <c r="B4662" s="64"/>
      <c r="C4662" s="64"/>
      <c r="D4662" s="64"/>
      <c r="E4662" s="64"/>
      <c r="F4662" s="64"/>
      <c r="G4662" s="64"/>
    </row>
    <row r="4663" spans="2:7" ht="32.25" customHeight="1" x14ac:dyDescent="0.25">
      <c r="B4663" s="64"/>
      <c r="C4663" s="64"/>
      <c r="D4663" s="64"/>
      <c r="E4663" s="64"/>
      <c r="F4663" s="64"/>
      <c r="G4663" s="64"/>
    </row>
    <row r="4664" spans="2:7" ht="32.25" customHeight="1" x14ac:dyDescent="0.25">
      <c r="B4664" s="64"/>
      <c r="C4664" s="64"/>
      <c r="D4664" s="64"/>
      <c r="E4664" s="64"/>
      <c r="F4664" s="64"/>
      <c r="G4664" s="64"/>
    </row>
    <row r="4665" spans="2:7" ht="32.25" customHeight="1" x14ac:dyDescent="0.25">
      <c r="B4665" s="64"/>
      <c r="C4665" s="64"/>
      <c r="D4665" s="64"/>
      <c r="E4665" s="64"/>
      <c r="F4665" s="64"/>
      <c r="G4665" s="64"/>
    </row>
    <row r="4666" spans="2:7" ht="32.25" customHeight="1" x14ac:dyDescent="0.25">
      <c r="B4666" s="64"/>
      <c r="C4666" s="64"/>
      <c r="D4666" s="64"/>
      <c r="E4666" s="64"/>
      <c r="F4666" s="64"/>
      <c r="G4666" s="64"/>
    </row>
    <row r="4667" spans="2:7" ht="32.25" customHeight="1" x14ac:dyDescent="0.25">
      <c r="B4667" s="64"/>
      <c r="C4667" s="64"/>
      <c r="D4667" s="64"/>
      <c r="E4667" s="64"/>
      <c r="F4667" s="64"/>
      <c r="G4667" s="64"/>
    </row>
    <row r="4668" spans="2:7" ht="32.25" customHeight="1" x14ac:dyDescent="0.25">
      <c r="B4668" s="64"/>
      <c r="C4668" s="64"/>
      <c r="D4668" s="64"/>
      <c r="E4668" s="64"/>
      <c r="F4668" s="64"/>
      <c r="G4668" s="64"/>
    </row>
    <row r="4669" spans="2:7" ht="32.25" customHeight="1" x14ac:dyDescent="0.25">
      <c r="B4669" s="64"/>
      <c r="C4669" s="64"/>
      <c r="D4669" s="64"/>
      <c r="E4669" s="64"/>
      <c r="F4669" s="64"/>
      <c r="G4669" s="64"/>
    </row>
    <row r="4670" spans="2:7" ht="32.25" customHeight="1" x14ac:dyDescent="0.25">
      <c r="B4670" s="64"/>
      <c r="C4670" s="64"/>
      <c r="D4670" s="64"/>
      <c r="E4670" s="64"/>
      <c r="F4670" s="64"/>
      <c r="G4670" s="64"/>
    </row>
    <row r="4671" spans="2:7" ht="32.25" customHeight="1" x14ac:dyDescent="0.25">
      <c r="B4671" s="64"/>
      <c r="C4671" s="64"/>
      <c r="D4671" s="64"/>
      <c r="E4671" s="64"/>
      <c r="F4671" s="64"/>
      <c r="G4671" s="64"/>
    </row>
    <row r="4672" spans="2:7" ht="32.25" customHeight="1" x14ac:dyDescent="0.25">
      <c r="B4672" s="64"/>
      <c r="C4672" s="64"/>
      <c r="D4672" s="64"/>
      <c r="E4672" s="64"/>
      <c r="F4672" s="64"/>
      <c r="G4672" s="64"/>
    </row>
    <row r="4673" spans="2:7" ht="32.25" customHeight="1" x14ac:dyDescent="0.25">
      <c r="B4673" s="64"/>
      <c r="C4673" s="64"/>
      <c r="D4673" s="64"/>
      <c r="E4673" s="64"/>
      <c r="F4673" s="64"/>
      <c r="G4673" s="64"/>
    </row>
    <row r="4674" spans="2:7" ht="32.25" customHeight="1" x14ac:dyDescent="0.25">
      <c r="B4674" s="64"/>
      <c r="C4674" s="64"/>
      <c r="D4674" s="64"/>
      <c r="E4674" s="64"/>
      <c r="F4674" s="64"/>
      <c r="G4674" s="64"/>
    </row>
    <row r="4675" spans="2:7" ht="32.25" customHeight="1" x14ac:dyDescent="0.25">
      <c r="B4675" s="64"/>
      <c r="C4675" s="64"/>
      <c r="D4675" s="64"/>
      <c r="E4675" s="64"/>
      <c r="F4675" s="64"/>
      <c r="G4675" s="64"/>
    </row>
    <row r="4676" spans="2:7" ht="32.25" customHeight="1" x14ac:dyDescent="0.25">
      <c r="B4676" s="64"/>
      <c r="C4676" s="64"/>
      <c r="D4676" s="64"/>
      <c r="E4676" s="64"/>
      <c r="F4676" s="64"/>
      <c r="G4676" s="64"/>
    </row>
    <row r="4677" spans="2:7" ht="32.25" customHeight="1" x14ac:dyDescent="0.25">
      <c r="B4677" s="64"/>
      <c r="C4677" s="64"/>
      <c r="D4677" s="64"/>
      <c r="E4677" s="64"/>
      <c r="F4677" s="64"/>
      <c r="G4677" s="64"/>
    </row>
    <row r="4678" spans="2:7" ht="32.25" customHeight="1" x14ac:dyDescent="0.25">
      <c r="B4678" s="64"/>
      <c r="C4678" s="64"/>
      <c r="D4678" s="64"/>
      <c r="E4678" s="64"/>
      <c r="F4678" s="64"/>
      <c r="G4678" s="64"/>
    </row>
    <row r="4679" spans="2:7" ht="32.25" customHeight="1" x14ac:dyDescent="0.25">
      <c r="B4679" s="64"/>
      <c r="C4679" s="64"/>
      <c r="D4679" s="64"/>
      <c r="E4679" s="64"/>
      <c r="F4679" s="64"/>
      <c r="G4679" s="64"/>
    </row>
    <row r="4680" spans="2:7" ht="32.25" customHeight="1" x14ac:dyDescent="0.25">
      <c r="B4680" s="64"/>
      <c r="C4680" s="64"/>
      <c r="D4680" s="64"/>
      <c r="E4680" s="64"/>
      <c r="F4680" s="64"/>
      <c r="G4680" s="64"/>
    </row>
    <row r="4681" spans="2:7" ht="32.25" customHeight="1" x14ac:dyDescent="0.25">
      <c r="B4681" s="64"/>
      <c r="C4681" s="64"/>
      <c r="D4681" s="64"/>
      <c r="E4681" s="64"/>
      <c r="F4681" s="64"/>
      <c r="G4681" s="64"/>
    </row>
    <row r="4682" spans="2:7" ht="32.25" customHeight="1" x14ac:dyDescent="0.25">
      <c r="B4682" s="64"/>
      <c r="C4682" s="64"/>
      <c r="D4682" s="64"/>
      <c r="E4682" s="64"/>
      <c r="F4682" s="64"/>
      <c r="G4682" s="64"/>
    </row>
    <row r="4683" spans="2:7" ht="32.25" customHeight="1" x14ac:dyDescent="0.25">
      <c r="B4683" s="64"/>
      <c r="C4683" s="64"/>
      <c r="D4683" s="64"/>
      <c r="E4683" s="64"/>
      <c r="F4683" s="64"/>
      <c r="G4683" s="64"/>
    </row>
    <row r="4684" spans="2:7" ht="32.25" customHeight="1" x14ac:dyDescent="0.25">
      <c r="B4684" s="64"/>
      <c r="C4684" s="64"/>
      <c r="D4684" s="64"/>
      <c r="E4684" s="64"/>
      <c r="F4684" s="64"/>
      <c r="G4684" s="64"/>
    </row>
    <row r="4685" spans="2:7" ht="32.25" customHeight="1" x14ac:dyDescent="0.25">
      <c r="B4685" s="64"/>
      <c r="C4685" s="64"/>
      <c r="D4685" s="64"/>
      <c r="E4685" s="64"/>
      <c r="F4685" s="64"/>
      <c r="G4685" s="64"/>
    </row>
    <row r="4686" spans="2:7" ht="32.25" customHeight="1" x14ac:dyDescent="0.25">
      <c r="B4686" s="64"/>
      <c r="C4686" s="64"/>
      <c r="D4686" s="64"/>
      <c r="E4686" s="64"/>
      <c r="F4686" s="64"/>
      <c r="G4686" s="64"/>
    </row>
    <row r="4687" spans="2:7" ht="32.25" customHeight="1" x14ac:dyDescent="0.25">
      <c r="B4687" s="64"/>
      <c r="C4687" s="64"/>
      <c r="D4687" s="64"/>
      <c r="E4687" s="64"/>
      <c r="F4687" s="64"/>
      <c r="G4687" s="64"/>
    </row>
    <row r="4688" spans="2:7" ht="32.25" customHeight="1" x14ac:dyDescent="0.25">
      <c r="B4688" s="64"/>
      <c r="C4688" s="64"/>
      <c r="D4688" s="64"/>
      <c r="E4688" s="64"/>
      <c r="F4688" s="64"/>
      <c r="G4688" s="64"/>
    </row>
    <row r="4689" spans="2:7" ht="32.25" customHeight="1" x14ac:dyDescent="0.25">
      <c r="B4689" s="64"/>
      <c r="C4689" s="64"/>
      <c r="D4689" s="64"/>
      <c r="E4689" s="64"/>
      <c r="F4689" s="64"/>
      <c r="G4689" s="64"/>
    </row>
    <row r="4690" spans="2:7" ht="32.25" customHeight="1" x14ac:dyDescent="0.25">
      <c r="B4690" s="64"/>
      <c r="C4690" s="64"/>
      <c r="D4690" s="64"/>
      <c r="E4690" s="64"/>
      <c r="F4690" s="64"/>
      <c r="G4690" s="64"/>
    </row>
    <row r="4691" spans="2:7" ht="32.25" customHeight="1" x14ac:dyDescent="0.25">
      <c r="B4691" s="64"/>
      <c r="C4691" s="64"/>
      <c r="D4691" s="64"/>
      <c r="E4691" s="64"/>
      <c r="F4691" s="64"/>
      <c r="G4691" s="64"/>
    </row>
    <row r="4692" spans="2:7" ht="32.25" customHeight="1" x14ac:dyDescent="0.25">
      <c r="B4692" s="64"/>
      <c r="C4692" s="64"/>
      <c r="D4692" s="64"/>
      <c r="E4692" s="64"/>
      <c r="F4692" s="64"/>
      <c r="G4692" s="64"/>
    </row>
    <row r="4693" spans="2:7" ht="32.25" customHeight="1" x14ac:dyDescent="0.25">
      <c r="B4693" s="64"/>
      <c r="C4693" s="64"/>
      <c r="D4693" s="64"/>
      <c r="E4693" s="64"/>
      <c r="F4693" s="64"/>
      <c r="G4693" s="64"/>
    </row>
    <row r="4694" spans="2:7" ht="32.25" customHeight="1" x14ac:dyDescent="0.25">
      <c r="B4694" s="64"/>
      <c r="C4694" s="64"/>
      <c r="D4694" s="64"/>
      <c r="E4694" s="64"/>
      <c r="F4694" s="64"/>
      <c r="G4694" s="64"/>
    </row>
    <row r="4695" spans="2:7" ht="32.25" customHeight="1" x14ac:dyDescent="0.25">
      <c r="B4695" s="64"/>
      <c r="C4695" s="64"/>
      <c r="D4695" s="64"/>
      <c r="E4695" s="64"/>
      <c r="F4695" s="64"/>
      <c r="G4695" s="64"/>
    </row>
    <row r="4696" spans="2:7" ht="32.25" customHeight="1" x14ac:dyDescent="0.25">
      <c r="B4696" s="64"/>
      <c r="C4696" s="64"/>
      <c r="D4696" s="64"/>
      <c r="E4696" s="64"/>
      <c r="F4696" s="64"/>
      <c r="G4696" s="64"/>
    </row>
    <row r="4697" spans="2:7" ht="32.25" customHeight="1" x14ac:dyDescent="0.25">
      <c r="B4697" s="64"/>
      <c r="C4697" s="64"/>
      <c r="D4697" s="64"/>
      <c r="E4697" s="64"/>
      <c r="F4697" s="64"/>
      <c r="G4697" s="64"/>
    </row>
    <row r="4698" spans="2:7" ht="32.25" customHeight="1" x14ac:dyDescent="0.25">
      <c r="B4698" s="64"/>
      <c r="C4698" s="64"/>
      <c r="D4698" s="64"/>
      <c r="E4698" s="64"/>
      <c r="F4698" s="64"/>
      <c r="G4698" s="64"/>
    </row>
    <row r="4699" spans="2:7" ht="32.25" customHeight="1" x14ac:dyDescent="0.25">
      <c r="B4699" s="64"/>
      <c r="C4699" s="64"/>
      <c r="D4699" s="64"/>
      <c r="E4699" s="64"/>
      <c r="F4699" s="64"/>
      <c r="G4699" s="64"/>
    </row>
    <row r="4700" spans="2:7" ht="32.25" customHeight="1" x14ac:dyDescent="0.25">
      <c r="B4700" s="64"/>
      <c r="C4700" s="64"/>
      <c r="D4700" s="64"/>
      <c r="E4700" s="64"/>
      <c r="F4700" s="64"/>
      <c r="G4700" s="64"/>
    </row>
    <row r="4701" spans="2:7" ht="32.25" customHeight="1" x14ac:dyDescent="0.25">
      <c r="B4701" s="64"/>
      <c r="C4701" s="64"/>
      <c r="D4701" s="64"/>
      <c r="E4701" s="64"/>
      <c r="F4701" s="64"/>
      <c r="G4701" s="64"/>
    </row>
    <row r="4702" spans="2:7" ht="32.25" customHeight="1" x14ac:dyDescent="0.25">
      <c r="B4702" s="64"/>
      <c r="C4702" s="64"/>
      <c r="D4702" s="64"/>
      <c r="E4702" s="64"/>
      <c r="F4702" s="64"/>
      <c r="G4702" s="64"/>
    </row>
    <row r="4703" spans="2:7" ht="32.25" customHeight="1" x14ac:dyDescent="0.25">
      <c r="B4703" s="64"/>
      <c r="C4703" s="64"/>
      <c r="D4703" s="64"/>
      <c r="E4703" s="64"/>
      <c r="F4703" s="64"/>
      <c r="G4703" s="64"/>
    </row>
    <row r="4704" spans="2:7" ht="32.25" customHeight="1" x14ac:dyDescent="0.25">
      <c r="B4704" s="64"/>
      <c r="C4704" s="64"/>
      <c r="D4704" s="64"/>
      <c r="E4704" s="64"/>
      <c r="F4704" s="64"/>
      <c r="G4704" s="64"/>
    </row>
    <row r="4705" spans="2:7" ht="32.25" customHeight="1" x14ac:dyDescent="0.25">
      <c r="B4705" s="64"/>
      <c r="C4705" s="64"/>
      <c r="D4705" s="64"/>
      <c r="E4705" s="64"/>
      <c r="F4705" s="64"/>
      <c r="G4705" s="64"/>
    </row>
    <row r="4706" spans="2:7" ht="32.25" customHeight="1" x14ac:dyDescent="0.25">
      <c r="B4706" s="64"/>
      <c r="C4706" s="64"/>
      <c r="D4706" s="64"/>
      <c r="E4706" s="64"/>
      <c r="F4706" s="64"/>
      <c r="G4706" s="64"/>
    </row>
    <row r="4707" spans="2:7" ht="32.25" customHeight="1" x14ac:dyDescent="0.25">
      <c r="B4707" s="64"/>
      <c r="C4707" s="64"/>
      <c r="D4707" s="64"/>
      <c r="E4707" s="64"/>
      <c r="F4707" s="64"/>
      <c r="G4707" s="64"/>
    </row>
    <row r="4708" spans="2:7" ht="32.25" customHeight="1" x14ac:dyDescent="0.25">
      <c r="B4708" s="64"/>
      <c r="C4708" s="64"/>
      <c r="D4708" s="64"/>
      <c r="E4708" s="64"/>
      <c r="F4708" s="64"/>
      <c r="G4708" s="64"/>
    </row>
    <row r="4709" spans="2:7" ht="32.25" customHeight="1" x14ac:dyDescent="0.25">
      <c r="B4709" s="64"/>
      <c r="C4709" s="64"/>
      <c r="D4709" s="64"/>
      <c r="E4709" s="64"/>
      <c r="F4709" s="64"/>
      <c r="G4709" s="64"/>
    </row>
    <row r="4710" spans="2:7" ht="32.25" customHeight="1" x14ac:dyDescent="0.25">
      <c r="B4710" s="64"/>
      <c r="C4710" s="64"/>
      <c r="D4710" s="64"/>
      <c r="E4710" s="64"/>
      <c r="F4710" s="64"/>
      <c r="G4710" s="64"/>
    </row>
    <row r="4711" spans="2:7" ht="32.25" customHeight="1" x14ac:dyDescent="0.25">
      <c r="B4711" s="64"/>
      <c r="C4711" s="64"/>
      <c r="D4711" s="64"/>
      <c r="E4711" s="64"/>
      <c r="F4711" s="64"/>
      <c r="G4711" s="64"/>
    </row>
    <row r="4712" spans="2:7" ht="32.25" customHeight="1" x14ac:dyDescent="0.25">
      <c r="B4712" s="64"/>
      <c r="C4712" s="64"/>
      <c r="D4712" s="64"/>
      <c r="E4712" s="64"/>
      <c r="F4712" s="64"/>
      <c r="G4712" s="64"/>
    </row>
    <row r="4713" spans="2:7" ht="32.25" customHeight="1" x14ac:dyDescent="0.25">
      <c r="B4713" s="64"/>
      <c r="C4713" s="64"/>
      <c r="D4713" s="64"/>
      <c r="E4713" s="64"/>
      <c r="F4713" s="64"/>
      <c r="G4713" s="64"/>
    </row>
    <row r="4714" spans="2:7" ht="32.25" customHeight="1" x14ac:dyDescent="0.25">
      <c r="B4714" s="64"/>
      <c r="C4714" s="64"/>
      <c r="D4714" s="64"/>
      <c r="E4714" s="64"/>
      <c r="F4714" s="64"/>
      <c r="G4714" s="64"/>
    </row>
    <row r="4715" spans="2:7" ht="32.25" customHeight="1" x14ac:dyDescent="0.25">
      <c r="B4715" s="64"/>
      <c r="C4715" s="64"/>
      <c r="D4715" s="64"/>
      <c r="E4715" s="64"/>
      <c r="F4715" s="64"/>
      <c r="G4715" s="64"/>
    </row>
    <row r="4716" spans="2:7" ht="32.25" customHeight="1" x14ac:dyDescent="0.25">
      <c r="B4716" s="64"/>
      <c r="C4716" s="64"/>
      <c r="D4716" s="64"/>
      <c r="E4716" s="64"/>
      <c r="F4716" s="64"/>
      <c r="G4716" s="64"/>
    </row>
    <row r="4717" spans="2:7" ht="32.25" customHeight="1" x14ac:dyDescent="0.25">
      <c r="B4717" s="64"/>
      <c r="C4717" s="64"/>
      <c r="D4717" s="64"/>
      <c r="E4717" s="64"/>
      <c r="F4717" s="64"/>
      <c r="G4717" s="64"/>
    </row>
    <row r="4718" spans="2:7" ht="32.25" customHeight="1" x14ac:dyDescent="0.25">
      <c r="B4718" s="64"/>
      <c r="C4718" s="64"/>
      <c r="D4718" s="64"/>
      <c r="E4718" s="64"/>
      <c r="F4718" s="64"/>
      <c r="G4718" s="64"/>
    </row>
    <row r="4719" spans="2:7" ht="32.25" customHeight="1" x14ac:dyDescent="0.25">
      <c r="B4719" s="64"/>
      <c r="C4719" s="64"/>
      <c r="D4719" s="64"/>
      <c r="E4719" s="64"/>
      <c r="F4719" s="64"/>
      <c r="G4719" s="64"/>
    </row>
    <row r="4720" spans="2:7" ht="32.25" customHeight="1" x14ac:dyDescent="0.25">
      <c r="B4720" s="64"/>
      <c r="C4720" s="64"/>
      <c r="D4720" s="64"/>
      <c r="E4720" s="64"/>
      <c r="F4720" s="64"/>
      <c r="G4720" s="64"/>
    </row>
    <row r="4721" spans="2:7" ht="32.25" customHeight="1" x14ac:dyDescent="0.25">
      <c r="B4721" s="64"/>
      <c r="C4721" s="64"/>
      <c r="D4721" s="64"/>
      <c r="E4721" s="64"/>
      <c r="F4721" s="64"/>
      <c r="G4721" s="64"/>
    </row>
    <row r="4722" spans="2:7" ht="32.25" customHeight="1" x14ac:dyDescent="0.25">
      <c r="B4722" s="64"/>
      <c r="C4722" s="64"/>
      <c r="D4722" s="64"/>
      <c r="E4722" s="64"/>
      <c r="F4722" s="64"/>
      <c r="G4722" s="64"/>
    </row>
    <row r="4723" spans="2:7" ht="32.25" customHeight="1" x14ac:dyDescent="0.25">
      <c r="B4723" s="64"/>
      <c r="C4723" s="64"/>
      <c r="D4723" s="64"/>
      <c r="E4723" s="64"/>
      <c r="F4723" s="64"/>
      <c r="G4723" s="64"/>
    </row>
    <row r="4724" spans="2:7" ht="32.25" customHeight="1" x14ac:dyDescent="0.25">
      <c r="B4724" s="64"/>
      <c r="C4724" s="64"/>
      <c r="D4724" s="64"/>
      <c r="E4724" s="64"/>
      <c r="F4724" s="64"/>
      <c r="G4724" s="64"/>
    </row>
    <row r="4725" spans="2:7" ht="32.25" customHeight="1" x14ac:dyDescent="0.25">
      <c r="B4725" s="64"/>
      <c r="C4725" s="64"/>
      <c r="D4725" s="64"/>
      <c r="E4725" s="64"/>
      <c r="F4725" s="64"/>
      <c r="G4725" s="64"/>
    </row>
    <row r="4726" spans="2:7" ht="32.25" customHeight="1" x14ac:dyDescent="0.25">
      <c r="B4726" s="64"/>
      <c r="C4726" s="64"/>
      <c r="D4726" s="64"/>
      <c r="E4726" s="64"/>
      <c r="F4726" s="64"/>
      <c r="G4726" s="64"/>
    </row>
    <row r="4727" spans="2:7" ht="32.25" customHeight="1" x14ac:dyDescent="0.25">
      <c r="B4727" s="64"/>
      <c r="C4727" s="64"/>
      <c r="D4727" s="64"/>
      <c r="E4727" s="64"/>
      <c r="F4727" s="64"/>
      <c r="G4727" s="64"/>
    </row>
    <row r="4728" spans="2:7" ht="32.25" customHeight="1" x14ac:dyDescent="0.25">
      <c r="B4728" s="64"/>
      <c r="C4728" s="64"/>
      <c r="D4728" s="64"/>
      <c r="E4728" s="64"/>
      <c r="F4728" s="64"/>
      <c r="G4728" s="64"/>
    </row>
    <row r="4729" spans="2:7" ht="32.25" customHeight="1" x14ac:dyDescent="0.25">
      <c r="B4729" s="64"/>
      <c r="C4729" s="64"/>
      <c r="D4729" s="64"/>
      <c r="E4729" s="64"/>
      <c r="F4729" s="64"/>
      <c r="G4729" s="64"/>
    </row>
    <row r="4730" spans="2:7" ht="32.25" customHeight="1" x14ac:dyDescent="0.25">
      <c r="B4730" s="64"/>
      <c r="C4730" s="64"/>
      <c r="D4730" s="64"/>
      <c r="E4730" s="64"/>
      <c r="F4730" s="64"/>
      <c r="G4730" s="64"/>
    </row>
    <row r="4731" spans="2:7" ht="32.25" customHeight="1" x14ac:dyDescent="0.25">
      <c r="B4731" s="64"/>
      <c r="C4731" s="64"/>
      <c r="D4731" s="64"/>
      <c r="E4731" s="64"/>
      <c r="F4731" s="64"/>
      <c r="G4731" s="64"/>
    </row>
    <row r="4732" spans="2:7" ht="32.25" customHeight="1" x14ac:dyDescent="0.25">
      <c r="B4732" s="64"/>
      <c r="C4732" s="64"/>
      <c r="D4732" s="64"/>
      <c r="E4732" s="64"/>
      <c r="F4732" s="64"/>
      <c r="G4732" s="64"/>
    </row>
    <row r="4733" spans="2:7" ht="32.25" customHeight="1" x14ac:dyDescent="0.25">
      <c r="B4733" s="64"/>
      <c r="C4733" s="64"/>
      <c r="D4733" s="64"/>
      <c r="E4733" s="64"/>
      <c r="F4733" s="64"/>
      <c r="G4733" s="64"/>
    </row>
    <row r="4734" spans="2:7" ht="32.25" customHeight="1" x14ac:dyDescent="0.25">
      <c r="B4734" s="64"/>
      <c r="C4734" s="64"/>
      <c r="D4734" s="64"/>
      <c r="E4734" s="64"/>
      <c r="F4734" s="64"/>
      <c r="G4734" s="64"/>
    </row>
    <row r="4735" spans="2:7" ht="32.25" customHeight="1" x14ac:dyDescent="0.25">
      <c r="B4735" s="64"/>
      <c r="C4735" s="64"/>
      <c r="D4735" s="64"/>
      <c r="E4735" s="64"/>
      <c r="F4735" s="64"/>
      <c r="G4735" s="64"/>
    </row>
    <row r="4736" spans="2:7" ht="32.25" customHeight="1" x14ac:dyDescent="0.25">
      <c r="B4736" s="64"/>
      <c r="C4736" s="64"/>
      <c r="D4736" s="64"/>
      <c r="E4736" s="64"/>
      <c r="F4736" s="64"/>
      <c r="G4736" s="64"/>
    </row>
    <row r="4737" spans="2:7" ht="32.25" customHeight="1" x14ac:dyDescent="0.25">
      <c r="B4737" s="64"/>
      <c r="C4737" s="64"/>
      <c r="D4737" s="64"/>
      <c r="E4737" s="64"/>
      <c r="F4737" s="64"/>
      <c r="G4737" s="64"/>
    </row>
    <row r="4738" spans="2:7" ht="32.25" customHeight="1" x14ac:dyDescent="0.25">
      <c r="B4738" s="64"/>
      <c r="C4738" s="64"/>
      <c r="D4738" s="64"/>
      <c r="E4738" s="64"/>
      <c r="F4738" s="64"/>
      <c r="G4738" s="64"/>
    </row>
    <row r="4739" spans="2:7" ht="32.25" customHeight="1" x14ac:dyDescent="0.25">
      <c r="B4739" s="64"/>
      <c r="C4739" s="64"/>
      <c r="D4739" s="64"/>
      <c r="E4739" s="64"/>
      <c r="F4739" s="64"/>
      <c r="G4739" s="64"/>
    </row>
    <row r="4740" spans="2:7" ht="32.25" customHeight="1" x14ac:dyDescent="0.25">
      <c r="B4740" s="64"/>
      <c r="C4740" s="64"/>
      <c r="D4740" s="64"/>
      <c r="E4740" s="64"/>
      <c r="F4740" s="64"/>
      <c r="G4740" s="64"/>
    </row>
    <row r="4741" spans="2:7" ht="32.25" customHeight="1" x14ac:dyDescent="0.25">
      <c r="B4741" s="64"/>
      <c r="C4741" s="64"/>
      <c r="D4741" s="64"/>
      <c r="E4741" s="64"/>
      <c r="F4741" s="64"/>
      <c r="G4741" s="64"/>
    </row>
    <row r="4742" spans="2:7" ht="32.25" customHeight="1" x14ac:dyDescent="0.25">
      <c r="B4742" s="64"/>
      <c r="C4742" s="64"/>
      <c r="D4742" s="64"/>
      <c r="E4742" s="64"/>
      <c r="F4742" s="64"/>
      <c r="G4742" s="64"/>
    </row>
    <row r="4743" spans="2:7" ht="32.25" customHeight="1" x14ac:dyDescent="0.25">
      <c r="B4743" s="64"/>
      <c r="C4743" s="64"/>
      <c r="D4743" s="64"/>
      <c r="E4743" s="64"/>
      <c r="F4743" s="64"/>
      <c r="G4743" s="64"/>
    </row>
    <row r="4744" spans="2:7" ht="32.25" customHeight="1" x14ac:dyDescent="0.25">
      <c r="B4744" s="64"/>
      <c r="C4744" s="64"/>
      <c r="D4744" s="64"/>
      <c r="E4744" s="64"/>
      <c r="F4744" s="64"/>
      <c r="G4744" s="64"/>
    </row>
    <row r="4745" spans="2:7" ht="32.25" customHeight="1" x14ac:dyDescent="0.25">
      <c r="B4745" s="64"/>
      <c r="C4745" s="64"/>
      <c r="D4745" s="64"/>
      <c r="E4745" s="64"/>
      <c r="F4745" s="64"/>
      <c r="G4745" s="64"/>
    </row>
    <row r="4746" spans="2:7" ht="32.25" customHeight="1" x14ac:dyDescent="0.25">
      <c r="B4746" s="64"/>
      <c r="C4746" s="64"/>
      <c r="D4746" s="64"/>
      <c r="E4746" s="64"/>
      <c r="F4746" s="64"/>
      <c r="G4746" s="64"/>
    </row>
    <row r="4747" spans="2:7" ht="32.25" customHeight="1" x14ac:dyDescent="0.25">
      <c r="B4747" s="64"/>
      <c r="C4747" s="64"/>
      <c r="D4747" s="64"/>
      <c r="E4747" s="64"/>
      <c r="F4747" s="64"/>
      <c r="G4747" s="64"/>
    </row>
    <row r="4748" spans="2:7" ht="32.25" customHeight="1" x14ac:dyDescent="0.25">
      <c r="B4748" s="64"/>
      <c r="C4748" s="64"/>
      <c r="D4748" s="64"/>
      <c r="E4748" s="64"/>
      <c r="F4748" s="64"/>
      <c r="G4748" s="64"/>
    </row>
    <row r="4749" spans="2:7" ht="32.25" customHeight="1" x14ac:dyDescent="0.25">
      <c r="B4749" s="64"/>
      <c r="C4749" s="64"/>
      <c r="D4749" s="64"/>
      <c r="E4749" s="64"/>
      <c r="F4749" s="64"/>
      <c r="G4749" s="64"/>
    </row>
    <row r="4750" spans="2:7" ht="32.25" customHeight="1" x14ac:dyDescent="0.25">
      <c r="B4750" s="64"/>
      <c r="C4750" s="64"/>
      <c r="D4750" s="64"/>
      <c r="E4750" s="64"/>
      <c r="F4750" s="64"/>
      <c r="G4750" s="64"/>
    </row>
    <row r="4751" spans="2:7" ht="32.25" customHeight="1" x14ac:dyDescent="0.25">
      <c r="B4751" s="64"/>
      <c r="C4751" s="64"/>
      <c r="D4751" s="64"/>
      <c r="E4751" s="64"/>
      <c r="F4751" s="64"/>
      <c r="G4751" s="64"/>
    </row>
    <row r="4752" spans="2:7" ht="32.25" customHeight="1" x14ac:dyDescent="0.25">
      <c r="B4752" s="64"/>
      <c r="C4752" s="64"/>
      <c r="D4752" s="64"/>
      <c r="E4752" s="64"/>
      <c r="F4752" s="64"/>
      <c r="G4752" s="64"/>
    </row>
    <row r="4753" spans="2:7" ht="32.25" customHeight="1" x14ac:dyDescent="0.25">
      <c r="B4753" s="64"/>
      <c r="C4753" s="64"/>
      <c r="D4753" s="64"/>
      <c r="E4753" s="64"/>
      <c r="F4753" s="64"/>
      <c r="G4753" s="64"/>
    </row>
    <row r="4754" spans="2:7" ht="32.25" customHeight="1" x14ac:dyDescent="0.25">
      <c r="B4754" s="64"/>
      <c r="C4754" s="64"/>
      <c r="D4754" s="64"/>
      <c r="E4754" s="64"/>
      <c r="F4754" s="64"/>
      <c r="G4754" s="64"/>
    </row>
    <row r="4755" spans="2:7" ht="32.25" customHeight="1" x14ac:dyDescent="0.25">
      <c r="B4755" s="64"/>
      <c r="C4755" s="64"/>
      <c r="D4755" s="64"/>
      <c r="E4755" s="64"/>
      <c r="F4755" s="64"/>
      <c r="G4755" s="64"/>
    </row>
    <row r="4756" spans="2:7" ht="32.25" customHeight="1" x14ac:dyDescent="0.25">
      <c r="B4756" s="64"/>
      <c r="C4756" s="64"/>
      <c r="D4756" s="64"/>
      <c r="E4756" s="64"/>
      <c r="F4756" s="64"/>
      <c r="G4756" s="64"/>
    </row>
    <row r="4757" spans="2:7" ht="32.25" customHeight="1" x14ac:dyDescent="0.25">
      <c r="B4757" s="64"/>
      <c r="C4757" s="64"/>
      <c r="D4757" s="64"/>
      <c r="E4757" s="64"/>
      <c r="F4757" s="64"/>
      <c r="G4757" s="64"/>
    </row>
    <row r="4758" spans="2:7" ht="32.25" customHeight="1" x14ac:dyDescent="0.25">
      <c r="B4758" s="64"/>
      <c r="C4758" s="64"/>
      <c r="D4758" s="64"/>
      <c r="E4758" s="64"/>
      <c r="F4758" s="64"/>
      <c r="G4758" s="64"/>
    </row>
    <row r="4759" spans="2:7" ht="32.25" customHeight="1" x14ac:dyDescent="0.25">
      <c r="B4759" s="64"/>
      <c r="C4759" s="64"/>
      <c r="D4759" s="64"/>
      <c r="E4759" s="64"/>
      <c r="F4759" s="64"/>
      <c r="G4759" s="64"/>
    </row>
    <row r="4760" spans="2:7" ht="32.25" customHeight="1" x14ac:dyDescent="0.25">
      <c r="B4760" s="64"/>
      <c r="C4760" s="64"/>
      <c r="D4760" s="64"/>
      <c r="E4760" s="64"/>
      <c r="F4760" s="64"/>
      <c r="G4760" s="64"/>
    </row>
    <row r="4761" spans="2:7" ht="32.25" customHeight="1" x14ac:dyDescent="0.25">
      <c r="B4761" s="64"/>
      <c r="C4761" s="64"/>
      <c r="D4761" s="64"/>
      <c r="E4761" s="64"/>
      <c r="F4761" s="64"/>
      <c r="G4761" s="64"/>
    </row>
    <row r="4762" spans="2:7" ht="32.25" customHeight="1" x14ac:dyDescent="0.25">
      <c r="B4762" s="64"/>
      <c r="C4762" s="64"/>
      <c r="D4762" s="64"/>
      <c r="E4762" s="64"/>
      <c r="F4762" s="64"/>
      <c r="G4762" s="64"/>
    </row>
    <row r="4763" spans="2:7" ht="32.25" customHeight="1" x14ac:dyDescent="0.25">
      <c r="B4763" s="64"/>
      <c r="C4763" s="64"/>
      <c r="D4763" s="64"/>
      <c r="E4763" s="64"/>
      <c r="F4763" s="64"/>
      <c r="G4763" s="64"/>
    </row>
    <row r="4764" spans="2:7" ht="32.25" customHeight="1" x14ac:dyDescent="0.25">
      <c r="B4764" s="64"/>
      <c r="C4764" s="64"/>
      <c r="D4764" s="64"/>
      <c r="E4764" s="64"/>
      <c r="F4764" s="64"/>
      <c r="G4764" s="64"/>
    </row>
    <row r="4765" spans="2:7" ht="32.25" customHeight="1" x14ac:dyDescent="0.25">
      <c r="B4765" s="64"/>
      <c r="C4765" s="64"/>
      <c r="D4765" s="64"/>
      <c r="E4765" s="64"/>
      <c r="F4765" s="64"/>
      <c r="G4765" s="64"/>
    </row>
    <row r="4766" spans="2:7" ht="32.25" customHeight="1" x14ac:dyDescent="0.25">
      <c r="B4766" s="64"/>
      <c r="C4766" s="64"/>
      <c r="D4766" s="64"/>
      <c r="E4766" s="64"/>
      <c r="F4766" s="64"/>
      <c r="G4766" s="64"/>
    </row>
    <row r="4767" spans="2:7" ht="32.25" customHeight="1" x14ac:dyDescent="0.25">
      <c r="B4767" s="64"/>
      <c r="C4767" s="64"/>
      <c r="D4767" s="64"/>
      <c r="E4767" s="64"/>
      <c r="F4767" s="64"/>
      <c r="G4767" s="64"/>
    </row>
    <row r="4768" spans="2:7" ht="32.25" customHeight="1" x14ac:dyDescent="0.25">
      <c r="B4768" s="64"/>
      <c r="C4768" s="64"/>
      <c r="D4768" s="64"/>
      <c r="E4768" s="64"/>
      <c r="F4768" s="64"/>
      <c r="G4768" s="64"/>
    </row>
    <row r="4769" spans="2:7" ht="32.25" customHeight="1" x14ac:dyDescent="0.25">
      <c r="B4769" s="64"/>
      <c r="C4769" s="64"/>
      <c r="D4769" s="64"/>
      <c r="E4769" s="64"/>
      <c r="F4769" s="64"/>
      <c r="G4769" s="64"/>
    </row>
    <row r="4770" spans="2:7" ht="32.25" customHeight="1" x14ac:dyDescent="0.25">
      <c r="B4770" s="64"/>
      <c r="C4770" s="64"/>
      <c r="D4770" s="64"/>
      <c r="E4770" s="64"/>
      <c r="F4770" s="64"/>
      <c r="G4770" s="64"/>
    </row>
    <row r="4771" spans="2:7" ht="32.25" customHeight="1" x14ac:dyDescent="0.25">
      <c r="B4771" s="64"/>
      <c r="C4771" s="64"/>
      <c r="D4771" s="64"/>
      <c r="E4771" s="64"/>
      <c r="F4771" s="64"/>
      <c r="G4771" s="64"/>
    </row>
    <row r="4772" spans="2:7" ht="32.25" customHeight="1" x14ac:dyDescent="0.25">
      <c r="B4772" s="64"/>
      <c r="C4772" s="64"/>
      <c r="D4772" s="64"/>
      <c r="E4772" s="64"/>
      <c r="F4772" s="64"/>
      <c r="G4772" s="64"/>
    </row>
    <row r="4773" spans="2:7" ht="32.25" customHeight="1" x14ac:dyDescent="0.25">
      <c r="B4773" s="64"/>
      <c r="C4773" s="64"/>
      <c r="D4773" s="64"/>
      <c r="E4773" s="64"/>
      <c r="F4773" s="64"/>
      <c r="G4773" s="64"/>
    </row>
    <row r="4774" spans="2:7" ht="32.25" customHeight="1" x14ac:dyDescent="0.25">
      <c r="B4774" s="64"/>
      <c r="C4774" s="64"/>
      <c r="D4774" s="64"/>
      <c r="E4774" s="64"/>
      <c r="F4774" s="64"/>
      <c r="G4774" s="64"/>
    </row>
    <row r="4775" spans="2:7" ht="32.25" customHeight="1" x14ac:dyDescent="0.25">
      <c r="B4775" s="64"/>
      <c r="C4775" s="64"/>
      <c r="D4775" s="64"/>
      <c r="E4775" s="64"/>
      <c r="F4775" s="64"/>
      <c r="G4775" s="64"/>
    </row>
    <row r="4776" spans="2:7" ht="32.25" customHeight="1" x14ac:dyDescent="0.25">
      <c r="B4776" s="64"/>
      <c r="C4776" s="64"/>
      <c r="D4776" s="64"/>
      <c r="E4776" s="64"/>
      <c r="F4776" s="64"/>
      <c r="G4776" s="64"/>
    </row>
    <row r="4777" spans="2:7" ht="32.25" customHeight="1" x14ac:dyDescent="0.25">
      <c r="B4777" s="64"/>
      <c r="C4777" s="64"/>
      <c r="D4777" s="64"/>
      <c r="E4777" s="64"/>
      <c r="F4777" s="64"/>
      <c r="G4777" s="64"/>
    </row>
    <row r="4778" spans="2:7" ht="32.25" customHeight="1" x14ac:dyDescent="0.25">
      <c r="B4778" s="64"/>
      <c r="C4778" s="64"/>
      <c r="D4778" s="64"/>
      <c r="E4778" s="64"/>
      <c r="F4778" s="64"/>
      <c r="G4778" s="64"/>
    </row>
    <row r="4779" spans="2:7" ht="32.25" customHeight="1" x14ac:dyDescent="0.25">
      <c r="B4779" s="64"/>
      <c r="C4779" s="64"/>
      <c r="D4779" s="64"/>
      <c r="E4779" s="64"/>
      <c r="F4779" s="64"/>
      <c r="G4779" s="64"/>
    </row>
    <row r="4780" spans="2:7" ht="32.25" customHeight="1" x14ac:dyDescent="0.25">
      <c r="B4780" s="64"/>
      <c r="C4780" s="64"/>
      <c r="D4780" s="64"/>
      <c r="E4780" s="64"/>
      <c r="F4780" s="64"/>
      <c r="G4780" s="64"/>
    </row>
    <row r="4781" spans="2:7" ht="32.25" customHeight="1" x14ac:dyDescent="0.25">
      <c r="B4781" s="64"/>
      <c r="C4781" s="64"/>
      <c r="D4781" s="64"/>
      <c r="E4781" s="64"/>
      <c r="F4781" s="64"/>
      <c r="G4781" s="64"/>
    </row>
    <row r="4782" spans="2:7" ht="32.25" customHeight="1" x14ac:dyDescent="0.25">
      <c r="B4782" s="64"/>
      <c r="C4782" s="64"/>
      <c r="D4782" s="64"/>
      <c r="E4782" s="64"/>
      <c r="F4782" s="64"/>
      <c r="G4782" s="64"/>
    </row>
    <row r="4783" spans="2:7" ht="32.25" customHeight="1" x14ac:dyDescent="0.25">
      <c r="B4783" s="64"/>
      <c r="C4783" s="64"/>
      <c r="D4783" s="64"/>
      <c r="E4783" s="64"/>
      <c r="F4783" s="64"/>
      <c r="G4783" s="64"/>
    </row>
    <row r="4784" spans="2:7" ht="32.25" customHeight="1" x14ac:dyDescent="0.25">
      <c r="B4784" s="64"/>
      <c r="C4784" s="64"/>
      <c r="D4784" s="64"/>
      <c r="E4784" s="64"/>
      <c r="F4784" s="64"/>
      <c r="G4784" s="64"/>
    </row>
    <row r="4785" spans="2:7" ht="32.25" customHeight="1" x14ac:dyDescent="0.25">
      <c r="B4785" s="64"/>
      <c r="C4785" s="64"/>
      <c r="D4785" s="64"/>
      <c r="E4785" s="64"/>
      <c r="F4785" s="64"/>
      <c r="G4785" s="64"/>
    </row>
    <row r="4786" spans="2:7" ht="32.25" customHeight="1" x14ac:dyDescent="0.25">
      <c r="B4786" s="64"/>
      <c r="C4786" s="64"/>
      <c r="D4786" s="64"/>
      <c r="E4786" s="64"/>
      <c r="F4786" s="64"/>
      <c r="G4786" s="64"/>
    </row>
    <row r="4787" spans="2:7" ht="32.25" customHeight="1" x14ac:dyDescent="0.25">
      <c r="B4787" s="64"/>
      <c r="C4787" s="64"/>
      <c r="D4787" s="64"/>
      <c r="E4787" s="64"/>
      <c r="F4787" s="64"/>
      <c r="G4787" s="64"/>
    </row>
    <row r="4788" spans="2:7" ht="32.25" customHeight="1" x14ac:dyDescent="0.25">
      <c r="B4788" s="64"/>
      <c r="C4788" s="64"/>
      <c r="D4788" s="64"/>
      <c r="E4788" s="64"/>
      <c r="F4788" s="64"/>
      <c r="G4788" s="64"/>
    </row>
    <row r="4789" spans="2:7" ht="32.25" customHeight="1" x14ac:dyDescent="0.25">
      <c r="B4789" s="64"/>
      <c r="C4789" s="64"/>
      <c r="D4789" s="64"/>
      <c r="E4789" s="64"/>
      <c r="F4789" s="64"/>
      <c r="G4789" s="64"/>
    </row>
    <row r="4790" spans="2:7" ht="32.25" customHeight="1" x14ac:dyDescent="0.25">
      <c r="B4790" s="64"/>
      <c r="C4790" s="64"/>
      <c r="D4790" s="64"/>
      <c r="E4790" s="64"/>
      <c r="F4790" s="64"/>
      <c r="G4790" s="64"/>
    </row>
    <row r="4791" spans="2:7" ht="32.25" customHeight="1" x14ac:dyDescent="0.25">
      <c r="B4791" s="64"/>
      <c r="C4791" s="64"/>
      <c r="D4791" s="64"/>
      <c r="E4791" s="64"/>
      <c r="F4791" s="64"/>
      <c r="G4791" s="64"/>
    </row>
    <row r="4792" spans="2:7" ht="32.25" customHeight="1" x14ac:dyDescent="0.25">
      <c r="B4792" s="64"/>
      <c r="C4792" s="64"/>
      <c r="D4792" s="64"/>
      <c r="E4792" s="64"/>
      <c r="F4792" s="64"/>
      <c r="G4792" s="64"/>
    </row>
    <row r="4793" spans="2:7" ht="32.25" customHeight="1" x14ac:dyDescent="0.25">
      <c r="B4793" s="64"/>
      <c r="C4793" s="64"/>
      <c r="D4793" s="64"/>
      <c r="E4793" s="64"/>
      <c r="F4793" s="64"/>
      <c r="G4793" s="64"/>
    </row>
    <row r="4794" spans="2:7" ht="32.25" customHeight="1" x14ac:dyDescent="0.25">
      <c r="B4794" s="64"/>
      <c r="C4794" s="64"/>
      <c r="D4794" s="64"/>
      <c r="E4794" s="64"/>
      <c r="F4794" s="64"/>
      <c r="G4794" s="64"/>
    </row>
    <row r="4795" spans="2:7" ht="32.25" customHeight="1" x14ac:dyDescent="0.25">
      <c r="B4795" s="64"/>
      <c r="C4795" s="64"/>
      <c r="D4795" s="64"/>
      <c r="E4795" s="64"/>
      <c r="F4795" s="64"/>
      <c r="G4795" s="64"/>
    </row>
    <row r="4796" spans="2:7" ht="32.25" customHeight="1" x14ac:dyDescent="0.25">
      <c r="B4796" s="64"/>
      <c r="C4796" s="64"/>
      <c r="D4796" s="64"/>
      <c r="E4796" s="64"/>
      <c r="F4796" s="64"/>
      <c r="G4796" s="64"/>
    </row>
    <row r="4797" spans="2:7" ht="32.25" customHeight="1" x14ac:dyDescent="0.25">
      <c r="B4797" s="64"/>
      <c r="C4797" s="64"/>
      <c r="D4797" s="64"/>
      <c r="E4797" s="64"/>
      <c r="F4797" s="64"/>
      <c r="G4797" s="64"/>
    </row>
    <row r="4798" spans="2:7" ht="32.25" customHeight="1" x14ac:dyDescent="0.25">
      <c r="B4798" s="64"/>
      <c r="C4798" s="64"/>
      <c r="D4798" s="64"/>
      <c r="E4798" s="64"/>
      <c r="F4798" s="64"/>
      <c r="G4798" s="64"/>
    </row>
    <row r="4799" spans="2:7" ht="32.25" customHeight="1" x14ac:dyDescent="0.25">
      <c r="B4799" s="64"/>
      <c r="C4799" s="64"/>
      <c r="D4799" s="64"/>
      <c r="E4799" s="64"/>
      <c r="F4799" s="64"/>
      <c r="G4799" s="64"/>
    </row>
    <row r="4800" spans="2:7" ht="32.25" customHeight="1" x14ac:dyDescent="0.25">
      <c r="B4800" s="64"/>
      <c r="C4800" s="64"/>
      <c r="D4800" s="64"/>
      <c r="E4800" s="64"/>
      <c r="F4800" s="64"/>
      <c r="G4800" s="64"/>
    </row>
    <row r="4801" spans="2:7" ht="32.25" customHeight="1" x14ac:dyDescent="0.25">
      <c r="B4801" s="64"/>
      <c r="C4801" s="64"/>
      <c r="D4801" s="64"/>
      <c r="E4801" s="64"/>
      <c r="F4801" s="64"/>
      <c r="G4801" s="64"/>
    </row>
    <row r="4802" spans="2:7" ht="32.25" customHeight="1" x14ac:dyDescent="0.25">
      <c r="B4802" s="64"/>
      <c r="C4802" s="64"/>
      <c r="D4802" s="64"/>
      <c r="E4802" s="64"/>
      <c r="F4802" s="64"/>
      <c r="G4802" s="64"/>
    </row>
    <row r="4803" spans="2:7" ht="32.25" customHeight="1" x14ac:dyDescent="0.25">
      <c r="B4803" s="64"/>
      <c r="C4803" s="64"/>
      <c r="D4803" s="64"/>
      <c r="E4803" s="64"/>
      <c r="F4803" s="64"/>
      <c r="G4803" s="64"/>
    </row>
    <row r="4804" spans="2:7" ht="32.25" customHeight="1" x14ac:dyDescent="0.25">
      <c r="B4804" s="64"/>
      <c r="C4804" s="64"/>
      <c r="D4804" s="64"/>
      <c r="E4804" s="64"/>
      <c r="F4804" s="64"/>
      <c r="G4804" s="64"/>
    </row>
    <row r="4805" spans="2:7" ht="32.25" customHeight="1" x14ac:dyDescent="0.25">
      <c r="B4805" s="64"/>
      <c r="C4805" s="64"/>
      <c r="D4805" s="64"/>
      <c r="E4805" s="64"/>
      <c r="F4805" s="64"/>
      <c r="G4805" s="64"/>
    </row>
    <row r="4806" spans="2:7" ht="32.25" customHeight="1" x14ac:dyDescent="0.25">
      <c r="B4806" s="64"/>
      <c r="C4806" s="64"/>
      <c r="D4806" s="64"/>
      <c r="E4806" s="64"/>
      <c r="F4806" s="64"/>
      <c r="G4806" s="64"/>
    </row>
    <row r="4807" spans="2:7" ht="32.25" customHeight="1" x14ac:dyDescent="0.25">
      <c r="B4807" s="64"/>
      <c r="C4807" s="64"/>
      <c r="D4807" s="64"/>
      <c r="E4807" s="64"/>
      <c r="F4807" s="64"/>
      <c r="G4807" s="64"/>
    </row>
    <row r="4808" spans="2:7" ht="32.25" customHeight="1" x14ac:dyDescent="0.25">
      <c r="B4808" s="64"/>
      <c r="C4808" s="64"/>
      <c r="D4808" s="64"/>
      <c r="E4808" s="64"/>
      <c r="F4808" s="64"/>
      <c r="G4808" s="64"/>
    </row>
    <row r="4809" spans="2:7" ht="32.25" customHeight="1" x14ac:dyDescent="0.25">
      <c r="B4809" s="64"/>
      <c r="C4809" s="64"/>
      <c r="D4809" s="64"/>
      <c r="E4809" s="64"/>
      <c r="F4809" s="64"/>
      <c r="G4809" s="64"/>
    </row>
    <row r="4810" spans="2:7" ht="32.25" customHeight="1" x14ac:dyDescent="0.25">
      <c r="B4810" s="64"/>
      <c r="C4810" s="64"/>
      <c r="D4810" s="64"/>
      <c r="E4810" s="64"/>
      <c r="F4810" s="64"/>
      <c r="G4810" s="64"/>
    </row>
    <row r="4811" spans="2:7" ht="32.25" customHeight="1" x14ac:dyDescent="0.25">
      <c r="B4811" s="64"/>
      <c r="C4811" s="64"/>
      <c r="D4811" s="64"/>
      <c r="E4811" s="64"/>
      <c r="F4811" s="64"/>
      <c r="G4811" s="64"/>
    </row>
    <row r="4812" spans="2:7" ht="32.25" customHeight="1" x14ac:dyDescent="0.25">
      <c r="B4812" s="64"/>
      <c r="C4812" s="64"/>
      <c r="D4812" s="64"/>
      <c r="E4812" s="64"/>
      <c r="F4812" s="64"/>
      <c r="G4812" s="64"/>
    </row>
    <row r="4813" spans="2:7" ht="32.25" customHeight="1" x14ac:dyDescent="0.25">
      <c r="B4813" s="64"/>
      <c r="C4813" s="64"/>
      <c r="D4813" s="64"/>
      <c r="E4813" s="64"/>
      <c r="F4813" s="64"/>
      <c r="G4813" s="64"/>
    </row>
    <row r="4814" spans="2:7" ht="32.25" customHeight="1" x14ac:dyDescent="0.25">
      <c r="B4814" s="64"/>
      <c r="C4814" s="64"/>
      <c r="D4814" s="64"/>
      <c r="E4814" s="64"/>
      <c r="F4814" s="64"/>
      <c r="G4814" s="64"/>
    </row>
    <row r="4815" spans="2:7" ht="32.25" customHeight="1" x14ac:dyDescent="0.25">
      <c r="B4815" s="64"/>
      <c r="C4815" s="64"/>
      <c r="D4815" s="64"/>
      <c r="E4815" s="64"/>
      <c r="F4815" s="64"/>
      <c r="G4815" s="64"/>
    </row>
    <row r="4816" spans="2:7" ht="32.25" customHeight="1" x14ac:dyDescent="0.25">
      <c r="B4816" s="64"/>
      <c r="C4816" s="64"/>
      <c r="D4816" s="64"/>
      <c r="E4816" s="64"/>
      <c r="F4816" s="64"/>
      <c r="G4816" s="64"/>
    </row>
    <row r="4817" spans="2:7" ht="32.25" customHeight="1" x14ac:dyDescent="0.25">
      <c r="B4817" s="64"/>
      <c r="C4817" s="64"/>
      <c r="D4817" s="64"/>
      <c r="E4817" s="64"/>
      <c r="F4817" s="64"/>
      <c r="G4817" s="64"/>
    </row>
    <row r="4818" spans="2:7" ht="32.25" customHeight="1" x14ac:dyDescent="0.25">
      <c r="B4818" s="64"/>
      <c r="C4818" s="64"/>
      <c r="D4818" s="64"/>
      <c r="E4818" s="64"/>
      <c r="F4818" s="64"/>
      <c r="G4818" s="64"/>
    </row>
    <row r="4819" spans="2:7" ht="32.25" customHeight="1" x14ac:dyDescent="0.25">
      <c r="B4819" s="64"/>
      <c r="C4819" s="64"/>
      <c r="D4819" s="64"/>
      <c r="E4819" s="64"/>
      <c r="F4819" s="64"/>
      <c r="G4819" s="64"/>
    </row>
    <row r="4820" spans="2:7" ht="32.25" customHeight="1" x14ac:dyDescent="0.25">
      <c r="B4820" s="64"/>
      <c r="C4820" s="64"/>
      <c r="D4820" s="64"/>
      <c r="E4820" s="64"/>
      <c r="F4820" s="64"/>
      <c r="G4820" s="64"/>
    </row>
    <row r="4821" spans="2:7" ht="32.25" customHeight="1" x14ac:dyDescent="0.25">
      <c r="B4821" s="64"/>
      <c r="C4821" s="64"/>
      <c r="D4821" s="64"/>
      <c r="E4821" s="64"/>
      <c r="F4821" s="64"/>
      <c r="G4821" s="64"/>
    </row>
    <row r="4822" spans="2:7" ht="32.25" customHeight="1" x14ac:dyDescent="0.25">
      <c r="B4822" s="64"/>
      <c r="C4822" s="64"/>
      <c r="D4822" s="64"/>
      <c r="E4822" s="64"/>
      <c r="F4822" s="64"/>
      <c r="G4822" s="64"/>
    </row>
    <row r="4823" spans="2:7" ht="32.25" customHeight="1" x14ac:dyDescent="0.25">
      <c r="B4823" s="64"/>
      <c r="C4823" s="64"/>
      <c r="D4823" s="64"/>
      <c r="E4823" s="64"/>
      <c r="F4823" s="64"/>
      <c r="G4823" s="64"/>
    </row>
    <row r="4824" spans="2:7" ht="32.25" customHeight="1" x14ac:dyDescent="0.25">
      <c r="B4824" s="64"/>
      <c r="C4824" s="64"/>
      <c r="D4824" s="64"/>
      <c r="E4824" s="64"/>
      <c r="F4824" s="64"/>
      <c r="G4824" s="64"/>
    </row>
    <row r="4825" spans="2:7" ht="32.25" customHeight="1" x14ac:dyDescent="0.25">
      <c r="B4825" s="64"/>
      <c r="C4825" s="64"/>
      <c r="D4825" s="64"/>
      <c r="E4825" s="64"/>
      <c r="F4825" s="64"/>
      <c r="G4825" s="64"/>
    </row>
    <row r="4826" spans="2:7" ht="32.25" customHeight="1" x14ac:dyDescent="0.25">
      <c r="B4826" s="64"/>
      <c r="C4826" s="64"/>
      <c r="D4826" s="64"/>
      <c r="E4826" s="64"/>
      <c r="F4826" s="64"/>
      <c r="G4826" s="64"/>
    </row>
    <row r="4827" spans="2:7" ht="32.25" customHeight="1" x14ac:dyDescent="0.25">
      <c r="B4827" s="64"/>
      <c r="C4827" s="64"/>
      <c r="D4827" s="64"/>
      <c r="E4827" s="64"/>
      <c r="F4827" s="64"/>
      <c r="G4827" s="64"/>
    </row>
    <row r="4828" spans="2:7" ht="32.25" customHeight="1" x14ac:dyDescent="0.25">
      <c r="B4828" s="64"/>
      <c r="C4828" s="64"/>
      <c r="D4828" s="64"/>
      <c r="E4828" s="64"/>
      <c r="F4828" s="64"/>
      <c r="G4828" s="64"/>
    </row>
    <row r="4829" spans="2:7" ht="32.25" customHeight="1" x14ac:dyDescent="0.25">
      <c r="B4829" s="64"/>
      <c r="C4829" s="64"/>
      <c r="D4829" s="64"/>
      <c r="E4829" s="64"/>
      <c r="F4829" s="64"/>
      <c r="G4829" s="64"/>
    </row>
    <row r="4830" spans="2:7" ht="32.25" customHeight="1" x14ac:dyDescent="0.25">
      <c r="B4830" s="64"/>
      <c r="C4830" s="64"/>
      <c r="D4830" s="64"/>
      <c r="E4830" s="64"/>
      <c r="F4830" s="64"/>
      <c r="G4830" s="64"/>
    </row>
    <row r="4831" spans="2:7" ht="32.25" customHeight="1" x14ac:dyDescent="0.25">
      <c r="B4831" s="64"/>
      <c r="C4831" s="64"/>
      <c r="D4831" s="64"/>
      <c r="E4831" s="64"/>
      <c r="F4831" s="64"/>
      <c r="G4831" s="64"/>
    </row>
    <row r="4832" spans="2:7" ht="32.25" customHeight="1" x14ac:dyDescent="0.25">
      <c r="B4832" s="64"/>
      <c r="C4832" s="64"/>
      <c r="D4832" s="64"/>
      <c r="E4832" s="64"/>
      <c r="F4832" s="64"/>
      <c r="G4832" s="64"/>
    </row>
    <row r="4833" spans="2:7" ht="32.25" customHeight="1" x14ac:dyDescent="0.25">
      <c r="B4833" s="64"/>
      <c r="C4833" s="64"/>
      <c r="D4833" s="64"/>
      <c r="E4833" s="64"/>
      <c r="F4833" s="64"/>
      <c r="G4833" s="64"/>
    </row>
    <row r="4834" spans="2:7" ht="32.25" customHeight="1" x14ac:dyDescent="0.25">
      <c r="B4834" s="64"/>
      <c r="C4834" s="64"/>
      <c r="D4834" s="64"/>
      <c r="E4834" s="64"/>
      <c r="F4834" s="64"/>
      <c r="G4834" s="64"/>
    </row>
    <row r="4835" spans="2:7" ht="32.25" customHeight="1" x14ac:dyDescent="0.25">
      <c r="B4835" s="64"/>
      <c r="C4835" s="64"/>
      <c r="D4835" s="64"/>
      <c r="E4835" s="64"/>
      <c r="F4835" s="64"/>
      <c r="G4835" s="64"/>
    </row>
    <row r="4836" spans="2:7" ht="32.25" customHeight="1" x14ac:dyDescent="0.25">
      <c r="B4836" s="64"/>
      <c r="C4836" s="64"/>
      <c r="D4836" s="64"/>
      <c r="E4836" s="64"/>
      <c r="F4836" s="64"/>
      <c r="G4836" s="64"/>
    </row>
    <row r="4837" spans="2:7" ht="32.25" customHeight="1" x14ac:dyDescent="0.25">
      <c r="B4837" s="64"/>
      <c r="C4837" s="64"/>
      <c r="D4837" s="64"/>
      <c r="E4837" s="64"/>
      <c r="F4837" s="64"/>
      <c r="G4837" s="64"/>
    </row>
    <row r="4838" spans="2:7" ht="32.25" customHeight="1" x14ac:dyDescent="0.25">
      <c r="B4838" s="64"/>
      <c r="C4838" s="64"/>
      <c r="D4838" s="64"/>
      <c r="E4838" s="64"/>
      <c r="F4838" s="64"/>
      <c r="G4838" s="64"/>
    </row>
    <row r="4839" spans="2:7" ht="32.25" customHeight="1" x14ac:dyDescent="0.25">
      <c r="B4839" s="64"/>
      <c r="C4839" s="64"/>
      <c r="D4839" s="64"/>
      <c r="E4839" s="64"/>
      <c r="F4839" s="64"/>
      <c r="G4839" s="64"/>
    </row>
    <row r="4840" spans="2:7" ht="32.25" customHeight="1" x14ac:dyDescent="0.25">
      <c r="B4840" s="64"/>
      <c r="C4840" s="64"/>
      <c r="D4840" s="64"/>
      <c r="E4840" s="64"/>
      <c r="F4840" s="64"/>
      <c r="G4840" s="64"/>
    </row>
    <row r="4841" spans="2:7" ht="32.25" customHeight="1" x14ac:dyDescent="0.25">
      <c r="B4841" s="64"/>
      <c r="C4841" s="64"/>
      <c r="D4841" s="64"/>
      <c r="E4841" s="64"/>
      <c r="F4841" s="64"/>
      <c r="G4841" s="64"/>
    </row>
    <row r="4842" spans="2:7" ht="32.25" customHeight="1" x14ac:dyDescent="0.25">
      <c r="B4842" s="64"/>
      <c r="C4842" s="64"/>
      <c r="D4842" s="64"/>
      <c r="E4842" s="64"/>
      <c r="F4842" s="64"/>
      <c r="G4842" s="64"/>
    </row>
    <row r="4843" spans="2:7" ht="32.25" customHeight="1" x14ac:dyDescent="0.25">
      <c r="B4843" s="64"/>
      <c r="C4843" s="64"/>
      <c r="D4843" s="64"/>
      <c r="E4843" s="64"/>
      <c r="F4843" s="64"/>
      <c r="G4843" s="64"/>
    </row>
    <row r="4844" spans="2:7" ht="32.25" customHeight="1" x14ac:dyDescent="0.25">
      <c r="B4844" s="64"/>
      <c r="C4844" s="64"/>
      <c r="D4844" s="64"/>
      <c r="E4844" s="64"/>
      <c r="F4844" s="64"/>
      <c r="G4844" s="64"/>
    </row>
    <row r="4845" spans="2:7" ht="32.25" customHeight="1" x14ac:dyDescent="0.25">
      <c r="B4845" s="64"/>
      <c r="C4845" s="64"/>
      <c r="D4845" s="64"/>
      <c r="E4845" s="64"/>
      <c r="F4845" s="64"/>
      <c r="G4845" s="64"/>
    </row>
    <row r="4846" spans="2:7" ht="32.25" customHeight="1" x14ac:dyDescent="0.25">
      <c r="B4846" s="64"/>
      <c r="C4846" s="64"/>
      <c r="D4846" s="64"/>
      <c r="E4846" s="64"/>
      <c r="F4846" s="64"/>
      <c r="G4846" s="64"/>
    </row>
    <row r="4847" spans="2:7" ht="32.25" customHeight="1" x14ac:dyDescent="0.25">
      <c r="B4847" s="64"/>
      <c r="C4847" s="64"/>
      <c r="D4847" s="64"/>
      <c r="E4847" s="64"/>
      <c r="F4847" s="64"/>
      <c r="G4847" s="64"/>
    </row>
    <row r="4848" spans="2:7" ht="32.25" customHeight="1" x14ac:dyDescent="0.25">
      <c r="B4848" s="64"/>
      <c r="C4848" s="64"/>
      <c r="D4848" s="64"/>
      <c r="E4848" s="64"/>
      <c r="F4848" s="64"/>
      <c r="G4848" s="64"/>
    </row>
    <row r="4849" spans="2:7" ht="32.25" customHeight="1" x14ac:dyDescent="0.25">
      <c r="B4849" s="64"/>
      <c r="C4849" s="64"/>
      <c r="D4849" s="64"/>
      <c r="E4849" s="64"/>
      <c r="F4849" s="64"/>
      <c r="G4849" s="64"/>
    </row>
    <row r="4850" spans="2:7" ht="32.25" customHeight="1" x14ac:dyDescent="0.25">
      <c r="B4850" s="64"/>
      <c r="C4850" s="64"/>
      <c r="D4850" s="64"/>
      <c r="E4850" s="64"/>
      <c r="F4850" s="64"/>
      <c r="G4850" s="64"/>
    </row>
    <row r="4851" spans="2:7" ht="32.25" customHeight="1" x14ac:dyDescent="0.25">
      <c r="B4851" s="64"/>
      <c r="C4851" s="64"/>
      <c r="D4851" s="64"/>
      <c r="E4851" s="64"/>
      <c r="F4851" s="64"/>
      <c r="G4851" s="64"/>
    </row>
    <row r="4852" spans="2:7" ht="32.25" customHeight="1" x14ac:dyDescent="0.25">
      <c r="B4852" s="64"/>
      <c r="C4852" s="64"/>
      <c r="D4852" s="64"/>
      <c r="E4852" s="64"/>
      <c r="F4852" s="64"/>
      <c r="G4852" s="64"/>
    </row>
    <row r="4853" spans="2:7" ht="32.25" customHeight="1" x14ac:dyDescent="0.25">
      <c r="B4853" s="64"/>
      <c r="C4853" s="64"/>
      <c r="D4853" s="64"/>
      <c r="E4853" s="64"/>
      <c r="F4853" s="64"/>
      <c r="G4853" s="64"/>
    </row>
    <row r="4854" spans="2:7" ht="32.25" customHeight="1" x14ac:dyDescent="0.25">
      <c r="B4854" s="64"/>
      <c r="C4854" s="64"/>
      <c r="D4854" s="64"/>
      <c r="E4854" s="64"/>
      <c r="F4854" s="64"/>
      <c r="G4854" s="64"/>
    </row>
    <row r="4855" spans="2:7" ht="32.25" customHeight="1" x14ac:dyDescent="0.25">
      <c r="B4855" s="64"/>
      <c r="C4855" s="64"/>
      <c r="D4855" s="64"/>
      <c r="E4855" s="64"/>
      <c r="F4855" s="64"/>
      <c r="G4855" s="64"/>
    </row>
    <row r="4856" spans="2:7" ht="32.25" customHeight="1" x14ac:dyDescent="0.25">
      <c r="B4856" s="64"/>
      <c r="C4856" s="64"/>
      <c r="D4856" s="64"/>
      <c r="E4856" s="64"/>
      <c r="F4856" s="64"/>
      <c r="G4856" s="64"/>
    </row>
    <row r="4857" spans="2:7" ht="32.25" customHeight="1" x14ac:dyDescent="0.25">
      <c r="B4857" s="64"/>
      <c r="C4857" s="64"/>
      <c r="D4857" s="64"/>
      <c r="E4857" s="64"/>
      <c r="F4857" s="64"/>
      <c r="G4857" s="64"/>
    </row>
    <row r="4858" spans="2:7" ht="32.25" customHeight="1" x14ac:dyDescent="0.25">
      <c r="B4858" s="64"/>
      <c r="C4858" s="64"/>
      <c r="D4858" s="64"/>
      <c r="E4858" s="64"/>
      <c r="F4858" s="64"/>
      <c r="G4858" s="64"/>
    </row>
    <row r="4859" spans="2:7" ht="32.25" customHeight="1" x14ac:dyDescent="0.25">
      <c r="B4859" s="64"/>
      <c r="C4859" s="64"/>
      <c r="D4859" s="64"/>
      <c r="E4859" s="64"/>
      <c r="F4859" s="64"/>
      <c r="G4859" s="64"/>
    </row>
    <row r="4860" spans="2:7" ht="32.25" customHeight="1" x14ac:dyDescent="0.25">
      <c r="B4860" s="64"/>
      <c r="C4860" s="64"/>
      <c r="D4860" s="64"/>
      <c r="E4860" s="64"/>
      <c r="F4860" s="64"/>
      <c r="G4860" s="64"/>
    </row>
    <row r="4861" spans="2:7" ht="32.25" customHeight="1" x14ac:dyDescent="0.25">
      <c r="B4861" s="64"/>
      <c r="C4861" s="64"/>
      <c r="D4861" s="64"/>
      <c r="E4861" s="64"/>
      <c r="F4861" s="64"/>
      <c r="G4861" s="64"/>
    </row>
    <row r="4862" spans="2:7" ht="32.25" customHeight="1" x14ac:dyDescent="0.25">
      <c r="B4862" s="64"/>
      <c r="C4862" s="64"/>
      <c r="D4862" s="64"/>
      <c r="E4862" s="64"/>
      <c r="F4862" s="64"/>
      <c r="G4862" s="64"/>
    </row>
    <row r="4863" spans="2:7" ht="32.25" customHeight="1" x14ac:dyDescent="0.25">
      <c r="B4863" s="64"/>
      <c r="C4863" s="64"/>
      <c r="D4863" s="64"/>
      <c r="E4863" s="64"/>
      <c r="F4863" s="64"/>
      <c r="G4863" s="64"/>
    </row>
    <row r="4864" spans="2:7" ht="32.25" customHeight="1" x14ac:dyDescent="0.25">
      <c r="B4864" s="64"/>
      <c r="C4864" s="64"/>
      <c r="D4864" s="64"/>
      <c r="E4864" s="64"/>
      <c r="F4864" s="64"/>
      <c r="G4864" s="64"/>
    </row>
    <row r="4865" spans="2:7" ht="32.25" customHeight="1" x14ac:dyDescent="0.25">
      <c r="B4865" s="64"/>
      <c r="C4865" s="64"/>
      <c r="D4865" s="64"/>
      <c r="E4865" s="64"/>
      <c r="F4865" s="64"/>
      <c r="G4865" s="64"/>
    </row>
    <row r="4866" spans="2:7" ht="32.25" customHeight="1" x14ac:dyDescent="0.25">
      <c r="B4866" s="64"/>
      <c r="C4866" s="64"/>
      <c r="D4866" s="64"/>
      <c r="E4866" s="64"/>
      <c r="F4866" s="64"/>
      <c r="G4866" s="64"/>
    </row>
    <row r="4867" spans="2:7" ht="32.25" customHeight="1" x14ac:dyDescent="0.25">
      <c r="B4867" s="64"/>
      <c r="C4867" s="64"/>
      <c r="D4867" s="64"/>
      <c r="E4867" s="64"/>
      <c r="F4867" s="64"/>
      <c r="G4867" s="64"/>
    </row>
    <row r="4868" spans="2:7" ht="32.25" customHeight="1" x14ac:dyDescent="0.25">
      <c r="B4868" s="64"/>
      <c r="C4868" s="64"/>
      <c r="D4868" s="64"/>
      <c r="E4868" s="64"/>
      <c r="F4868" s="64"/>
      <c r="G4868" s="64"/>
    </row>
    <row r="4869" spans="2:7" ht="32.25" customHeight="1" x14ac:dyDescent="0.25">
      <c r="B4869" s="64"/>
      <c r="C4869" s="64"/>
      <c r="D4869" s="64"/>
      <c r="E4869" s="64"/>
      <c r="F4869" s="64"/>
      <c r="G4869" s="64"/>
    </row>
    <row r="4870" spans="2:7" ht="32.25" customHeight="1" x14ac:dyDescent="0.25">
      <c r="B4870" s="64"/>
      <c r="C4870" s="64"/>
      <c r="D4870" s="64"/>
      <c r="E4870" s="64"/>
      <c r="F4870" s="64"/>
      <c r="G4870" s="64"/>
    </row>
    <row r="4871" spans="2:7" ht="32.25" customHeight="1" x14ac:dyDescent="0.25">
      <c r="B4871" s="64"/>
      <c r="C4871" s="64"/>
      <c r="D4871" s="64"/>
      <c r="E4871" s="64"/>
      <c r="F4871" s="64"/>
      <c r="G4871" s="64"/>
    </row>
    <row r="4872" spans="2:7" ht="32.25" customHeight="1" x14ac:dyDescent="0.25">
      <c r="B4872" s="64"/>
      <c r="C4872" s="64"/>
      <c r="D4872" s="64"/>
      <c r="E4872" s="64"/>
      <c r="F4872" s="64"/>
      <c r="G4872" s="64"/>
    </row>
    <row r="4873" spans="2:7" ht="32.25" customHeight="1" x14ac:dyDescent="0.25">
      <c r="B4873" s="64"/>
      <c r="C4873" s="64"/>
      <c r="D4873" s="64"/>
      <c r="E4873" s="64"/>
      <c r="F4873" s="64"/>
      <c r="G4873" s="64"/>
    </row>
    <row r="4874" spans="2:7" ht="32.25" customHeight="1" x14ac:dyDescent="0.25">
      <c r="B4874" s="64"/>
      <c r="C4874" s="64"/>
      <c r="D4874" s="64"/>
      <c r="E4874" s="64"/>
      <c r="F4874" s="64"/>
      <c r="G4874" s="64"/>
    </row>
    <row r="4875" spans="2:7" ht="32.25" customHeight="1" x14ac:dyDescent="0.25">
      <c r="B4875" s="64"/>
      <c r="C4875" s="64"/>
      <c r="D4875" s="64"/>
      <c r="E4875" s="64"/>
      <c r="F4875" s="64"/>
      <c r="G4875" s="64"/>
    </row>
    <row r="4876" spans="2:7" ht="32.25" customHeight="1" x14ac:dyDescent="0.25">
      <c r="B4876" s="64"/>
      <c r="C4876" s="64"/>
      <c r="D4876" s="64"/>
      <c r="E4876" s="64"/>
      <c r="F4876" s="64"/>
      <c r="G4876" s="64"/>
    </row>
    <row r="4877" spans="2:7" ht="32.25" customHeight="1" x14ac:dyDescent="0.25">
      <c r="B4877" s="64"/>
      <c r="C4877" s="64"/>
      <c r="D4877" s="64"/>
      <c r="E4877" s="64"/>
      <c r="F4877" s="64"/>
      <c r="G4877" s="64"/>
    </row>
    <row r="4878" spans="2:7" ht="32.25" customHeight="1" x14ac:dyDescent="0.25">
      <c r="B4878" s="64"/>
      <c r="C4878" s="64"/>
      <c r="D4878" s="64"/>
      <c r="E4878" s="64"/>
      <c r="F4878" s="64"/>
      <c r="G4878" s="64"/>
    </row>
    <row r="4879" spans="2:7" ht="32.25" customHeight="1" x14ac:dyDescent="0.25">
      <c r="B4879" s="64"/>
      <c r="C4879" s="64"/>
      <c r="D4879" s="64"/>
      <c r="E4879" s="64"/>
      <c r="F4879" s="64"/>
      <c r="G4879" s="64"/>
    </row>
    <row r="4880" spans="2:7" ht="32.25" customHeight="1" x14ac:dyDescent="0.25">
      <c r="B4880" s="64"/>
      <c r="C4880" s="64"/>
      <c r="D4880" s="64"/>
      <c r="E4880" s="64"/>
      <c r="F4880" s="64"/>
      <c r="G4880" s="64"/>
    </row>
    <row r="4881" spans="2:7" ht="32.25" customHeight="1" x14ac:dyDescent="0.25">
      <c r="B4881" s="64"/>
      <c r="C4881" s="64"/>
      <c r="D4881" s="64"/>
      <c r="E4881" s="64"/>
      <c r="F4881" s="64"/>
      <c r="G4881" s="64"/>
    </row>
    <row r="4882" spans="2:7" ht="32.25" customHeight="1" x14ac:dyDescent="0.25">
      <c r="B4882" s="64"/>
      <c r="C4882" s="64"/>
      <c r="D4882" s="64"/>
      <c r="E4882" s="64"/>
      <c r="F4882" s="64"/>
      <c r="G4882" s="64"/>
    </row>
    <row r="4883" spans="2:7" ht="32.25" customHeight="1" x14ac:dyDescent="0.25">
      <c r="B4883" s="64"/>
      <c r="C4883" s="64"/>
      <c r="D4883" s="64"/>
      <c r="E4883" s="64"/>
      <c r="F4883" s="64"/>
      <c r="G4883" s="64"/>
    </row>
    <row r="4884" spans="2:7" ht="32.25" customHeight="1" x14ac:dyDescent="0.25">
      <c r="B4884" s="64"/>
      <c r="C4884" s="64"/>
      <c r="D4884" s="64"/>
      <c r="E4884" s="64"/>
      <c r="F4884" s="64"/>
      <c r="G4884" s="64"/>
    </row>
    <row r="4885" spans="2:7" ht="32.25" customHeight="1" x14ac:dyDescent="0.25">
      <c r="B4885" s="64"/>
      <c r="C4885" s="64"/>
      <c r="D4885" s="64"/>
      <c r="E4885" s="64"/>
      <c r="F4885" s="64"/>
      <c r="G4885" s="64"/>
    </row>
    <row r="4886" spans="2:7" ht="32.25" customHeight="1" x14ac:dyDescent="0.25">
      <c r="B4886" s="64"/>
      <c r="C4886" s="64"/>
      <c r="D4886" s="64"/>
      <c r="E4886" s="64"/>
      <c r="F4886" s="64"/>
      <c r="G4886" s="64"/>
    </row>
    <row r="4887" spans="2:7" ht="32.25" customHeight="1" x14ac:dyDescent="0.25">
      <c r="B4887" s="64"/>
      <c r="C4887" s="64"/>
      <c r="D4887" s="64"/>
      <c r="E4887" s="64"/>
      <c r="F4887" s="64"/>
      <c r="G4887" s="64"/>
    </row>
    <row r="4888" spans="2:7" ht="32.25" customHeight="1" x14ac:dyDescent="0.25">
      <c r="B4888" s="64"/>
      <c r="C4888" s="64"/>
      <c r="D4888" s="64"/>
      <c r="E4888" s="64"/>
      <c r="F4888" s="64"/>
      <c r="G4888" s="64"/>
    </row>
    <row r="4889" spans="2:7" ht="32.25" customHeight="1" x14ac:dyDescent="0.25">
      <c r="B4889" s="64"/>
      <c r="C4889" s="64"/>
      <c r="D4889" s="64"/>
      <c r="E4889" s="64"/>
      <c r="F4889" s="64"/>
      <c r="G4889" s="64"/>
    </row>
    <row r="4890" spans="2:7" ht="32.25" customHeight="1" x14ac:dyDescent="0.25">
      <c r="B4890" s="64"/>
      <c r="C4890" s="64"/>
      <c r="D4890" s="64"/>
      <c r="E4890" s="64"/>
      <c r="F4890" s="64"/>
      <c r="G4890" s="64"/>
    </row>
    <row r="4891" spans="2:7" ht="32.25" customHeight="1" x14ac:dyDescent="0.25">
      <c r="B4891" s="64"/>
      <c r="C4891" s="64"/>
      <c r="D4891" s="64"/>
      <c r="E4891" s="64"/>
      <c r="F4891" s="64"/>
      <c r="G4891" s="64"/>
    </row>
    <row r="4892" spans="2:7" ht="32.25" customHeight="1" x14ac:dyDescent="0.25">
      <c r="B4892" s="64"/>
      <c r="C4892" s="64"/>
      <c r="D4892" s="64"/>
      <c r="E4892" s="64"/>
      <c r="F4892" s="64"/>
      <c r="G4892" s="64"/>
    </row>
    <row r="4893" spans="2:7" ht="32.25" customHeight="1" x14ac:dyDescent="0.25">
      <c r="B4893" s="64"/>
      <c r="C4893" s="64"/>
      <c r="D4893" s="64"/>
      <c r="E4893" s="64"/>
      <c r="F4893" s="64"/>
      <c r="G4893" s="64"/>
    </row>
    <row r="4894" spans="2:7" ht="32.25" customHeight="1" x14ac:dyDescent="0.25">
      <c r="B4894" s="64"/>
      <c r="C4894" s="64"/>
      <c r="D4894" s="64"/>
      <c r="E4894" s="64"/>
      <c r="F4894" s="64"/>
      <c r="G4894" s="64"/>
    </row>
    <row r="4895" spans="2:7" ht="32.25" customHeight="1" x14ac:dyDescent="0.25">
      <c r="B4895" s="64"/>
      <c r="C4895" s="64"/>
      <c r="D4895" s="64"/>
      <c r="E4895" s="64"/>
      <c r="F4895" s="64"/>
      <c r="G4895" s="64"/>
    </row>
    <row r="4896" spans="2:7" ht="32.25" customHeight="1" x14ac:dyDescent="0.25">
      <c r="B4896" s="64"/>
      <c r="C4896" s="64"/>
      <c r="D4896" s="64"/>
      <c r="E4896" s="64"/>
      <c r="F4896" s="64"/>
      <c r="G4896" s="64"/>
    </row>
    <row r="4897" spans="2:7" ht="32.25" customHeight="1" x14ac:dyDescent="0.25">
      <c r="B4897" s="64"/>
      <c r="C4897" s="64"/>
      <c r="D4897" s="64"/>
      <c r="E4897" s="64"/>
      <c r="F4897" s="64"/>
      <c r="G4897" s="64"/>
    </row>
    <row r="4898" spans="2:7" ht="32.25" customHeight="1" x14ac:dyDescent="0.25">
      <c r="B4898" s="64"/>
      <c r="C4898" s="64"/>
      <c r="D4898" s="64"/>
      <c r="E4898" s="64"/>
      <c r="F4898" s="64"/>
      <c r="G4898" s="64"/>
    </row>
    <row r="4899" spans="2:7" ht="32.25" customHeight="1" x14ac:dyDescent="0.25">
      <c r="B4899" s="64"/>
      <c r="C4899" s="64"/>
      <c r="D4899" s="64"/>
      <c r="E4899" s="64"/>
      <c r="F4899" s="64"/>
      <c r="G4899" s="64"/>
    </row>
    <row r="4900" spans="2:7" ht="32.25" customHeight="1" x14ac:dyDescent="0.25">
      <c r="B4900" s="64"/>
      <c r="C4900" s="64"/>
      <c r="D4900" s="64"/>
      <c r="E4900" s="64"/>
      <c r="F4900" s="64"/>
      <c r="G4900" s="64"/>
    </row>
    <row r="4901" spans="2:7" ht="32.25" customHeight="1" x14ac:dyDescent="0.25">
      <c r="B4901" s="64"/>
      <c r="C4901" s="64"/>
      <c r="D4901" s="64"/>
      <c r="E4901" s="64"/>
      <c r="F4901" s="64"/>
      <c r="G4901" s="64"/>
    </row>
    <row r="4902" spans="2:7" ht="32.25" customHeight="1" x14ac:dyDescent="0.25">
      <c r="B4902" s="64"/>
      <c r="C4902" s="64"/>
      <c r="D4902" s="64"/>
      <c r="E4902" s="64"/>
      <c r="F4902" s="64"/>
      <c r="G4902" s="64"/>
    </row>
    <row r="4903" spans="2:7" ht="32.25" customHeight="1" x14ac:dyDescent="0.25">
      <c r="B4903" s="64"/>
      <c r="C4903" s="64"/>
      <c r="D4903" s="64"/>
      <c r="E4903" s="64"/>
      <c r="F4903" s="64"/>
      <c r="G4903" s="64"/>
    </row>
    <row r="4904" spans="2:7" ht="32.25" customHeight="1" x14ac:dyDescent="0.25">
      <c r="B4904" s="64"/>
      <c r="C4904" s="64"/>
      <c r="D4904" s="64"/>
      <c r="E4904" s="64"/>
      <c r="F4904" s="64"/>
      <c r="G4904" s="64"/>
    </row>
    <row r="4905" spans="2:7" ht="32.25" customHeight="1" x14ac:dyDescent="0.25">
      <c r="B4905" s="64"/>
      <c r="C4905" s="64"/>
      <c r="D4905" s="64"/>
      <c r="E4905" s="64"/>
      <c r="F4905" s="64"/>
      <c r="G4905" s="64"/>
    </row>
    <row r="4906" spans="2:7" ht="32.25" customHeight="1" x14ac:dyDescent="0.25">
      <c r="B4906" s="64"/>
      <c r="C4906" s="64"/>
      <c r="D4906" s="64"/>
      <c r="E4906" s="64"/>
      <c r="F4906" s="64"/>
      <c r="G4906" s="64"/>
    </row>
    <row r="4907" spans="2:7" ht="32.25" customHeight="1" x14ac:dyDescent="0.25">
      <c r="B4907" s="64"/>
      <c r="C4907" s="64"/>
      <c r="D4907" s="64"/>
      <c r="E4907" s="64"/>
      <c r="F4907" s="64"/>
      <c r="G4907" s="64"/>
    </row>
    <row r="4908" spans="2:7" ht="32.25" customHeight="1" x14ac:dyDescent="0.25">
      <c r="B4908" s="64"/>
      <c r="C4908" s="64"/>
      <c r="D4908" s="64"/>
      <c r="E4908" s="64"/>
      <c r="F4908" s="64"/>
      <c r="G4908" s="64"/>
    </row>
    <row r="4909" spans="2:7" ht="32.25" customHeight="1" x14ac:dyDescent="0.25">
      <c r="B4909" s="64"/>
      <c r="C4909" s="64"/>
      <c r="D4909" s="64"/>
      <c r="E4909" s="64"/>
      <c r="F4909" s="64"/>
      <c r="G4909" s="64"/>
    </row>
    <row r="4910" spans="2:7" ht="32.25" customHeight="1" x14ac:dyDescent="0.25">
      <c r="B4910" s="64"/>
      <c r="C4910" s="64"/>
      <c r="D4910" s="64"/>
      <c r="E4910" s="64"/>
      <c r="F4910" s="64"/>
      <c r="G4910" s="64"/>
    </row>
    <row r="4911" spans="2:7" ht="32.25" customHeight="1" x14ac:dyDescent="0.25">
      <c r="B4911" s="64"/>
      <c r="C4911" s="64"/>
      <c r="D4911" s="64"/>
      <c r="E4911" s="64"/>
      <c r="F4911" s="64"/>
      <c r="G4911" s="64"/>
    </row>
    <row r="4912" spans="2:7" ht="32.25" customHeight="1" x14ac:dyDescent="0.25">
      <c r="B4912" s="64"/>
      <c r="C4912" s="64"/>
      <c r="D4912" s="64"/>
      <c r="E4912" s="64"/>
      <c r="F4912" s="64"/>
      <c r="G4912" s="64"/>
    </row>
    <row r="4913" spans="2:7" ht="32.25" customHeight="1" x14ac:dyDescent="0.25">
      <c r="B4913" s="64"/>
      <c r="C4913" s="64"/>
      <c r="D4913" s="64"/>
      <c r="E4913" s="64"/>
      <c r="F4913" s="64"/>
      <c r="G4913" s="64"/>
    </row>
    <row r="4914" spans="2:7" ht="32.25" customHeight="1" x14ac:dyDescent="0.25">
      <c r="B4914" s="64"/>
      <c r="C4914" s="64"/>
      <c r="D4914" s="64"/>
      <c r="E4914" s="64"/>
      <c r="F4914" s="64"/>
      <c r="G4914" s="64"/>
    </row>
    <row r="4915" spans="2:7" ht="32.25" customHeight="1" x14ac:dyDescent="0.25">
      <c r="B4915" s="64"/>
      <c r="C4915" s="64"/>
      <c r="D4915" s="64"/>
      <c r="E4915" s="64"/>
      <c r="F4915" s="64"/>
      <c r="G4915" s="64"/>
    </row>
    <row r="4916" spans="2:7" ht="32.25" customHeight="1" x14ac:dyDescent="0.25">
      <c r="B4916" s="64"/>
      <c r="C4916" s="64"/>
      <c r="D4916" s="64"/>
      <c r="E4916" s="64"/>
      <c r="F4916" s="64"/>
      <c r="G4916" s="64"/>
    </row>
    <row r="4917" spans="2:7" ht="32.25" customHeight="1" x14ac:dyDescent="0.25">
      <c r="B4917" s="64"/>
      <c r="C4917" s="64"/>
      <c r="D4917" s="64"/>
      <c r="E4917" s="64"/>
      <c r="F4917" s="64"/>
      <c r="G4917" s="64"/>
    </row>
    <row r="4918" spans="2:7" ht="32.25" customHeight="1" x14ac:dyDescent="0.25">
      <c r="B4918" s="64"/>
      <c r="C4918" s="64"/>
      <c r="D4918" s="64"/>
      <c r="E4918" s="64"/>
      <c r="F4918" s="64"/>
      <c r="G4918" s="64"/>
    </row>
    <row r="4919" spans="2:7" ht="32.25" customHeight="1" x14ac:dyDescent="0.25">
      <c r="B4919" s="64"/>
      <c r="C4919" s="64"/>
      <c r="D4919" s="64"/>
      <c r="E4919" s="64"/>
      <c r="F4919" s="64"/>
      <c r="G4919" s="64"/>
    </row>
    <row r="4920" spans="2:7" ht="32.25" customHeight="1" x14ac:dyDescent="0.25">
      <c r="B4920" s="64"/>
      <c r="C4920" s="64"/>
      <c r="D4920" s="64"/>
      <c r="E4920" s="64"/>
      <c r="F4920" s="64"/>
      <c r="G4920" s="64"/>
    </row>
    <row r="4921" spans="2:7" ht="32.25" customHeight="1" x14ac:dyDescent="0.25">
      <c r="B4921" s="64"/>
      <c r="C4921" s="64"/>
      <c r="D4921" s="64"/>
      <c r="E4921" s="64"/>
      <c r="F4921" s="64"/>
      <c r="G4921" s="64"/>
    </row>
    <row r="4922" spans="2:7" ht="32.25" customHeight="1" x14ac:dyDescent="0.25">
      <c r="B4922" s="64"/>
      <c r="C4922" s="64"/>
      <c r="D4922" s="64"/>
      <c r="E4922" s="64"/>
      <c r="F4922" s="64"/>
      <c r="G4922" s="64"/>
    </row>
    <row r="4923" spans="2:7" ht="32.25" customHeight="1" x14ac:dyDescent="0.25">
      <c r="B4923" s="64"/>
      <c r="C4923" s="64"/>
      <c r="D4923" s="64"/>
      <c r="E4923" s="64"/>
      <c r="F4923" s="64"/>
      <c r="G4923" s="64"/>
    </row>
    <row r="4924" spans="2:7" ht="32.25" customHeight="1" x14ac:dyDescent="0.25">
      <c r="B4924" s="64"/>
      <c r="C4924" s="64"/>
      <c r="D4924" s="64"/>
      <c r="E4924" s="64"/>
      <c r="F4924" s="64"/>
      <c r="G4924" s="64"/>
    </row>
    <row r="4925" spans="2:7" ht="32.25" customHeight="1" x14ac:dyDescent="0.25">
      <c r="B4925" s="64"/>
      <c r="C4925" s="64"/>
      <c r="D4925" s="64"/>
      <c r="E4925" s="64"/>
      <c r="F4925" s="64"/>
      <c r="G4925" s="64"/>
    </row>
    <row r="4926" spans="2:7" ht="32.25" customHeight="1" x14ac:dyDescent="0.25">
      <c r="B4926" s="64"/>
      <c r="C4926" s="64"/>
      <c r="D4926" s="64"/>
      <c r="E4926" s="64"/>
      <c r="F4926" s="64"/>
      <c r="G4926" s="64"/>
    </row>
    <row r="4927" spans="2:7" ht="32.25" customHeight="1" x14ac:dyDescent="0.25">
      <c r="B4927" s="64"/>
      <c r="C4927" s="64"/>
      <c r="D4927" s="64"/>
      <c r="E4927" s="64"/>
      <c r="F4927" s="64"/>
      <c r="G4927" s="64"/>
    </row>
    <row r="4928" spans="2:7" ht="32.25" customHeight="1" x14ac:dyDescent="0.25">
      <c r="B4928" s="64"/>
      <c r="C4928" s="64"/>
      <c r="D4928" s="64"/>
      <c r="E4928" s="64"/>
      <c r="F4928" s="64"/>
      <c r="G4928" s="64"/>
    </row>
    <row r="4929" spans="2:7" ht="32.25" customHeight="1" x14ac:dyDescent="0.25">
      <c r="B4929" s="64"/>
      <c r="C4929" s="64"/>
      <c r="D4929" s="64"/>
      <c r="E4929" s="64"/>
      <c r="F4929" s="64"/>
      <c r="G4929" s="64"/>
    </row>
    <row r="4930" spans="2:7" ht="32.25" customHeight="1" x14ac:dyDescent="0.25">
      <c r="B4930" s="64"/>
      <c r="C4930" s="64"/>
      <c r="D4930" s="64"/>
      <c r="E4930" s="64"/>
      <c r="F4930" s="64"/>
      <c r="G4930" s="64"/>
    </row>
    <row r="4931" spans="2:7" ht="32.25" customHeight="1" x14ac:dyDescent="0.25">
      <c r="B4931" s="64"/>
      <c r="C4931" s="64"/>
      <c r="D4931" s="64"/>
      <c r="E4931" s="64"/>
      <c r="F4931" s="64"/>
      <c r="G4931" s="64"/>
    </row>
    <row r="4932" spans="2:7" ht="32.25" customHeight="1" x14ac:dyDescent="0.25">
      <c r="B4932" s="64"/>
      <c r="C4932" s="64"/>
      <c r="D4932" s="64"/>
      <c r="E4932" s="64"/>
      <c r="F4932" s="64"/>
      <c r="G4932" s="64"/>
    </row>
    <row r="4933" spans="2:7" ht="32.25" customHeight="1" x14ac:dyDescent="0.25">
      <c r="B4933" s="64"/>
      <c r="C4933" s="64"/>
      <c r="D4933" s="64"/>
      <c r="E4933" s="64"/>
      <c r="F4933" s="64"/>
      <c r="G4933" s="64"/>
    </row>
    <row r="4934" spans="2:7" ht="32.25" customHeight="1" x14ac:dyDescent="0.25">
      <c r="B4934" s="64"/>
      <c r="C4934" s="64"/>
      <c r="D4934" s="64"/>
      <c r="E4934" s="64"/>
      <c r="F4934" s="64"/>
      <c r="G4934" s="64"/>
    </row>
    <row r="4935" spans="2:7" ht="32.25" customHeight="1" x14ac:dyDescent="0.25">
      <c r="B4935" s="64"/>
      <c r="C4935" s="64"/>
      <c r="D4935" s="64"/>
      <c r="E4935" s="64"/>
      <c r="F4935" s="64"/>
      <c r="G4935" s="64"/>
    </row>
    <row r="4936" spans="2:7" ht="32.25" customHeight="1" x14ac:dyDescent="0.25">
      <c r="B4936" s="64"/>
      <c r="C4936" s="64"/>
      <c r="D4936" s="64"/>
      <c r="E4936" s="64"/>
      <c r="F4936" s="64"/>
      <c r="G4936" s="64"/>
    </row>
    <row r="4937" spans="2:7" ht="32.25" customHeight="1" x14ac:dyDescent="0.25">
      <c r="B4937" s="64"/>
      <c r="C4937" s="64"/>
      <c r="D4937" s="64"/>
      <c r="E4937" s="64"/>
      <c r="F4937" s="64"/>
      <c r="G4937" s="64"/>
    </row>
    <row r="4938" spans="2:7" ht="32.25" customHeight="1" x14ac:dyDescent="0.25">
      <c r="B4938" s="64"/>
      <c r="C4938" s="64"/>
      <c r="D4938" s="64"/>
      <c r="E4938" s="64"/>
      <c r="F4938" s="64"/>
      <c r="G4938" s="64"/>
    </row>
    <row r="4939" spans="2:7" ht="32.25" customHeight="1" x14ac:dyDescent="0.25">
      <c r="B4939" s="64"/>
      <c r="C4939" s="64"/>
      <c r="D4939" s="64"/>
      <c r="E4939" s="64"/>
      <c r="F4939" s="64"/>
      <c r="G4939" s="64"/>
    </row>
    <row r="4940" spans="2:7" ht="32.25" customHeight="1" x14ac:dyDescent="0.25">
      <c r="B4940" s="64"/>
      <c r="C4940" s="64"/>
      <c r="D4940" s="64"/>
      <c r="E4940" s="64"/>
      <c r="F4940" s="64"/>
      <c r="G4940" s="64"/>
    </row>
    <row r="4941" spans="2:7" ht="32.25" customHeight="1" x14ac:dyDescent="0.25">
      <c r="B4941" s="64"/>
      <c r="C4941" s="64"/>
      <c r="D4941" s="64"/>
      <c r="E4941" s="64"/>
      <c r="F4941" s="64"/>
      <c r="G4941" s="64"/>
    </row>
    <row r="4942" spans="2:7" ht="32.25" customHeight="1" x14ac:dyDescent="0.25">
      <c r="B4942" s="64"/>
      <c r="C4942" s="64"/>
      <c r="D4942" s="64"/>
      <c r="E4942" s="64"/>
      <c r="F4942" s="64"/>
      <c r="G4942" s="64"/>
    </row>
    <row r="4943" spans="2:7" ht="32.25" customHeight="1" x14ac:dyDescent="0.25">
      <c r="B4943" s="64"/>
      <c r="C4943" s="64"/>
      <c r="D4943" s="64"/>
      <c r="E4943" s="64"/>
      <c r="F4943" s="64"/>
      <c r="G4943" s="64"/>
    </row>
    <row r="4944" spans="2:7" ht="32.25" customHeight="1" x14ac:dyDescent="0.25">
      <c r="B4944" s="64"/>
      <c r="C4944" s="64"/>
      <c r="D4944" s="64"/>
      <c r="E4944" s="64"/>
      <c r="F4944" s="64"/>
      <c r="G4944" s="64"/>
    </row>
    <row r="4945" spans="2:7" ht="32.25" customHeight="1" x14ac:dyDescent="0.25">
      <c r="B4945" s="64"/>
      <c r="C4945" s="64"/>
      <c r="D4945" s="64"/>
      <c r="E4945" s="64"/>
      <c r="F4945" s="64"/>
      <c r="G4945" s="64"/>
    </row>
    <row r="4946" spans="2:7" ht="32.25" customHeight="1" x14ac:dyDescent="0.25">
      <c r="B4946" s="64"/>
      <c r="C4946" s="64"/>
      <c r="D4946" s="64"/>
      <c r="E4946" s="64"/>
      <c r="F4946" s="64"/>
      <c r="G4946" s="64"/>
    </row>
    <row r="4947" spans="2:7" ht="32.25" customHeight="1" x14ac:dyDescent="0.25">
      <c r="B4947" s="64"/>
      <c r="C4947" s="64"/>
      <c r="D4947" s="64"/>
      <c r="E4947" s="64"/>
      <c r="F4947" s="64"/>
      <c r="G4947" s="64"/>
    </row>
    <row r="4948" spans="2:7" ht="32.25" customHeight="1" x14ac:dyDescent="0.25">
      <c r="B4948" s="64"/>
      <c r="C4948" s="64"/>
      <c r="D4948" s="64"/>
      <c r="E4948" s="64"/>
      <c r="F4948" s="64"/>
      <c r="G4948" s="64"/>
    </row>
    <row r="4949" spans="2:7" ht="32.25" customHeight="1" x14ac:dyDescent="0.25">
      <c r="B4949" s="64"/>
      <c r="C4949" s="64"/>
      <c r="D4949" s="64"/>
      <c r="E4949" s="64"/>
      <c r="F4949" s="64"/>
      <c r="G4949" s="64"/>
    </row>
    <row r="4950" spans="2:7" ht="32.25" customHeight="1" x14ac:dyDescent="0.25">
      <c r="B4950" s="64"/>
      <c r="C4950" s="64"/>
      <c r="D4950" s="64"/>
      <c r="E4950" s="64"/>
      <c r="F4950" s="64"/>
      <c r="G4950" s="64"/>
    </row>
    <row r="4951" spans="2:7" ht="32.25" customHeight="1" x14ac:dyDescent="0.25">
      <c r="B4951" s="64"/>
      <c r="C4951" s="64"/>
      <c r="D4951" s="64"/>
      <c r="E4951" s="64"/>
      <c r="F4951" s="64"/>
      <c r="G4951" s="64"/>
    </row>
    <row r="4952" spans="2:7" ht="32.25" customHeight="1" x14ac:dyDescent="0.25">
      <c r="B4952" s="64"/>
      <c r="C4952" s="64"/>
      <c r="D4952" s="64"/>
      <c r="E4952" s="64"/>
      <c r="F4952" s="64"/>
      <c r="G4952" s="64"/>
    </row>
    <row r="4953" spans="2:7" ht="32.25" customHeight="1" x14ac:dyDescent="0.25">
      <c r="B4953" s="64"/>
      <c r="C4953" s="64"/>
      <c r="D4953" s="64"/>
      <c r="E4953" s="64"/>
      <c r="F4953" s="64"/>
      <c r="G4953" s="64"/>
    </row>
    <row r="4954" spans="2:7" ht="32.25" customHeight="1" x14ac:dyDescent="0.25">
      <c r="B4954" s="64"/>
      <c r="C4954" s="64"/>
      <c r="D4954" s="64"/>
      <c r="E4954" s="64"/>
      <c r="F4954" s="64"/>
      <c r="G4954" s="64"/>
    </row>
    <row r="4955" spans="2:7" ht="32.25" customHeight="1" x14ac:dyDescent="0.25">
      <c r="B4955" s="64"/>
      <c r="C4955" s="64"/>
      <c r="D4955" s="64"/>
      <c r="E4955" s="64"/>
      <c r="F4955" s="64"/>
      <c r="G4955" s="64"/>
    </row>
    <row r="4956" spans="2:7" ht="32.25" customHeight="1" x14ac:dyDescent="0.25">
      <c r="B4956" s="64"/>
      <c r="C4956" s="64"/>
      <c r="D4956" s="64"/>
      <c r="E4956" s="64"/>
      <c r="F4956" s="64"/>
      <c r="G4956" s="64"/>
    </row>
    <row r="4957" spans="2:7" ht="32.25" customHeight="1" x14ac:dyDescent="0.25">
      <c r="B4957" s="64"/>
      <c r="C4957" s="64"/>
      <c r="D4957" s="64"/>
      <c r="E4957" s="64"/>
      <c r="F4957" s="64"/>
      <c r="G4957" s="64"/>
    </row>
    <row r="4958" spans="2:7" ht="32.25" customHeight="1" x14ac:dyDescent="0.25">
      <c r="B4958" s="64"/>
      <c r="C4958" s="64"/>
      <c r="D4958" s="64"/>
      <c r="E4958" s="64"/>
      <c r="F4958" s="64"/>
      <c r="G4958" s="64"/>
    </row>
    <row r="4959" spans="2:7" ht="32.25" customHeight="1" x14ac:dyDescent="0.25">
      <c r="B4959" s="64"/>
      <c r="C4959" s="64"/>
      <c r="D4959" s="64"/>
      <c r="E4959" s="64"/>
      <c r="F4959" s="64"/>
      <c r="G4959" s="64"/>
    </row>
    <row r="4960" spans="2:7" ht="32.25" customHeight="1" x14ac:dyDescent="0.25">
      <c r="B4960" s="64"/>
      <c r="C4960" s="64"/>
      <c r="D4960" s="64"/>
      <c r="E4960" s="64"/>
      <c r="F4960" s="64"/>
      <c r="G4960" s="64"/>
    </row>
    <row r="4961" spans="2:7" ht="32.25" customHeight="1" x14ac:dyDescent="0.25">
      <c r="B4961" s="64"/>
      <c r="C4961" s="64"/>
      <c r="D4961" s="64"/>
      <c r="E4961" s="64"/>
      <c r="F4961" s="64"/>
      <c r="G4961" s="64"/>
    </row>
    <row r="4962" spans="2:7" ht="32.25" customHeight="1" x14ac:dyDescent="0.25">
      <c r="B4962" s="64"/>
      <c r="C4962" s="64"/>
      <c r="D4962" s="64"/>
      <c r="E4962" s="64"/>
      <c r="F4962" s="64"/>
      <c r="G4962" s="64"/>
    </row>
    <row r="4963" spans="2:7" ht="32.25" customHeight="1" x14ac:dyDescent="0.25">
      <c r="B4963" s="64"/>
      <c r="C4963" s="64"/>
      <c r="D4963" s="64"/>
      <c r="E4963" s="64"/>
      <c r="F4963" s="64"/>
      <c r="G4963" s="64"/>
    </row>
    <row r="4964" spans="2:7" ht="32.25" customHeight="1" x14ac:dyDescent="0.25">
      <c r="B4964" s="64"/>
      <c r="C4964" s="64"/>
      <c r="D4964" s="64"/>
      <c r="E4964" s="64"/>
      <c r="F4964" s="64"/>
      <c r="G4964" s="64"/>
    </row>
    <row r="4965" spans="2:7" ht="32.25" customHeight="1" x14ac:dyDescent="0.25">
      <c r="B4965" s="64"/>
      <c r="C4965" s="64"/>
      <c r="D4965" s="64"/>
      <c r="E4965" s="64"/>
      <c r="F4965" s="64"/>
      <c r="G4965" s="64"/>
    </row>
    <row r="4966" spans="2:7" ht="32.25" customHeight="1" x14ac:dyDescent="0.25">
      <c r="B4966" s="64"/>
      <c r="C4966" s="64"/>
      <c r="D4966" s="64"/>
      <c r="E4966" s="64"/>
      <c r="F4966" s="64"/>
      <c r="G4966" s="64"/>
    </row>
    <row r="4967" spans="2:7" ht="32.25" customHeight="1" x14ac:dyDescent="0.25">
      <c r="B4967" s="64"/>
      <c r="C4967" s="64"/>
      <c r="D4967" s="64"/>
      <c r="E4967" s="64"/>
      <c r="F4967" s="64"/>
      <c r="G4967" s="64"/>
    </row>
    <row r="4968" spans="2:7" ht="32.25" customHeight="1" x14ac:dyDescent="0.25">
      <c r="B4968" s="64"/>
      <c r="C4968" s="64"/>
      <c r="D4968" s="64"/>
      <c r="E4968" s="64"/>
      <c r="F4968" s="64"/>
      <c r="G4968" s="64"/>
    </row>
    <row r="4969" spans="2:7" ht="32.25" customHeight="1" x14ac:dyDescent="0.25">
      <c r="B4969" s="64"/>
      <c r="C4969" s="64"/>
      <c r="D4969" s="64"/>
      <c r="E4969" s="64"/>
      <c r="F4969" s="64"/>
      <c r="G4969" s="64"/>
    </row>
    <row r="4970" spans="2:7" ht="32.25" customHeight="1" x14ac:dyDescent="0.25">
      <c r="B4970" s="64"/>
      <c r="C4970" s="64"/>
      <c r="D4970" s="64"/>
      <c r="E4970" s="64"/>
      <c r="F4970" s="64"/>
      <c r="G4970" s="64"/>
    </row>
    <row r="4971" spans="2:7" ht="32.25" customHeight="1" x14ac:dyDescent="0.25">
      <c r="B4971" s="64"/>
      <c r="C4971" s="64"/>
      <c r="D4971" s="64"/>
      <c r="E4971" s="64"/>
      <c r="F4971" s="64"/>
      <c r="G4971" s="64"/>
    </row>
    <row r="4972" spans="2:7" ht="32.25" customHeight="1" x14ac:dyDescent="0.25">
      <c r="B4972" s="64"/>
      <c r="C4972" s="64"/>
      <c r="D4972" s="64"/>
      <c r="E4972" s="64"/>
      <c r="F4972" s="64"/>
      <c r="G4972" s="64"/>
    </row>
    <row r="4973" spans="2:7" ht="32.25" customHeight="1" x14ac:dyDescent="0.25">
      <c r="B4973" s="64"/>
      <c r="C4973" s="64"/>
      <c r="D4973" s="64"/>
      <c r="E4973" s="64"/>
      <c r="F4973" s="64"/>
      <c r="G4973" s="64"/>
    </row>
    <row r="4974" spans="2:7" ht="32.25" customHeight="1" x14ac:dyDescent="0.25">
      <c r="B4974" s="64"/>
      <c r="C4974" s="64"/>
      <c r="D4974" s="64"/>
      <c r="E4974" s="64"/>
      <c r="F4974" s="64"/>
      <c r="G4974" s="64"/>
    </row>
    <row r="4975" spans="2:7" ht="32.25" customHeight="1" x14ac:dyDescent="0.25">
      <c r="B4975" s="64"/>
      <c r="C4975" s="64"/>
      <c r="D4975" s="64"/>
      <c r="E4975" s="64"/>
      <c r="F4975" s="64"/>
      <c r="G4975" s="64"/>
    </row>
    <row r="4976" spans="2:7" ht="32.25" customHeight="1" x14ac:dyDescent="0.25">
      <c r="B4976" s="64"/>
      <c r="C4976" s="64"/>
      <c r="D4976" s="64"/>
      <c r="E4976" s="64"/>
      <c r="F4976" s="64"/>
      <c r="G4976" s="64"/>
    </row>
    <row r="4977" spans="2:7" ht="32.25" customHeight="1" x14ac:dyDescent="0.25">
      <c r="B4977" s="64"/>
      <c r="C4977" s="64"/>
      <c r="D4977" s="64"/>
      <c r="E4977" s="64"/>
      <c r="F4977" s="64"/>
      <c r="G4977" s="64"/>
    </row>
    <row r="4978" spans="2:7" ht="32.25" customHeight="1" x14ac:dyDescent="0.25">
      <c r="B4978" s="64"/>
      <c r="C4978" s="64"/>
      <c r="D4978" s="64"/>
      <c r="E4978" s="64"/>
      <c r="F4978" s="64"/>
      <c r="G4978" s="64"/>
    </row>
    <row r="4979" spans="2:7" ht="32.25" customHeight="1" x14ac:dyDescent="0.25">
      <c r="B4979" s="64"/>
      <c r="C4979" s="64"/>
      <c r="D4979" s="64"/>
      <c r="E4979" s="64"/>
      <c r="F4979" s="64"/>
      <c r="G4979" s="64"/>
    </row>
    <row r="4980" spans="2:7" ht="32.25" customHeight="1" x14ac:dyDescent="0.25">
      <c r="B4980" s="64"/>
      <c r="C4980" s="64"/>
      <c r="D4980" s="64"/>
      <c r="E4980" s="64"/>
      <c r="F4980" s="64"/>
      <c r="G4980" s="64"/>
    </row>
    <row r="4981" spans="2:7" ht="32.25" customHeight="1" x14ac:dyDescent="0.25">
      <c r="B4981" s="64"/>
      <c r="C4981" s="64"/>
      <c r="D4981" s="64"/>
      <c r="E4981" s="64"/>
      <c r="F4981" s="64"/>
      <c r="G4981" s="64"/>
    </row>
    <row r="4982" spans="2:7" ht="32.25" customHeight="1" x14ac:dyDescent="0.25">
      <c r="B4982" s="64"/>
      <c r="C4982" s="64"/>
      <c r="D4982" s="64"/>
      <c r="E4982" s="64"/>
      <c r="F4982" s="64"/>
      <c r="G4982" s="64"/>
    </row>
    <row r="4983" spans="2:7" ht="32.25" customHeight="1" x14ac:dyDescent="0.25">
      <c r="B4983" s="64"/>
      <c r="C4983" s="64"/>
      <c r="D4983" s="64"/>
      <c r="E4983" s="64"/>
      <c r="F4983" s="64"/>
      <c r="G4983" s="64"/>
    </row>
    <row r="4984" spans="2:7" ht="32.25" customHeight="1" x14ac:dyDescent="0.25">
      <c r="B4984" s="64"/>
      <c r="C4984" s="64"/>
      <c r="D4984" s="64"/>
      <c r="E4984" s="64"/>
      <c r="F4984" s="64"/>
      <c r="G4984" s="64"/>
    </row>
    <row r="4985" spans="2:7" ht="32.25" customHeight="1" x14ac:dyDescent="0.25">
      <c r="B4985" s="64"/>
      <c r="C4985" s="64"/>
      <c r="D4985" s="64"/>
      <c r="E4985" s="64"/>
      <c r="F4985" s="64"/>
      <c r="G4985" s="64"/>
    </row>
    <row r="4986" spans="2:7" ht="32.25" customHeight="1" x14ac:dyDescent="0.25">
      <c r="B4986" s="64"/>
      <c r="C4986" s="64"/>
      <c r="D4986" s="64"/>
      <c r="E4986" s="64"/>
      <c r="F4986" s="64"/>
      <c r="G4986" s="64"/>
    </row>
    <row r="4987" spans="2:7" ht="32.25" customHeight="1" x14ac:dyDescent="0.25">
      <c r="B4987" s="64"/>
      <c r="C4987" s="64"/>
      <c r="D4987" s="64"/>
      <c r="E4987" s="64"/>
      <c r="F4987" s="64"/>
      <c r="G4987" s="64"/>
    </row>
    <row r="4988" spans="2:7" ht="32.25" customHeight="1" x14ac:dyDescent="0.25">
      <c r="B4988" s="64"/>
      <c r="C4988" s="64"/>
      <c r="D4988" s="64"/>
      <c r="E4988" s="64"/>
      <c r="F4988" s="64"/>
      <c r="G4988" s="64"/>
    </row>
    <row r="4989" spans="2:7" ht="32.25" customHeight="1" x14ac:dyDescent="0.25">
      <c r="B4989" s="64"/>
      <c r="C4989" s="64"/>
      <c r="D4989" s="64"/>
      <c r="E4989" s="64"/>
      <c r="F4989" s="64"/>
      <c r="G4989" s="64"/>
    </row>
    <row r="4990" spans="2:7" ht="32.25" customHeight="1" x14ac:dyDescent="0.25">
      <c r="B4990" s="64"/>
      <c r="C4990" s="64"/>
      <c r="D4990" s="64"/>
      <c r="E4990" s="64"/>
      <c r="F4990" s="64"/>
      <c r="G4990" s="64"/>
    </row>
    <row r="4991" spans="2:7" ht="32.25" customHeight="1" x14ac:dyDescent="0.25">
      <c r="B4991" s="64"/>
      <c r="C4991" s="64"/>
      <c r="D4991" s="64"/>
      <c r="E4991" s="64"/>
      <c r="F4991" s="64"/>
      <c r="G4991" s="64"/>
    </row>
    <row r="4992" spans="2:7" ht="32.25" customHeight="1" x14ac:dyDescent="0.25">
      <c r="B4992" s="64"/>
      <c r="C4992" s="64"/>
      <c r="D4992" s="64"/>
      <c r="E4992" s="64"/>
      <c r="F4992" s="64"/>
      <c r="G4992" s="64"/>
    </row>
    <row r="4993" spans="2:7" ht="32.25" customHeight="1" x14ac:dyDescent="0.25">
      <c r="B4993" s="64"/>
      <c r="C4993" s="64"/>
      <c r="D4993" s="64"/>
      <c r="E4993" s="64"/>
      <c r="F4993" s="64"/>
      <c r="G4993" s="64"/>
    </row>
    <row r="4994" spans="2:7" ht="32.25" customHeight="1" x14ac:dyDescent="0.25">
      <c r="B4994" s="64"/>
      <c r="C4994" s="64"/>
      <c r="D4994" s="64"/>
      <c r="E4994" s="64"/>
      <c r="F4994" s="64"/>
      <c r="G4994" s="64"/>
    </row>
    <row r="4995" spans="2:7" ht="32.25" customHeight="1" x14ac:dyDescent="0.25">
      <c r="B4995" s="64"/>
      <c r="C4995" s="64"/>
      <c r="D4995" s="64"/>
      <c r="E4995" s="64"/>
      <c r="F4995" s="64"/>
      <c r="G4995" s="64"/>
    </row>
    <row r="4996" spans="2:7" ht="32.25" customHeight="1" x14ac:dyDescent="0.25">
      <c r="B4996" s="64"/>
      <c r="C4996" s="64"/>
      <c r="D4996" s="64"/>
      <c r="E4996" s="64"/>
      <c r="F4996" s="64"/>
      <c r="G4996" s="64"/>
    </row>
    <row r="4997" spans="2:7" ht="32.25" customHeight="1" x14ac:dyDescent="0.25">
      <c r="B4997" s="64"/>
      <c r="C4997" s="64"/>
      <c r="D4997" s="64"/>
      <c r="E4997" s="64"/>
      <c r="F4997" s="64"/>
      <c r="G4997" s="64"/>
    </row>
    <row r="4998" spans="2:7" ht="32.25" customHeight="1" x14ac:dyDescent="0.25">
      <c r="B4998" s="64"/>
      <c r="C4998" s="64"/>
      <c r="D4998" s="64"/>
      <c r="E4998" s="64"/>
      <c r="F4998" s="64"/>
      <c r="G4998" s="64"/>
    </row>
    <row r="4999" spans="2:7" ht="32.25" customHeight="1" x14ac:dyDescent="0.25">
      <c r="B4999" s="64"/>
      <c r="C4999" s="64"/>
      <c r="D4999" s="64"/>
      <c r="E4999" s="64"/>
      <c r="F4999" s="64"/>
      <c r="G4999" s="64"/>
    </row>
    <row r="5000" spans="2:7" ht="32.25" customHeight="1" x14ac:dyDescent="0.25">
      <c r="B5000" s="64"/>
      <c r="C5000" s="64"/>
      <c r="D5000" s="64"/>
      <c r="E5000" s="64"/>
      <c r="F5000" s="64"/>
      <c r="G5000" s="64"/>
    </row>
    <row r="5001" spans="2:7" ht="32.25" customHeight="1" x14ac:dyDescent="0.25">
      <c r="B5001" s="64"/>
      <c r="C5001" s="64"/>
      <c r="D5001" s="64"/>
      <c r="E5001" s="64"/>
      <c r="F5001" s="64"/>
      <c r="G5001" s="64"/>
    </row>
    <row r="5002" spans="2:7" ht="32.25" customHeight="1" x14ac:dyDescent="0.25">
      <c r="B5002" s="64"/>
      <c r="C5002" s="64"/>
      <c r="D5002" s="64"/>
      <c r="E5002" s="64"/>
      <c r="F5002" s="64"/>
      <c r="G5002" s="64"/>
    </row>
    <row r="5003" spans="2:7" ht="32.25" customHeight="1" x14ac:dyDescent="0.25">
      <c r="B5003" s="64"/>
      <c r="C5003" s="64"/>
      <c r="D5003" s="64"/>
      <c r="E5003" s="64"/>
      <c r="F5003" s="64"/>
      <c r="G5003" s="64"/>
    </row>
    <row r="5004" spans="2:7" ht="32.25" customHeight="1" x14ac:dyDescent="0.25">
      <c r="B5004" s="64"/>
      <c r="C5004" s="64"/>
      <c r="D5004" s="64"/>
      <c r="E5004" s="64"/>
      <c r="F5004" s="64"/>
      <c r="G5004" s="64"/>
    </row>
    <row r="5005" spans="2:7" ht="32.25" customHeight="1" x14ac:dyDescent="0.25">
      <c r="B5005" s="64"/>
      <c r="C5005" s="64"/>
      <c r="D5005" s="64"/>
      <c r="E5005" s="64"/>
      <c r="F5005" s="64"/>
      <c r="G5005" s="64"/>
    </row>
    <row r="5006" spans="2:7" ht="32.25" customHeight="1" x14ac:dyDescent="0.25">
      <c r="B5006" s="64"/>
      <c r="C5006" s="64"/>
      <c r="D5006" s="64"/>
      <c r="E5006" s="64"/>
      <c r="F5006" s="64"/>
      <c r="G5006" s="64"/>
    </row>
    <row r="5007" spans="2:7" ht="32.25" customHeight="1" x14ac:dyDescent="0.25">
      <c r="B5007" s="64"/>
      <c r="C5007" s="64"/>
      <c r="D5007" s="64"/>
      <c r="E5007" s="64"/>
      <c r="F5007" s="64"/>
      <c r="G5007" s="64"/>
    </row>
    <row r="5008" spans="2:7" ht="32.25" customHeight="1" x14ac:dyDescent="0.25">
      <c r="B5008" s="64"/>
      <c r="C5008" s="64"/>
      <c r="D5008" s="64"/>
      <c r="E5008" s="64"/>
      <c r="F5008" s="64"/>
      <c r="G5008" s="64"/>
    </row>
    <row r="5009" spans="2:7" ht="32.25" customHeight="1" x14ac:dyDescent="0.25">
      <c r="B5009" s="64"/>
      <c r="C5009" s="64"/>
      <c r="D5009" s="64"/>
      <c r="E5009" s="64"/>
      <c r="F5009" s="64"/>
      <c r="G5009" s="64"/>
    </row>
    <row r="5010" spans="2:7" ht="32.25" customHeight="1" x14ac:dyDescent="0.25">
      <c r="B5010" s="64"/>
      <c r="C5010" s="64"/>
      <c r="D5010" s="64"/>
      <c r="E5010" s="64"/>
      <c r="F5010" s="64"/>
      <c r="G5010" s="64"/>
    </row>
    <row r="5011" spans="2:7" ht="32.25" customHeight="1" x14ac:dyDescent="0.25">
      <c r="B5011" s="64"/>
      <c r="C5011" s="64"/>
      <c r="D5011" s="64"/>
      <c r="E5011" s="64"/>
      <c r="F5011" s="64"/>
      <c r="G5011" s="64"/>
    </row>
    <row r="5012" spans="2:7" ht="32.25" customHeight="1" x14ac:dyDescent="0.25">
      <c r="B5012" s="64"/>
      <c r="C5012" s="64"/>
      <c r="D5012" s="64"/>
      <c r="E5012" s="64"/>
      <c r="F5012" s="64"/>
      <c r="G5012" s="64"/>
    </row>
    <row r="5013" spans="2:7" ht="32.25" customHeight="1" x14ac:dyDescent="0.25">
      <c r="B5013" s="64"/>
      <c r="C5013" s="64"/>
      <c r="D5013" s="64"/>
      <c r="E5013" s="64"/>
      <c r="F5013" s="64"/>
      <c r="G5013" s="64"/>
    </row>
    <row r="5014" spans="2:7" ht="32.25" customHeight="1" x14ac:dyDescent="0.25">
      <c r="B5014" s="64"/>
      <c r="C5014" s="64"/>
      <c r="D5014" s="64"/>
      <c r="E5014" s="64"/>
      <c r="F5014" s="64"/>
      <c r="G5014" s="64"/>
    </row>
    <row r="5015" spans="2:7" ht="32.25" customHeight="1" x14ac:dyDescent="0.25">
      <c r="B5015" s="64"/>
      <c r="C5015" s="64"/>
      <c r="D5015" s="64"/>
      <c r="E5015" s="64"/>
      <c r="F5015" s="64"/>
      <c r="G5015" s="64"/>
    </row>
    <row r="5016" spans="2:7" ht="32.25" customHeight="1" x14ac:dyDescent="0.25">
      <c r="B5016" s="64"/>
      <c r="C5016" s="64"/>
      <c r="D5016" s="64"/>
      <c r="E5016" s="64"/>
      <c r="F5016" s="64"/>
      <c r="G5016" s="64"/>
    </row>
    <row r="5017" spans="2:7" ht="32.25" customHeight="1" x14ac:dyDescent="0.25">
      <c r="B5017" s="64"/>
      <c r="C5017" s="64"/>
      <c r="D5017" s="64"/>
      <c r="E5017" s="64"/>
      <c r="F5017" s="64"/>
      <c r="G5017" s="64"/>
    </row>
    <row r="5018" spans="2:7" ht="32.25" customHeight="1" x14ac:dyDescent="0.25">
      <c r="B5018" s="64"/>
      <c r="C5018" s="64"/>
      <c r="D5018" s="64"/>
      <c r="E5018" s="64"/>
      <c r="F5018" s="64"/>
      <c r="G5018" s="64"/>
    </row>
    <row r="5019" spans="2:7" ht="32.25" customHeight="1" x14ac:dyDescent="0.25">
      <c r="B5019" s="64"/>
      <c r="C5019" s="64"/>
      <c r="D5019" s="64"/>
      <c r="E5019" s="64"/>
      <c r="F5019" s="64"/>
      <c r="G5019" s="64"/>
    </row>
    <row r="5020" spans="2:7" ht="32.25" customHeight="1" x14ac:dyDescent="0.25">
      <c r="B5020" s="64"/>
      <c r="C5020" s="64"/>
      <c r="D5020" s="64"/>
      <c r="E5020" s="64"/>
      <c r="F5020" s="64"/>
      <c r="G5020" s="64"/>
    </row>
    <row r="5021" spans="2:7" ht="32.25" customHeight="1" x14ac:dyDescent="0.25">
      <c r="B5021" s="64"/>
      <c r="C5021" s="64"/>
      <c r="D5021" s="64"/>
      <c r="E5021" s="64"/>
      <c r="F5021" s="64"/>
      <c r="G5021" s="64"/>
    </row>
    <row r="5022" spans="2:7" ht="32.25" customHeight="1" x14ac:dyDescent="0.25">
      <c r="B5022" s="64"/>
      <c r="C5022" s="64"/>
      <c r="D5022" s="64"/>
      <c r="E5022" s="64"/>
      <c r="F5022" s="64"/>
      <c r="G5022" s="64"/>
    </row>
    <row r="5023" spans="2:7" ht="32.25" customHeight="1" x14ac:dyDescent="0.25">
      <c r="B5023" s="64"/>
      <c r="C5023" s="64"/>
      <c r="D5023" s="64"/>
      <c r="E5023" s="64"/>
      <c r="F5023" s="64"/>
      <c r="G5023" s="64"/>
    </row>
    <row r="5024" spans="2:7" ht="32.25" customHeight="1" x14ac:dyDescent="0.25">
      <c r="B5024" s="64"/>
      <c r="C5024" s="64"/>
      <c r="D5024" s="64"/>
      <c r="E5024" s="64"/>
      <c r="F5024" s="64"/>
      <c r="G5024" s="64"/>
    </row>
    <row r="5025" spans="2:7" ht="32.25" customHeight="1" x14ac:dyDescent="0.25">
      <c r="B5025" s="64"/>
      <c r="C5025" s="64"/>
      <c r="D5025" s="64"/>
      <c r="E5025" s="64"/>
      <c r="F5025" s="64"/>
      <c r="G5025" s="64"/>
    </row>
    <row r="5026" spans="2:7" ht="32.25" customHeight="1" x14ac:dyDescent="0.25">
      <c r="B5026" s="64"/>
      <c r="C5026" s="64"/>
      <c r="D5026" s="64"/>
      <c r="E5026" s="64"/>
      <c r="F5026" s="64"/>
      <c r="G5026" s="64"/>
    </row>
    <row r="5027" spans="2:7" ht="32.25" customHeight="1" x14ac:dyDescent="0.25">
      <c r="B5027" s="64"/>
      <c r="C5027" s="64"/>
      <c r="D5027" s="64"/>
      <c r="E5027" s="64"/>
      <c r="F5027" s="64"/>
      <c r="G5027" s="64"/>
    </row>
    <row r="5028" spans="2:7" ht="32.25" customHeight="1" x14ac:dyDescent="0.25">
      <c r="B5028" s="64"/>
      <c r="C5028" s="64"/>
      <c r="D5028" s="64"/>
      <c r="E5028" s="64"/>
      <c r="F5028" s="64"/>
      <c r="G5028" s="64"/>
    </row>
    <row r="5029" spans="2:7" ht="32.25" customHeight="1" x14ac:dyDescent="0.25">
      <c r="B5029" s="64"/>
      <c r="C5029" s="64"/>
      <c r="D5029" s="64"/>
      <c r="E5029" s="64"/>
      <c r="F5029" s="64"/>
      <c r="G5029" s="64"/>
    </row>
    <row r="5030" spans="2:7" ht="32.25" customHeight="1" x14ac:dyDescent="0.25">
      <c r="B5030" s="64"/>
      <c r="C5030" s="64"/>
      <c r="D5030" s="64"/>
      <c r="E5030" s="64"/>
      <c r="F5030" s="64"/>
      <c r="G5030" s="64"/>
    </row>
    <row r="5031" spans="2:7" ht="32.25" customHeight="1" x14ac:dyDescent="0.25">
      <c r="B5031" s="64"/>
      <c r="C5031" s="64"/>
      <c r="D5031" s="64"/>
      <c r="E5031" s="64"/>
      <c r="F5031" s="64"/>
      <c r="G5031" s="64"/>
    </row>
    <row r="5032" spans="2:7" ht="32.25" customHeight="1" x14ac:dyDescent="0.25">
      <c r="B5032" s="64"/>
      <c r="C5032" s="64"/>
      <c r="D5032" s="64"/>
      <c r="E5032" s="64"/>
      <c r="F5032" s="64"/>
      <c r="G5032" s="64"/>
    </row>
    <row r="5033" spans="2:7" ht="32.25" customHeight="1" x14ac:dyDescent="0.25">
      <c r="B5033" s="64"/>
      <c r="C5033" s="64"/>
      <c r="D5033" s="64"/>
      <c r="E5033" s="64"/>
      <c r="F5033" s="64"/>
      <c r="G5033" s="64"/>
    </row>
    <row r="5034" spans="2:7" ht="32.25" customHeight="1" x14ac:dyDescent="0.25">
      <c r="B5034" s="64"/>
      <c r="C5034" s="64"/>
      <c r="D5034" s="64"/>
      <c r="E5034" s="64"/>
      <c r="F5034" s="64"/>
      <c r="G5034" s="64"/>
    </row>
    <row r="5035" spans="2:7" ht="32.25" customHeight="1" x14ac:dyDescent="0.25">
      <c r="B5035" s="64"/>
      <c r="C5035" s="64"/>
      <c r="D5035" s="64"/>
      <c r="E5035" s="64"/>
      <c r="F5035" s="64"/>
      <c r="G5035" s="64"/>
    </row>
    <row r="5036" spans="2:7" ht="32.25" customHeight="1" x14ac:dyDescent="0.25">
      <c r="B5036" s="64"/>
      <c r="C5036" s="64"/>
      <c r="D5036" s="64"/>
      <c r="E5036" s="64"/>
      <c r="F5036" s="64"/>
      <c r="G5036" s="64"/>
    </row>
    <row r="5037" spans="2:7" ht="32.25" customHeight="1" x14ac:dyDescent="0.25">
      <c r="B5037" s="64"/>
      <c r="C5037" s="64"/>
      <c r="D5037" s="64"/>
      <c r="E5037" s="64"/>
      <c r="F5037" s="64"/>
      <c r="G5037" s="64"/>
    </row>
    <row r="5038" spans="2:7" ht="32.25" customHeight="1" x14ac:dyDescent="0.25">
      <c r="B5038" s="64"/>
      <c r="C5038" s="64"/>
      <c r="D5038" s="64"/>
      <c r="E5038" s="64"/>
      <c r="F5038" s="64"/>
      <c r="G5038" s="64"/>
    </row>
    <row r="5039" spans="2:7" ht="32.25" customHeight="1" x14ac:dyDescent="0.25">
      <c r="B5039" s="64"/>
      <c r="C5039" s="64"/>
      <c r="D5039" s="64"/>
      <c r="E5039" s="64"/>
      <c r="F5039" s="64"/>
      <c r="G5039" s="64"/>
    </row>
    <row r="5040" spans="2:7" ht="32.25" customHeight="1" x14ac:dyDescent="0.25">
      <c r="B5040" s="64"/>
      <c r="C5040" s="64"/>
      <c r="D5040" s="64"/>
      <c r="E5040" s="64"/>
      <c r="F5040" s="64"/>
      <c r="G5040" s="64"/>
    </row>
    <row r="5041" spans="2:7" ht="32.25" customHeight="1" x14ac:dyDescent="0.25">
      <c r="B5041" s="64"/>
      <c r="C5041" s="64"/>
      <c r="D5041" s="64"/>
      <c r="E5041" s="64"/>
      <c r="F5041" s="64"/>
      <c r="G5041" s="64"/>
    </row>
    <row r="5042" spans="2:7" ht="32.25" customHeight="1" x14ac:dyDescent="0.25">
      <c r="B5042" s="64"/>
      <c r="C5042" s="64"/>
      <c r="D5042" s="64"/>
      <c r="E5042" s="64"/>
      <c r="F5042" s="64"/>
      <c r="G5042" s="64"/>
    </row>
    <row r="5043" spans="2:7" ht="32.25" customHeight="1" x14ac:dyDescent="0.25">
      <c r="B5043" s="64"/>
      <c r="C5043" s="64"/>
      <c r="D5043" s="64"/>
      <c r="E5043" s="64"/>
      <c r="F5043" s="64"/>
      <c r="G5043" s="64"/>
    </row>
    <row r="5044" spans="2:7" ht="32.25" customHeight="1" x14ac:dyDescent="0.25">
      <c r="B5044" s="64"/>
      <c r="C5044" s="64"/>
      <c r="D5044" s="64"/>
      <c r="E5044" s="64"/>
      <c r="F5044" s="64"/>
      <c r="G5044" s="64"/>
    </row>
    <row r="5045" spans="2:7" ht="32.25" customHeight="1" x14ac:dyDescent="0.25">
      <c r="B5045" s="64"/>
      <c r="C5045" s="64"/>
      <c r="D5045" s="64"/>
      <c r="E5045" s="64"/>
      <c r="F5045" s="64"/>
      <c r="G5045" s="64"/>
    </row>
    <row r="5046" spans="2:7" ht="32.25" customHeight="1" x14ac:dyDescent="0.25">
      <c r="B5046" s="64"/>
      <c r="C5046" s="64"/>
      <c r="D5046" s="64"/>
      <c r="E5046" s="64"/>
      <c r="F5046" s="64"/>
      <c r="G5046" s="64"/>
    </row>
    <row r="5047" spans="2:7" ht="32.25" customHeight="1" x14ac:dyDescent="0.25">
      <c r="B5047" s="64"/>
      <c r="C5047" s="64"/>
      <c r="D5047" s="64"/>
      <c r="E5047" s="64"/>
      <c r="F5047" s="64"/>
      <c r="G5047" s="64"/>
    </row>
    <row r="5048" spans="2:7" ht="32.25" customHeight="1" x14ac:dyDescent="0.25">
      <c r="B5048" s="64"/>
      <c r="C5048" s="64"/>
      <c r="D5048" s="64"/>
      <c r="E5048" s="64"/>
      <c r="F5048" s="64"/>
      <c r="G5048" s="64"/>
    </row>
    <row r="5049" spans="2:7" ht="32.25" customHeight="1" x14ac:dyDescent="0.25">
      <c r="B5049" s="64"/>
      <c r="C5049" s="64"/>
      <c r="D5049" s="64"/>
      <c r="E5049" s="64"/>
      <c r="F5049" s="64"/>
      <c r="G5049" s="64"/>
    </row>
    <row r="5050" spans="2:7" ht="32.25" customHeight="1" x14ac:dyDescent="0.25">
      <c r="B5050" s="64"/>
      <c r="C5050" s="64"/>
      <c r="D5050" s="64"/>
      <c r="E5050" s="64"/>
      <c r="F5050" s="64"/>
      <c r="G5050" s="64"/>
    </row>
    <row r="5051" spans="2:7" ht="32.25" customHeight="1" x14ac:dyDescent="0.25">
      <c r="B5051" s="64"/>
      <c r="C5051" s="64"/>
      <c r="D5051" s="64"/>
      <c r="E5051" s="64"/>
      <c r="F5051" s="64"/>
      <c r="G5051" s="64"/>
    </row>
    <row r="5052" spans="2:7" ht="32.25" customHeight="1" x14ac:dyDescent="0.25">
      <c r="B5052" s="64"/>
      <c r="C5052" s="64"/>
      <c r="D5052" s="64"/>
      <c r="E5052" s="64"/>
      <c r="F5052" s="64"/>
      <c r="G5052" s="64"/>
    </row>
    <row r="5053" spans="2:7" ht="32.25" customHeight="1" x14ac:dyDescent="0.25">
      <c r="B5053" s="64"/>
      <c r="C5053" s="64"/>
      <c r="D5053" s="64"/>
      <c r="E5053" s="64"/>
      <c r="F5053" s="64"/>
      <c r="G5053" s="64"/>
    </row>
    <row r="5054" spans="2:7" ht="32.25" customHeight="1" x14ac:dyDescent="0.25">
      <c r="B5054" s="64"/>
      <c r="C5054" s="64"/>
      <c r="D5054" s="64"/>
      <c r="E5054" s="64"/>
      <c r="F5054" s="64"/>
      <c r="G5054" s="64"/>
    </row>
    <row r="5055" spans="2:7" ht="32.25" customHeight="1" x14ac:dyDescent="0.25">
      <c r="B5055" s="64"/>
      <c r="C5055" s="64"/>
      <c r="D5055" s="64"/>
      <c r="E5055" s="64"/>
      <c r="F5055" s="64"/>
      <c r="G5055" s="64"/>
    </row>
    <row r="5056" spans="2:7" ht="32.25" customHeight="1" x14ac:dyDescent="0.25">
      <c r="B5056" s="64"/>
      <c r="C5056" s="64"/>
      <c r="D5056" s="64"/>
      <c r="E5056" s="64"/>
      <c r="F5056" s="64"/>
      <c r="G5056" s="64"/>
    </row>
    <row r="5057" spans="2:7" ht="32.25" customHeight="1" x14ac:dyDescent="0.25">
      <c r="B5057" s="64"/>
      <c r="C5057" s="64"/>
      <c r="D5057" s="64"/>
      <c r="E5057" s="64"/>
      <c r="F5057" s="64"/>
      <c r="G5057" s="64"/>
    </row>
    <row r="5058" spans="2:7" ht="32.25" customHeight="1" x14ac:dyDescent="0.25">
      <c r="B5058" s="64"/>
      <c r="C5058" s="64"/>
      <c r="D5058" s="64"/>
      <c r="E5058" s="64"/>
      <c r="F5058" s="64"/>
      <c r="G5058" s="64"/>
    </row>
    <row r="5059" spans="2:7" ht="32.25" customHeight="1" x14ac:dyDescent="0.25">
      <c r="B5059" s="64"/>
      <c r="C5059" s="64"/>
      <c r="D5059" s="64"/>
      <c r="E5059" s="64"/>
      <c r="F5059" s="64"/>
      <c r="G5059" s="64"/>
    </row>
    <row r="5060" spans="2:7" ht="32.25" customHeight="1" x14ac:dyDescent="0.25">
      <c r="B5060" s="64"/>
      <c r="C5060" s="64"/>
      <c r="D5060" s="64"/>
      <c r="E5060" s="64"/>
      <c r="F5060" s="64"/>
      <c r="G5060" s="64"/>
    </row>
    <row r="5061" spans="2:7" ht="32.25" customHeight="1" x14ac:dyDescent="0.25">
      <c r="B5061" s="64"/>
      <c r="C5061" s="64"/>
      <c r="D5061" s="64"/>
      <c r="E5061" s="64"/>
      <c r="F5061" s="64"/>
      <c r="G5061" s="64"/>
    </row>
    <row r="5062" spans="2:7" ht="32.25" customHeight="1" x14ac:dyDescent="0.25">
      <c r="B5062" s="64"/>
      <c r="C5062" s="64"/>
      <c r="D5062" s="64"/>
      <c r="E5062" s="64"/>
      <c r="F5062" s="64"/>
      <c r="G5062" s="64"/>
    </row>
    <row r="5063" spans="2:7" ht="32.25" customHeight="1" x14ac:dyDescent="0.25">
      <c r="B5063" s="64"/>
      <c r="C5063" s="64"/>
      <c r="D5063" s="64"/>
      <c r="E5063" s="64"/>
      <c r="F5063" s="64"/>
      <c r="G5063" s="64"/>
    </row>
    <row r="5064" spans="2:7" ht="32.25" customHeight="1" x14ac:dyDescent="0.25">
      <c r="B5064" s="64"/>
      <c r="C5064" s="64"/>
      <c r="D5064" s="64"/>
      <c r="E5064" s="64"/>
      <c r="F5064" s="64"/>
      <c r="G5064" s="64"/>
    </row>
    <row r="5065" spans="2:7" ht="32.25" customHeight="1" x14ac:dyDescent="0.25">
      <c r="B5065" s="64"/>
      <c r="C5065" s="64"/>
      <c r="D5065" s="64"/>
      <c r="E5065" s="64"/>
      <c r="F5065" s="64"/>
      <c r="G5065" s="64"/>
    </row>
    <row r="5066" spans="2:7" ht="32.25" customHeight="1" x14ac:dyDescent="0.25">
      <c r="B5066" s="64"/>
      <c r="C5066" s="64"/>
      <c r="D5066" s="64"/>
      <c r="E5066" s="64"/>
      <c r="F5066" s="64"/>
      <c r="G5066" s="64"/>
    </row>
    <row r="5067" spans="2:7" ht="32.25" customHeight="1" x14ac:dyDescent="0.25">
      <c r="B5067" s="64"/>
      <c r="C5067" s="64"/>
      <c r="D5067" s="64"/>
      <c r="E5067" s="64"/>
      <c r="F5067" s="64"/>
      <c r="G5067" s="64"/>
    </row>
    <row r="5068" spans="2:7" ht="32.25" customHeight="1" x14ac:dyDescent="0.25">
      <c r="B5068" s="64"/>
      <c r="C5068" s="64"/>
      <c r="D5068" s="64"/>
      <c r="E5068" s="64"/>
      <c r="F5068" s="64"/>
      <c r="G5068" s="64"/>
    </row>
    <row r="5069" spans="2:7" ht="32.25" customHeight="1" x14ac:dyDescent="0.25">
      <c r="B5069" s="64"/>
      <c r="C5069" s="64"/>
      <c r="D5069" s="64"/>
      <c r="E5069" s="64"/>
      <c r="F5069" s="64"/>
      <c r="G5069" s="64"/>
    </row>
    <row r="5070" spans="2:7" ht="32.25" customHeight="1" x14ac:dyDescent="0.25">
      <c r="B5070" s="64"/>
      <c r="C5070" s="64"/>
      <c r="D5070" s="64"/>
      <c r="E5070" s="64"/>
      <c r="F5070" s="64"/>
      <c r="G5070" s="64"/>
    </row>
    <row r="5071" spans="2:7" ht="32.25" customHeight="1" x14ac:dyDescent="0.25">
      <c r="B5071" s="64"/>
      <c r="C5071" s="64"/>
      <c r="D5071" s="64"/>
      <c r="E5071" s="64"/>
      <c r="F5071" s="64"/>
      <c r="G5071" s="64"/>
    </row>
    <row r="5072" spans="2:7" ht="32.25" customHeight="1" x14ac:dyDescent="0.25">
      <c r="B5072" s="64"/>
      <c r="C5072" s="64"/>
      <c r="D5072" s="64"/>
      <c r="E5072" s="64"/>
      <c r="F5072" s="64"/>
      <c r="G5072" s="64"/>
    </row>
    <row r="5073" spans="2:7" ht="32.25" customHeight="1" x14ac:dyDescent="0.25">
      <c r="B5073" s="64"/>
      <c r="C5073" s="64"/>
      <c r="D5073" s="64"/>
      <c r="E5073" s="64"/>
      <c r="F5073" s="64"/>
      <c r="G5073" s="64"/>
    </row>
    <row r="5074" spans="2:7" ht="32.25" customHeight="1" x14ac:dyDescent="0.25">
      <c r="B5074" s="64"/>
      <c r="C5074" s="64"/>
      <c r="D5074" s="64"/>
      <c r="E5074" s="64"/>
      <c r="F5074" s="64"/>
      <c r="G5074" s="64"/>
    </row>
    <row r="5075" spans="2:7" ht="32.25" customHeight="1" x14ac:dyDescent="0.25">
      <c r="B5075" s="64"/>
      <c r="C5075" s="64"/>
      <c r="D5075" s="64"/>
      <c r="E5075" s="64"/>
      <c r="F5075" s="64"/>
      <c r="G5075" s="64"/>
    </row>
    <row r="5076" spans="2:7" ht="32.25" customHeight="1" x14ac:dyDescent="0.25">
      <c r="B5076" s="64"/>
      <c r="C5076" s="64"/>
      <c r="D5076" s="64"/>
      <c r="E5076" s="64"/>
      <c r="F5076" s="64"/>
      <c r="G5076" s="64"/>
    </row>
    <row r="5077" spans="2:7" ht="32.25" customHeight="1" x14ac:dyDescent="0.25">
      <c r="B5077" s="64"/>
      <c r="C5077" s="64"/>
      <c r="D5077" s="64"/>
      <c r="E5077" s="64"/>
      <c r="F5077" s="64"/>
      <c r="G5077" s="64"/>
    </row>
    <row r="5078" spans="2:7" ht="32.25" customHeight="1" x14ac:dyDescent="0.25">
      <c r="B5078" s="64"/>
      <c r="C5078" s="64"/>
      <c r="D5078" s="64"/>
      <c r="E5078" s="64"/>
      <c r="F5078" s="64"/>
      <c r="G5078" s="64"/>
    </row>
    <row r="5079" spans="2:7" ht="32.25" customHeight="1" x14ac:dyDescent="0.25">
      <c r="B5079" s="64"/>
      <c r="C5079" s="64"/>
      <c r="D5079" s="64"/>
      <c r="E5079" s="64"/>
      <c r="F5079" s="64"/>
      <c r="G5079" s="64"/>
    </row>
    <row r="5080" spans="2:7" ht="32.25" customHeight="1" x14ac:dyDescent="0.25">
      <c r="B5080" s="64"/>
      <c r="C5080" s="64"/>
      <c r="D5080" s="64"/>
      <c r="E5080" s="64"/>
      <c r="F5080" s="64"/>
      <c r="G5080" s="64"/>
    </row>
    <row r="5081" spans="2:7" ht="32.25" customHeight="1" x14ac:dyDescent="0.25">
      <c r="B5081" s="64"/>
      <c r="C5081" s="64"/>
      <c r="D5081" s="64"/>
      <c r="E5081" s="64"/>
      <c r="F5081" s="64"/>
      <c r="G5081" s="64"/>
    </row>
    <row r="5082" spans="2:7" ht="32.25" customHeight="1" x14ac:dyDescent="0.25">
      <c r="B5082" s="64"/>
      <c r="C5082" s="64"/>
      <c r="D5082" s="64"/>
      <c r="E5082" s="64"/>
      <c r="F5082" s="64"/>
      <c r="G5082" s="64"/>
    </row>
    <row r="5083" spans="2:7" ht="32.25" customHeight="1" x14ac:dyDescent="0.25">
      <c r="B5083" s="64"/>
      <c r="C5083" s="64"/>
      <c r="D5083" s="64"/>
      <c r="E5083" s="64"/>
      <c r="F5083" s="64"/>
      <c r="G5083" s="64"/>
    </row>
    <row r="5084" spans="2:7" ht="32.25" customHeight="1" x14ac:dyDescent="0.25">
      <c r="B5084" s="64"/>
      <c r="C5084" s="64"/>
      <c r="D5084" s="64"/>
      <c r="E5084" s="64"/>
      <c r="F5084" s="64"/>
      <c r="G5084" s="64"/>
    </row>
    <row r="5085" spans="2:7" ht="32.25" customHeight="1" x14ac:dyDescent="0.25">
      <c r="B5085" s="64"/>
      <c r="C5085" s="64"/>
      <c r="D5085" s="64"/>
      <c r="E5085" s="64"/>
      <c r="F5085" s="64"/>
      <c r="G5085" s="64"/>
    </row>
    <row r="5086" spans="2:7" ht="32.25" customHeight="1" x14ac:dyDescent="0.25">
      <c r="B5086" s="64"/>
      <c r="C5086" s="64"/>
      <c r="D5086" s="64"/>
      <c r="E5086" s="64"/>
      <c r="F5086" s="64"/>
      <c r="G5086" s="64"/>
    </row>
    <row r="5087" spans="2:7" ht="32.25" customHeight="1" x14ac:dyDescent="0.25">
      <c r="B5087" s="64"/>
      <c r="C5087" s="64"/>
      <c r="D5087" s="64"/>
      <c r="E5087" s="64"/>
      <c r="F5087" s="64"/>
      <c r="G5087" s="64"/>
    </row>
    <row r="5088" spans="2:7" ht="32.25" customHeight="1" x14ac:dyDescent="0.25">
      <c r="B5088" s="64"/>
      <c r="C5088" s="64"/>
      <c r="D5088" s="64"/>
      <c r="E5088" s="64"/>
      <c r="F5088" s="64"/>
      <c r="G5088" s="64"/>
    </row>
    <row r="5089" spans="2:7" ht="32.25" customHeight="1" x14ac:dyDescent="0.25">
      <c r="B5089" s="64"/>
      <c r="C5089" s="64"/>
      <c r="D5089" s="64"/>
      <c r="E5089" s="64"/>
      <c r="F5089" s="64"/>
      <c r="G5089" s="64"/>
    </row>
    <row r="5090" spans="2:7" ht="32.25" customHeight="1" x14ac:dyDescent="0.25">
      <c r="B5090" s="64"/>
      <c r="C5090" s="64"/>
      <c r="D5090" s="64"/>
      <c r="E5090" s="64"/>
      <c r="F5090" s="64"/>
      <c r="G5090" s="64"/>
    </row>
    <row r="5091" spans="2:7" ht="32.25" customHeight="1" x14ac:dyDescent="0.25">
      <c r="B5091" s="64"/>
      <c r="C5091" s="64"/>
      <c r="D5091" s="64"/>
      <c r="E5091" s="64"/>
      <c r="F5091" s="64"/>
      <c r="G5091" s="64"/>
    </row>
    <row r="5092" spans="2:7" ht="32.25" customHeight="1" x14ac:dyDescent="0.25">
      <c r="B5092" s="64"/>
      <c r="C5092" s="64"/>
      <c r="D5092" s="64"/>
      <c r="E5092" s="64"/>
      <c r="F5092" s="64"/>
      <c r="G5092" s="64"/>
    </row>
    <row r="5093" spans="2:7" ht="32.25" customHeight="1" x14ac:dyDescent="0.25">
      <c r="B5093" s="64"/>
      <c r="C5093" s="64"/>
      <c r="D5093" s="64"/>
      <c r="E5093" s="64"/>
      <c r="F5093" s="64"/>
      <c r="G5093" s="64"/>
    </row>
    <row r="5094" spans="2:7" ht="32.25" customHeight="1" x14ac:dyDescent="0.25">
      <c r="B5094" s="64"/>
      <c r="C5094" s="64"/>
      <c r="D5094" s="64"/>
      <c r="E5094" s="64"/>
      <c r="F5094" s="64"/>
      <c r="G5094" s="64"/>
    </row>
    <row r="5095" spans="2:7" ht="32.25" customHeight="1" x14ac:dyDescent="0.25">
      <c r="B5095" s="64"/>
      <c r="C5095" s="64"/>
      <c r="D5095" s="64"/>
      <c r="E5095" s="64"/>
      <c r="F5095" s="64"/>
      <c r="G5095" s="64"/>
    </row>
    <row r="5096" spans="2:7" ht="32.25" customHeight="1" x14ac:dyDescent="0.25">
      <c r="B5096" s="64"/>
      <c r="C5096" s="64"/>
      <c r="D5096" s="64"/>
      <c r="E5096" s="64"/>
      <c r="F5096" s="64"/>
      <c r="G5096" s="64"/>
    </row>
    <row r="5097" spans="2:7" ht="32.25" customHeight="1" x14ac:dyDescent="0.25">
      <c r="B5097" s="64"/>
      <c r="C5097" s="64"/>
      <c r="D5097" s="64"/>
      <c r="E5097" s="64"/>
      <c r="F5097" s="64"/>
      <c r="G5097" s="64"/>
    </row>
    <row r="5098" spans="2:7" ht="32.25" customHeight="1" x14ac:dyDescent="0.25">
      <c r="B5098" s="64"/>
      <c r="C5098" s="64"/>
      <c r="D5098" s="64"/>
      <c r="E5098" s="64"/>
      <c r="F5098" s="64"/>
      <c r="G5098" s="64"/>
    </row>
    <row r="5099" spans="2:7" ht="32.25" customHeight="1" x14ac:dyDescent="0.25">
      <c r="B5099" s="64"/>
      <c r="C5099" s="64"/>
      <c r="D5099" s="64"/>
      <c r="E5099" s="64"/>
      <c r="F5099" s="64"/>
      <c r="G5099" s="64"/>
    </row>
    <row r="5100" spans="2:7" ht="32.25" customHeight="1" x14ac:dyDescent="0.25">
      <c r="B5100" s="64"/>
      <c r="C5100" s="64"/>
      <c r="D5100" s="64"/>
      <c r="E5100" s="64"/>
      <c r="F5100" s="64"/>
      <c r="G5100" s="64"/>
    </row>
    <row r="5101" spans="2:7" ht="32.25" customHeight="1" x14ac:dyDescent="0.25">
      <c r="B5101" s="64"/>
      <c r="C5101" s="64"/>
      <c r="D5101" s="64"/>
      <c r="E5101" s="64"/>
      <c r="F5101" s="64"/>
      <c r="G5101" s="64"/>
    </row>
    <row r="5102" spans="2:7" ht="32.25" customHeight="1" x14ac:dyDescent="0.25">
      <c r="B5102" s="64"/>
      <c r="C5102" s="64"/>
      <c r="D5102" s="64"/>
      <c r="E5102" s="64"/>
      <c r="F5102" s="64"/>
      <c r="G5102" s="64"/>
    </row>
    <row r="5103" spans="2:7" ht="32.25" customHeight="1" x14ac:dyDescent="0.25">
      <c r="B5103" s="64"/>
      <c r="C5103" s="64"/>
      <c r="D5103" s="64"/>
      <c r="E5103" s="64"/>
      <c r="F5103" s="64"/>
      <c r="G5103" s="64"/>
    </row>
    <row r="5104" spans="2:7" ht="32.25" customHeight="1" x14ac:dyDescent="0.25">
      <c r="B5104" s="64"/>
      <c r="C5104" s="64"/>
      <c r="D5104" s="64"/>
      <c r="E5104" s="64"/>
      <c r="F5104" s="64"/>
      <c r="G5104" s="64"/>
    </row>
    <row r="5105" spans="2:7" ht="32.25" customHeight="1" x14ac:dyDescent="0.25">
      <c r="B5105" s="64"/>
      <c r="C5105" s="64"/>
      <c r="D5105" s="64"/>
      <c r="E5105" s="64"/>
      <c r="F5105" s="64"/>
      <c r="G5105" s="64"/>
    </row>
    <row r="5106" spans="2:7" ht="32.25" customHeight="1" x14ac:dyDescent="0.25">
      <c r="B5106" s="64"/>
      <c r="C5106" s="64"/>
      <c r="D5106" s="64"/>
      <c r="E5106" s="64"/>
      <c r="F5106" s="64"/>
      <c r="G5106" s="64"/>
    </row>
    <row r="5107" spans="2:7" ht="32.25" customHeight="1" x14ac:dyDescent="0.25">
      <c r="B5107" s="64"/>
      <c r="C5107" s="64"/>
      <c r="D5107" s="64"/>
      <c r="E5107" s="64"/>
      <c r="F5107" s="64"/>
      <c r="G5107" s="64"/>
    </row>
    <row r="5108" spans="2:7" ht="32.25" customHeight="1" x14ac:dyDescent="0.25">
      <c r="B5108" s="64"/>
      <c r="C5108" s="64"/>
      <c r="D5108" s="64"/>
      <c r="E5108" s="64"/>
      <c r="F5108" s="64"/>
      <c r="G5108" s="64"/>
    </row>
    <row r="5109" spans="2:7" ht="32.25" customHeight="1" x14ac:dyDescent="0.25">
      <c r="B5109" s="64"/>
      <c r="C5109" s="64"/>
      <c r="D5109" s="64"/>
      <c r="E5109" s="64"/>
      <c r="F5109" s="64"/>
      <c r="G5109" s="64"/>
    </row>
    <row r="5110" spans="2:7" ht="32.25" customHeight="1" x14ac:dyDescent="0.25">
      <c r="B5110" s="64"/>
      <c r="C5110" s="64"/>
      <c r="D5110" s="64"/>
      <c r="E5110" s="64"/>
      <c r="F5110" s="64"/>
      <c r="G5110" s="64"/>
    </row>
    <row r="5111" spans="2:7" ht="32.25" customHeight="1" x14ac:dyDescent="0.25">
      <c r="B5111" s="64"/>
      <c r="C5111" s="64"/>
      <c r="D5111" s="64"/>
      <c r="E5111" s="64"/>
      <c r="F5111" s="64"/>
      <c r="G5111" s="64"/>
    </row>
    <row r="5112" spans="2:7" ht="32.25" customHeight="1" x14ac:dyDescent="0.25">
      <c r="B5112" s="64"/>
      <c r="C5112" s="64"/>
      <c r="D5112" s="64"/>
      <c r="E5112" s="64"/>
      <c r="F5112" s="64"/>
      <c r="G5112" s="64"/>
    </row>
    <row r="5113" spans="2:7" ht="32.25" customHeight="1" x14ac:dyDescent="0.25">
      <c r="B5113" s="64"/>
      <c r="C5113" s="64"/>
      <c r="D5113" s="64"/>
      <c r="E5113" s="64"/>
      <c r="F5113" s="64"/>
      <c r="G5113" s="64"/>
    </row>
    <row r="5114" spans="2:7" ht="32.25" customHeight="1" x14ac:dyDescent="0.25">
      <c r="B5114" s="64"/>
      <c r="C5114" s="64"/>
      <c r="D5114" s="64"/>
      <c r="E5114" s="64"/>
      <c r="F5114" s="64"/>
      <c r="G5114" s="64"/>
    </row>
    <row r="5115" spans="2:7" ht="32.25" customHeight="1" x14ac:dyDescent="0.25">
      <c r="B5115" s="64"/>
      <c r="C5115" s="64"/>
      <c r="D5115" s="64"/>
      <c r="E5115" s="64"/>
      <c r="F5115" s="64"/>
      <c r="G5115" s="64"/>
    </row>
    <row r="5116" spans="2:7" ht="32.25" customHeight="1" x14ac:dyDescent="0.25">
      <c r="B5116" s="64"/>
      <c r="C5116" s="64"/>
      <c r="D5116" s="64"/>
      <c r="E5116" s="64"/>
      <c r="F5116" s="64"/>
      <c r="G5116" s="64"/>
    </row>
    <row r="5117" spans="2:7" ht="32.25" customHeight="1" x14ac:dyDescent="0.25">
      <c r="B5117" s="64"/>
      <c r="C5117" s="64"/>
      <c r="D5117" s="64"/>
      <c r="E5117" s="64"/>
      <c r="F5117" s="64"/>
      <c r="G5117" s="64"/>
    </row>
    <row r="5118" spans="2:7" ht="32.25" customHeight="1" x14ac:dyDescent="0.25">
      <c r="B5118" s="64"/>
      <c r="C5118" s="64"/>
      <c r="D5118" s="64"/>
      <c r="E5118" s="64"/>
      <c r="F5118" s="64"/>
      <c r="G5118" s="64"/>
    </row>
    <row r="5119" spans="2:7" ht="32.25" customHeight="1" x14ac:dyDescent="0.25">
      <c r="B5119" s="64"/>
      <c r="C5119" s="64"/>
      <c r="D5119" s="64"/>
      <c r="E5119" s="64"/>
      <c r="F5119" s="64"/>
      <c r="G5119" s="64"/>
    </row>
    <row r="5120" spans="2:7" ht="32.25" customHeight="1" x14ac:dyDescent="0.25">
      <c r="B5120" s="64"/>
      <c r="C5120" s="64"/>
      <c r="D5120" s="64"/>
      <c r="E5120" s="64"/>
      <c r="F5120" s="64"/>
      <c r="G5120" s="64"/>
    </row>
    <row r="5121" spans="2:7" ht="32.25" customHeight="1" x14ac:dyDescent="0.25">
      <c r="B5121" s="64"/>
      <c r="C5121" s="64"/>
      <c r="D5121" s="64"/>
      <c r="E5121" s="64"/>
      <c r="F5121" s="64"/>
      <c r="G5121" s="64"/>
    </row>
    <row r="5122" spans="2:7" ht="32.25" customHeight="1" x14ac:dyDescent="0.25">
      <c r="B5122" s="64"/>
      <c r="C5122" s="64"/>
      <c r="D5122" s="64"/>
      <c r="E5122" s="64"/>
      <c r="F5122" s="64"/>
      <c r="G5122" s="64"/>
    </row>
    <row r="5123" spans="2:7" ht="32.25" customHeight="1" x14ac:dyDescent="0.25">
      <c r="B5123" s="64"/>
      <c r="C5123" s="64"/>
      <c r="D5123" s="64"/>
      <c r="E5123" s="64"/>
      <c r="F5123" s="64"/>
      <c r="G5123" s="64"/>
    </row>
    <row r="5124" spans="2:7" ht="32.25" customHeight="1" x14ac:dyDescent="0.25">
      <c r="B5124" s="64"/>
      <c r="C5124" s="64"/>
      <c r="D5124" s="64"/>
      <c r="E5124" s="64"/>
      <c r="F5124" s="64"/>
      <c r="G5124" s="64"/>
    </row>
    <row r="5125" spans="2:7" ht="32.25" customHeight="1" x14ac:dyDescent="0.25">
      <c r="B5125" s="64"/>
      <c r="C5125" s="64"/>
      <c r="D5125" s="64"/>
      <c r="E5125" s="64"/>
      <c r="F5125" s="64"/>
      <c r="G5125" s="64"/>
    </row>
    <row r="5126" spans="2:7" ht="32.25" customHeight="1" x14ac:dyDescent="0.25">
      <c r="B5126" s="64"/>
      <c r="C5126" s="64"/>
      <c r="D5126" s="64"/>
      <c r="E5126" s="64"/>
      <c r="F5126" s="64"/>
      <c r="G5126" s="64"/>
    </row>
    <row r="5127" spans="2:7" ht="32.25" customHeight="1" x14ac:dyDescent="0.25">
      <c r="B5127" s="64"/>
      <c r="C5127" s="64"/>
      <c r="D5127" s="64"/>
      <c r="E5127" s="64"/>
      <c r="F5127" s="64"/>
      <c r="G5127" s="64"/>
    </row>
    <row r="5128" spans="2:7" ht="32.25" customHeight="1" x14ac:dyDescent="0.25">
      <c r="B5128" s="64"/>
      <c r="C5128" s="64"/>
      <c r="D5128" s="64"/>
      <c r="E5128" s="64"/>
      <c r="F5128" s="64"/>
      <c r="G5128" s="64"/>
    </row>
    <row r="5129" spans="2:7" ht="32.25" customHeight="1" x14ac:dyDescent="0.25">
      <c r="B5129" s="64"/>
      <c r="C5129" s="64"/>
      <c r="D5129" s="64"/>
      <c r="E5129" s="64"/>
      <c r="F5129" s="64"/>
      <c r="G5129" s="64"/>
    </row>
    <row r="5130" spans="2:7" ht="32.25" customHeight="1" x14ac:dyDescent="0.25">
      <c r="B5130" s="64"/>
      <c r="C5130" s="64"/>
      <c r="D5130" s="64"/>
      <c r="E5130" s="64"/>
      <c r="F5130" s="64"/>
      <c r="G5130" s="64"/>
    </row>
    <row r="5131" spans="2:7" ht="32.25" customHeight="1" x14ac:dyDescent="0.25">
      <c r="B5131" s="64"/>
      <c r="C5131" s="64"/>
      <c r="D5131" s="64"/>
      <c r="E5131" s="64"/>
      <c r="F5131" s="64"/>
      <c r="G5131" s="64"/>
    </row>
    <row r="5132" spans="2:7" ht="32.25" customHeight="1" x14ac:dyDescent="0.25">
      <c r="B5132" s="64"/>
      <c r="C5132" s="64"/>
      <c r="D5132" s="64"/>
      <c r="E5132" s="64"/>
      <c r="F5132" s="64"/>
      <c r="G5132" s="64"/>
    </row>
    <row r="5133" spans="2:7" ht="32.25" customHeight="1" x14ac:dyDescent="0.25">
      <c r="B5133" s="64"/>
      <c r="C5133" s="64"/>
      <c r="D5133" s="64"/>
      <c r="E5133" s="64"/>
      <c r="F5133" s="64"/>
      <c r="G5133" s="64"/>
    </row>
    <row r="5134" spans="2:7" ht="32.25" customHeight="1" x14ac:dyDescent="0.25">
      <c r="B5134" s="64"/>
      <c r="C5134" s="64"/>
      <c r="D5134" s="64"/>
      <c r="E5134" s="64"/>
      <c r="F5134" s="64"/>
      <c r="G5134" s="64"/>
    </row>
    <row r="5135" spans="2:7" ht="32.25" customHeight="1" x14ac:dyDescent="0.25">
      <c r="B5135" s="64"/>
      <c r="C5135" s="64"/>
      <c r="D5135" s="64"/>
      <c r="E5135" s="64"/>
      <c r="F5135" s="64"/>
      <c r="G5135" s="64"/>
    </row>
    <row r="5136" spans="2:7" ht="32.25" customHeight="1" x14ac:dyDescent="0.25">
      <c r="B5136" s="64"/>
      <c r="C5136" s="64"/>
      <c r="D5136" s="64"/>
      <c r="E5136" s="64"/>
      <c r="F5136" s="64"/>
      <c r="G5136" s="64"/>
    </row>
    <row r="5137" spans="2:7" ht="32.25" customHeight="1" x14ac:dyDescent="0.25">
      <c r="B5137" s="64"/>
      <c r="C5137" s="64"/>
      <c r="D5137" s="64"/>
      <c r="E5137" s="64"/>
      <c r="F5137" s="64"/>
      <c r="G5137" s="64"/>
    </row>
    <row r="5138" spans="2:7" ht="32.25" customHeight="1" x14ac:dyDescent="0.25">
      <c r="B5138" s="64"/>
      <c r="C5138" s="64"/>
      <c r="D5138" s="64"/>
      <c r="E5138" s="64"/>
      <c r="F5138" s="64"/>
      <c r="G5138" s="64"/>
    </row>
    <row r="5139" spans="2:7" ht="32.25" customHeight="1" x14ac:dyDescent="0.25">
      <c r="B5139" s="64"/>
      <c r="C5139" s="64"/>
      <c r="D5139" s="64"/>
      <c r="E5139" s="64"/>
      <c r="F5139" s="64"/>
      <c r="G5139" s="64"/>
    </row>
    <row r="5140" spans="2:7" ht="32.25" customHeight="1" x14ac:dyDescent="0.25">
      <c r="B5140" s="64"/>
      <c r="C5140" s="64"/>
      <c r="D5140" s="64"/>
      <c r="E5140" s="64"/>
      <c r="F5140" s="64"/>
      <c r="G5140" s="64"/>
    </row>
    <row r="5141" spans="2:7" ht="32.25" customHeight="1" x14ac:dyDescent="0.25">
      <c r="B5141" s="64"/>
      <c r="C5141" s="64"/>
      <c r="D5141" s="64"/>
      <c r="E5141" s="64"/>
      <c r="F5141" s="64"/>
      <c r="G5141" s="64"/>
    </row>
    <row r="5142" spans="2:7" ht="32.25" customHeight="1" x14ac:dyDescent="0.25">
      <c r="B5142" s="64"/>
      <c r="C5142" s="64"/>
      <c r="D5142" s="64"/>
      <c r="E5142" s="64"/>
      <c r="F5142" s="64"/>
      <c r="G5142" s="64"/>
    </row>
    <row r="5143" spans="2:7" ht="32.25" customHeight="1" x14ac:dyDescent="0.25">
      <c r="B5143" s="64"/>
      <c r="C5143" s="64"/>
      <c r="D5143" s="64"/>
      <c r="E5143" s="64"/>
      <c r="F5143" s="64"/>
      <c r="G5143" s="64"/>
    </row>
    <row r="5144" spans="2:7" ht="32.25" customHeight="1" x14ac:dyDescent="0.25">
      <c r="B5144" s="64"/>
      <c r="C5144" s="64"/>
      <c r="D5144" s="64"/>
      <c r="E5144" s="64"/>
      <c r="F5144" s="64"/>
      <c r="G5144" s="64"/>
    </row>
    <row r="5145" spans="2:7" ht="32.25" customHeight="1" x14ac:dyDescent="0.25">
      <c r="B5145" s="64"/>
      <c r="C5145" s="64"/>
      <c r="D5145" s="64"/>
      <c r="E5145" s="64"/>
      <c r="F5145" s="64"/>
      <c r="G5145" s="64"/>
    </row>
    <row r="5146" spans="2:7" ht="32.25" customHeight="1" x14ac:dyDescent="0.25">
      <c r="B5146" s="64"/>
      <c r="C5146" s="64"/>
      <c r="D5146" s="64"/>
      <c r="E5146" s="64"/>
      <c r="F5146" s="64"/>
      <c r="G5146" s="64"/>
    </row>
    <row r="5147" spans="2:7" ht="32.25" customHeight="1" x14ac:dyDescent="0.25">
      <c r="B5147" s="64"/>
      <c r="C5147" s="64"/>
      <c r="D5147" s="64"/>
      <c r="E5147" s="64"/>
      <c r="F5147" s="64"/>
      <c r="G5147" s="64"/>
    </row>
    <row r="5148" spans="2:7" ht="32.25" customHeight="1" x14ac:dyDescent="0.25">
      <c r="B5148" s="64"/>
      <c r="C5148" s="64"/>
      <c r="D5148" s="64"/>
      <c r="E5148" s="64"/>
      <c r="F5148" s="64"/>
      <c r="G5148" s="64"/>
    </row>
    <row r="5149" spans="2:7" ht="32.25" customHeight="1" x14ac:dyDescent="0.25">
      <c r="B5149" s="64"/>
      <c r="C5149" s="64"/>
      <c r="D5149" s="64"/>
      <c r="E5149" s="64"/>
      <c r="F5149" s="64"/>
      <c r="G5149" s="64"/>
    </row>
    <row r="5150" spans="2:7" ht="32.25" customHeight="1" x14ac:dyDescent="0.25">
      <c r="B5150" s="64"/>
      <c r="C5150" s="64"/>
      <c r="D5150" s="64"/>
      <c r="E5150" s="64"/>
      <c r="F5150" s="64"/>
      <c r="G5150" s="64"/>
    </row>
    <row r="5151" spans="2:7" ht="32.25" customHeight="1" x14ac:dyDescent="0.25">
      <c r="B5151" s="64"/>
      <c r="C5151" s="64"/>
      <c r="D5151" s="64"/>
      <c r="E5151" s="64"/>
      <c r="F5151" s="64"/>
      <c r="G5151" s="64"/>
    </row>
    <row r="5152" spans="2:7" ht="32.25" customHeight="1" x14ac:dyDescent="0.25">
      <c r="B5152" s="64"/>
      <c r="C5152" s="64"/>
      <c r="D5152" s="64"/>
      <c r="E5152" s="64"/>
      <c r="F5152" s="64"/>
      <c r="G5152" s="64"/>
    </row>
    <row r="5153" spans="2:7" ht="32.25" customHeight="1" x14ac:dyDescent="0.25">
      <c r="B5153" s="64"/>
      <c r="C5153" s="64"/>
      <c r="D5153" s="64"/>
      <c r="E5153" s="64"/>
      <c r="F5153" s="64"/>
      <c r="G5153" s="64"/>
    </row>
    <row r="5154" spans="2:7" ht="32.25" customHeight="1" x14ac:dyDescent="0.25">
      <c r="B5154" s="64"/>
      <c r="C5154" s="64"/>
      <c r="D5154" s="64"/>
      <c r="E5154" s="64"/>
      <c r="F5154" s="64"/>
      <c r="G5154" s="64"/>
    </row>
    <row r="5155" spans="2:7" ht="32.25" customHeight="1" x14ac:dyDescent="0.25">
      <c r="B5155" s="64"/>
      <c r="C5155" s="64"/>
      <c r="D5155" s="64"/>
      <c r="E5155" s="64"/>
      <c r="F5155" s="64"/>
      <c r="G5155" s="64"/>
    </row>
    <row r="5156" spans="2:7" ht="32.25" customHeight="1" x14ac:dyDescent="0.25">
      <c r="B5156" s="64"/>
      <c r="C5156" s="64"/>
      <c r="D5156" s="64"/>
      <c r="E5156" s="64"/>
      <c r="F5156" s="64"/>
      <c r="G5156" s="64"/>
    </row>
    <row r="5157" spans="2:7" ht="32.25" customHeight="1" x14ac:dyDescent="0.25">
      <c r="B5157" s="64"/>
      <c r="C5157" s="64"/>
      <c r="D5157" s="64"/>
      <c r="E5157" s="64"/>
      <c r="F5157" s="64"/>
      <c r="G5157" s="64"/>
    </row>
    <row r="5158" spans="2:7" ht="32.25" customHeight="1" x14ac:dyDescent="0.25">
      <c r="B5158" s="64"/>
      <c r="C5158" s="64"/>
      <c r="D5158" s="64"/>
      <c r="E5158" s="64"/>
      <c r="F5158" s="64"/>
      <c r="G5158" s="64"/>
    </row>
    <row r="5159" spans="2:7" ht="32.25" customHeight="1" x14ac:dyDescent="0.25">
      <c r="B5159" s="64"/>
      <c r="C5159" s="64"/>
      <c r="D5159" s="64"/>
      <c r="E5159" s="64"/>
      <c r="F5159" s="64"/>
      <c r="G5159" s="64"/>
    </row>
    <row r="5160" spans="2:7" ht="32.25" customHeight="1" x14ac:dyDescent="0.25">
      <c r="B5160" s="64"/>
      <c r="C5160" s="64"/>
      <c r="D5160" s="64"/>
      <c r="E5160" s="64"/>
      <c r="F5160" s="64"/>
      <c r="G5160" s="64"/>
    </row>
    <row r="5161" spans="2:7" ht="32.25" customHeight="1" x14ac:dyDescent="0.25">
      <c r="B5161" s="64"/>
      <c r="C5161" s="64"/>
      <c r="D5161" s="64"/>
      <c r="E5161" s="64"/>
      <c r="F5161" s="64"/>
      <c r="G5161" s="64"/>
    </row>
    <row r="5162" spans="2:7" ht="32.25" customHeight="1" x14ac:dyDescent="0.25">
      <c r="B5162" s="64"/>
      <c r="C5162" s="64"/>
      <c r="D5162" s="64"/>
      <c r="E5162" s="64"/>
      <c r="F5162" s="64"/>
      <c r="G5162" s="64"/>
    </row>
    <row r="5163" spans="2:7" ht="32.25" customHeight="1" x14ac:dyDescent="0.25">
      <c r="B5163" s="64"/>
      <c r="C5163" s="64"/>
      <c r="D5163" s="64"/>
      <c r="E5163" s="64"/>
      <c r="F5163" s="64"/>
      <c r="G5163" s="64"/>
    </row>
    <row r="5164" spans="2:7" ht="32.25" customHeight="1" x14ac:dyDescent="0.25">
      <c r="B5164" s="64"/>
      <c r="C5164" s="64"/>
      <c r="D5164" s="64"/>
      <c r="E5164" s="64"/>
      <c r="F5164" s="64"/>
      <c r="G5164" s="64"/>
    </row>
    <row r="5165" spans="2:7" ht="32.25" customHeight="1" x14ac:dyDescent="0.25">
      <c r="B5165" s="64"/>
      <c r="C5165" s="64"/>
      <c r="D5165" s="64"/>
      <c r="E5165" s="64"/>
      <c r="F5165" s="64"/>
      <c r="G5165" s="64"/>
    </row>
    <row r="5166" spans="2:7" ht="32.25" customHeight="1" x14ac:dyDescent="0.25">
      <c r="B5166" s="64"/>
      <c r="C5166" s="64"/>
      <c r="D5166" s="64"/>
      <c r="E5166" s="64"/>
      <c r="F5166" s="64"/>
      <c r="G5166" s="64"/>
    </row>
    <row r="5167" spans="2:7" ht="32.25" customHeight="1" x14ac:dyDescent="0.25">
      <c r="B5167" s="64"/>
      <c r="C5167" s="64"/>
      <c r="D5167" s="64"/>
      <c r="E5167" s="64"/>
      <c r="F5167" s="64"/>
      <c r="G5167" s="64"/>
    </row>
    <row r="5168" spans="2:7" ht="32.25" customHeight="1" x14ac:dyDescent="0.25">
      <c r="B5168" s="64"/>
      <c r="C5168" s="64"/>
      <c r="D5168" s="64"/>
      <c r="E5168" s="64"/>
      <c r="F5168" s="64"/>
      <c r="G5168" s="64"/>
    </row>
    <row r="5169" spans="2:7" ht="32.25" customHeight="1" x14ac:dyDescent="0.25">
      <c r="B5169" s="64"/>
      <c r="C5169" s="64"/>
      <c r="D5169" s="64"/>
      <c r="E5169" s="64"/>
      <c r="F5169" s="64"/>
      <c r="G5169" s="64"/>
    </row>
    <row r="5170" spans="2:7" ht="32.25" customHeight="1" x14ac:dyDescent="0.25">
      <c r="B5170" s="64"/>
      <c r="C5170" s="64"/>
      <c r="D5170" s="64"/>
      <c r="E5170" s="64"/>
      <c r="F5170" s="64"/>
      <c r="G5170" s="64"/>
    </row>
    <row r="5171" spans="2:7" ht="32.25" customHeight="1" x14ac:dyDescent="0.25">
      <c r="B5171" s="64"/>
      <c r="C5171" s="64"/>
      <c r="D5171" s="64"/>
      <c r="E5171" s="64"/>
      <c r="F5171" s="64"/>
      <c r="G5171" s="64"/>
    </row>
    <row r="5172" spans="2:7" ht="32.25" customHeight="1" x14ac:dyDescent="0.25">
      <c r="B5172" s="64"/>
      <c r="C5172" s="64"/>
      <c r="D5172" s="64"/>
      <c r="E5172" s="64"/>
      <c r="F5172" s="64"/>
      <c r="G5172" s="64"/>
    </row>
    <row r="5173" spans="2:7" ht="32.25" customHeight="1" x14ac:dyDescent="0.25">
      <c r="B5173" s="64"/>
      <c r="C5173" s="64"/>
      <c r="D5173" s="64"/>
      <c r="E5173" s="64"/>
      <c r="F5173" s="64"/>
      <c r="G5173" s="64"/>
    </row>
    <row r="5174" spans="2:7" ht="32.25" customHeight="1" x14ac:dyDescent="0.25">
      <c r="B5174" s="64"/>
      <c r="C5174" s="64"/>
      <c r="D5174" s="64"/>
      <c r="E5174" s="64"/>
      <c r="F5174" s="64"/>
      <c r="G5174" s="64"/>
    </row>
    <row r="5175" spans="2:7" ht="32.25" customHeight="1" x14ac:dyDescent="0.25">
      <c r="B5175" s="64"/>
      <c r="C5175" s="64"/>
      <c r="D5175" s="64"/>
      <c r="E5175" s="64"/>
      <c r="F5175" s="64"/>
      <c r="G5175" s="64"/>
    </row>
    <row r="5176" spans="2:7" ht="32.25" customHeight="1" x14ac:dyDescent="0.25">
      <c r="B5176" s="64"/>
      <c r="C5176" s="64"/>
      <c r="D5176" s="64"/>
      <c r="E5176" s="64"/>
      <c r="F5176" s="64"/>
      <c r="G5176" s="64"/>
    </row>
    <row r="5177" spans="2:7" ht="32.25" customHeight="1" x14ac:dyDescent="0.25">
      <c r="B5177" s="64"/>
      <c r="C5177" s="64"/>
      <c r="D5177" s="64"/>
      <c r="E5177" s="64"/>
      <c r="F5177" s="64"/>
      <c r="G5177" s="64"/>
    </row>
    <row r="5178" spans="2:7" ht="32.25" customHeight="1" x14ac:dyDescent="0.25">
      <c r="B5178" s="64"/>
      <c r="C5178" s="64"/>
      <c r="D5178" s="64"/>
      <c r="E5178" s="64"/>
      <c r="F5178" s="64"/>
      <c r="G5178" s="64"/>
    </row>
    <row r="5179" spans="2:7" ht="32.25" customHeight="1" x14ac:dyDescent="0.25">
      <c r="B5179" s="64"/>
      <c r="C5179" s="64"/>
      <c r="D5179" s="64"/>
      <c r="E5179" s="64"/>
      <c r="F5179" s="64"/>
      <c r="G5179" s="64"/>
    </row>
    <row r="5180" spans="2:7" ht="32.25" customHeight="1" x14ac:dyDescent="0.25">
      <c r="B5180" s="64"/>
      <c r="C5180" s="64"/>
      <c r="D5180" s="64"/>
      <c r="E5180" s="64"/>
      <c r="F5180" s="64"/>
      <c r="G5180" s="64"/>
    </row>
    <row r="5181" spans="2:7" ht="32.25" customHeight="1" x14ac:dyDescent="0.25">
      <c r="B5181" s="64"/>
      <c r="C5181" s="64"/>
      <c r="D5181" s="64"/>
      <c r="E5181" s="64"/>
      <c r="F5181" s="64"/>
      <c r="G5181" s="64"/>
    </row>
    <row r="5182" spans="2:7" ht="32.25" customHeight="1" x14ac:dyDescent="0.25">
      <c r="B5182" s="64"/>
      <c r="C5182" s="64"/>
      <c r="D5182" s="64"/>
      <c r="E5182" s="64"/>
      <c r="F5182" s="64"/>
      <c r="G5182" s="64"/>
    </row>
    <row r="5183" spans="2:7" ht="32.25" customHeight="1" x14ac:dyDescent="0.25">
      <c r="B5183" s="64"/>
      <c r="C5183" s="64"/>
      <c r="D5183" s="64"/>
      <c r="E5183" s="64"/>
      <c r="F5183" s="64"/>
      <c r="G5183" s="64"/>
    </row>
    <row r="5184" spans="2:7" ht="32.25" customHeight="1" x14ac:dyDescent="0.25">
      <c r="B5184" s="64"/>
      <c r="C5184" s="64"/>
      <c r="D5184" s="64"/>
      <c r="E5184" s="64"/>
      <c r="F5184" s="64"/>
      <c r="G5184" s="64"/>
    </row>
    <row r="5185" spans="2:7" ht="32.25" customHeight="1" x14ac:dyDescent="0.25">
      <c r="B5185" s="64"/>
      <c r="C5185" s="64"/>
      <c r="D5185" s="64"/>
      <c r="E5185" s="64"/>
      <c r="F5185" s="64"/>
      <c r="G5185" s="64"/>
    </row>
    <row r="5186" spans="2:7" ht="32.25" customHeight="1" x14ac:dyDescent="0.25">
      <c r="B5186" s="64"/>
      <c r="C5186" s="64"/>
      <c r="D5186" s="64"/>
      <c r="E5186" s="64"/>
      <c r="F5186" s="64"/>
      <c r="G5186" s="64"/>
    </row>
    <row r="5187" spans="2:7" ht="32.25" customHeight="1" x14ac:dyDescent="0.25">
      <c r="B5187" s="64"/>
      <c r="C5187" s="64"/>
      <c r="D5187" s="64"/>
      <c r="E5187" s="64"/>
      <c r="F5187" s="64"/>
      <c r="G5187" s="64"/>
    </row>
    <row r="5188" spans="2:7" ht="32.25" customHeight="1" x14ac:dyDescent="0.25">
      <c r="B5188" s="64"/>
      <c r="C5188" s="64"/>
      <c r="D5188" s="64"/>
      <c r="E5188" s="64"/>
      <c r="F5188" s="64"/>
      <c r="G5188" s="64"/>
    </row>
    <row r="5189" spans="2:7" ht="32.25" customHeight="1" x14ac:dyDescent="0.25">
      <c r="B5189" s="64"/>
      <c r="C5189" s="64"/>
      <c r="D5189" s="64"/>
      <c r="E5189" s="64"/>
      <c r="F5189" s="64"/>
      <c r="G5189" s="64"/>
    </row>
    <row r="5190" spans="2:7" ht="32.25" customHeight="1" x14ac:dyDescent="0.25">
      <c r="B5190" s="64"/>
      <c r="C5190" s="64"/>
      <c r="D5190" s="64"/>
      <c r="E5190" s="64"/>
      <c r="F5190" s="64"/>
      <c r="G5190" s="64"/>
    </row>
    <row r="5191" spans="2:7" ht="32.25" customHeight="1" x14ac:dyDescent="0.25">
      <c r="B5191" s="64"/>
      <c r="C5191" s="64"/>
      <c r="D5191" s="64"/>
      <c r="E5191" s="64"/>
      <c r="F5191" s="64"/>
      <c r="G5191" s="64"/>
    </row>
    <row r="5192" spans="2:7" ht="32.25" customHeight="1" x14ac:dyDescent="0.25">
      <c r="B5192" s="64"/>
      <c r="C5192" s="64"/>
      <c r="D5192" s="64"/>
      <c r="E5192" s="64"/>
      <c r="F5192" s="64"/>
      <c r="G5192" s="64"/>
    </row>
    <row r="5193" spans="2:7" ht="32.25" customHeight="1" x14ac:dyDescent="0.25">
      <c r="B5193" s="64"/>
      <c r="C5193" s="64"/>
      <c r="D5193" s="64"/>
      <c r="E5193" s="64"/>
      <c r="F5193" s="64"/>
      <c r="G5193" s="64"/>
    </row>
    <row r="5194" spans="2:7" ht="32.25" customHeight="1" x14ac:dyDescent="0.25">
      <c r="B5194" s="64"/>
      <c r="C5194" s="64"/>
      <c r="D5194" s="64"/>
      <c r="E5194" s="64"/>
      <c r="F5194" s="64"/>
      <c r="G5194" s="64"/>
    </row>
    <row r="5195" spans="2:7" ht="32.25" customHeight="1" x14ac:dyDescent="0.25">
      <c r="B5195" s="64"/>
      <c r="C5195" s="64"/>
      <c r="D5195" s="64"/>
      <c r="E5195" s="64"/>
      <c r="F5195" s="64"/>
      <c r="G5195" s="64"/>
    </row>
    <row r="5196" spans="2:7" ht="32.25" customHeight="1" x14ac:dyDescent="0.25">
      <c r="B5196" s="64"/>
      <c r="C5196" s="64"/>
      <c r="D5196" s="64"/>
      <c r="E5196" s="64"/>
      <c r="F5196" s="64"/>
      <c r="G5196" s="64"/>
    </row>
    <row r="5197" spans="2:7" ht="32.25" customHeight="1" x14ac:dyDescent="0.25">
      <c r="B5197" s="64"/>
      <c r="C5197" s="64"/>
      <c r="D5197" s="64"/>
      <c r="E5197" s="64"/>
      <c r="F5197" s="64"/>
      <c r="G5197" s="64"/>
    </row>
    <row r="5198" spans="2:7" ht="32.25" customHeight="1" x14ac:dyDescent="0.25">
      <c r="B5198" s="64"/>
      <c r="C5198" s="64"/>
      <c r="D5198" s="64"/>
      <c r="E5198" s="64"/>
      <c r="F5198" s="64"/>
      <c r="G5198" s="64"/>
    </row>
    <row r="5199" spans="2:7" ht="32.25" customHeight="1" x14ac:dyDescent="0.25">
      <c r="B5199" s="64"/>
      <c r="C5199" s="64"/>
      <c r="D5199" s="64"/>
      <c r="E5199" s="64"/>
      <c r="F5199" s="64"/>
      <c r="G5199" s="64"/>
    </row>
    <row r="5200" spans="2:7" ht="32.25" customHeight="1" x14ac:dyDescent="0.25">
      <c r="B5200" s="64"/>
      <c r="C5200" s="64"/>
      <c r="D5200" s="64"/>
      <c r="E5200" s="64"/>
      <c r="F5200" s="64"/>
      <c r="G5200" s="64"/>
    </row>
    <row r="5201" spans="2:7" ht="32.25" customHeight="1" x14ac:dyDescent="0.25">
      <c r="B5201" s="64"/>
      <c r="C5201" s="64"/>
      <c r="D5201" s="64"/>
      <c r="E5201" s="64"/>
      <c r="F5201" s="64"/>
      <c r="G5201" s="64"/>
    </row>
    <row r="5202" spans="2:7" ht="32.25" customHeight="1" x14ac:dyDescent="0.25">
      <c r="B5202" s="64"/>
      <c r="C5202" s="64"/>
      <c r="D5202" s="64"/>
      <c r="E5202" s="64"/>
      <c r="F5202" s="64"/>
      <c r="G5202" s="64"/>
    </row>
    <row r="5203" spans="2:7" ht="32.25" customHeight="1" x14ac:dyDescent="0.25">
      <c r="B5203" s="64"/>
      <c r="C5203" s="64"/>
      <c r="D5203" s="64"/>
      <c r="E5203" s="64"/>
      <c r="F5203" s="64"/>
      <c r="G5203" s="64"/>
    </row>
    <row r="5204" spans="2:7" ht="32.25" customHeight="1" x14ac:dyDescent="0.25">
      <c r="B5204" s="64"/>
      <c r="C5204" s="64"/>
      <c r="D5204" s="64"/>
      <c r="E5204" s="64"/>
      <c r="F5204" s="64"/>
      <c r="G5204" s="64"/>
    </row>
    <row r="5205" spans="2:7" ht="32.25" customHeight="1" x14ac:dyDescent="0.25">
      <c r="B5205" s="64"/>
      <c r="C5205" s="64"/>
      <c r="D5205" s="64"/>
      <c r="E5205" s="64"/>
      <c r="F5205" s="64"/>
      <c r="G5205" s="64"/>
    </row>
    <row r="5206" spans="2:7" ht="32.25" customHeight="1" x14ac:dyDescent="0.25">
      <c r="B5206" s="64"/>
      <c r="C5206" s="64"/>
      <c r="D5206" s="64"/>
      <c r="E5206" s="64"/>
      <c r="F5206" s="64"/>
      <c r="G5206" s="64"/>
    </row>
    <row r="5207" spans="2:7" ht="32.25" customHeight="1" x14ac:dyDescent="0.25">
      <c r="B5207" s="64"/>
      <c r="C5207" s="64"/>
      <c r="D5207" s="64"/>
      <c r="E5207" s="64"/>
      <c r="F5207" s="64"/>
      <c r="G5207" s="64"/>
    </row>
    <row r="5208" spans="2:7" ht="32.25" customHeight="1" x14ac:dyDescent="0.25">
      <c r="B5208" s="64"/>
      <c r="C5208" s="64"/>
      <c r="D5208" s="64"/>
      <c r="E5208" s="64"/>
      <c r="F5208" s="64"/>
      <c r="G5208" s="64"/>
    </row>
    <row r="5209" spans="2:7" ht="32.25" customHeight="1" x14ac:dyDescent="0.25">
      <c r="B5209" s="64"/>
      <c r="C5209" s="64"/>
      <c r="D5209" s="64"/>
      <c r="E5209" s="64"/>
      <c r="F5209" s="64"/>
      <c r="G5209" s="64"/>
    </row>
    <row r="5210" spans="2:7" ht="32.25" customHeight="1" x14ac:dyDescent="0.25">
      <c r="B5210" s="64"/>
      <c r="C5210" s="64"/>
      <c r="D5210" s="64"/>
      <c r="E5210" s="64"/>
      <c r="F5210" s="64"/>
      <c r="G5210" s="64"/>
    </row>
    <row r="5211" spans="2:7" ht="32.25" customHeight="1" x14ac:dyDescent="0.25">
      <c r="B5211" s="64"/>
      <c r="C5211" s="64"/>
      <c r="D5211" s="64"/>
      <c r="E5211" s="64"/>
      <c r="F5211" s="64"/>
      <c r="G5211" s="64"/>
    </row>
    <row r="5212" spans="2:7" ht="32.25" customHeight="1" x14ac:dyDescent="0.25">
      <c r="B5212" s="64"/>
      <c r="C5212" s="64"/>
      <c r="D5212" s="64"/>
      <c r="E5212" s="64"/>
      <c r="F5212" s="64"/>
      <c r="G5212" s="64"/>
    </row>
    <row r="5213" spans="2:7" ht="32.25" customHeight="1" x14ac:dyDescent="0.25">
      <c r="B5213" s="64"/>
      <c r="C5213" s="64"/>
      <c r="D5213" s="64"/>
      <c r="E5213" s="64"/>
      <c r="F5213" s="64"/>
      <c r="G5213" s="64"/>
    </row>
    <row r="5214" spans="2:7" ht="32.25" customHeight="1" x14ac:dyDescent="0.25">
      <c r="B5214" s="64"/>
      <c r="C5214" s="64"/>
      <c r="D5214" s="64"/>
      <c r="E5214" s="64"/>
      <c r="F5214" s="64"/>
      <c r="G5214" s="64"/>
    </row>
    <row r="5215" spans="2:7" ht="32.25" customHeight="1" x14ac:dyDescent="0.25">
      <c r="B5215" s="64"/>
      <c r="C5215" s="64"/>
      <c r="D5215" s="64"/>
      <c r="E5215" s="64"/>
      <c r="F5215" s="64"/>
      <c r="G5215" s="64"/>
    </row>
    <row r="5216" spans="2:7" ht="32.25" customHeight="1" x14ac:dyDescent="0.25">
      <c r="B5216" s="64"/>
      <c r="C5216" s="64"/>
      <c r="D5216" s="64"/>
      <c r="E5216" s="64"/>
      <c r="F5216" s="64"/>
      <c r="G5216" s="64"/>
    </row>
    <row r="5217" spans="2:7" ht="32.25" customHeight="1" x14ac:dyDescent="0.25">
      <c r="B5217" s="64"/>
      <c r="C5217" s="64"/>
      <c r="D5217" s="64"/>
      <c r="E5217" s="64"/>
      <c r="F5217" s="64"/>
      <c r="G5217" s="64"/>
    </row>
    <row r="5218" spans="2:7" ht="32.25" customHeight="1" x14ac:dyDescent="0.25">
      <c r="B5218" s="64"/>
      <c r="C5218" s="64"/>
      <c r="D5218" s="64"/>
      <c r="E5218" s="64"/>
      <c r="F5218" s="64"/>
      <c r="G5218" s="64"/>
    </row>
    <row r="5219" spans="2:7" ht="32.25" customHeight="1" x14ac:dyDescent="0.25">
      <c r="B5219" s="64"/>
      <c r="C5219" s="64"/>
      <c r="D5219" s="64"/>
      <c r="E5219" s="64"/>
      <c r="F5219" s="64"/>
      <c r="G5219" s="64"/>
    </row>
    <row r="5220" spans="2:7" ht="32.25" customHeight="1" x14ac:dyDescent="0.25">
      <c r="B5220" s="64"/>
      <c r="C5220" s="64"/>
      <c r="D5220" s="64"/>
      <c r="E5220" s="64"/>
      <c r="F5220" s="64"/>
      <c r="G5220" s="64"/>
    </row>
    <row r="5221" spans="2:7" ht="32.25" customHeight="1" x14ac:dyDescent="0.25">
      <c r="B5221" s="64"/>
      <c r="C5221" s="64"/>
      <c r="D5221" s="64"/>
      <c r="E5221" s="64"/>
      <c r="F5221" s="64"/>
      <c r="G5221" s="64"/>
    </row>
    <row r="5222" spans="2:7" ht="32.25" customHeight="1" x14ac:dyDescent="0.25">
      <c r="B5222" s="64"/>
      <c r="C5222" s="64"/>
      <c r="D5222" s="64"/>
      <c r="E5222" s="64"/>
      <c r="F5222" s="64"/>
      <c r="G5222" s="64"/>
    </row>
    <row r="5223" spans="2:7" ht="32.25" customHeight="1" x14ac:dyDescent="0.25">
      <c r="B5223" s="64"/>
      <c r="C5223" s="64"/>
      <c r="D5223" s="64"/>
      <c r="E5223" s="64"/>
      <c r="F5223" s="64"/>
      <c r="G5223" s="64"/>
    </row>
    <row r="5224" spans="2:7" ht="32.25" customHeight="1" x14ac:dyDescent="0.25">
      <c r="B5224" s="64"/>
      <c r="C5224" s="64"/>
      <c r="D5224" s="64"/>
      <c r="E5224" s="64"/>
      <c r="F5224" s="64"/>
      <c r="G5224" s="64"/>
    </row>
    <row r="5225" spans="2:7" ht="32.25" customHeight="1" x14ac:dyDescent="0.25">
      <c r="B5225" s="64"/>
      <c r="C5225" s="64"/>
      <c r="D5225" s="64"/>
      <c r="E5225" s="64"/>
      <c r="F5225" s="64"/>
      <c r="G5225" s="64"/>
    </row>
    <row r="5226" spans="2:7" ht="32.25" customHeight="1" x14ac:dyDescent="0.25">
      <c r="B5226" s="64"/>
      <c r="C5226" s="64"/>
      <c r="D5226" s="64"/>
      <c r="E5226" s="64"/>
      <c r="F5226" s="64"/>
      <c r="G5226" s="64"/>
    </row>
    <row r="5227" spans="2:7" ht="32.25" customHeight="1" x14ac:dyDescent="0.25">
      <c r="B5227" s="64"/>
      <c r="C5227" s="64"/>
      <c r="D5227" s="64"/>
      <c r="E5227" s="64"/>
      <c r="F5227" s="64"/>
      <c r="G5227" s="64"/>
    </row>
    <row r="5228" spans="2:7" ht="32.25" customHeight="1" x14ac:dyDescent="0.25">
      <c r="B5228" s="64"/>
      <c r="C5228" s="64"/>
      <c r="D5228" s="64"/>
      <c r="E5228" s="64"/>
      <c r="F5228" s="64"/>
      <c r="G5228" s="64"/>
    </row>
    <row r="5229" spans="2:7" ht="32.25" customHeight="1" x14ac:dyDescent="0.25">
      <c r="B5229" s="64"/>
      <c r="C5229" s="64"/>
      <c r="D5229" s="64"/>
      <c r="E5229" s="64"/>
      <c r="F5229" s="64"/>
      <c r="G5229" s="64"/>
    </row>
    <row r="5230" spans="2:7" ht="32.25" customHeight="1" x14ac:dyDescent="0.25">
      <c r="B5230" s="64"/>
      <c r="C5230" s="64"/>
      <c r="D5230" s="64"/>
      <c r="E5230" s="64"/>
      <c r="F5230" s="64"/>
      <c r="G5230" s="64"/>
    </row>
    <row r="5231" spans="2:7" ht="32.25" customHeight="1" x14ac:dyDescent="0.25">
      <c r="B5231" s="64"/>
      <c r="C5231" s="64"/>
      <c r="D5231" s="64"/>
      <c r="E5231" s="64"/>
      <c r="F5231" s="64"/>
      <c r="G5231" s="64"/>
    </row>
    <row r="5232" spans="2:7" ht="32.25" customHeight="1" x14ac:dyDescent="0.25">
      <c r="B5232" s="64"/>
      <c r="C5232" s="64"/>
      <c r="D5232" s="64"/>
      <c r="E5232" s="64"/>
      <c r="F5232" s="64"/>
      <c r="G5232" s="64"/>
    </row>
    <row r="5233" spans="2:7" ht="32.25" customHeight="1" x14ac:dyDescent="0.25">
      <c r="B5233" s="64"/>
      <c r="C5233" s="64"/>
      <c r="D5233" s="64"/>
      <c r="E5233" s="64"/>
      <c r="F5233" s="64"/>
      <c r="G5233" s="64"/>
    </row>
    <row r="5234" spans="2:7" ht="32.25" customHeight="1" x14ac:dyDescent="0.25">
      <c r="B5234" s="64"/>
      <c r="C5234" s="64"/>
      <c r="D5234" s="64"/>
      <c r="E5234" s="64"/>
      <c r="F5234" s="64"/>
      <c r="G5234" s="64"/>
    </row>
    <row r="5235" spans="2:7" ht="32.25" customHeight="1" x14ac:dyDescent="0.25">
      <c r="B5235" s="64"/>
      <c r="C5235" s="64"/>
      <c r="D5235" s="64"/>
      <c r="E5235" s="64"/>
      <c r="F5235" s="64"/>
      <c r="G5235" s="64"/>
    </row>
    <row r="5236" spans="2:7" ht="32.25" customHeight="1" x14ac:dyDescent="0.25">
      <c r="B5236" s="64"/>
      <c r="C5236" s="64"/>
      <c r="D5236" s="64"/>
      <c r="E5236" s="64"/>
      <c r="F5236" s="64"/>
      <c r="G5236" s="64"/>
    </row>
    <row r="5237" spans="2:7" ht="32.25" customHeight="1" x14ac:dyDescent="0.25">
      <c r="B5237" s="64"/>
      <c r="C5237" s="64"/>
      <c r="D5237" s="64"/>
      <c r="E5237" s="64"/>
      <c r="F5237" s="64"/>
      <c r="G5237" s="64"/>
    </row>
    <row r="5238" spans="2:7" ht="32.25" customHeight="1" x14ac:dyDescent="0.25">
      <c r="B5238" s="64"/>
      <c r="C5238" s="64"/>
      <c r="D5238" s="64"/>
      <c r="E5238" s="64"/>
      <c r="F5238" s="64"/>
      <c r="G5238" s="64"/>
    </row>
    <row r="5239" spans="2:7" ht="32.25" customHeight="1" x14ac:dyDescent="0.25">
      <c r="B5239" s="64"/>
      <c r="C5239" s="64"/>
      <c r="D5239" s="64"/>
      <c r="E5239" s="64"/>
      <c r="F5239" s="64"/>
      <c r="G5239" s="64"/>
    </row>
    <row r="5240" spans="2:7" ht="32.25" customHeight="1" x14ac:dyDescent="0.25">
      <c r="B5240" s="64"/>
      <c r="C5240" s="64"/>
      <c r="D5240" s="64"/>
      <c r="E5240" s="64"/>
      <c r="F5240" s="64"/>
      <c r="G5240" s="64"/>
    </row>
    <row r="5241" spans="2:7" ht="32.25" customHeight="1" x14ac:dyDescent="0.25">
      <c r="B5241" s="64"/>
      <c r="C5241" s="64"/>
      <c r="D5241" s="64"/>
      <c r="E5241" s="64"/>
      <c r="F5241" s="64"/>
      <c r="G5241" s="64"/>
    </row>
    <row r="5242" spans="2:7" ht="32.25" customHeight="1" x14ac:dyDescent="0.25">
      <c r="B5242" s="64"/>
      <c r="C5242" s="64"/>
      <c r="D5242" s="64"/>
      <c r="E5242" s="64"/>
      <c r="F5242" s="64"/>
      <c r="G5242" s="64"/>
    </row>
    <row r="5243" spans="2:7" ht="32.25" customHeight="1" x14ac:dyDescent="0.25">
      <c r="B5243" s="64"/>
      <c r="C5243" s="64"/>
      <c r="D5243" s="64"/>
      <c r="E5243" s="64"/>
      <c r="F5243" s="64"/>
      <c r="G5243" s="64"/>
    </row>
    <row r="5244" spans="2:7" ht="32.25" customHeight="1" x14ac:dyDescent="0.25">
      <c r="B5244" s="64"/>
      <c r="C5244" s="64"/>
      <c r="D5244" s="64"/>
      <c r="E5244" s="64"/>
      <c r="F5244" s="64"/>
      <c r="G5244" s="64"/>
    </row>
    <row r="5245" spans="2:7" ht="32.25" customHeight="1" x14ac:dyDescent="0.25">
      <c r="B5245" s="64"/>
      <c r="C5245" s="64"/>
      <c r="D5245" s="64"/>
      <c r="E5245" s="64"/>
      <c r="F5245" s="64"/>
      <c r="G5245" s="64"/>
    </row>
    <row r="5246" spans="2:7" ht="32.25" customHeight="1" x14ac:dyDescent="0.25">
      <c r="B5246" s="64"/>
      <c r="C5246" s="64"/>
      <c r="D5246" s="64"/>
      <c r="E5246" s="64"/>
      <c r="F5246" s="64"/>
      <c r="G5246" s="64"/>
    </row>
    <row r="5247" spans="2:7" ht="32.25" customHeight="1" x14ac:dyDescent="0.25">
      <c r="B5247" s="64"/>
      <c r="C5247" s="64"/>
      <c r="D5247" s="64"/>
      <c r="E5247" s="64"/>
      <c r="F5247" s="64"/>
      <c r="G5247" s="64"/>
    </row>
    <row r="5248" spans="2:7" ht="32.25" customHeight="1" x14ac:dyDescent="0.25">
      <c r="B5248" s="64"/>
      <c r="C5248" s="64"/>
      <c r="D5248" s="64"/>
      <c r="E5248" s="64"/>
      <c r="F5248" s="64"/>
      <c r="G5248" s="64"/>
    </row>
    <row r="5249" spans="2:7" ht="32.25" customHeight="1" x14ac:dyDescent="0.25">
      <c r="B5249" s="64"/>
      <c r="C5249" s="64"/>
      <c r="D5249" s="64"/>
      <c r="E5249" s="64"/>
      <c r="F5249" s="64"/>
      <c r="G5249" s="64"/>
    </row>
    <row r="5250" spans="2:7" ht="32.25" customHeight="1" x14ac:dyDescent="0.25">
      <c r="B5250" s="64"/>
      <c r="C5250" s="64"/>
      <c r="D5250" s="64"/>
      <c r="E5250" s="64"/>
      <c r="F5250" s="64"/>
      <c r="G5250" s="64"/>
    </row>
    <row r="5251" spans="2:7" ht="32.25" customHeight="1" x14ac:dyDescent="0.25">
      <c r="B5251" s="64"/>
      <c r="C5251" s="64"/>
      <c r="D5251" s="64"/>
      <c r="E5251" s="64"/>
      <c r="F5251" s="64"/>
      <c r="G5251" s="64"/>
    </row>
    <row r="5252" spans="2:7" ht="32.25" customHeight="1" x14ac:dyDescent="0.25">
      <c r="B5252" s="64"/>
      <c r="C5252" s="64"/>
      <c r="D5252" s="64"/>
      <c r="E5252" s="64"/>
      <c r="F5252" s="64"/>
      <c r="G5252" s="64"/>
    </row>
    <row r="5253" spans="2:7" ht="32.25" customHeight="1" x14ac:dyDescent="0.25">
      <c r="B5253" s="64"/>
      <c r="C5253" s="64"/>
      <c r="D5253" s="64"/>
      <c r="E5253" s="64"/>
      <c r="F5253" s="64"/>
      <c r="G5253" s="64"/>
    </row>
    <row r="5254" spans="2:7" ht="32.25" customHeight="1" x14ac:dyDescent="0.25">
      <c r="B5254" s="64"/>
      <c r="C5254" s="64"/>
      <c r="D5254" s="64"/>
      <c r="E5254" s="64"/>
      <c r="F5254" s="64"/>
      <c r="G5254" s="64"/>
    </row>
    <row r="5255" spans="2:7" ht="32.25" customHeight="1" x14ac:dyDescent="0.25">
      <c r="B5255" s="64"/>
      <c r="C5255" s="64"/>
      <c r="D5255" s="64"/>
      <c r="E5255" s="64"/>
      <c r="F5255" s="64"/>
      <c r="G5255" s="64"/>
    </row>
    <row r="5256" spans="2:7" ht="32.25" customHeight="1" x14ac:dyDescent="0.25">
      <c r="B5256" s="64"/>
      <c r="C5256" s="64"/>
      <c r="D5256" s="64"/>
      <c r="E5256" s="64"/>
      <c r="F5256" s="64"/>
      <c r="G5256" s="64"/>
    </row>
    <row r="5257" spans="2:7" ht="32.25" customHeight="1" x14ac:dyDescent="0.25">
      <c r="B5257" s="64"/>
      <c r="C5257" s="64"/>
      <c r="D5257" s="64"/>
      <c r="E5257" s="64"/>
      <c r="F5257" s="64"/>
      <c r="G5257" s="64"/>
    </row>
    <row r="5258" spans="2:7" ht="32.25" customHeight="1" x14ac:dyDescent="0.25">
      <c r="B5258" s="64"/>
      <c r="C5258" s="64"/>
      <c r="D5258" s="64"/>
      <c r="E5258" s="64"/>
      <c r="F5258" s="64"/>
      <c r="G5258" s="64"/>
    </row>
    <row r="5259" spans="2:7" ht="32.25" customHeight="1" x14ac:dyDescent="0.25">
      <c r="B5259" s="64"/>
      <c r="C5259" s="64"/>
      <c r="D5259" s="64"/>
      <c r="E5259" s="64"/>
      <c r="F5259" s="64"/>
      <c r="G5259" s="64"/>
    </row>
    <row r="5260" spans="2:7" ht="32.25" customHeight="1" x14ac:dyDescent="0.25">
      <c r="B5260" s="64"/>
      <c r="C5260" s="64"/>
      <c r="D5260" s="64"/>
      <c r="E5260" s="64"/>
      <c r="F5260" s="64"/>
      <c r="G5260" s="64"/>
    </row>
    <row r="5261" spans="2:7" ht="32.25" customHeight="1" x14ac:dyDescent="0.25">
      <c r="B5261" s="64"/>
      <c r="C5261" s="64"/>
      <c r="D5261" s="64"/>
      <c r="E5261" s="64"/>
      <c r="F5261" s="64"/>
      <c r="G5261" s="64"/>
    </row>
    <row r="5262" spans="2:7" ht="32.25" customHeight="1" x14ac:dyDescent="0.25">
      <c r="B5262" s="64"/>
      <c r="C5262" s="64"/>
      <c r="D5262" s="64"/>
      <c r="E5262" s="64"/>
      <c r="F5262" s="64"/>
      <c r="G5262" s="64"/>
    </row>
    <row r="5263" spans="2:7" ht="32.25" customHeight="1" x14ac:dyDescent="0.25">
      <c r="B5263" s="64"/>
      <c r="C5263" s="64"/>
      <c r="D5263" s="64"/>
      <c r="E5263" s="64"/>
      <c r="F5263" s="64"/>
      <c r="G5263" s="64"/>
    </row>
    <row r="5264" spans="2:7" ht="32.25" customHeight="1" x14ac:dyDescent="0.25">
      <c r="B5264" s="64"/>
      <c r="C5264" s="64"/>
      <c r="D5264" s="64"/>
      <c r="E5264" s="64"/>
      <c r="F5264" s="64"/>
      <c r="G5264" s="64"/>
    </row>
    <row r="5265" spans="2:7" ht="32.25" customHeight="1" x14ac:dyDescent="0.25">
      <c r="B5265" s="64"/>
      <c r="C5265" s="64"/>
      <c r="D5265" s="64"/>
      <c r="E5265" s="64"/>
      <c r="F5265" s="64"/>
      <c r="G5265" s="64"/>
    </row>
    <row r="5266" spans="2:7" ht="32.25" customHeight="1" x14ac:dyDescent="0.25">
      <c r="B5266" s="64"/>
      <c r="C5266" s="64"/>
      <c r="D5266" s="64"/>
      <c r="E5266" s="64"/>
      <c r="F5266" s="64"/>
      <c r="G5266" s="64"/>
    </row>
    <row r="5267" spans="2:7" ht="32.25" customHeight="1" x14ac:dyDescent="0.25">
      <c r="B5267" s="64"/>
      <c r="C5267" s="64"/>
      <c r="D5267" s="64"/>
      <c r="E5267" s="64"/>
      <c r="F5267" s="64"/>
      <c r="G5267" s="64"/>
    </row>
    <row r="5268" spans="2:7" ht="32.25" customHeight="1" x14ac:dyDescent="0.25">
      <c r="B5268" s="64"/>
      <c r="C5268" s="64"/>
      <c r="D5268" s="64"/>
      <c r="E5268" s="64"/>
      <c r="F5268" s="64"/>
      <c r="G5268" s="64"/>
    </row>
    <row r="5269" spans="2:7" ht="32.25" customHeight="1" x14ac:dyDescent="0.25">
      <c r="B5269" s="64"/>
      <c r="C5269" s="64"/>
      <c r="D5269" s="64"/>
      <c r="E5269" s="64"/>
      <c r="F5269" s="64"/>
      <c r="G5269" s="64"/>
    </row>
    <row r="5270" spans="2:7" ht="32.25" customHeight="1" x14ac:dyDescent="0.25">
      <c r="B5270" s="64"/>
      <c r="C5270" s="64"/>
      <c r="D5270" s="64"/>
      <c r="E5270" s="64"/>
      <c r="F5270" s="64"/>
      <c r="G5270" s="64"/>
    </row>
    <row r="5271" spans="2:7" ht="32.25" customHeight="1" x14ac:dyDescent="0.25">
      <c r="B5271" s="64"/>
      <c r="C5271" s="64"/>
      <c r="D5271" s="64"/>
      <c r="E5271" s="64"/>
      <c r="F5271" s="64"/>
      <c r="G5271" s="64"/>
    </row>
    <row r="5272" spans="2:7" ht="32.25" customHeight="1" x14ac:dyDescent="0.25">
      <c r="B5272" s="64"/>
      <c r="C5272" s="64"/>
      <c r="D5272" s="64"/>
      <c r="E5272" s="64"/>
      <c r="F5272" s="64"/>
      <c r="G5272" s="64"/>
    </row>
    <row r="5273" spans="2:7" ht="32.25" customHeight="1" x14ac:dyDescent="0.25">
      <c r="B5273" s="64"/>
      <c r="C5273" s="64"/>
      <c r="D5273" s="64"/>
      <c r="E5273" s="64"/>
      <c r="F5273" s="64"/>
      <c r="G5273" s="64"/>
    </row>
    <row r="5274" spans="2:7" ht="32.25" customHeight="1" x14ac:dyDescent="0.25">
      <c r="B5274" s="64"/>
      <c r="C5274" s="64"/>
      <c r="D5274" s="64"/>
      <c r="E5274" s="64"/>
      <c r="F5274" s="64"/>
      <c r="G5274" s="64"/>
    </row>
    <row r="5275" spans="2:7" ht="32.25" customHeight="1" x14ac:dyDescent="0.25">
      <c r="B5275" s="64"/>
      <c r="C5275" s="64"/>
      <c r="D5275" s="64"/>
      <c r="E5275" s="64"/>
      <c r="F5275" s="64"/>
      <c r="G5275" s="64"/>
    </row>
    <row r="5276" spans="2:7" ht="32.25" customHeight="1" x14ac:dyDescent="0.25">
      <c r="B5276" s="64"/>
      <c r="C5276" s="64"/>
      <c r="D5276" s="64"/>
      <c r="E5276" s="64"/>
      <c r="F5276" s="64"/>
      <c r="G5276" s="64"/>
    </row>
    <row r="5277" spans="2:7" ht="32.25" customHeight="1" x14ac:dyDescent="0.25">
      <c r="B5277" s="64"/>
      <c r="C5277" s="64"/>
      <c r="D5277" s="64"/>
      <c r="E5277" s="64"/>
      <c r="F5277" s="64"/>
      <c r="G5277" s="64"/>
    </row>
    <row r="5278" spans="2:7" ht="32.25" customHeight="1" x14ac:dyDescent="0.25">
      <c r="B5278" s="64"/>
      <c r="C5278" s="64"/>
      <c r="D5278" s="64"/>
      <c r="E5278" s="64"/>
      <c r="F5278" s="64"/>
      <c r="G5278" s="64"/>
    </row>
    <row r="5279" spans="2:7" ht="32.25" customHeight="1" x14ac:dyDescent="0.25">
      <c r="B5279" s="64"/>
      <c r="C5279" s="64"/>
      <c r="D5279" s="64"/>
      <c r="E5279" s="64"/>
      <c r="F5279" s="64"/>
      <c r="G5279" s="64"/>
    </row>
    <row r="5280" spans="2:7" ht="32.25" customHeight="1" x14ac:dyDescent="0.25">
      <c r="B5280" s="64"/>
      <c r="C5280" s="64"/>
      <c r="D5280" s="64"/>
      <c r="E5280" s="64"/>
      <c r="F5280" s="64"/>
      <c r="G5280" s="64"/>
    </row>
    <row r="5281" spans="2:7" ht="32.25" customHeight="1" x14ac:dyDescent="0.25">
      <c r="B5281" s="64"/>
      <c r="C5281" s="64"/>
      <c r="D5281" s="64"/>
      <c r="E5281" s="64"/>
      <c r="F5281" s="64"/>
      <c r="G5281" s="64"/>
    </row>
    <row r="5282" spans="2:7" ht="32.25" customHeight="1" x14ac:dyDescent="0.25">
      <c r="B5282" s="64"/>
      <c r="C5282" s="64"/>
      <c r="D5282" s="64"/>
      <c r="E5282" s="64"/>
      <c r="F5282" s="64"/>
      <c r="G5282" s="64"/>
    </row>
    <row r="5283" spans="2:7" ht="32.25" customHeight="1" x14ac:dyDescent="0.25">
      <c r="B5283" s="64"/>
      <c r="C5283" s="64"/>
      <c r="D5283" s="64"/>
      <c r="E5283" s="64"/>
      <c r="F5283" s="64"/>
      <c r="G5283" s="64"/>
    </row>
    <row r="5284" spans="2:7" ht="32.25" customHeight="1" x14ac:dyDescent="0.25">
      <c r="B5284" s="64"/>
      <c r="C5284" s="64"/>
      <c r="D5284" s="64"/>
      <c r="E5284" s="64"/>
      <c r="F5284" s="64"/>
      <c r="G5284" s="64"/>
    </row>
    <row r="5285" spans="2:7" ht="32.25" customHeight="1" x14ac:dyDescent="0.25">
      <c r="B5285" s="64"/>
      <c r="C5285" s="64"/>
      <c r="D5285" s="64"/>
      <c r="E5285" s="64"/>
      <c r="F5285" s="64"/>
      <c r="G5285" s="64"/>
    </row>
    <row r="5286" spans="2:7" ht="32.25" customHeight="1" x14ac:dyDescent="0.25">
      <c r="B5286" s="64"/>
      <c r="C5286" s="64"/>
      <c r="D5286" s="64"/>
      <c r="E5286" s="64"/>
      <c r="F5286" s="64"/>
      <c r="G5286" s="64"/>
    </row>
    <row r="5287" spans="2:7" ht="32.25" customHeight="1" x14ac:dyDescent="0.25">
      <c r="B5287" s="64"/>
      <c r="C5287" s="64"/>
      <c r="D5287" s="64"/>
      <c r="E5287" s="64"/>
      <c r="F5287" s="64"/>
      <c r="G5287" s="64"/>
    </row>
    <row r="5288" spans="2:7" ht="32.25" customHeight="1" x14ac:dyDescent="0.25">
      <c r="B5288" s="64"/>
      <c r="C5288" s="64"/>
      <c r="D5288" s="64"/>
      <c r="E5288" s="64"/>
      <c r="F5288" s="64"/>
      <c r="G5288" s="64"/>
    </row>
    <row r="5289" spans="2:7" ht="32.25" customHeight="1" x14ac:dyDescent="0.25">
      <c r="B5289" s="64"/>
      <c r="C5289" s="64"/>
      <c r="D5289" s="64"/>
      <c r="E5289" s="64"/>
      <c r="F5289" s="64"/>
      <c r="G5289" s="64"/>
    </row>
    <row r="5290" spans="2:7" ht="32.25" customHeight="1" x14ac:dyDescent="0.25">
      <c r="B5290" s="64"/>
      <c r="C5290" s="64"/>
      <c r="D5290" s="64"/>
      <c r="E5290" s="64"/>
      <c r="F5290" s="64"/>
      <c r="G5290" s="64"/>
    </row>
    <row r="5291" spans="2:7" ht="32.25" customHeight="1" x14ac:dyDescent="0.25">
      <c r="B5291" s="64"/>
      <c r="C5291" s="64"/>
      <c r="D5291" s="64"/>
      <c r="E5291" s="64"/>
      <c r="F5291" s="64"/>
      <c r="G5291" s="64"/>
    </row>
    <row r="5292" spans="2:7" ht="32.25" customHeight="1" x14ac:dyDescent="0.25">
      <c r="B5292" s="64"/>
      <c r="C5292" s="64"/>
      <c r="D5292" s="64"/>
      <c r="E5292" s="64"/>
      <c r="F5292" s="64"/>
      <c r="G5292" s="64"/>
    </row>
    <row r="5293" spans="2:7" ht="32.25" customHeight="1" x14ac:dyDescent="0.25">
      <c r="B5293" s="64"/>
      <c r="C5293" s="64"/>
      <c r="D5293" s="64"/>
      <c r="E5293" s="64"/>
      <c r="F5293" s="64"/>
      <c r="G5293" s="64"/>
    </row>
    <row r="5294" spans="2:7" ht="32.25" customHeight="1" x14ac:dyDescent="0.25">
      <c r="B5294" s="64"/>
      <c r="C5294" s="64"/>
      <c r="D5294" s="64"/>
      <c r="E5294" s="64"/>
      <c r="F5294" s="64"/>
      <c r="G5294" s="64"/>
    </row>
    <row r="5295" spans="2:7" ht="32.25" customHeight="1" x14ac:dyDescent="0.25">
      <c r="B5295" s="64"/>
      <c r="C5295" s="64"/>
      <c r="D5295" s="64"/>
      <c r="E5295" s="64"/>
      <c r="F5295" s="64"/>
      <c r="G5295" s="64"/>
    </row>
    <row r="5296" spans="2:7" ht="32.25" customHeight="1" x14ac:dyDescent="0.25">
      <c r="B5296" s="64"/>
      <c r="C5296" s="64"/>
      <c r="D5296" s="64"/>
      <c r="E5296" s="64"/>
      <c r="F5296" s="64"/>
      <c r="G5296" s="64"/>
    </row>
    <row r="5297" spans="2:7" ht="32.25" customHeight="1" x14ac:dyDescent="0.25">
      <c r="B5297" s="64"/>
      <c r="C5297" s="64"/>
      <c r="D5297" s="64"/>
      <c r="E5297" s="64"/>
      <c r="F5297" s="64"/>
      <c r="G5297" s="64"/>
    </row>
    <row r="5298" spans="2:7" ht="32.25" customHeight="1" x14ac:dyDescent="0.25">
      <c r="B5298" s="64"/>
      <c r="C5298" s="64"/>
      <c r="D5298" s="64"/>
      <c r="E5298" s="64"/>
      <c r="F5298" s="64"/>
      <c r="G5298" s="64"/>
    </row>
    <row r="5299" spans="2:7" ht="32.25" customHeight="1" x14ac:dyDescent="0.25">
      <c r="B5299" s="64"/>
      <c r="C5299" s="64"/>
      <c r="D5299" s="64"/>
      <c r="E5299" s="64"/>
      <c r="F5299" s="64"/>
      <c r="G5299" s="64"/>
    </row>
    <row r="5300" spans="2:7" ht="32.25" customHeight="1" x14ac:dyDescent="0.25">
      <c r="B5300" s="64"/>
      <c r="C5300" s="64"/>
      <c r="D5300" s="64"/>
      <c r="E5300" s="64"/>
      <c r="F5300" s="64"/>
      <c r="G5300" s="64"/>
    </row>
    <row r="5301" spans="2:7" ht="32.25" customHeight="1" x14ac:dyDescent="0.25">
      <c r="B5301" s="64"/>
      <c r="C5301" s="64"/>
      <c r="D5301" s="64"/>
      <c r="E5301" s="64"/>
      <c r="F5301" s="64"/>
      <c r="G5301" s="64"/>
    </row>
    <row r="5302" spans="2:7" ht="32.25" customHeight="1" x14ac:dyDescent="0.25">
      <c r="B5302" s="64"/>
      <c r="C5302" s="64"/>
      <c r="D5302" s="64"/>
      <c r="E5302" s="64"/>
      <c r="F5302" s="64"/>
      <c r="G5302" s="64"/>
    </row>
    <row r="5303" spans="2:7" ht="32.25" customHeight="1" x14ac:dyDescent="0.25">
      <c r="B5303" s="64"/>
      <c r="C5303" s="64"/>
      <c r="D5303" s="64"/>
      <c r="E5303" s="64"/>
      <c r="F5303" s="64"/>
      <c r="G5303" s="64"/>
    </row>
    <row r="5304" spans="2:7" ht="32.25" customHeight="1" x14ac:dyDescent="0.25">
      <c r="B5304" s="64"/>
      <c r="C5304" s="64"/>
      <c r="D5304" s="64"/>
      <c r="E5304" s="64"/>
      <c r="F5304" s="64"/>
      <c r="G5304" s="64"/>
    </row>
    <row r="5305" spans="2:7" ht="32.25" customHeight="1" x14ac:dyDescent="0.25">
      <c r="B5305" s="64"/>
      <c r="C5305" s="64"/>
      <c r="D5305" s="64"/>
      <c r="E5305" s="64"/>
      <c r="F5305" s="64"/>
      <c r="G5305" s="64"/>
    </row>
    <row r="5306" spans="2:7" ht="32.25" customHeight="1" x14ac:dyDescent="0.25">
      <c r="B5306" s="64"/>
      <c r="C5306" s="64"/>
      <c r="D5306" s="64"/>
      <c r="E5306" s="64"/>
      <c r="F5306" s="64"/>
      <c r="G5306" s="64"/>
    </row>
    <row r="5307" spans="2:7" ht="32.25" customHeight="1" x14ac:dyDescent="0.25">
      <c r="B5307" s="64"/>
      <c r="C5307" s="64"/>
      <c r="D5307" s="64"/>
      <c r="E5307" s="64"/>
      <c r="F5307" s="64"/>
      <c r="G5307" s="64"/>
    </row>
    <row r="5308" spans="2:7" ht="32.25" customHeight="1" x14ac:dyDescent="0.25">
      <c r="B5308" s="64"/>
      <c r="C5308" s="64"/>
      <c r="D5308" s="64"/>
      <c r="E5308" s="64"/>
      <c r="F5308" s="64"/>
      <c r="G5308" s="64"/>
    </row>
    <row r="5309" spans="2:7" ht="32.25" customHeight="1" x14ac:dyDescent="0.25">
      <c r="B5309" s="64"/>
      <c r="C5309" s="64"/>
      <c r="D5309" s="64"/>
      <c r="E5309" s="64"/>
      <c r="F5309" s="64"/>
      <c r="G5309" s="64"/>
    </row>
    <row r="5310" spans="2:7" ht="32.25" customHeight="1" x14ac:dyDescent="0.25">
      <c r="B5310" s="64"/>
      <c r="C5310" s="64"/>
      <c r="D5310" s="64"/>
      <c r="E5310" s="64"/>
      <c r="F5310" s="64"/>
      <c r="G5310" s="64"/>
    </row>
    <row r="5311" spans="2:7" ht="32.25" customHeight="1" x14ac:dyDescent="0.25">
      <c r="B5311" s="64"/>
      <c r="C5311" s="64"/>
      <c r="D5311" s="64"/>
      <c r="E5311" s="64"/>
      <c r="F5311" s="64"/>
      <c r="G5311" s="64"/>
    </row>
    <row r="5312" spans="2:7" ht="32.25" customHeight="1" x14ac:dyDescent="0.25">
      <c r="B5312" s="64"/>
      <c r="C5312" s="64"/>
      <c r="D5312" s="64"/>
      <c r="E5312" s="64"/>
      <c r="F5312" s="64"/>
      <c r="G5312" s="64"/>
    </row>
    <row r="5313" spans="2:7" ht="32.25" customHeight="1" x14ac:dyDescent="0.25">
      <c r="B5313" s="64"/>
      <c r="C5313" s="64"/>
      <c r="D5313" s="64"/>
      <c r="E5313" s="64"/>
      <c r="F5313" s="64"/>
      <c r="G5313" s="64"/>
    </row>
    <row r="5314" spans="2:7" ht="32.25" customHeight="1" x14ac:dyDescent="0.25">
      <c r="B5314" s="64"/>
      <c r="C5314" s="64"/>
      <c r="D5314" s="64"/>
      <c r="E5314" s="64"/>
      <c r="F5314" s="64"/>
      <c r="G5314" s="64"/>
    </row>
    <row r="5315" spans="2:7" ht="32.25" customHeight="1" x14ac:dyDescent="0.25">
      <c r="B5315" s="64"/>
      <c r="C5315" s="64"/>
      <c r="D5315" s="64"/>
      <c r="E5315" s="64"/>
      <c r="F5315" s="64"/>
      <c r="G5315" s="64"/>
    </row>
    <row r="5316" spans="2:7" ht="32.25" customHeight="1" x14ac:dyDescent="0.25">
      <c r="B5316" s="64"/>
      <c r="C5316" s="64"/>
      <c r="D5316" s="64"/>
      <c r="E5316" s="64"/>
      <c r="F5316" s="64"/>
      <c r="G5316" s="64"/>
    </row>
    <row r="5317" spans="2:7" ht="32.25" customHeight="1" x14ac:dyDescent="0.25">
      <c r="B5317" s="64"/>
      <c r="C5317" s="64"/>
      <c r="D5317" s="64"/>
      <c r="E5317" s="64"/>
      <c r="F5317" s="64"/>
      <c r="G5317" s="64"/>
    </row>
    <row r="5318" spans="2:7" ht="32.25" customHeight="1" x14ac:dyDescent="0.25">
      <c r="B5318" s="64"/>
      <c r="C5318" s="64"/>
      <c r="D5318" s="64"/>
      <c r="E5318" s="64"/>
      <c r="F5318" s="64"/>
      <c r="G5318" s="64"/>
    </row>
    <row r="5319" spans="2:7" ht="32.25" customHeight="1" x14ac:dyDescent="0.25">
      <c r="B5319" s="64"/>
      <c r="C5319" s="64"/>
      <c r="D5319" s="64"/>
      <c r="E5319" s="64"/>
      <c r="F5319" s="64"/>
      <c r="G5319" s="64"/>
    </row>
    <row r="5320" spans="2:7" ht="32.25" customHeight="1" x14ac:dyDescent="0.25">
      <c r="B5320" s="64"/>
      <c r="C5320" s="64"/>
      <c r="D5320" s="64"/>
      <c r="E5320" s="64"/>
      <c r="F5320" s="64"/>
      <c r="G5320" s="64"/>
    </row>
    <row r="5321" spans="2:7" ht="32.25" customHeight="1" x14ac:dyDescent="0.25">
      <c r="B5321" s="64"/>
      <c r="C5321" s="64"/>
      <c r="D5321" s="64"/>
      <c r="E5321" s="64"/>
      <c r="F5321" s="64"/>
      <c r="G5321" s="64"/>
    </row>
    <row r="5322" spans="2:7" ht="32.25" customHeight="1" x14ac:dyDescent="0.25">
      <c r="B5322" s="64"/>
      <c r="C5322" s="64"/>
      <c r="D5322" s="64"/>
      <c r="E5322" s="64"/>
      <c r="F5322" s="64"/>
      <c r="G5322" s="64"/>
    </row>
    <row r="5323" spans="2:7" ht="32.25" customHeight="1" x14ac:dyDescent="0.25">
      <c r="B5323" s="64"/>
      <c r="C5323" s="64"/>
      <c r="D5323" s="64"/>
      <c r="E5323" s="64"/>
      <c r="F5323" s="64"/>
      <c r="G5323" s="64"/>
    </row>
    <row r="5324" spans="2:7" ht="32.25" customHeight="1" x14ac:dyDescent="0.25">
      <c r="B5324" s="64"/>
      <c r="C5324" s="64"/>
      <c r="D5324" s="64"/>
      <c r="E5324" s="64"/>
      <c r="F5324" s="64"/>
      <c r="G5324" s="64"/>
    </row>
    <row r="5325" spans="2:7" ht="32.25" customHeight="1" x14ac:dyDescent="0.25">
      <c r="B5325" s="64"/>
      <c r="C5325" s="64"/>
      <c r="D5325" s="64"/>
      <c r="E5325" s="64"/>
      <c r="F5325" s="64"/>
      <c r="G5325" s="64"/>
    </row>
    <row r="5326" spans="2:7" ht="32.25" customHeight="1" x14ac:dyDescent="0.25">
      <c r="B5326" s="64"/>
      <c r="C5326" s="64"/>
      <c r="D5326" s="64"/>
      <c r="E5326" s="64"/>
      <c r="F5326" s="64"/>
      <c r="G5326" s="64"/>
    </row>
    <row r="5327" spans="2:7" ht="32.25" customHeight="1" x14ac:dyDescent="0.25">
      <c r="B5327" s="64"/>
      <c r="C5327" s="64"/>
      <c r="D5327" s="64"/>
      <c r="E5327" s="64"/>
      <c r="F5327" s="64"/>
      <c r="G5327" s="64"/>
    </row>
    <row r="5328" spans="2:7" ht="32.25" customHeight="1" x14ac:dyDescent="0.25">
      <c r="B5328" s="64"/>
      <c r="C5328" s="64"/>
      <c r="D5328" s="64"/>
      <c r="E5328" s="64"/>
      <c r="F5328" s="64"/>
      <c r="G5328" s="64"/>
    </row>
    <row r="5329" spans="2:7" ht="32.25" customHeight="1" x14ac:dyDescent="0.25">
      <c r="B5329" s="64"/>
      <c r="C5329" s="64"/>
      <c r="D5329" s="64"/>
      <c r="E5329" s="64"/>
      <c r="F5329" s="64"/>
      <c r="G5329" s="64"/>
    </row>
    <row r="5330" spans="2:7" ht="32.25" customHeight="1" x14ac:dyDescent="0.25">
      <c r="B5330" s="64"/>
      <c r="C5330" s="64"/>
      <c r="D5330" s="64"/>
      <c r="E5330" s="64"/>
      <c r="F5330" s="64"/>
      <c r="G5330" s="64"/>
    </row>
    <row r="5331" spans="2:7" ht="32.25" customHeight="1" x14ac:dyDescent="0.25">
      <c r="B5331" s="64"/>
      <c r="C5331" s="64"/>
      <c r="D5331" s="64"/>
      <c r="E5331" s="64"/>
      <c r="F5331" s="64"/>
      <c r="G5331" s="64"/>
    </row>
    <row r="5332" spans="2:7" ht="32.25" customHeight="1" x14ac:dyDescent="0.25">
      <c r="B5332" s="64"/>
      <c r="C5332" s="64"/>
      <c r="D5332" s="64"/>
      <c r="E5332" s="64"/>
      <c r="F5332" s="64"/>
      <c r="G5332" s="64"/>
    </row>
    <row r="5333" spans="2:7" ht="32.25" customHeight="1" x14ac:dyDescent="0.25">
      <c r="B5333" s="64"/>
      <c r="C5333" s="64"/>
      <c r="D5333" s="64"/>
      <c r="E5333" s="64"/>
      <c r="F5333" s="64"/>
      <c r="G5333" s="64"/>
    </row>
    <row r="5334" spans="2:7" ht="32.25" customHeight="1" x14ac:dyDescent="0.25">
      <c r="B5334" s="64"/>
      <c r="C5334" s="64"/>
      <c r="D5334" s="64"/>
      <c r="E5334" s="64"/>
      <c r="F5334" s="64"/>
      <c r="G5334" s="64"/>
    </row>
    <row r="5335" spans="2:7" ht="32.25" customHeight="1" x14ac:dyDescent="0.25">
      <c r="B5335" s="64"/>
      <c r="C5335" s="64"/>
      <c r="D5335" s="64"/>
      <c r="E5335" s="64"/>
      <c r="F5335" s="64"/>
      <c r="G5335" s="64"/>
    </row>
    <row r="5336" spans="2:7" ht="32.25" customHeight="1" x14ac:dyDescent="0.25">
      <c r="B5336" s="64"/>
      <c r="C5336" s="64"/>
      <c r="D5336" s="64"/>
      <c r="E5336" s="64"/>
      <c r="F5336" s="64"/>
      <c r="G5336" s="64"/>
    </row>
    <row r="5337" spans="2:7" ht="32.25" customHeight="1" x14ac:dyDescent="0.25">
      <c r="B5337" s="64"/>
      <c r="C5337" s="64"/>
      <c r="D5337" s="64"/>
      <c r="E5337" s="64"/>
      <c r="F5337" s="64"/>
      <c r="G5337" s="64"/>
    </row>
    <row r="5338" spans="2:7" ht="32.25" customHeight="1" x14ac:dyDescent="0.25">
      <c r="B5338" s="64"/>
      <c r="C5338" s="64"/>
      <c r="D5338" s="64"/>
      <c r="E5338" s="64"/>
      <c r="F5338" s="64"/>
      <c r="G5338" s="64"/>
    </row>
    <row r="5339" spans="2:7" ht="32.25" customHeight="1" x14ac:dyDescent="0.25">
      <c r="B5339" s="64"/>
      <c r="C5339" s="64"/>
      <c r="D5339" s="64"/>
      <c r="E5339" s="64"/>
      <c r="F5339" s="64"/>
      <c r="G5339" s="64"/>
    </row>
    <row r="5340" spans="2:7" ht="32.25" customHeight="1" x14ac:dyDescent="0.25">
      <c r="B5340" s="64"/>
      <c r="C5340" s="64"/>
      <c r="D5340" s="64"/>
      <c r="E5340" s="64"/>
      <c r="F5340" s="64"/>
      <c r="G5340" s="64"/>
    </row>
    <row r="5341" spans="2:7" ht="32.25" customHeight="1" x14ac:dyDescent="0.25">
      <c r="B5341" s="64"/>
      <c r="C5341" s="64"/>
      <c r="D5341" s="64"/>
      <c r="E5341" s="64"/>
      <c r="F5341" s="64"/>
      <c r="G5341" s="64"/>
    </row>
    <row r="5342" spans="2:7" ht="32.25" customHeight="1" x14ac:dyDescent="0.25">
      <c r="B5342" s="64"/>
      <c r="C5342" s="64"/>
      <c r="D5342" s="64"/>
      <c r="E5342" s="64"/>
      <c r="F5342" s="64"/>
      <c r="G5342" s="64"/>
    </row>
    <row r="5343" spans="2:7" ht="32.25" customHeight="1" x14ac:dyDescent="0.25">
      <c r="B5343" s="64"/>
      <c r="C5343" s="64"/>
      <c r="D5343" s="64"/>
      <c r="E5343" s="64"/>
      <c r="F5343" s="64"/>
      <c r="G5343" s="64"/>
    </row>
    <row r="5344" spans="2:7" ht="32.25" customHeight="1" x14ac:dyDescent="0.25">
      <c r="B5344" s="64"/>
      <c r="C5344" s="64"/>
      <c r="D5344" s="64"/>
      <c r="E5344" s="64"/>
      <c r="F5344" s="64"/>
      <c r="G5344" s="64"/>
    </row>
    <row r="5345" spans="2:7" ht="32.25" customHeight="1" x14ac:dyDescent="0.25">
      <c r="B5345" s="64"/>
      <c r="C5345" s="64"/>
      <c r="D5345" s="64"/>
      <c r="E5345" s="64"/>
      <c r="F5345" s="64"/>
      <c r="G5345" s="64"/>
    </row>
    <row r="5346" spans="2:7" ht="32.25" customHeight="1" x14ac:dyDescent="0.25">
      <c r="B5346" s="64"/>
      <c r="C5346" s="64"/>
      <c r="D5346" s="64"/>
      <c r="E5346" s="64"/>
      <c r="F5346" s="64"/>
      <c r="G5346" s="64"/>
    </row>
    <row r="5347" spans="2:7" ht="32.25" customHeight="1" x14ac:dyDescent="0.25">
      <c r="B5347" s="64"/>
      <c r="C5347" s="64"/>
      <c r="D5347" s="64"/>
      <c r="E5347" s="64"/>
      <c r="F5347" s="64"/>
      <c r="G5347" s="64"/>
    </row>
    <row r="5348" spans="2:7" ht="32.25" customHeight="1" x14ac:dyDescent="0.25">
      <c r="B5348" s="64"/>
      <c r="C5348" s="64"/>
      <c r="D5348" s="64"/>
      <c r="E5348" s="64"/>
      <c r="F5348" s="64"/>
      <c r="G5348" s="64"/>
    </row>
    <row r="5349" spans="2:7" ht="32.25" customHeight="1" x14ac:dyDescent="0.25">
      <c r="B5349" s="64"/>
      <c r="C5349" s="64"/>
      <c r="D5349" s="64"/>
      <c r="E5349" s="64"/>
      <c r="F5349" s="64"/>
      <c r="G5349" s="64"/>
    </row>
    <row r="5350" spans="2:7" ht="32.25" customHeight="1" x14ac:dyDescent="0.25">
      <c r="B5350" s="64"/>
      <c r="C5350" s="64"/>
      <c r="D5350" s="64"/>
      <c r="E5350" s="64"/>
      <c r="F5350" s="64"/>
      <c r="G5350" s="64"/>
    </row>
    <row r="5351" spans="2:7" ht="32.25" customHeight="1" x14ac:dyDescent="0.25">
      <c r="B5351" s="64"/>
      <c r="C5351" s="64"/>
      <c r="D5351" s="64"/>
      <c r="E5351" s="64"/>
      <c r="F5351" s="64"/>
      <c r="G5351" s="64"/>
    </row>
    <row r="5352" spans="2:7" ht="32.25" customHeight="1" x14ac:dyDescent="0.25">
      <c r="B5352" s="64"/>
      <c r="C5352" s="64"/>
      <c r="D5352" s="64"/>
      <c r="E5352" s="64"/>
      <c r="F5352" s="64"/>
      <c r="G5352" s="64"/>
    </row>
    <row r="5353" spans="2:7" ht="32.25" customHeight="1" x14ac:dyDescent="0.25">
      <c r="B5353" s="64"/>
      <c r="C5353" s="64"/>
      <c r="D5353" s="64"/>
      <c r="E5353" s="64"/>
      <c r="F5353" s="64"/>
      <c r="G5353" s="64"/>
    </row>
    <row r="5354" spans="2:7" ht="32.25" customHeight="1" x14ac:dyDescent="0.25">
      <c r="B5354" s="64"/>
      <c r="C5354" s="64"/>
      <c r="D5354" s="64"/>
      <c r="E5354" s="64"/>
      <c r="F5354" s="64"/>
      <c r="G5354" s="64"/>
    </row>
    <row r="5355" spans="2:7" ht="32.25" customHeight="1" x14ac:dyDescent="0.25">
      <c r="B5355" s="64"/>
      <c r="C5355" s="64"/>
      <c r="D5355" s="64"/>
      <c r="E5355" s="64"/>
      <c r="F5355" s="64"/>
      <c r="G5355" s="64"/>
    </row>
    <row r="5356" spans="2:7" ht="32.25" customHeight="1" x14ac:dyDescent="0.25">
      <c r="B5356" s="64"/>
      <c r="C5356" s="64"/>
      <c r="D5356" s="64"/>
      <c r="E5356" s="64"/>
      <c r="F5356" s="64"/>
      <c r="G5356" s="64"/>
    </row>
    <row r="5357" spans="2:7" ht="32.25" customHeight="1" x14ac:dyDescent="0.25">
      <c r="B5357" s="64"/>
      <c r="C5357" s="64"/>
      <c r="D5357" s="64"/>
      <c r="E5357" s="64"/>
      <c r="F5357" s="64"/>
      <c r="G5357" s="64"/>
    </row>
    <row r="5358" spans="2:7" ht="32.25" customHeight="1" x14ac:dyDescent="0.25">
      <c r="B5358" s="64"/>
      <c r="C5358" s="64"/>
      <c r="D5358" s="64"/>
      <c r="E5358" s="64"/>
      <c r="F5358" s="64"/>
      <c r="G5358" s="64"/>
    </row>
    <row r="5359" spans="2:7" ht="32.25" customHeight="1" x14ac:dyDescent="0.25">
      <c r="B5359" s="64"/>
      <c r="C5359" s="64"/>
      <c r="D5359" s="64"/>
      <c r="E5359" s="64"/>
      <c r="F5359" s="64"/>
      <c r="G5359" s="64"/>
    </row>
    <row r="5360" spans="2:7" ht="32.25" customHeight="1" x14ac:dyDescent="0.25">
      <c r="B5360" s="64"/>
      <c r="C5360" s="64"/>
      <c r="D5360" s="64"/>
      <c r="E5360" s="64"/>
      <c r="F5360" s="64"/>
      <c r="G5360" s="64"/>
    </row>
    <row r="5361" spans="2:7" ht="32.25" customHeight="1" x14ac:dyDescent="0.25">
      <c r="B5361" s="64"/>
      <c r="C5361" s="64"/>
      <c r="D5361" s="64"/>
      <c r="E5361" s="64"/>
      <c r="F5361" s="64"/>
      <c r="G5361" s="64"/>
    </row>
    <row r="5362" spans="2:7" ht="32.25" customHeight="1" x14ac:dyDescent="0.25">
      <c r="B5362" s="64"/>
      <c r="C5362" s="64"/>
      <c r="D5362" s="64"/>
      <c r="E5362" s="64"/>
      <c r="F5362" s="64"/>
      <c r="G5362" s="64"/>
    </row>
    <row r="5363" spans="2:7" ht="32.25" customHeight="1" x14ac:dyDescent="0.25">
      <c r="B5363" s="64"/>
      <c r="C5363" s="64"/>
      <c r="D5363" s="64"/>
      <c r="E5363" s="64"/>
      <c r="F5363" s="64"/>
      <c r="G5363" s="64"/>
    </row>
    <row r="5364" spans="2:7" ht="32.25" customHeight="1" x14ac:dyDescent="0.25">
      <c r="B5364" s="64"/>
      <c r="C5364" s="64"/>
      <c r="D5364" s="64"/>
      <c r="E5364" s="64"/>
      <c r="F5364" s="64"/>
      <c r="G5364" s="64"/>
    </row>
    <row r="5365" spans="2:7" ht="32.25" customHeight="1" x14ac:dyDescent="0.25">
      <c r="B5365" s="64"/>
      <c r="C5365" s="64"/>
      <c r="D5365" s="64"/>
      <c r="E5365" s="64"/>
      <c r="F5365" s="64"/>
      <c r="G5365" s="64"/>
    </row>
    <row r="5366" spans="2:7" ht="32.25" customHeight="1" x14ac:dyDescent="0.25">
      <c r="B5366" s="64"/>
      <c r="C5366" s="64"/>
      <c r="D5366" s="64"/>
      <c r="E5366" s="64"/>
      <c r="F5366" s="64"/>
      <c r="G5366" s="64"/>
    </row>
    <row r="5367" spans="2:7" ht="32.25" customHeight="1" x14ac:dyDescent="0.25">
      <c r="B5367" s="64"/>
      <c r="C5367" s="64"/>
      <c r="D5367" s="64"/>
      <c r="E5367" s="64"/>
      <c r="F5367" s="64"/>
      <c r="G5367" s="64"/>
    </row>
    <row r="5368" spans="2:7" ht="32.25" customHeight="1" x14ac:dyDescent="0.25">
      <c r="B5368" s="64"/>
      <c r="C5368" s="64"/>
      <c r="D5368" s="64"/>
      <c r="E5368" s="64"/>
      <c r="F5368" s="64"/>
      <c r="G5368" s="64"/>
    </row>
    <row r="5369" spans="2:7" ht="32.25" customHeight="1" x14ac:dyDescent="0.25">
      <c r="B5369" s="64"/>
      <c r="C5369" s="64"/>
      <c r="D5369" s="64"/>
      <c r="E5369" s="64"/>
      <c r="F5369" s="64"/>
      <c r="G5369" s="64"/>
    </row>
    <row r="5370" spans="2:7" ht="32.25" customHeight="1" x14ac:dyDescent="0.25">
      <c r="B5370" s="64"/>
      <c r="C5370" s="64"/>
      <c r="D5370" s="64"/>
      <c r="E5370" s="64"/>
      <c r="F5370" s="64"/>
      <c r="G5370" s="64"/>
    </row>
    <row r="5371" spans="2:7" ht="32.25" customHeight="1" x14ac:dyDescent="0.25">
      <c r="B5371" s="64"/>
      <c r="C5371" s="64"/>
      <c r="D5371" s="64"/>
      <c r="E5371" s="64"/>
      <c r="F5371" s="64"/>
      <c r="G5371" s="64"/>
    </row>
    <row r="5372" spans="2:7" ht="32.25" customHeight="1" x14ac:dyDescent="0.25">
      <c r="B5372" s="64"/>
      <c r="C5372" s="64"/>
      <c r="D5372" s="64"/>
      <c r="E5372" s="64"/>
      <c r="F5372" s="64"/>
      <c r="G5372" s="64"/>
    </row>
    <row r="5373" spans="2:7" ht="32.25" customHeight="1" x14ac:dyDescent="0.25">
      <c r="B5373" s="64"/>
      <c r="C5373" s="64"/>
      <c r="D5373" s="64"/>
      <c r="E5373" s="64"/>
      <c r="F5373" s="64"/>
      <c r="G5373" s="64"/>
    </row>
    <row r="5374" spans="2:7" ht="32.25" customHeight="1" x14ac:dyDescent="0.25">
      <c r="B5374" s="64"/>
      <c r="C5374" s="64"/>
      <c r="D5374" s="64"/>
      <c r="E5374" s="64"/>
      <c r="F5374" s="64"/>
      <c r="G5374" s="64"/>
    </row>
    <row r="5375" spans="2:7" ht="32.25" customHeight="1" x14ac:dyDescent="0.25">
      <c r="B5375" s="64"/>
      <c r="C5375" s="64"/>
      <c r="D5375" s="64"/>
      <c r="E5375" s="64"/>
      <c r="F5375" s="64"/>
      <c r="G5375" s="64"/>
    </row>
    <row r="5376" spans="2:7" ht="32.25" customHeight="1" x14ac:dyDescent="0.25">
      <c r="B5376" s="64"/>
      <c r="C5376" s="64"/>
      <c r="D5376" s="64"/>
      <c r="E5376" s="64"/>
      <c r="F5376" s="64"/>
      <c r="G5376" s="64"/>
    </row>
    <row r="5377" spans="2:7" ht="32.25" customHeight="1" x14ac:dyDescent="0.25">
      <c r="B5377" s="64"/>
      <c r="C5377" s="64"/>
      <c r="D5377" s="64"/>
      <c r="E5377" s="64"/>
      <c r="F5377" s="64"/>
      <c r="G5377" s="64"/>
    </row>
    <row r="5378" spans="2:7" ht="32.25" customHeight="1" x14ac:dyDescent="0.25">
      <c r="B5378" s="64"/>
      <c r="C5378" s="64"/>
      <c r="D5378" s="64"/>
      <c r="E5378" s="64"/>
      <c r="F5378" s="64"/>
      <c r="G5378" s="64"/>
    </row>
    <row r="5379" spans="2:7" ht="32.25" customHeight="1" x14ac:dyDescent="0.25">
      <c r="B5379" s="64"/>
      <c r="C5379" s="64"/>
      <c r="D5379" s="64"/>
      <c r="E5379" s="64"/>
      <c r="F5379" s="64"/>
      <c r="G5379" s="64"/>
    </row>
    <row r="5380" spans="2:7" ht="32.25" customHeight="1" x14ac:dyDescent="0.25">
      <c r="B5380" s="64"/>
      <c r="C5380" s="64"/>
      <c r="D5380" s="64"/>
      <c r="E5380" s="64"/>
      <c r="F5380" s="64"/>
      <c r="G5380" s="64"/>
    </row>
    <row r="5381" spans="2:7" ht="32.25" customHeight="1" x14ac:dyDescent="0.25">
      <c r="B5381" s="64"/>
      <c r="C5381" s="64"/>
      <c r="D5381" s="64"/>
      <c r="E5381" s="64"/>
      <c r="F5381" s="64"/>
      <c r="G5381" s="64"/>
    </row>
    <row r="5382" spans="2:7" ht="32.25" customHeight="1" x14ac:dyDescent="0.25">
      <c r="B5382" s="64"/>
      <c r="C5382" s="64"/>
      <c r="D5382" s="64"/>
      <c r="E5382" s="64"/>
      <c r="F5382" s="64"/>
      <c r="G5382" s="64"/>
    </row>
    <row r="5383" spans="2:7" ht="32.25" customHeight="1" x14ac:dyDescent="0.25">
      <c r="B5383" s="64"/>
      <c r="C5383" s="64"/>
      <c r="D5383" s="64"/>
      <c r="E5383" s="64"/>
      <c r="F5383" s="64"/>
      <c r="G5383" s="64"/>
    </row>
    <row r="5384" spans="2:7" ht="32.25" customHeight="1" x14ac:dyDescent="0.25">
      <c r="B5384" s="64"/>
      <c r="C5384" s="64"/>
      <c r="D5384" s="64"/>
      <c r="E5384" s="64"/>
      <c r="F5384" s="64"/>
      <c r="G5384" s="64"/>
    </row>
    <row r="5385" spans="2:7" ht="32.25" customHeight="1" x14ac:dyDescent="0.25">
      <c r="B5385" s="64"/>
      <c r="C5385" s="64"/>
      <c r="D5385" s="64"/>
      <c r="E5385" s="64"/>
      <c r="F5385" s="64"/>
      <c r="G5385" s="64"/>
    </row>
    <row r="5386" spans="2:7" ht="32.25" customHeight="1" x14ac:dyDescent="0.25">
      <c r="B5386" s="64"/>
      <c r="C5386" s="64"/>
      <c r="D5386" s="64"/>
      <c r="E5386" s="64"/>
      <c r="F5386" s="64"/>
      <c r="G5386" s="64"/>
    </row>
    <row r="5387" spans="2:7" ht="32.25" customHeight="1" x14ac:dyDescent="0.25">
      <c r="B5387" s="64"/>
      <c r="C5387" s="64"/>
      <c r="D5387" s="64"/>
      <c r="E5387" s="64"/>
      <c r="F5387" s="64"/>
      <c r="G5387" s="64"/>
    </row>
    <row r="5388" spans="2:7" ht="32.25" customHeight="1" x14ac:dyDescent="0.25">
      <c r="B5388" s="64"/>
      <c r="C5388" s="64"/>
      <c r="D5388" s="64"/>
      <c r="E5388" s="64"/>
      <c r="F5388" s="64"/>
      <c r="G5388" s="64"/>
    </row>
    <row r="5389" spans="2:7" ht="32.25" customHeight="1" x14ac:dyDescent="0.25">
      <c r="B5389" s="64"/>
      <c r="C5389" s="64"/>
      <c r="D5389" s="64"/>
      <c r="E5389" s="64"/>
      <c r="F5389" s="64"/>
      <c r="G5389" s="64"/>
    </row>
    <row r="5390" spans="2:7" ht="32.25" customHeight="1" x14ac:dyDescent="0.25">
      <c r="B5390" s="64"/>
      <c r="C5390" s="64"/>
      <c r="D5390" s="64"/>
      <c r="E5390" s="64"/>
      <c r="F5390" s="64"/>
      <c r="G5390" s="64"/>
    </row>
    <row r="5391" spans="2:7" ht="32.25" customHeight="1" x14ac:dyDescent="0.25">
      <c r="B5391" s="64"/>
      <c r="C5391" s="64"/>
      <c r="D5391" s="64"/>
      <c r="E5391" s="64"/>
      <c r="F5391" s="64"/>
      <c r="G5391" s="64"/>
    </row>
    <row r="5392" spans="2:7" ht="32.25" customHeight="1" x14ac:dyDescent="0.25">
      <c r="B5392" s="64"/>
      <c r="C5392" s="64"/>
      <c r="D5392" s="64"/>
      <c r="E5392" s="64"/>
      <c r="F5392" s="64"/>
      <c r="G5392" s="64"/>
    </row>
    <row r="5393" spans="2:7" ht="32.25" customHeight="1" x14ac:dyDescent="0.25">
      <c r="B5393" s="64"/>
      <c r="C5393" s="64"/>
      <c r="D5393" s="64"/>
      <c r="E5393" s="64"/>
      <c r="F5393" s="64"/>
      <c r="G5393" s="64"/>
    </row>
    <row r="5394" spans="2:7" ht="32.25" customHeight="1" x14ac:dyDescent="0.25">
      <c r="B5394" s="64"/>
      <c r="C5394" s="64"/>
      <c r="D5394" s="64"/>
      <c r="E5394" s="64"/>
      <c r="F5394" s="64"/>
      <c r="G5394" s="64"/>
    </row>
    <row r="5395" spans="2:7" ht="32.25" customHeight="1" x14ac:dyDescent="0.25">
      <c r="B5395" s="64"/>
      <c r="C5395" s="64"/>
      <c r="D5395" s="64"/>
      <c r="E5395" s="64"/>
      <c r="F5395" s="64"/>
      <c r="G5395" s="64"/>
    </row>
    <row r="5396" spans="2:7" ht="32.25" customHeight="1" x14ac:dyDescent="0.25">
      <c r="B5396" s="64"/>
      <c r="C5396" s="64"/>
      <c r="D5396" s="64"/>
      <c r="E5396" s="64"/>
      <c r="F5396" s="64"/>
      <c r="G5396" s="64"/>
    </row>
    <row r="5397" spans="2:7" ht="32.25" customHeight="1" x14ac:dyDescent="0.25">
      <c r="B5397" s="64"/>
      <c r="C5397" s="64"/>
      <c r="D5397" s="64"/>
      <c r="E5397" s="64"/>
      <c r="F5397" s="64"/>
      <c r="G5397" s="64"/>
    </row>
    <row r="5398" spans="2:7" ht="32.25" customHeight="1" x14ac:dyDescent="0.25">
      <c r="B5398" s="64"/>
      <c r="C5398" s="64"/>
      <c r="D5398" s="64"/>
      <c r="E5398" s="64"/>
      <c r="F5398" s="64"/>
      <c r="G5398" s="64"/>
    </row>
    <row r="5399" spans="2:7" ht="32.25" customHeight="1" x14ac:dyDescent="0.25">
      <c r="B5399" s="64"/>
      <c r="C5399" s="64"/>
      <c r="D5399" s="64"/>
      <c r="E5399" s="64"/>
      <c r="F5399" s="64"/>
      <c r="G5399" s="64"/>
    </row>
    <row r="5400" spans="2:7" ht="32.25" customHeight="1" x14ac:dyDescent="0.25">
      <c r="B5400" s="64"/>
      <c r="C5400" s="64"/>
      <c r="D5400" s="64"/>
      <c r="E5400" s="64"/>
      <c r="F5400" s="64"/>
      <c r="G5400" s="64"/>
    </row>
    <row r="5401" spans="2:7" ht="32.25" customHeight="1" x14ac:dyDescent="0.25">
      <c r="B5401" s="64"/>
      <c r="C5401" s="64"/>
      <c r="D5401" s="64"/>
      <c r="E5401" s="64"/>
      <c r="F5401" s="64"/>
      <c r="G5401" s="64"/>
    </row>
    <row r="5402" spans="2:7" ht="32.25" customHeight="1" x14ac:dyDescent="0.25">
      <c r="B5402" s="64"/>
      <c r="C5402" s="64"/>
      <c r="D5402" s="64"/>
      <c r="E5402" s="64"/>
      <c r="F5402" s="64"/>
      <c r="G5402" s="64"/>
    </row>
    <row r="5403" spans="2:7" ht="32.25" customHeight="1" x14ac:dyDescent="0.25">
      <c r="B5403" s="64"/>
      <c r="C5403" s="64"/>
      <c r="D5403" s="64"/>
      <c r="E5403" s="64"/>
      <c r="F5403" s="64"/>
      <c r="G5403" s="64"/>
    </row>
    <row r="5404" spans="2:7" ht="32.25" customHeight="1" x14ac:dyDescent="0.25">
      <c r="B5404" s="64"/>
      <c r="C5404" s="64"/>
      <c r="D5404" s="64"/>
      <c r="E5404" s="64"/>
      <c r="F5404" s="64"/>
      <c r="G5404" s="64"/>
    </row>
    <row r="5405" spans="2:7" ht="32.25" customHeight="1" x14ac:dyDescent="0.25">
      <c r="B5405" s="64"/>
      <c r="C5405" s="64"/>
      <c r="D5405" s="64"/>
      <c r="E5405" s="64"/>
      <c r="F5405" s="64"/>
      <c r="G5405" s="64"/>
    </row>
    <row r="5406" spans="2:7" ht="32.25" customHeight="1" x14ac:dyDescent="0.25">
      <c r="B5406" s="64"/>
      <c r="C5406" s="64"/>
      <c r="D5406" s="64"/>
      <c r="E5406" s="64"/>
      <c r="F5406" s="64"/>
      <c r="G5406" s="64"/>
    </row>
    <row r="5407" spans="2:7" ht="32.25" customHeight="1" x14ac:dyDescent="0.25">
      <c r="B5407" s="64"/>
      <c r="C5407" s="64"/>
      <c r="D5407" s="64"/>
      <c r="E5407" s="64"/>
      <c r="F5407" s="64"/>
      <c r="G5407" s="64"/>
    </row>
    <row r="5408" spans="2:7" ht="32.25" customHeight="1" x14ac:dyDescent="0.25">
      <c r="B5408" s="64"/>
      <c r="C5408" s="64"/>
      <c r="D5408" s="64"/>
      <c r="E5408" s="64"/>
      <c r="F5408" s="64"/>
      <c r="G5408" s="64"/>
    </row>
    <row r="5409" spans="2:7" ht="32.25" customHeight="1" x14ac:dyDescent="0.25">
      <c r="B5409" s="64"/>
      <c r="C5409" s="64"/>
      <c r="D5409" s="64"/>
      <c r="E5409" s="64"/>
      <c r="F5409" s="64"/>
      <c r="G5409" s="64"/>
    </row>
    <row r="5410" spans="2:7" ht="32.25" customHeight="1" x14ac:dyDescent="0.25">
      <c r="B5410" s="64"/>
      <c r="C5410" s="64"/>
      <c r="D5410" s="64"/>
      <c r="E5410" s="64"/>
      <c r="F5410" s="64"/>
      <c r="G5410" s="64"/>
    </row>
    <row r="5411" spans="2:7" ht="32.25" customHeight="1" x14ac:dyDescent="0.25">
      <c r="B5411" s="64"/>
      <c r="C5411" s="64"/>
      <c r="D5411" s="64"/>
      <c r="E5411" s="64"/>
      <c r="F5411" s="64"/>
      <c r="G5411" s="64"/>
    </row>
    <row r="5412" spans="2:7" ht="32.25" customHeight="1" x14ac:dyDescent="0.25">
      <c r="B5412" s="64"/>
      <c r="C5412" s="64"/>
      <c r="D5412" s="64"/>
      <c r="E5412" s="64"/>
      <c r="F5412" s="64"/>
      <c r="G5412" s="64"/>
    </row>
    <row r="5413" spans="2:7" ht="32.25" customHeight="1" x14ac:dyDescent="0.25">
      <c r="B5413" s="64"/>
      <c r="C5413" s="64"/>
      <c r="D5413" s="64"/>
      <c r="E5413" s="64"/>
      <c r="F5413" s="64"/>
      <c r="G5413" s="64"/>
    </row>
    <row r="5414" spans="2:7" ht="32.25" customHeight="1" x14ac:dyDescent="0.25">
      <c r="B5414" s="64"/>
      <c r="C5414" s="64"/>
      <c r="D5414" s="64"/>
      <c r="E5414" s="64"/>
      <c r="F5414" s="64"/>
      <c r="G5414" s="64"/>
    </row>
    <row r="5415" spans="2:7" ht="32.25" customHeight="1" x14ac:dyDescent="0.25">
      <c r="B5415" s="64"/>
      <c r="C5415" s="64"/>
      <c r="D5415" s="64"/>
      <c r="E5415" s="64"/>
      <c r="F5415" s="64"/>
      <c r="G5415" s="64"/>
    </row>
    <row r="5416" spans="2:7" ht="32.25" customHeight="1" x14ac:dyDescent="0.25">
      <c r="B5416" s="64"/>
      <c r="C5416" s="64"/>
      <c r="D5416" s="64"/>
      <c r="E5416" s="64"/>
      <c r="F5416" s="64"/>
      <c r="G5416" s="64"/>
    </row>
    <row r="5417" spans="2:7" ht="32.25" customHeight="1" x14ac:dyDescent="0.25">
      <c r="B5417" s="64"/>
      <c r="C5417" s="64"/>
      <c r="D5417" s="64"/>
      <c r="E5417" s="64"/>
      <c r="F5417" s="64"/>
      <c r="G5417" s="64"/>
    </row>
    <row r="5418" spans="2:7" ht="32.25" customHeight="1" x14ac:dyDescent="0.25">
      <c r="B5418" s="64"/>
      <c r="C5418" s="64"/>
      <c r="D5418" s="64"/>
      <c r="E5418" s="64"/>
      <c r="F5418" s="64"/>
      <c r="G5418" s="64"/>
    </row>
    <row r="5419" spans="2:7" ht="32.25" customHeight="1" x14ac:dyDescent="0.25">
      <c r="B5419" s="64"/>
      <c r="C5419" s="64"/>
      <c r="D5419" s="64"/>
      <c r="E5419" s="64"/>
      <c r="F5419" s="64"/>
      <c r="G5419" s="64"/>
    </row>
    <row r="5420" spans="2:7" ht="32.25" customHeight="1" x14ac:dyDescent="0.25">
      <c r="B5420" s="64"/>
      <c r="C5420" s="64"/>
      <c r="D5420" s="64"/>
      <c r="E5420" s="64"/>
      <c r="F5420" s="64"/>
      <c r="G5420" s="64"/>
    </row>
    <row r="5421" spans="2:7" ht="32.25" customHeight="1" x14ac:dyDescent="0.25">
      <c r="B5421" s="64"/>
      <c r="C5421" s="64"/>
      <c r="D5421" s="64"/>
      <c r="E5421" s="64"/>
      <c r="F5421" s="64"/>
      <c r="G5421" s="64"/>
    </row>
    <row r="5422" spans="2:7" ht="32.25" customHeight="1" x14ac:dyDescent="0.25">
      <c r="B5422" s="64"/>
      <c r="C5422" s="64"/>
      <c r="D5422" s="64"/>
      <c r="E5422" s="64"/>
      <c r="F5422" s="64"/>
      <c r="G5422" s="64"/>
    </row>
    <row r="5423" spans="2:7" ht="32.25" customHeight="1" x14ac:dyDescent="0.25">
      <c r="B5423" s="64"/>
      <c r="C5423" s="64"/>
      <c r="D5423" s="64"/>
      <c r="E5423" s="64"/>
      <c r="F5423" s="64"/>
      <c r="G5423" s="64"/>
    </row>
    <row r="5424" spans="2:7" ht="32.25" customHeight="1" x14ac:dyDescent="0.25">
      <c r="B5424" s="64"/>
      <c r="C5424" s="64"/>
      <c r="D5424" s="64"/>
      <c r="E5424" s="64"/>
      <c r="F5424" s="64"/>
      <c r="G5424" s="64"/>
    </row>
    <row r="5425" spans="2:7" ht="32.25" customHeight="1" x14ac:dyDescent="0.25">
      <c r="B5425" s="64"/>
      <c r="C5425" s="64"/>
      <c r="D5425" s="64"/>
      <c r="E5425" s="64"/>
      <c r="F5425" s="64"/>
      <c r="G5425" s="64"/>
    </row>
    <row r="5426" spans="2:7" ht="32.25" customHeight="1" x14ac:dyDescent="0.25">
      <c r="B5426" s="64"/>
      <c r="C5426" s="64"/>
      <c r="D5426" s="64"/>
      <c r="E5426" s="64"/>
      <c r="F5426" s="64"/>
      <c r="G5426" s="64"/>
    </row>
    <row r="5427" spans="2:7" ht="32.25" customHeight="1" x14ac:dyDescent="0.25">
      <c r="B5427" s="64"/>
      <c r="C5427" s="64"/>
      <c r="D5427" s="64"/>
      <c r="E5427" s="64"/>
      <c r="F5427" s="64"/>
      <c r="G5427" s="64"/>
    </row>
    <row r="5428" spans="2:7" ht="32.25" customHeight="1" x14ac:dyDescent="0.25">
      <c r="B5428" s="64"/>
      <c r="C5428" s="64"/>
      <c r="D5428" s="64"/>
      <c r="E5428" s="64"/>
      <c r="F5428" s="64"/>
      <c r="G5428" s="64"/>
    </row>
    <row r="5429" spans="2:7" ht="32.25" customHeight="1" x14ac:dyDescent="0.25">
      <c r="B5429" s="64"/>
      <c r="C5429" s="64"/>
      <c r="D5429" s="64"/>
      <c r="E5429" s="64"/>
      <c r="F5429" s="64"/>
      <c r="G5429" s="64"/>
    </row>
    <row r="5430" spans="2:7" ht="32.25" customHeight="1" x14ac:dyDescent="0.25">
      <c r="B5430" s="64"/>
      <c r="C5430" s="64"/>
      <c r="D5430" s="64"/>
      <c r="E5430" s="64"/>
      <c r="F5430" s="64"/>
      <c r="G5430" s="64"/>
    </row>
    <row r="5431" spans="2:7" ht="32.25" customHeight="1" x14ac:dyDescent="0.25">
      <c r="B5431" s="64"/>
      <c r="C5431" s="64"/>
      <c r="D5431" s="64"/>
      <c r="E5431" s="64"/>
      <c r="F5431" s="64"/>
      <c r="G5431" s="64"/>
    </row>
    <row r="5432" spans="2:7" ht="32.25" customHeight="1" x14ac:dyDescent="0.25">
      <c r="B5432" s="64"/>
      <c r="C5432" s="64"/>
      <c r="D5432" s="64"/>
      <c r="E5432" s="64"/>
      <c r="F5432" s="64"/>
      <c r="G5432" s="64"/>
    </row>
    <row r="5433" spans="2:7" ht="32.25" customHeight="1" x14ac:dyDescent="0.25">
      <c r="B5433" s="64"/>
      <c r="C5433" s="64"/>
      <c r="D5433" s="64"/>
      <c r="E5433" s="64"/>
      <c r="F5433" s="64"/>
      <c r="G5433" s="64"/>
    </row>
    <row r="5434" spans="2:7" ht="32.25" customHeight="1" x14ac:dyDescent="0.25">
      <c r="B5434" s="64"/>
      <c r="C5434" s="64"/>
      <c r="D5434" s="64"/>
      <c r="E5434" s="64"/>
      <c r="F5434" s="64"/>
      <c r="G5434" s="64"/>
    </row>
    <row r="5435" spans="2:7" ht="32.25" customHeight="1" x14ac:dyDescent="0.25">
      <c r="B5435" s="64"/>
      <c r="C5435" s="64"/>
      <c r="D5435" s="64"/>
      <c r="E5435" s="64"/>
      <c r="F5435" s="64"/>
      <c r="G5435" s="64"/>
    </row>
    <row r="5436" spans="2:7" ht="32.25" customHeight="1" x14ac:dyDescent="0.25">
      <c r="B5436" s="64"/>
      <c r="C5436" s="64"/>
      <c r="D5436" s="64"/>
      <c r="E5436" s="64"/>
      <c r="F5436" s="64"/>
      <c r="G5436" s="64"/>
    </row>
    <row r="5437" spans="2:7" ht="32.25" customHeight="1" x14ac:dyDescent="0.25">
      <c r="B5437" s="64"/>
      <c r="C5437" s="64"/>
      <c r="D5437" s="64"/>
      <c r="E5437" s="64"/>
      <c r="F5437" s="64"/>
      <c r="G5437" s="64"/>
    </row>
    <row r="5438" spans="2:7" ht="32.25" customHeight="1" x14ac:dyDescent="0.25">
      <c r="B5438" s="64"/>
      <c r="C5438" s="64"/>
      <c r="D5438" s="64"/>
      <c r="E5438" s="64"/>
      <c r="F5438" s="64"/>
      <c r="G5438" s="64"/>
    </row>
    <row r="5439" spans="2:7" ht="32.25" customHeight="1" x14ac:dyDescent="0.25">
      <c r="B5439" s="64"/>
      <c r="C5439" s="64"/>
      <c r="D5439" s="64"/>
      <c r="E5439" s="64"/>
      <c r="F5439" s="64"/>
      <c r="G5439" s="64"/>
    </row>
    <row r="5440" spans="2:7" ht="32.25" customHeight="1" x14ac:dyDescent="0.25">
      <c r="B5440" s="64"/>
      <c r="C5440" s="64"/>
      <c r="D5440" s="64"/>
      <c r="E5440" s="64"/>
      <c r="F5440" s="64"/>
      <c r="G5440" s="64"/>
    </row>
    <row r="5441" spans="2:7" ht="32.25" customHeight="1" x14ac:dyDescent="0.25">
      <c r="B5441" s="64"/>
      <c r="C5441" s="64"/>
      <c r="D5441" s="64"/>
      <c r="E5441" s="64"/>
      <c r="F5441" s="64"/>
      <c r="G5441" s="64"/>
    </row>
    <row r="5442" spans="2:7" ht="32.25" customHeight="1" x14ac:dyDescent="0.25">
      <c r="B5442" s="64"/>
      <c r="C5442" s="64"/>
      <c r="D5442" s="64"/>
      <c r="E5442" s="64"/>
      <c r="F5442" s="64"/>
      <c r="G5442" s="64"/>
    </row>
    <row r="5443" spans="2:7" ht="32.25" customHeight="1" x14ac:dyDescent="0.25">
      <c r="B5443" s="64"/>
      <c r="C5443" s="64"/>
      <c r="D5443" s="64"/>
      <c r="E5443" s="64"/>
      <c r="F5443" s="64"/>
      <c r="G5443" s="64"/>
    </row>
    <row r="5444" spans="2:7" ht="32.25" customHeight="1" x14ac:dyDescent="0.25">
      <c r="B5444" s="64"/>
      <c r="C5444" s="64"/>
      <c r="D5444" s="64"/>
      <c r="E5444" s="64"/>
      <c r="F5444" s="64"/>
      <c r="G5444" s="64"/>
    </row>
    <row r="5445" spans="2:7" ht="32.25" customHeight="1" x14ac:dyDescent="0.25">
      <c r="B5445" s="64"/>
      <c r="C5445" s="64"/>
      <c r="D5445" s="64"/>
      <c r="E5445" s="64"/>
      <c r="F5445" s="64"/>
      <c r="G5445" s="64"/>
    </row>
    <row r="5446" spans="2:7" ht="32.25" customHeight="1" x14ac:dyDescent="0.25">
      <c r="B5446" s="64"/>
      <c r="C5446" s="64"/>
      <c r="D5446" s="64"/>
      <c r="E5446" s="64"/>
      <c r="F5446" s="64"/>
      <c r="G5446" s="64"/>
    </row>
    <row r="5447" spans="2:7" ht="32.25" customHeight="1" x14ac:dyDescent="0.25">
      <c r="B5447" s="64"/>
      <c r="C5447" s="64"/>
      <c r="D5447" s="64"/>
      <c r="E5447" s="64"/>
      <c r="F5447" s="64"/>
      <c r="G5447" s="64"/>
    </row>
    <row r="5448" spans="2:7" ht="32.25" customHeight="1" x14ac:dyDescent="0.25">
      <c r="B5448" s="64"/>
      <c r="C5448" s="64"/>
      <c r="D5448" s="64"/>
      <c r="E5448" s="64"/>
      <c r="F5448" s="64"/>
      <c r="G5448" s="64"/>
    </row>
    <row r="5449" spans="2:7" ht="32.25" customHeight="1" x14ac:dyDescent="0.25">
      <c r="B5449" s="64"/>
      <c r="C5449" s="64"/>
      <c r="D5449" s="64"/>
      <c r="E5449" s="64"/>
      <c r="F5449" s="64"/>
      <c r="G5449" s="64"/>
    </row>
    <row r="5450" spans="2:7" ht="32.25" customHeight="1" x14ac:dyDescent="0.25">
      <c r="B5450" s="64"/>
      <c r="C5450" s="64"/>
      <c r="D5450" s="64"/>
      <c r="E5450" s="64"/>
      <c r="F5450" s="64"/>
      <c r="G5450" s="64"/>
    </row>
    <row r="5451" spans="2:7" ht="32.25" customHeight="1" x14ac:dyDescent="0.25">
      <c r="B5451" s="64"/>
      <c r="C5451" s="64"/>
      <c r="D5451" s="64"/>
      <c r="E5451" s="64"/>
      <c r="F5451" s="64"/>
      <c r="G5451" s="64"/>
    </row>
    <row r="5452" spans="2:7" ht="32.25" customHeight="1" x14ac:dyDescent="0.25">
      <c r="B5452" s="64"/>
      <c r="C5452" s="64"/>
      <c r="D5452" s="64"/>
      <c r="E5452" s="64"/>
      <c r="F5452" s="64"/>
      <c r="G5452" s="64"/>
    </row>
    <row r="5453" spans="2:7" ht="32.25" customHeight="1" x14ac:dyDescent="0.25">
      <c r="B5453" s="64"/>
      <c r="C5453" s="64"/>
      <c r="D5453" s="64"/>
      <c r="E5453" s="64"/>
      <c r="F5453" s="64"/>
      <c r="G5453" s="64"/>
    </row>
    <row r="5454" spans="2:7" ht="32.25" customHeight="1" x14ac:dyDescent="0.25">
      <c r="B5454" s="64"/>
      <c r="C5454" s="64"/>
      <c r="D5454" s="64"/>
      <c r="E5454" s="64"/>
      <c r="F5454" s="64"/>
      <c r="G5454" s="64"/>
    </row>
    <row r="5455" spans="2:7" ht="32.25" customHeight="1" x14ac:dyDescent="0.25">
      <c r="B5455" s="64"/>
      <c r="C5455" s="64"/>
      <c r="D5455" s="64"/>
      <c r="E5455" s="64"/>
      <c r="F5455" s="64"/>
      <c r="G5455" s="64"/>
    </row>
    <row r="5456" spans="2:7" ht="32.25" customHeight="1" x14ac:dyDescent="0.25">
      <c r="B5456" s="64"/>
      <c r="C5456" s="64"/>
      <c r="D5456" s="64"/>
      <c r="E5456" s="64"/>
      <c r="F5456" s="64"/>
      <c r="G5456" s="64"/>
    </row>
    <row r="5457" spans="2:7" ht="32.25" customHeight="1" x14ac:dyDescent="0.25">
      <c r="B5457" s="64"/>
      <c r="C5457" s="64"/>
      <c r="D5457" s="64"/>
      <c r="E5457" s="64"/>
      <c r="F5457" s="64"/>
      <c r="G5457" s="64"/>
    </row>
    <row r="5458" spans="2:7" ht="32.25" customHeight="1" x14ac:dyDescent="0.25">
      <c r="B5458" s="64"/>
      <c r="C5458" s="64"/>
      <c r="D5458" s="64"/>
      <c r="E5458" s="64"/>
      <c r="F5458" s="64"/>
      <c r="G5458" s="64"/>
    </row>
    <row r="5459" spans="2:7" ht="32.25" customHeight="1" x14ac:dyDescent="0.25">
      <c r="B5459" s="64"/>
      <c r="C5459" s="64"/>
      <c r="D5459" s="64"/>
      <c r="E5459" s="64"/>
      <c r="F5459" s="64"/>
      <c r="G5459" s="64"/>
    </row>
    <row r="5460" spans="2:7" ht="32.25" customHeight="1" x14ac:dyDescent="0.25">
      <c r="B5460" s="64"/>
      <c r="C5460" s="64"/>
      <c r="D5460" s="64"/>
      <c r="E5460" s="64"/>
      <c r="F5460" s="64"/>
      <c r="G5460" s="64"/>
    </row>
    <row r="5461" spans="2:7" ht="32.25" customHeight="1" x14ac:dyDescent="0.25">
      <c r="B5461" s="64"/>
      <c r="C5461" s="64"/>
      <c r="D5461" s="64"/>
      <c r="E5461" s="64"/>
      <c r="F5461" s="64"/>
      <c r="G5461" s="64"/>
    </row>
    <row r="5462" spans="2:7" ht="32.25" customHeight="1" x14ac:dyDescent="0.25">
      <c r="B5462" s="64"/>
      <c r="C5462" s="64"/>
      <c r="D5462" s="64"/>
      <c r="E5462" s="64"/>
      <c r="F5462" s="64"/>
      <c r="G5462" s="64"/>
    </row>
    <row r="5463" spans="2:7" ht="32.25" customHeight="1" x14ac:dyDescent="0.25">
      <c r="B5463" s="64"/>
      <c r="C5463" s="64"/>
      <c r="D5463" s="64"/>
      <c r="E5463" s="64"/>
      <c r="F5463" s="64"/>
      <c r="G5463" s="64"/>
    </row>
    <row r="5464" spans="2:7" ht="32.25" customHeight="1" x14ac:dyDescent="0.25">
      <c r="B5464" s="64"/>
      <c r="C5464" s="64"/>
      <c r="D5464" s="64"/>
      <c r="E5464" s="64"/>
      <c r="F5464" s="64"/>
      <c r="G5464" s="64"/>
    </row>
    <row r="5465" spans="2:7" ht="32.25" customHeight="1" x14ac:dyDescent="0.25">
      <c r="B5465" s="64"/>
      <c r="C5465" s="64"/>
      <c r="D5465" s="64"/>
      <c r="E5465" s="64"/>
      <c r="F5465" s="64"/>
      <c r="G5465" s="64"/>
    </row>
    <row r="5466" spans="2:7" ht="32.25" customHeight="1" x14ac:dyDescent="0.25">
      <c r="B5466" s="64"/>
      <c r="C5466" s="64"/>
      <c r="D5466" s="64"/>
      <c r="E5466" s="64"/>
      <c r="F5466" s="64"/>
      <c r="G5466" s="64"/>
    </row>
    <row r="5467" spans="2:7" ht="32.25" customHeight="1" x14ac:dyDescent="0.25">
      <c r="B5467" s="64"/>
      <c r="C5467" s="64"/>
      <c r="D5467" s="64"/>
      <c r="E5467" s="64"/>
      <c r="F5467" s="64"/>
      <c r="G5467" s="64"/>
    </row>
    <row r="5468" spans="2:7" ht="32.25" customHeight="1" x14ac:dyDescent="0.25">
      <c r="B5468" s="64"/>
      <c r="C5468" s="64"/>
      <c r="D5468" s="64"/>
      <c r="E5468" s="64"/>
      <c r="F5468" s="64"/>
      <c r="G5468" s="64"/>
    </row>
    <row r="5469" spans="2:7" ht="32.25" customHeight="1" x14ac:dyDescent="0.25">
      <c r="B5469" s="64"/>
      <c r="C5469" s="64"/>
      <c r="D5469" s="64"/>
      <c r="E5469" s="64"/>
      <c r="F5469" s="64"/>
      <c r="G5469" s="64"/>
    </row>
    <row r="5470" spans="2:7" ht="32.25" customHeight="1" x14ac:dyDescent="0.25">
      <c r="B5470" s="64"/>
      <c r="C5470" s="64"/>
      <c r="D5470" s="64"/>
      <c r="E5470" s="64"/>
      <c r="F5470" s="64"/>
      <c r="G5470" s="64"/>
    </row>
    <row r="5471" spans="2:7" ht="32.25" customHeight="1" x14ac:dyDescent="0.25">
      <c r="B5471" s="64"/>
      <c r="C5471" s="64"/>
      <c r="D5471" s="64"/>
      <c r="E5471" s="64"/>
      <c r="F5471" s="64"/>
      <c r="G5471" s="64"/>
    </row>
    <row r="5472" spans="2:7" ht="32.25" customHeight="1" x14ac:dyDescent="0.25">
      <c r="B5472" s="64"/>
      <c r="C5472" s="64"/>
      <c r="D5472" s="64"/>
      <c r="E5472" s="64"/>
      <c r="F5472" s="64"/>
      <c r="G5472" s="64"/>
    </row>
    <row r="5473" spans="2:7" ht="32.25" customHeight="1" x14ac:dyDescent="0.25">
      <c r="B5473" s="64"/>
      <c r="C5473" s="64"/>
      <c r="D5473" s="64"/>
      <c r="E5473" s="64"/>
      <c r="F5473" s="64"/>
      <c r="G5473" s="64"/>
    </row>
    <row r="5474" spans="2:7" ht="32.25" customHeight="1" x14ac:dyDescent="0.25">
      <c r="B5474" s="64"/>
      <c r="C5474" s="64"/>
      <c r="D5474" s="64"/>
      <c r="E5474" s="64"/>
      <c r="F5474" s="64"/>
      <c r="G5474" s="64"/>
    </row>
    <row r="5475" spans="2:7" ht="32.25" customHeight="1" x14ac:dyDescent="0.25">
      <c r="B5475" s="64"/>
      <c r="C5475" s="64"/>
      <c r="D5475" s="64"/>
      <c r="E5475" s="64"/>
      <c r="F5475" s="64"/>
      <c r="G5475" s="64"/>
    </row>
    <row r="5476" spans="2:7" ht="32.25" customHeight="1" x14ac:dyDescent="0.25">
      <c r="B5476" s="64"/>
      <c r="C5476" s="64"/>
      <c r="D5476" s="64"/>
      <c r="E5476" s="64"/>
      <c r="F5476" s="64"/>
      <c r="G5476" s="64"/>
    </row>
    <row r="5477" spans="2:7" ht="32.25" customHeight="1" x14ac:dyDescent="0.25">
      <c r="B5477" s="64"/>
      <c r="C5477" s="64"/>
      <c r="D5477" s="64"/>
      <c r="E5477" s="64"/>
      <c r="F5477" s="64"/>
      <c r="G5477" s="64"/>
    </row>
    <row r="5478" spans="2:7" ht="32.25" customHeight="1" x14ac:dyDescent="0.25">
      <c r="B5478" s="64"/>
      <c r="C5478" s="64"/>
      <c r="D5478" s="64"/>
      <c r="E5478" s="64"/>
      <c r="F5478" s="64"/>
      <c r="G5478" s="64"/>
    </row>
    <row r="5479" spans="2:7" ht="32.25" customHeight="1" x14ac:dyDescent="0.25">
      <c r="B5479" s="64"/>
      <c r="C5479" s="64"/>
      <c r="D5479" s="64"/>
      <c r="E5479" s="64"/>
      <c r="F5479" s="64"/>
      <c r="G5479" s="64"/>
    </row>
    <row r="5480" spans="2:7" ht="32.25" customHeight="1" x14ac:dyDescent="0.25">
      <c r="B5480" s="64"/>
      <c r="C5480" s="64"/>
      <c r="D5480" s="64"/>
      <c r="E5480" s="64"/>
      <c r="F5480" s="64"/>
      <c r="G5480" s="64"/>
    </row>
    <row r="5481" spans="2:7" ht="32.25" customHeight="1" x14ac:dyDescent="0.25">
      <c r="B5481" s="64"/>
      <c r="C5481" s="64"/>
      <c r="D5481" s="64"/>
      <c r="E5481" s="64"/>
      <c r="F5481" s="64"/>
      <c r="G5481" s="64"/>
    </row>
    <row r="5482" spans="2:7" ht="32.25" customHeight="1" x14ac:dyDescent="0.25">
      <c r="B5482" s="64"/>
      <c r="C5482" s="64"/>
      <c r="D5482" s="64"/>
      <c r="E5482" s="64"/>
      <c r="F5482" s="64"/>
      <c r="G5482" s="64"/>
    </row>
    <row r="5483" spans="2:7" ht="32.25" customHeight="1" x14ac:dyDescent="0.25">
      <c r="B5483" s="64"/>
      <c r="C5483" s="64"/>
      <c r="D5483" s="64"/>
      <c r="E5483" s="64"/>
      <c r="F5483" s="64"/>
      <c r="G5483" s="64"/>
    </row>
    <row r="5484" spans="2:7" ht="32.25" customHeight="1" x14ac:dyDescent="0.25">
      <c r="B5484" s="64"/>
      <c r="C5484" s="64"/>
      <c r="D5484" s="64"/>
      <c r="E5484" s="64"/>
      <c r="F5484" s="64"/>
      <c r="G5484" s="64"/>
    </row>
    <row r="5485" spans="2:7" ht="32.25" customHeight="1" x14ac:dyDescent="0.25">
      <c r="B5485" s="64"/>
      <c r="C5485" s="64"/>
      <c r="D5485" s="64"/>
      <c r="E5485" s="64"/>
      <c r="F5485" s="64"/>
      <c r="G5485" s="64"/>
    </row>
    <row r="5486" spans="2:7" ht="32.25" customHeight="1" x14ac:dyDescent="0.25">
      <c r="B5486" s="64"/>
      <c r="C5486" s="64"/>
      <c r="D5486" s="64"/>
      <c r="E5486" s="64"/>
      <c r="F5486" s="64"/>
      <c r="G5486" s="64"/>
    </row>
    <row r="5487" spans="2:7" ht="32.25" customHeight="1" x14ac:dyDescent="0.25">
      <c r="B5487" s="64"/>
      <c r="C5487" s="64"/>
      <c r="D5487" s="64"/>
      <c r="E5487" s="64"/>
      <c r="F5487" s="64"/>
      <c r="G5487" s="64"/>
    </row>
    <row r="5488" spans="2:7" ht="32.25" customHeight="1" x14ac:dyDescent="0.25">
      <c r="B5488" s="64"/>
      <c r="C5488" s="64"/>
      <c r="D5488" s="64"/>
      <c r="E5488" s="64"/>
      <c r="F5488" s="64"/>
      <c r="G5488" s="64"/>
    </row>
    <row r="5489" spans="2:7" ht="32.25" customHeight="1" x14ac:dyDescent="0.25">
      <c r="B5489" s="64"/>
      <c r="C5489" s="64"/>
      <c r="D5489" s="64"/>
      <c r="E5489" s="64"/>
      <c r="F5489" s="64"/>
      <c r="G5489" s="64"/>
    </row>
    <row r="5490" spans="2:7" ht="32.25" customHeight="1" x14ac:dyDescent="0.25">
      <c r="B5490" s="64"/>
      <c r="C5490" s="64"/>
      <c r="D5490" s="64"/>
      <c r="E5490" s="64"/>
      <c r="F5490" s="64"/>
      <c r="G5490" s="64"/>
    </row>
    <row r="5491" spans="2:7" ht="32.25" customHeight="1" x14ac:dyDescent="0.25">
      <c r="B5491" s="64"/>
      <c r="C5491" s="64"/>
      <c r="D5491" s="64"/>
      <c r="E5491" s="64"/>
      <c r="F5491" s="64"/>
      <c r="G5491" s="64"/>
    </row>
    <row r="5492" spans="2:7" ht="32.25" customHeight="1" x14ac:dyDescent="0.25">
      <c r="B5492" s="64"/>
      <c r="C5492" s="64"/>
      <c r="D5492" s="64"/>
      <c r="E5492" s="64"/>
      <c r="F5492" s="64"/>
      <c r="G5492" s="64"/>
    </row>
    <row r="5493" spans="2:7" ht="32.25" customHeight="1" x14ac:dyDescent="0.25">
      <c r="B5493" s="64"/>
      <c r="C5493" s="64"/>
      <c r="D5493" s="64"/>
      <c r="E5493" s="64"/>
      <c r="F5493" s="64"/>
      <c r="G5493" s="64"/>
    </row>
    <row r="5494" spans="2:7" ht="32.25" customHeight="1" x14ac:dyDescent="0.25">
      <c r="B5494" s="64"/>
      <c r="C5494" s="64"/>
      <c r="D5494" s="64"/>
      <c r="E5494" s="64"/>
      <c r="F5494" s="64"/>
      <c r="G5494" s="64"/>
    </row>
    <row r="5495" spans="2:7" ht="32.25" customHeight="1" x14ac:dyDescent="0.25">
      <c r="B5495" s="64"/>
      <c r="C5495" s="64"/>
      <c r="D5495" s="64"/>
      <c r="E5495" s="64"/>
      <c r="F5495" s="64"/>
      <c r="G5495" s="64"/>
    </row>
    <row r="5496" spans="2:7" ht="32.25" customHeight="1" x14ac:dyDescent="0.25">
      <c r="B5496" s="64"/>
      <c r="C5496" s="64"/>
      <c r="D5496" s="64"/>
      <c r="E5496" s="64"/>
      <c r="F5496" s="64"/>
      <c r="G5496" s="64"/>
    </row>
    <row r="5497" spans="2:7" ht="32.25" customHeight="1" x14ac:dyDescent="0.25">
      <c r="B5497" s="64"/>
      <c r="C5497" s="64"/>
      <c r="D5497" s="64"/>
      <c r="E5497" s="64"/>
      <c r="F5497" s="64"/>
      <c r="G5497" s="64"/>
    </row>
    <row r="5498" spans="2:7" ht="32.25" customHeight="1" x14ac:dyDescent="0.25">
      <c r="B5498" s="64"/>
      <c r="C5498" s="64"/>
      <c r="D5498" s="64"/>
      <c r="E5498" s="64"/>
      <c r="F5498" s="64"/>
      <c r="G5498" s="64"/>
    </row>
    <row r="5499" spans="2:7" ht="32.25" customHeight="1" x14ac:dyDescent="0.25">
      <c r="B5499" s="64"/>
      <c r="C5499" s="64"/>
      <c r="D5499" s="64"/>
      <c r="E5499" s="64"/>
      <c r="F5499" s="64"/>
      <c r="G5499" s="64"/>
    </row>
    <row r="5500" spans="2:7" ht="32.25" customHeight="1" x14ac:dyDescent="0.25">
      <c r="B5500" s="64"/>
      <c r="C5500" s="64"/>
      <c r="D5500" s="64"/>
      <c r="E5500" s="64"/>
      <c r="F5500" s="64"/>
      <c r="G5500" s="64"/>
    </row>
    <row r="5501" spans="2:7" ht="32.25" customHeight="1" x14ac:dyDescent="0.25">
      <c r="B5501" s="64"/>
      <c r="C5501" s="64"/>
      <c r="D5501" s="64"/>
      <c r="E5501" s="64"/>
      <c r="F5501" s="64"/>
      <c r="G5501" s="64"/>
    </row>
    <row r="5502" spans="2:7" ht="32.25" customHeight="1" x14ac:dyDescent="0.25">
      <c r="B5502" s="64"/>
      <c r="C5502" s="64"/>
      <c r="D5502" s="64"/>
      <c r="E5502" s="64"/>
      <c r="F5502" s="64"/>
      <c r="G5502" s="64"/>
    </row>
    <row r="5503" spans="2:7" ht="32.25" customHeight="1" x14ac:dyDescent="0.25">
      <c r="B5503" s="64"/>
      <c r="C5503" s="64"/>
      <c r="D5503" s="64"/>
      <c r="E5503" s="64"/>
      <c r="F5503" s="64"/>
      <c r="G5503" s="64"/>
    </row>
    <row r="5504" spans="2:7" ht="32.25" customHeight="1" x14ac:dyDescent="0.25">
      <c r="B5504" s="64"/>
      <c r="C5504" s="64"/>
      <c r="D5504" s="64"/>
      <c r="E5504" s="64"/>
      <c r="F5504" s="64"/>
      <c r="G5504" s="64"/>
    </row>
    <row r="5505" spans="2:7" ht="32.25" customHeight="1" x14ac:dyDescent="0.25">
      <c r="B5505" s="64"/>
      <c r="C5505" s="64"/>
      <c r="D5505" s="64"/>
      <c r="E5505" s="64"/>
      <c r="F5505" s="64"/>
      <c r="G5505" s="64"/>
    </row>
    <row r="5506" spans="2:7" ht="32.25" customHeight="1" x14ac:dyDescent="0.25">
      <c r="B5506" s="64"/>
      <c r="C5506" s="64"/>
      <c r="D5506" s="64"/>
      <c r="E5506" s="64"/>
      <c r="F5506" s="64"/>
      <c r="G5506" s="64"/>
    </row>
    <row r="5507" spans="2:7" ht="32.25" customHeight="1" x14ac:dyDescent="0.25">
      <c r="B5507" s="64"/>
      <c r="C5507" s="64"/>
      <c r="D5507" s="64"/>
      <c r="E5507" s="64"/>
      <c r="F5507" s="64"/>
      <c r="G5507" s="64"/>
    </row>
    <row r="5508" spans="2:7" ht="32.25" customHeight="1" x14ac:dyDescent="0.25">
      <c r="B5508" s="64"/>
      <c r="C5508" s="64"/>
      <c r="D5508" s="64"/>
      <c r="E5508" s="64"/>
      <c r="F5508" s="64"/>
      <c r="G5508" s="64"/>
    </row>
    <row r="5509" spans="2:7" ht="32.25" customHeight="1" x14ac:dyDescent="0.25">
      <c r="B5509" s="64"/>
      <c r="C5509" s="64"/>
      <c r="D5509" s="64"/>
      <c r="E5509" s="64"/>
      <c r="F5509" s="64"/>
      <c r="G5509" s="64"/>
    </row>
    <row r="5510" spans="2:7" ht="32.25" customHeight="1" x14ac:dyDescent="0.25">
      <c r="B5510" s="64"/>
      <c r="C5510" s="64"/>
      <c r="D5510" s="64"/>
      <c r="E5510" s="64"/>
      <c r="F5510" s="64"/>
      <c r="G5510" s="64"/>
    </row>
    <row r="5511" spans="2:7" ht="32.25" customHeight="1" x14ac:dyDescent="0.25">
      <c r="B5511" s="64"/>
      <c r="C5511" s="64"/>
      <c r="D5511" s="64"/>
      <c r="E5511" s="64"/>
      <c r="F5511" s="64"/>
      <c r="G5511" s="64"/>
    </row>
    <row r="5512" spans="2:7" ht="32.25" customHeight="1" x14ac:dyDescent="0.25">
      <c r="B5512" s="64"/>
      <c r="C5512" s="64"/>
      <c r="D5512" s="64"/>
      <c r="E5512" s="64"/>
      <c r="F5512" s="64"/>
      <c r="G5512" s="64"/>
    </row>
    <row r="5513" spans="2:7" ht="32.25" customHeight="1" x14ac:dyDescent="0.25">
      <c r="B5513" s="64"/>
      <c r="C5513" s="64"/>
      <c r="D5513" s="64"/>
      <c r="E5513" s="64"/>
      <c r="F5513" s="64"/>
      <c r="G5513" s="64"/>
    </row>
    <row r="5514" spans="2:7" ht="32.25" customHeight="1" x14ac:dyDescent="0.25">
      <c r="B5514" s="64"/>
      <c r="C5514" s="64"/>
      <c r="D5514" s="64"/>
      <c r="E5514" s="64"/>
      <c r="F5514" s="64"/>
      <c r="G5514" s="64"/>
    </row>
    <row r="5515" spans="2:7" ht="32.25" customHeight="1" x14ac:dyDescent="0.25">
      <c r="B5515" s="64"/>
      <c r="C5515" s="64"/>
      <c r="D5515" s="64"/>
      <c r="E5515" s="64"/>
      <c r="F5515" s="64"/>
      <c r="G5515" s="64"/>
    </row>
    <row r="5516" spans="2:7" ht="32.25" customHeight="1" x14ac:dyDescent="0.25">
      <c r="B5516" s="64"/>
      <c r="C5516" s="64"/>
      <c r="D5516" s="64"/>
      <c r="E5516" s="64"/>
      <c r="F5516" s="64"/>
      <c r="G5516" s="64"/>
    </row>
    <row r="5517" spans="2:7" ht="32.25" customHeight="1" x14ac:dyDescent="0.25">
      <c r="B5517" s="64"/>
      <c r="C5517" s="64"/>
      <c r="D5517" s="64"/>
      <c r="E5517" s="64"/>
      <c r="F5517" s="64"/>
      <c r="G5517" s="64"/>
    </row>
    <row r="5518" spans="2:7" ht="32.25" customHeight="1" x14ac:dyDescent="0.25">
      <c r="B5518" s="64"/>
      <c r="C5518" s="64"/>
      <c r="D5518" s="64"/>
      <c r="E5518" s="64"/>
      <c r="F5518" s="64"/>
      <c r="G5518" s="64"/>
    </row>
    <row r="5519" spans="2:7" ht="32.25" customHeight="1" x14ac:dyDescent="0.25">
      <c r="B5519" s="64"/>
      <c r="C5519" s="64"/>
      <c r="D5519" s="64"/>
      <c r="E5519" s="64"/>
      <c r="F5519" s="64"/>
      <c r="G5519" s="64"/>
    </row>
    <row r="5520" spans="2:7" ht="32.25" customHeight="1" x14ac:dyDescent="0.25">
      <c r="B5520" s="64"/>
      <c r="C5520" s="64"/>
      <c r="D5520" s="64"/>
      <c r="E5520" s="64"/>
      <c r="F5520" s="64"/>
      <c r="G5520" s="64"/>
    </row>
    <row r="5521" spans="2:7" ht="32.25" customHeight="1" x14ac:dyDescent="0.25">
      <c r="B5521" s="64"/>
      <c r="C5521" s="64"/>
      <c r="D5521" s="64"/>
      <c r="E5521" s="64"/>
      <c r="F5521" s="64"/>
      <c r="G5521" s="64"/>
    </row>
    <row r="5522" spans="2:7" ht="32.25" customHeight="1" x14ac:dyDescent="0.25">
      <c r="B5522" s="64"/>
      <c r="C5522" s="64"/>
      <c r="D5522" s="64"/>
      <c r="E5522" s="64"/>
      <c r="F5522" s="64"/>
      <c r="G5522" s="64"/>
    </row>
    <row r="5523" spans="2:7" ht="32.25" customHeight="1" x14ac:dyDescent="0.25">
      <c r="B5523" s="64"/>
      <c r="C5523" s="64"/>
      <c r="D5523" s="64"/>
      <c r="E5523" s="64"/>
      <c r="F5523" s="64"/>
      <c r="G5523" s="64"/>
    </row>
    <row r="5524" spans="2:7" ht="32.25" customHeight="1" x14ac:dyDescent="0.25">
      <c r="B5524" s="64"/>
      <c r="C5524" s="64"/>
      <c r="D5524" s="64"/>
      <c r="E5524" s="64"/>
      <c r="F5524" s="64"/>
      <c r="G5524" s="64"/>
    </row>
    <row r="5525" spans="2:7" ht="32.25" customHeight="1" x14ac:dyDescent="0.25">
      <c r="B5525" s="64"/>
      <c r="C5525" s="64"/>
      <c r="D5525" s="64"/>
      <c r="E5525" s="64"/>
      <c r="F5525" s="64"/>
      <c r="G5525" s="64"/>
    </row>
    <row r="5526" spans="2:7" ht="32.25" customHeight="1" x14ac:dyDescent="0.25">
      <c r="B5526" s="64"/>
      <c r="C5526" s="64"/>
      <c r="D5526" s="64"/>
      <c r="E5526" s="64"/>
      <c r="F5526" s="64"/>
      <c r="G5526" s="64"/>
    </row>
    <row r="5527" spans="2:7" ht="32.25" customHeight="1" x14ac:dyDescent="0.25">
      <c r="B5527" s="64"/>
      <c r="C5527" s="64"/>
      <c r="D5527" s="64"/>
      <c r="E5527" s="64"/>
      <c r="F5527" s="64"/>
      <c r="G5527" s="64"/>
    </row>
    <row r="5528" spans="2:7" ht="32.25" customHeight="1" x14ac:dyDescent="0.25">
      <c r="B5528" s="64"/>
      <c r="C5528" s="64"/>
      <c r="D5528" s="64"/>
      <c r="E5528" s="64"/>
      <c r="F5528" s="64"/>
      <c r="G5528" s="64"/>
    </row>
    <row r="5529" spans="2:7" ht="32.25" customHeight="1" x14ac:dyDescent="0.25">
      <c r="B5529" s="64"/>
      <c r="C5529" s="64"/>
      <c r="D5529" s="64"/>
      <c r="E5529" s="64"/>
      <c r="F5529" s="64"/>
      <c r="G5529" s="64"/>
    </row>
    <row r="5530" spans="2:7" ht="32.25" customHeight="1" x14ac:dyDescent="0.25">
      <c r="B5530" s="64"/>
      <c r="C5530" s="64"/>
      <c r="D5530" s="64"/>
      <c r="E5530" s="64"/>
      <c r="F5530" s="64"/>
      <c r="G5530" s="64"/>
    </row>
    <row r="5531" spans="2:7" ht="32.25" customHeight="1" x14ac:dyDescent="0.25">
      <c r="B5531" s="64"/>
      <c r="C5531" s="64"/>
      <c r="D5531" s="64"/>
      <c r="E5531" s="64"/>
      <c r="F5531" s="64"/>
      <c r="G5531" s="64"/>
    </row>
    <row r="5532" spans="2:7" ht="32.25" customHeight="1" x14ac:dyDescent="0.25">
      <c r="B5532" s="64"/>
      <c r="C5532" s="64"/>
      <c r="D5532" s="64"/>
      <c r="E5532" s="64"/>
      <c r="F5532" s="64"/>
      <c r="G5532" s="64"/>
    </row>
    <row r="5533" spans="2:7" ht="32.25" customHeight="1" x14ac:dyDescent="0.25">
      <c r="B5533" s="64"/>
      <c r="C5533" s="64"/>
      <c r="D5533" s="64"/>
      <c r="E5533" s="64"/>
      <c r="F5533" s="64"/>
      <c r="G5533" s="64"/>
    </row>
    <row r="5534" spans="2:7" ht="32.25" customHeight="1" x14ac:dyDescent="0.25">
      <c r="B5534" s="64"/>
      <c r="C5534" s="64"/>
      <c r="D5534" s="64"/>
      <c r="E5534" s="64"/>
      <c r="F5534" s="64"/>
      <c r="G5534" s="64"/>
    </row>
    <row r="5535" spans="2:7" ht="32.25" customHeight="1" x14ac:dyDescent="0.25">
      <c r="B5535" s="64"/>
      <c r="C5535" s="64"/>
      <c r="D5535" s="64"/>
      <c r="E5535" s="64"/>
      <c r="F5535" s="64"/>
      <c r="G5535" s="64"/>
    </row>
    <row r="5536" spans="2:7" ht="32.25" customHeight="1" x14ac:dyDescent="0.25">
      <c r="B5536" s="64"/>
      <c r="C5536" s="64"/>
      <c r="D5536" s="64"/>
      <c r="E5536" s="64"/>
      <c r="F5536" s="64"/>
      <c r="G5536" s="64"/>
    </row>
    <row r="5537" spans="2:7" ht="32.25" customHeight="1" x14ac:dyDescent="0.25">
      <c r="B5537" s="64"/>
      <c r="C5537" s="64"/>
      <c r="D5537" s="64"/>
      <c r="E5537" s="64"/>
      <c r="F5537" s="64"/>
      <c r="G5537" s="64"/>
    </row>
    <row r="5538" spans="2:7" ht="32.25" customHeight="1" x14ac:dyDescent="0.25">
      <c r="B5538" s="64"/>
      <c r="C5538" s="64"/>
      <c r="D5538" s="64"/>
      <c r="E5538" s="64"/>
      <c r="F5538" s="64"/>
      <c r="G5538" s="64"/>
    </row>
    <row r="5539" spans="2:7" ht="32.25" customHeight="1" x14ac:dyDescent="0.25">
      <c r="B5539" s="64"/>
      <c r="C5539" s="64"/>
      <c r="D5539" s="64"/>
      <c r="E5539" s="64"/>
      <c r="F5539" s="64"/>
      <c r="G5539" s="64"/>
    </row>
    <row r="5540" spans="2:7" ht="32.25" customHeight="1" x14ac:dyDescent="0.25">
      <c r="B5540" s="64"/>
      <c r="C5540" s="64"/>
      <c r="D5540" s="64"/>
      <c r="E5540" s="64"/>
      <c r="F5540" s="64"/>
      <c r="G5540" s="64"/>
    </row>
    <row r="5541" spans="2:7" ht="32.25" customHeight="1" x14ac:dyDescent="0.25">
      <c r="B5541" s="64"/>
      <c r="C5541" s="64"/>
      <c r="D5541" s="64"/>
      <c r="E5541" s="64"/>
      <c r="F5541" s="64"/>
      <c r="G5541" s="64"/>
    </row>
    <row r="5542" spans="2:7" ht="32.25" customHeight="1" x14ac:dyDescent="0.25">
      <c r="B5542" s="64"/>
      <c r="C5542" s="64"/>
      <c r="D5542" s="64"/>
      <c r="E5542" s="64"/>
      <c r="F5542" s="64"/>
      <c r="G5542" s="64"/>
    </row>
    <row r="5543" spans="2:7" ht="32.25" customHeight="1" x14ac:dyDescent="0.25">
      <c r="B5543" s="64"/>
      <c r="C5543" s="64"/>
      <c r="D5543" s="64"/>
      <c r="E5543" s="64"/>
      <c r="F5543" s="64"/>
      <c r="G5543" s="64"/>
    </row>
    <row r="5544" spans="2:7" ht="32.25" customHeight="1" x14ac:dyDescent="0.25">
      <c r="B5544" s="64"/>
      <c r="C5544" s="64"/>
      <c r="D5544" s="64"/>
      <c r="E5544" s="64"/>
      <c r="F5544" s="64"/>
      <c r="G5544" s="64"/>
    </row>
    <row r="5545" spans="2:7" ht="32.25" customHeight="1" x14ac:dyDescent="0.25">
      <c r="B5545" s="64"/>
      <c r="C5545" s="64"/>
      <c r="D5545" s="64"/>
      <c r="E5545" s="64"/>
      <c r="F5545" s="64"/>
      <c r="G5545" s="64"/>
    </row>
    <row r="5546" spans="2:7" ht="32.25" customHeight="1" x14ac:dyDescent="0.25">
      <c r="B5546" s="64"/>
      <c r="C5546" s="64"/>
      <c r="D5546" s="64"/>
      <c r="E5546" s="64"/>
      <c r="F5546" s="64"/>
      <c r="G5546" s="64"/>
    </row>
    <row r="5547" spans="2:7" ht="32.25" customHeight="1" x14ac:dyDescent="0.25">
      <c r="B5547" s="64"/>
      <c r="C5547" s="64"/>
      <c r="D5547" s="64"/>
      <c r="E5547" s="64"/>
      <c r="F5547" s="64"/>
      <c r="G5547" s="64"/>
    </row>
    <row r="5548" spans="2:7" ht="32.25" customHeight="1" x14ac:dyDescent="0.25">
      <c r="B5548" s="64"/>
      <c r="C5548" s="64"/>
      <c r="D5548" s="64"/>
      <c r="E5548" s="64"/>
      <c r="F5548" s="64"/>
      <c r="G5548" s="64"/>
    </row>
    <row r="5549" spans="2:7" ht="32.25" customHeight="1" x14ac:dyDescent="0.25">
      <c r="B5549" s="64"/>
      <c r="C5549" s="64"/>
      <c r="D5549" s="64"/>
      <c r="E5549" s="64"/>
      <c r="F5549" s="64"/>
      <c r="G5549" s="64"/>
    </row>
    <row r="5550" spans="2:7" ht="32.25" customHeight="1" x14ac:dyDescent="0.25">
      <c r="B5550" s="64"/>
      <c r="C5550" s="64"/>
      <c r="D5550" s="64"/>
      <c r="E5550" s="64"/>
      <c r="F5550" s="64"/>
      <c r="G5550" s="64"/>
    </row>
    <row r="5551" spans="2:7" ht="32.25" customHeight="1" x14ac:dyDescent="0.25">
      <c r="B5551" s="64"/>
      <c r="C5551" s="64"/>
      <c r="D5551" s="64"/>
      <c r="E5551" s="64"/>
      <c r="F5551" s="64"/>
      <c r="G5551" s="64"/>
    </row>
    <row r="5552" spans="2:7" ht="32.25" customHeight="1" x14ac:dyDescent="0.25">
      <c r="B5552" s="64"/>
      <c r="C5552" s="64"/>
      <c r="D5552" s="64"/>
      <c r="E5552" s="64"/>
      <c r="F5552" s="64"/>
      <c r="G5552" s="64"/>
    </row>
    <row r="5553" spans="2:7" ht="32.25" customHeight="1" x14ac:dyDescent="0.25">
      <c r="B5553" s="64"/>
      <c r="C5553" s="64"/>
      <c r="D5553" s="64"/>
      <c r="E5553" s="64"/>
      <c r="F5553" s="64"/>
      <c r="G5553" s="64"/>
    </row>
    <row r="5554" spans="2:7" ht="32.25" customHeight="1" x14ac:dyDescent="0.25">
      <c r="B5554" s="64"/>
      <c r="C5554" s="64"/>
      <c r="D5554" s="64"/>
      <c r="E5554" s="64"/>
      <c r="F5554" s="64"/>
      <c r="G5554" s="64"/>
    </row>
    <row r="5555" spans="2:7" ht="32.25" customHeight="1" x14ac:dyDescent="0.25">
      <c r="B5555" s="64"/>
      <c r="C5555" s="64"/>
      <c r="D5555" s="64"/>
      <c r="E5555" s="64"/>
      <c r="F5555" s="64"/>
      <c r="G5555" s="64"/>
    </row>
    <row r="5556" spans="2:7" ht="32.25" customHeight="1" x14ac:dyDescent="0.25">
      <c r="B5556" s="64"/>
      <c r="C5556" s="64"/>
      <c r="D5556" s="64"/>
      <c r="E5556" s="64"/>
      <c r="F5556" s="64"/>
      <c r="G5556" s="64"/>
    </row>
    <row r="5557" spans="2:7" ht="32.25" customHeight="1" x14ac:dyDescent="0.25">
      <c r="B5557" s="64"/>
      <c r="C5557" s="64"/>
      <c r="D5557" s="64"/>
      <c r="E5557" s="64"/>
      <c r="F5557" s="64"/>
      <c r="G5557" s="64"/>
    </row>
    <row r="5558" spans="2:7" ht="32.25" customHeight="1" x14ac:dyDescent="0.25">
      <c r="B5558" s="64"/>
      <c r="C5558" s="64"/>
      <c r="D5558" s="64"/>
      <c r="E5558" s="64"/>
      <c r="F5558" s="64"/>
      <c r="G5558" s="64"/>
    </row>
    <row r="5559" spans="2:7" ht="32.25" customHeight="1" x14ac:dyDescent="0.25">
      <c r="B5559" s="64"/>
      <c r="C5559" s="64"/>
      <c r="D5559" s="64"/>
      <c r="E5559" s="64"/>
      <c r="F5559" s="64"/>
      <c r="G5559" s="64"/>
    </row>
    <row r="5560" spans="2:7" ht="32.25" customHeight="1" x14ac:dyDescent="0.25">
      <c r="B5560" s="64"/>
      <c r="C5560" s="64"/>
      <c r="D5560" s="64"/>
      <c r="E5560" s="64"/>
      <c r="F5560" s="64"/>
      <c r="G5560" s="64"/>
    </row>
    <row r="5561" spans="2:7" ht="32.25" customHeight="1" x14ac:dyDescent="0.25">
      <c r="B5561" s="64"/>
      <c r="C5561" s="64"/>
      <c r="D5561" s="64"/>
      <c r="E5561" s="64"/>
      <c r="F5561" s="64"/>
      <c r="G5561" s="64"/>
    </row>
    <row r="5562" spans="2:7" ht="32.25" customHeight="1" x14ac:dyDescent="0.25">
      <c r="B5562" s="64"/>
      <c r="C5562" s="64"/>
      <c r="D5562" s="64"/>
      <c r="E5562" s="64"/>
      <c r="F5562" s="64"/>
      <c r="G5562" s="64"/>
    </row>
    <row r="5563" spans="2:7" ht="32.25" customHeight="1" x14ac:dyDescent="0.25">
      <c r="B5563" s="64"/>
      <c r="C5563" s="64"/>
      <c r="D5563" s="64"/>
      <c r="E5563" s="64"/>
      <c r="F5563" s="64"/>
      <c r="G5563" s="64"/>
    </row>
    <row r="5564" spans="2:7" ht="32.25" customHeight="1" x14ac:dyDescent="0.25">
      <c r="B5564" s="64"/>
      <c r="C5564" s="64"/>
      <c r="D5564" s="64"/>
      <c r="E5564" s="64"/>
      <c r="F5564" s="64"/>
      <c r="G5564" s="64"/>
    </row>
    <row r="5565" spans="2:7" ht="32.25" customHeight="1" x14ac:dyDescent="0.25">
      <c r="B5565" s="64"/>
      <c r="C5565" s="64"/>
      <c r="D5565" s="64"/>
      <c r="E5565" s="64"/>
      <c r="F5565" s="64"/>
      <c r="G5565" s="64"/>
    </row>
    <row r="5566" spans="2:7" ht="32.25" customHeight="1" x14ac:dyDescent="0.25">
      <c r="B5566" s="64"/>
      <c r="C5566" s="64"/>
      <c r="D5566" s="64"/>
      <c r="E5566" s="64"/>
      <c r="F5566" s="64"/>
      <c r="G5566" s="64"/>
    </row>
    <row r="5567" spans="2:7" ht="32.25" customHeight="1" x14ac:dyDescent="0.25">
      <c r="B5567" s="64"/>
      <c r="C5567" s="64"/>
      <c r="D5567" s="64"/>
      <c r="E5567" s="64"/>
      <c r="F5567" s="64"/>
      <c r="G5567" s="64"/>
    </row>
    <row r="5568" spans="2:7" ht="32.25" customHeight="1" x14ac:dyDescent="0.25">
      <c r="B5568" s="64"/>
      <c r="C5568" s="64"/>
      <c r="D5568" s="64"/>
      <c r="E5568" s="64"/>
      <c r="F5568" s="64"/>
      <c r="G5568" s="64"/>
    </row>
    <row r="5569" spans="2:7" ht="32.25" customHeight="1" x14ac:dyDescent="0.25">
      <c r="B5569" s="64"/>
      <c r="C5569" s="64"/>
      <c r="D5569" s="64"/>
      <c r="E5569" s="64"/>
      <c r="F5569" s="64"/>
      <c r="G5569" s="64"/>
    </row>
    <row r="5570" spans="2:7" ht="32.25" customHeight="1" x14ac:dyDescent="0.25">
      <c r="B5570" s="64"/>
      <c r="C5570" s="64"/>
      <c r="D5570" s="64"/>
      <c r="E5570" s="64"/>
      <c r="F5570" s="64"/>
      <c r="G5570" s="64"/>
    </row>
    <row r="5571" spans="2:7" ht="32.25" customHeight="1" x14ac:dyDescent="0.25">
      <c r="B5571" s="64"/>
      <c r="C5571" s="64"/>
      <c r="D5571" s="64"/>
      <c r="E5571" s="64"/>
      <c r="F5571" s="64"/>
      <c r="G5571" s="64"/>
    </row>
    <row r="5572" spans="2:7" ht="32.25" customHeight="1" x14ac:dyDescent="0.25">
      <c r="B5572" s="64"/>
      <c r="C5572" s="64"/>
      <c r="D5572" s="64"/>
      <c r="E5572" s="64"/>
      <c r="F5572" s="64"/>
      <c r="G5572" s="64"/>
    </row>
    <row r="5573" spans="2:7" ht="32.25" customHeight="1" x14ac:dyDescent="0.25">
      <c r="B5573" s="64"/>
      <c r="C5573" s="64"/>
      <c r="D5573" s="64"/>
      <c r="E5573" s="64"/>
      <c r="F5573" s="64"/>
      <c r="G5573" s="64"/>
    </row>
    <row r="5574" spans="2:7" ht="32.25" customHeight="1" x14ac:dyDescent="0.25">
      <c r="B5574" s="64"/>
      <c r="C5574" s="64"/>
      <c r="D5574" s="64"/>
      <c r="E5574" s="64"/>
      <c r="F5574" s="64"/>
      <c r="G5574" s="64"/>
    </row>
    <row r="5575" spans="2:7" ht="32.25" customHeight="1" x14ac:dyDescent="0.25">
      <c r="B5575" s="64"/>
      <c r="C5575" s="64"/>
      <c r="D5575" s="64"/>
      <c r="E5575" s="64"/>
      <c r="F5575" s="64"/>
      <c r="G5575" s="64"/>
    </row>
    <row r="5576" spans="2:7" ht="32.25" customHeight="1" x14ac:dyDescent="0.25">
      <c r="B5576" s="64"/>
      <c r="C5576" s="64"/>
      <c r="D5576" s="64"/>
      <c r="E5576" s="64"/>
      <c r="F5576" s="64"/>
      <c r="G5576" s="64"/>
    </row>
    <row r="5577" spans="2:7" ht="32.25" customHeight="1" x14ac:dyDescent="0.25">
      <c r="B5577" s="64"/>
      <c r="C5577" s="64"/>
      <c r="D5577" s="64"/>
      <c r="E5577" s="64"/>
      <c r="F5577" s="64"/>
      <c r="G5577" s="64"/>
    </row>
    <row r="5578" spans="2:7" ht="32.25" customHeight="1" x14ac:dyDescent="0.25">
      <c r="B5578" s="64"/>
      <c r="C5578" s="64"/>
      <c r="D5578" s="64"/>
      <c r="E5578" s="64"/>
      <c r="F5578" s="64"/>
      <c r="G5578" s="64"/>
    </row>
    <row r="5579" spans="2:7" ht="32.25" customHeight="1" x14ac:dyDescent="0.25">
      <c r="B5579" s="64"/>
      <c r="C5579" s="64"/>
      <c r="D5579" s="64"/>
      <c r="E5579" s="64"/>
      <c r="F5579" s="64"/>
      <c r="G5579" s="64"/>
    </row>
    <row r="5580" spans="2:7" ht="32.25" customHeight="1" x14ac:dyDescent="0.25">
      <c r="B5580" s="64"/>
      <c r="C5580" s="64"/>
      <c r="D5580" s="64"/>
      <c r="E5580" s="64"/>
      <c r="F5580" s="64"/>
      <c r="G5580" s="64"/>
    </row>
    <row r="5581" spans="2:7" ht="32.25" customHeight="1" x14ac:dyDescent="0.25">
      <c r="B5581" s="64"/>
      <c r="C5581" s="64"/>
      <c r="D5581" s="64"/>
      <c r="E5581" s="64"/>
      <c r="F5581" s="64"/>
      <c r="G5581" s="64"/>
    </row>
    <row r="5582" spans="2:7" ht="32.25" customHeight="1" x14ac:dyDescent="0.25">
      <c r="B5582" s="64"/>
      <c r="C5582" s="64"/>
      <c r="D5582" s="64"/>
      <c r="E5582" s="64"/>
      <c r="F5582" s="64"/>
      <c r="G5582" s="64"/>
    </row>
    <row r="5583" spans="2:7" ht="32.25" customHeight="1" x14ac:dyDescent="0.25">
      <c r="B5583" s="64"/>
      <c r="C5583" s="64"/>
      <c r="D5583" s="64"/>
      <c r="E5583" s="64"/>
      <c r="F5583" s="64"/>
      <c r="G5583" s="64"/>
    </row>
    <row r="5584" spans="2:7" ht="32.25" customHeight="1" x14ac:dyDescent="0.25">
      <c r="B5584" s="64"/>
      <c r="C5584" s="64"/>
      <c r="D5584" s="64"/>
      <c r="E5584" s="64"/>
      <c r="F5584" s="64"/>
      <c r="G5584" s="64"/>
    </row>
    <row r="5585" spans="2:7" ht="32.25" customHeight="1" x14ac:dyDescent="0.25">
      <c r="B5585" s="64"/>
      <c r="C5585" s="64"/>
      <c r="D5585" s="64"/>
      <c r="E5585" s="64"/>
      <c r="F5585" s="64"/>
      <c r="G5585" s="64"/>
    </row>
    <row r="5586" spans="2:7" ht="32.25" customHeight="1" x14ac:dyDescent="0.25">
      <c r="B5586" s="64"/>
      <c r="C5586" s="64"/>
      <c r="D5586" s="64"/>
      <c r="E5586" s="64"/>
      <c r="F5586" s="64"/>
      <c r="G5586" s="64"/>
    </row>
    <row r="5587" spans="2:7" ht="32.25" customHeight="1" x14ac:dyDescent="0.25">
      <c r="B5587" s="64"/>
      <c r="C5587" s="64"/>
      <c r="D5587" s="64"/>
      <c r="E5587" s="64"/>
      <c r="F5587" s="64"/>
      <c r="G5587" s="64"/>
    </row>
    <row r="5588" spans="2:7" ht="32.25" customHeight="1" x14ac:dyDescent="0.25">
      <c r="B5588" s="64"/>
      <c r="C5588" s="64"/>
      <c r="D5588" s="64"/>
      <c r="E5588" s="64"/>
      <c r="F5588" s="64"/>
      <c r="G5588" s="64"/>
    </row>
    <row r="5589" spans="2:7" ht="32.25" customHeight="1" x14ac:dyDescent="0.25">
      <c r="B5589" s="64"/>
      <c r="C5589" s="64"/>
      <c r="D5589" s="64"/>
      <c r="E5589" s="64"/>
      <c r="F5589" s="64"/>
      <c r="G5589" s="64"/>
    </row>
    <row r="5590" spans="2:7" ht="32.25" customHeight="1" x14ac:dyDescent="0.25">
      <c r="B5590" s="64"/>
      <c r="C5590" s="64"/>
      <c r="D5590" s="64"/>
      <c r="E5590" s="64"/>
      <c r="F5590" s="64"/>
      <c r="G5590" s="64"/>
    </row>
    <row r="5591" spans="2:7" ht="32.25" customHeight="1" x14ac:dyDescent="0.25">
      <c r="B5591" s="64"/>
      <c r="C5591" s="64"/>
      <c r="D5591" s="64"/>
      <c r="E5591" s="64"/>
      <c r="F5591" s="64"/>
      <c r="G5591" s="64"/>
    </row>
    <row r="5592" spans="2:7" ht="32.25" customHeight="1" x14ac:dyDescent="0.25">
      <c r="B5592" s="64"/>
      <c r="C5592" s="64"/>
      <c r="D5592" s="64"/>
      <c r="E5592" s="64"/>
      <c r="F5592" s="64"/>
      <c r="G5592" s="64"/>
    </row>
    <row r="5593" spans="2:7" ht="32.25" customHeight="1" x14ac:dyDescent="0.25">
      <c r="B5593" s="64"/>
      <c r="C5593" s="64"/>
      <c r="D5593" s="64"/>
      <c r="E5593" s="64"/>
      <c r="F5593" s="64"/>
      <c r="G5593" s="64"/>
    </row>
    <row r="5594" spans="2:7" ht="32.25" customHeight="1" x14ac:dyDescent="0.25">
      <c r="B5594" s="64"/>
      <c r="C5594" s="64"/>
      <c r="D5594" s="64"/>
      <c r="E5594" s="64"/>
      <c r="F5594" s="64"/>
      <c r="G5594" s="64"/>
    </row>
    <row r="5595" spans="2:7" ht="32.25" customHeight="1" x14ac:dyDescent="0.25">
      <c r="B5595" s="64"/>
      <c r="C5595" s="64"/>
      <c r="D5595" s="64"/>
      <c r="E5595" s="64"/>
      <c r="F5595" s="64"/>
      <c r="G5595" s="64"/>
    </row>
    <row r="5596" spans="2:7" ht="32.25" customHeight="1" x14ac:dyDescent="0.25">
      <c r="B5596" s="64"/>
      <c r="C5596" s="64"/>
      <c r="D5596" s="64"/>
      <c r="E5596" s="64"/>
      <c r="F5596" s="64"/>
      <c r="G5596" s="64"/>
    </row>
    <row r="5597" spans="2:7" ht="32.25" customHeight="1" x14ac:dyDescent="0.25">
      <c r="B5597" s="64"/>
      <c r="C5597" s="64"/>
      <c r="D5597" s="64"/>
      <c r="E5597" s="64"/>
      <c r="F5597" s="64"/>
      <c r="G5597" s="64"/>
    </row>
    <row r="5598" spans="2:7" ht="32.25" customHeight="1" x14ac:dyDescent="0.25">
      <c r="B5598" s="64"/>
      <c r="C5598" s="64"/>
      <c r="D5598" s="64"/>
      <c r="E5598" s="64"/>
      <c r="F5598" s="64"/>
      <c r="G5598" s="64"/>
    </row>
    <row r="5599" spans="2:7" ht="32.25" customHeight="1" x14ac:dyDescent="0.25">
      <c r="B5599" s="64"/>
      <c r="C5599" s="64"/>
      <c r="D5599" s="64"/>
      <c r="E5599" s="64"/>
      <c r="F5599" s="64"/>
      <c r="G5599" s="64"/>
    </row>
    <row r="5600" spans="2:7" ht="32.25" customHeight="1" x14ac:dyDescent="0.25">
      <c r="B5600" s="64"/>
      <c r="C5600" s="64"/>
      <c r="D5600" s="64"/>
      <c r="E5600" s="64"/>
      <c r="F5600" s="64"/>
      <c r="G5600" s="64"/>
    </row>
    <row r="5601" spans="2:7" ht="32.25" customHeight="1" x14ac:dyDescent="0.25">
      <c r="B5601" s="64"/>
      <c r="C5601" s="64"/>
      <c r="D5601" s="64"/>
      <c r="E5601" s="64"/>
      <c r="F5601" s="64"/>
      <c r="G5601" s="64"/>
    </row>
    <row r="5602" spans="2:7" ht="32.25" customHeight="1" x14ac:dyDescent="0.25">
      <c r="B5602" s="64"/>
      <c r="C5602" s="64"/>
      <c r="D5602" s="64"/>
      <c r="E5602" s="64"/>
      <c r="F5602" s="64"/>
      <c r="G5602" s="64"/>
    </row>
    <row r="5603" spans="2:7" ht="32.25" customHeight="1" x14ac:dyDescent="0.25">
      <c r="B5603" s="64"/>
      <c r="C5603" s="64"/>
      <c r="D5603" s="64"/>
      <c r="E5603" s="64"/>
      <c r="F5603" s="64"/>
      <c r="G5603" s="64"/>
    </row>
    <row r="5604" spans="2:7" ht="32.25" customHeight="1" x14ac:dyDescent="0.25">
      <c r="B5604" s="64"/>
      <c r="C5604" s="64"/>
      <c r="D5604" s="64"/>
      <c r="E5604" s="64"/>
      <c r="F5604" s="64"/>
      <c r="G5604" s="64"/>
    </row>
    <row r="5605" spans="2:7" ht="32.25" customHeight="1" x14ac:dyDescent="0.25">
      <c r="B5605" s="64"/>
      <c r="C5605" s="64"/>
      <c r="D5605" s="64"/>
      <c r="E5605" s="64"/>
      <c r="F5605" s="64"/>
      <c r="G5605" s="64"/>
    </row>
    <row r="5606" spans="2:7" ht="32.25" customHeight="1" x14ac:dyDescent="0.25">
      <c r="B5606" s="64"/>
      <c r="C5606" s="64"/>
      <c r="D5606" s="64"/>
      <c r="E5606" s="64"/>
      <c r="F5606" s="64"/>
      <c r="G5606" s="64"/>
    </row>
    <row r="5607" spans="2:7" ht="32.25" customHeight="1" x14ac:dyDescent="0.25">
      <c r="B5607" s="64"/>
      <c r="C5607" s="64"/>
      <c r="D5607" s="64"/>
      <c r="E5607" s="64"/>
      <c r="F5607" s="64"/>
      <c r="G5607" s="64"/>
    </row>
    <row r="5608" spans="2:7" ht="32.25" customHeight="1" x14ac:dyDescent="0.25">
      <c r="B5608" s="64"/>
      <c r="C5608" s="64"/>
      <c r="D5608" s="64"/>
      <c r="E5608" s="64"/>
      <c r="F5608" s="64"/>
      <c r="G5608" s="64"/>
    </row>
    <row r="5609" spans="2:7" ht="32.25" customHeight="1" x14ac:dyDescent="0.25">
      <c r="B5609" s="64"/>
      <c r="C5609" s="64"/>
      <c r="D5609" s="64"/>
      <c r="E5609" s="64"/>
      <c r="F5609" s="64"/>
      <c r="G5609" s="64"/>
    </row>
    <row r="5610" spans="2:7" ht="32.25" customHeight="1" x14ac:dyDescent="0.25">
      <c r="B5610" s="64"/>
      <c r="C5610" s="64"/>
      <c r="D5610" s="64"/>
      <c r="E5610" s="64"/>
      <c r="F5610" s="64"/>
      <c r="G5610" s="64"/>
    </row>
    <row r="5611" spans="2:7" ht="32.25" customHeight="1" x14ac:dyDescent="0.25">
      <c r="B5611" s="64"/>
      <c r="C5611" s="64"/>
      <c r="D5611" s="64"/>
      <c r="E5611" s="64"/>
      <c r="F5611" s="64"/>
      <c r="G5611" s="64"/>
    </row>
    <row r="5612" spans="2:7" ht="32.25" customHeight="1" x14ac:dyDescent="0.25">
      <c r="B5612" s="64"/>
      <c r="C5612" s="64"/>
      <c r="D5612" s="64"/>
      <c r="E5612" s="64"/>
      <c r="F5612" s="64"/>
      <c r="G5612" s="64"/>
    </row>
    <row r="5613" spans="2:7" ht="32.25" customHeight="1" x14ac:dyDescent="0.25">
      <c r="B5613" s="64"/>
      <c r="C5613" s="64"/>
      <c r="D5613" s="64"/>
      <c r="E5613" s="64"/>
      <c r="F5613" s="64"/>
      <c r="G5613" s="64"/>
    </row>
    <row r="5614" spans="2:7" ht="32.25" customHeight="1" x14ac:dyDescent="0.25">
      <c r="B5614" s="64"/>
      <c r="C5614" s="64"/>
      <c r="D5614" s="64"/>
      <c r="E5614" s="64"/>
      <c r="F5614" s="64"/>
      <c r="G5614" s="64"/>
    </row>
    <row r="5615" spans="2:7" ht="32.25" customHeight="1" x14ac:dyDescent="0.25">
      <c r="B5615" s="64"/>
      <c r="C5615" s="64"/>
      <c r="D5615" s="64"/>
      <c r="E5615" s="64"/>
      <c r="F5615" s="64"/>
      <c r="G5615" s="64"/>
    </row>
    <row r="5616" spans="2:7" ht="32.25" customHeight="1" x14ac:dyDescent="0.25">
      <c r="B5616" s="64"/>
      <c r="C5616" s="64"/>
      <c r="D5616" s="64"/>
      <c r="E5616" s="64"/>
      <c r="F5616" s="64"/>
      <c r="G5616" s="64"/>
    </row>
    <row r="5617" spans="2:7" ht="32.25" customHeight="1" x14ac:dyDescent="0.25">
      <c r="B5617" s="64"/>
      <c r="C5617" s="64"/>
      <c r="D5617" s="64"/>
      <c r="E5617" s="64"/>
      <c r="F5617" s="64"/>
      <c r="G5617" s="64"/>
    </row>
    <row r="5618" spans="2:7" ht="32.25" customHeight="1" x14ac:dyDescent="0.25">
      <c r="B5618" s="64"/>
      <c r="C5618" s="64"/>
      <c r="D5618" s="64"/>
      <c r="E5618" s="64"/>
      <c r="F5618" s="64"/>
      <c r="G5618" s="64"/>
    </row>
    <row r="5619" spans="2:7" ht="32.25" customHeight="1" x14ac:dyDescent="0.25">
      <c r="B5619" s="64"/>
      <c r="C5619" s="64"/>
      <c r="D5619" s="64"/>
      <c r="E5619" s="64"/>
      <c r="F5619" s="64"/>
      <c r="G5619" s="64"/>
    </row>
    <row r="5620" spans="2:7" ht="32.25" customHeight="1" x14ac:dyDescent="0.25">
      <c r="B5620" s="64"/>
      <c r="C5620" s="64"/>
      <c r="D5620" s="64"/>
      <c r="E5620" s="64"/>
      <c r="F5620" s="64"/>
      <c r="G5620" s="64"/>
    </row>
    <row r="5621" spans="2:7" ht="32.25" customHeight="1" x14ac:dyDescent="0.25">
      <c r="B5621" s="64"/>
      <c r="C5621" s="64"/>
      <c r="D5621" s="64"/>
      <c r="E5621" s="64"/>
      <c r="F5621" s="64"/>
      <c r="G5621" s="64"/>
    </row>
    <row r="5622" spans="2:7" ht="32.25" customHeight="1" x14ac:dyDescent="0.25">
      <c r="B5622" s="64"/>
      <c r="C5622" s="64"/>
      <c r="D5622" s="64"/>
      <c r="E5622" s="64"/>
      <c r="F5622" s="64"/>
      <c r="G5622" s="64"/>
    </row>
    <row r="5623" spans="2:7" ht="32.25" customHeight="1" x14ac:dyDescent="0.25">
      <c r="B5623" s="64"/>
      <c r="C5623" s="64"/>
      <c r="D5623" s="64"/>
      <c r="E5623" s="64"/>
      <c r="F5623" s="64"/>
      <c r="G5623" s="64"/>
    </row>
    <row r="5624" spans="2:7" ht="32.25" customHeight="1" x14ac:dyDescent="0.25">
      <c r="B5624" s="64"/>
      <c r="C5624" s="64"/>
      <c r="D5624" s="64"/>
      <c r="E5624" s="64"/>
      <c r="F5624" s="64"/>
      <c r="G5624" s="64"/>
    </row>
    <row r="5625" spans="2:7" ht="32.25" customHeight="1" x14ac:dyDescent="0.25">
      <c r="B5625" s="64"/>
      <c r="C5625" s="64"/>
      <c r="D5625" s="64"/>
      <c r="E5625" s="64"/>
      <c r="F5625" s="64"/>
      <c r="G5625" s="64"/>
    </row>
    <row r="5626" spans="2:7" ht="32.25" customHeight="1" x14ac:dyDescent="0.25">
      <c r="B5626" s="64"/>
      <c r="C5626" s="64"/>
      <c r="D5626" s="64"/>
      <c r="E5626" s="64"/>
      <c r="F5626" s="64"/>
      <c r="G5626" s="64"/>
    </row>
    <row r="5627" spans="2:7" ht="32.25" customHeight="1" x14ac:dyDescent="0.25">
      <c r="B5627" s="64"/>
      <c r="C5627" s="64"/>
      <c r="D5627" s="64"/>
      <c r="E5627" s="64"/>
      <c r="F5627" s="64"/>
      <c r="G5627" s="64"/>
    </row>
    <row r="5628" spans="2:7" ht="32.25" customHeight="1" x14ac:dyDescent="0.25">
      <c r="B5628" s="64"/>
      <c r="C5628" s="64"/>
      <c r="D5628" s="64"/>
      <c r="E5628" s="64"/>
      <c r="F5628" s="64"/>
      <c r="G5628" s="64"/>
    </row>
    <row r="5629" spans="2:7" ht="32.25" customHeight="1" x14ac:dyDescent="0.25">
      <c r="B5629" s="64"/>
      <c r="C5629" s="64"/>
      <c r="D5629" s="64"/>
      <c r="E5629" s="64"/>
      <c r="F5629" s="64"/>
      <c r="G5629" s="64"/>
    </row>
    <row r="5630" spans="2:7" ht="32.25" customHeight="1" x14ac:dyDescent="0.25">
      <c r="B5630" s="64"/>
      <c r="C5630" s="64"/>
      <c r="D5630" s="64"/>
      <c r="E5630" s="64"/>
      <c r="F5630" s="64"/>
      <c r="G5630" s="64"/>
    </row>
    <row r="5631" spans="2:7" ht="32.25" customHeight="1" x14ac:dyDescent="0.25">
      <c r="B5631" s="64"/>
      <c r="C5631" s="64"/>
      <c r="D5631" s="64"/>
      <c r="E5631" s="64"/>
      <c r="F5631" s="64"/>
      <c r="G5631" s="64"/>
    </row>
    <row r="5632" spans="2:7" ht="32.25" customHeight="1" x14ac:dyDescent="0.25">
      <c r="B5632" s="64"/>
      <c r="C5632" s="64"/>
      <c r="D5632" s="64"/>
      <c r="E5632" s="64"/>
      <c r="F5632" s="64"/>
      <c r="G5632" s="64"/>
    </row>
    <row r="5633" spans="2:7" ht="32.25" customHeight="1" x14ac:dyDescent="0.25">
      <c r="B5633" s="64"/>
      <c r="C5633" s="64"/>
      <c r="D5633" s="64"/>
      <c r="E5633" s="64"/>
      <c r="F5633" s="64"/>
      <c r="G5633" s="64"/>
    </row>
    <row r="5634" spans="2:7" ht="32.25" customHeight="1" x14ac:dyDescent="0.25">
      <c r="B5634" s="64"/>
      <c r="C5634" s="64"/>
      <c r="D5634" s="64"/>
      <c r="E5634" s="64"/>
      <c r="F5634" s="64"/>
      <c r="G5634" s="64"/>
    </row>
    <row r="5635" spans="2:7" ht="32.25" customHeight="1" x14ac:dyDescent="0.25">
      <c r="B5635" s="64"/>
      <c r="C5635" s="64"/>
      <c r="D5635" s="64"/>
      <c r="E5635" s="64"/>
      <c r="F5635" s="64"/>
      <c r="G5635" s="64"/>
    </row>
    <row r="5636" spans="2:7" ht="32.25" customHeight="1" x14ac:dyDescent="0.25">
      <c r="B5636" s="64"/>
      <c r="C5636" s="64"/>
      <c r="D5636" s="64"/>
      <c r="E5636" s="64"/>
      <c r="F5636" s="64"/>
      <c r="G5636" s="64"/>
    </row>
    <row r="5637" spans="2:7" ht="32.25" customHeight="1" x14ac:dyDescent="0.25">
      <c r="B5637" s="64"/>
      <c r="C5637" s="64"/>
      <c r="D5637" s="64"/>
      <c r="E5637" s="64"/>
      <c r="F5637" s="64"/>
      <c r="G5637" s="64"/>
    </row>
    <row r="5638" spans="2:7" ht="32.25" customHeight="1" x14ac:dyDescent="0.25">
      <c r="B5638" s="64"/>
      <c r="C5638" s="64"/>
      <c r="D5638" s="64"/>
      <c r="E5638" s="64"/>
      <c r="F5638" s="64"/>
      <c r="G5638" s="64"/>
    </row>
    <row r="5639" spans="2:7" ht="32.25" customHeight="1" x14ac:dyDescent="0.25">
      <c r="B5639" s="64"/>
      <c r="C5639" s="64"/>
      <c r="D5639" s="64"/>
      <c r="E5639" s="64"/>
      <c r="F5639" s="64"/>
      <c r="G5639" s="64"/>
    </row>
    <row r="5640" spans="2:7" ht="32.25" customHeight="1" x14ac:dyDescent="0.25">
      <c r="B5640" s="64"/>
      <c r="C5640" s="64"/>
      <c r="D5640" s="64"/>
      <c r="E5640" s="64"/>
      <c r="F5640" s="64"/>
      <c r="G5640" s="64"/>
    </row>
    <row r="5641" spans="2:7" ht="32.25" customHeight="1" x14ac:dyDescent="0.25">
      <c r="B5641" s="64"/>
      <c r="C5641" s="64"/>
      <c r="D5641" s="64"/>
      <c r="E5641" s="64"/>
      <c r="F5641" s="64"/>
      <c r="G5641" s="64"/>
    </row>
    <row r="5642" spans="2:7" ht="32.25" customHeight="1" x14ac:dyDescent="0.25">
      <c r="B5642" s="64"/>
      <c r="C5642" s="64"/>
      <c r="D5642" s="64"/>
      <c r="E5642" s="64"/>
      <c r="F5642" s="64"/>
      <c r="G5642" s="64"/>
    </row>
    <row r="5643" spans="2:7" ht="32.25" customHeight="1" x14ac:dyDescent="0.25">
      <c r="B5643" s="64"/>
      <c r="C5643" s="64"/>
      <c r="D5643" s="64"/>
      <c r="E5643" s="64"/>
      <c r="F5643" s="64"/>
      <c r="G5643" s="64"/>
    </row>
    <row r="5644" spans="2:7" ht="32.25" customHeight="1" x14ac:dyDescent="0.25">
      <c r="B5644" s="64"/>
      <c r="C5644" s="64"/>
      <c r="D5644" s="64"/>
      <c r="E5644" s="64"/>
      <c r="F5644" s="64"/>
      <c r="G5644" s="64"/>
    </row>
    <row r="5645" spans="2:7" ht="32.25" customHeight="1" x14ac:dyDescent="0.25">
      <c r="B5645" s="64"/>
      <c r="C5645" s="64"/>
      <c r="D5645" s="64"/>
      <c r="E5645" s="64"/>
      <c r="F5645" s="64"/>
      <c r="G5645" s="64"/>
    </row>
    <row r="5646" spans="2:7" ht="32.25" customHeight="1" x14ac:dyDescent="0.25">
      <c r="B5646" s="64"/>
      <c r="C5646" s="64"/>
      <c r="D5646" s="64"/>
      <c r="E5646" s="64"/>
      <c r="F5646" s="64"/>
      <c r="G5646" s="64"/>
    </row>
    <row r="5647" spans="2:7" ht="32.25" customHeight="1" x14ac:dyDescent="0.25">
      <c r="B5647" s="64"/>
      <c r="C5647" s="64"/>
      <c r="D5647" s="64"/>
      <c r="E5647" s="64"/>
      <c r="F5647" s="64"/>
      <c r="G5647" s="64"/>
    </row>
    <row r="5648" spans="2:7" ht="32.25" customHeight="1" x14ac:dyDescent="0.25">
      <c r="B5648" s="64"/>
      <c r="C5648" s="64"/>
      <c r="D5648" s="64"/>
      <c r="E5648" s="64"/>
      <c r="F5648" s="64"/>
      <c r="G5648" s="64"/>
    </row>
    <row r="5649" spans="2:7" ht="32.25" customHeight="1" x14ac:dyDescent="0.25">
      <c r="B5649" s="64"/>
      <c r="C5649" s="64"/>
      <c r="D5649" s="64"/>
      <c r="E5649" s="64"/>
      <c r="F5649" s="64"/>
      <c r="G5649" s="64"/>
    </row>
    <row r="5650" spans="2:7" ht="32.25" customHeight="1" x14ac:dyDescent="0.25">
      <c r="B5650" s="64"/>
      <c r="C5650" s="64"/>
      <c r="D5650" s="64"/>
      <c r="E5650" s="64"/>
      <c r="F5650" s="64"/>
      <c r="G5650" s="64"/>
    </row>
    <row r="5651" spans="2:7" ht="32.25" customHeight="1" x14ac:dyDescent="0.25">
      <c r="B5651" s="64"/>
      <c r="C5651" s="64"/>
      <c r="D5651" s="64"/>
      <c r="E5651" s="64"/>
      <c r="F5651" s="64"/>
      <c r="G5651" s="64"/>
    </row>
    <row r="5652" spans="2:7" ht="32.25" customHeight="1" x14ac:dyDescent="0.25">
      <c r="B5652" s="64"/>
      <c r="C5652" s="64"/>
      <c r="D5652" s="64"/>
      <c r="E5652" s="64"/>
      <c r="F5652" s="64"/>
      <c r="G5652" s="64"/>
    </row>
    <row r="5653" spans="2:7" ht="32.25" customHeight="1" x14ac:dyDescent="0.25">
      <c r="B5653" s="64"/>
      <c r="C5653" s="64"/>
      <c r="D5653" s="64"/>
      <c r="E5653" s="64"/>
      <c r="F5653" s="64"/>
      <c r="G5653" s="64"/>
    </row>
    <row r="5654" spans="2:7" ht="32.25" customHeight="1" x14ac:dyDescent="0.25">
      <c r="B5654" s="64"/>
      <c r="C5654" s="64"/>
      <c r="D5654" s="64"/>
      <c r="E5654" s="64"/>
      <c r="F5654" s="64"/>
      <c r="G5654" s="64"/>
    </row>
    <row r="5655" spans="2:7" ht="32.25" customHeight="1" x14ac:dyDescent="0.25">
      <c r="B5655" s="64"/>
      <c r="C5655" s="64"/>
      <c r="D5655" s="64"/>
      <c r="E5655" s="64"/>
      <c r="F5655" s="64"/>
      <c r="G5655" s="64"/>
    </row>
    <row r="5656" spans="2:7" ht="32.25" customHeight="1" x14ac:dyDescent="0.25">
      <c r="B5656" s="64"/>
      <c r="C5656" s="64"/>
      <c r="D5656" s="64"/>
      <c r="E5656" s="64"/>
      <c r="F5656" s="64"/>
      <c r="G5656" s="64"/>
    </row>
    <row r="5657" spans="2:7" ht="32.25" customHeight="1" x14ac:dyDescent="0.25">
      <c r="B5657" s="64"/>
      <c r="C5657" s="64"/>
      <c r="D5657" s="64"/>
      <c r="E5657" s="64"/>
      <c r="F5657" s="64"/>
      <c r="G5657" s="64"/>
    </row>
    <row r="5658" spans="2:7" ht="32.25" customHeight="1" x14ac:dyDescent="0.25">
      <c r="B5658" s="64"/>
      <c r="C5658" s="64"/>
      <c r="D5658" s="64"/>
      <c r="E5658" s="64"/>
      <c r="F5658" s="64"/>
      <c r="G5658" s="64"/>
    </row>
    <row r="5659" spans="2:7" ht="32.25" customHeight="1" x14ac:dyDescent="0.25">
      <c r="B5659" s="64"/>
      <c r="C5659" s="64"/>
      <c r="D5659" s="64"/>
      <c r="E5659" s="64"/>
      <c r="F5659" s="64"/>
      <c r="G5659" s="64"/>
    </row>
    <row r="5660" spans="2:7" ht="32.25" customHeight="1" x14ac:dyDescent="0.25">
      <c r="B5660" s="64"/>
      <c r="C5660" s="64"/>
      <c r="D5660" s="64"/>
      <c r="E5660" s="64"/>
      <c r="F5660" s="64"/>
      <c r="G5660" s="64"/>
    </row>
    <row r="5661" spans="2:7" ht="32.25" customHeight="1" x14ac:dyDescent="0.25">
      <c r="B5661" s="64"/>
      <c r="C5661" s="64"/>
      <c r="D5661" s="64"/>
      <c r="E5661" s="64"/>
      <c r="F5661" s="64"/>
      <c r="G5661" s="64"/>
    </row>
    <row r="5662" spans="2:7" ht="32.25" customHeight="1" x14ac:dyDescent="0.25">
      <c r="B5662" s="64"/>
      <c r="C5662" s="64"/>
      <c r="D5662" s="64"/>
      <c r="E5662" s="64"/>
      <c r="F5662" s="64"/>
      <c r="G5662" s="64"/>
    </row>
    <row r="5663" spans="2:7" ht="32.25" customHeight="1" x14ac:dyDescent="0.25">
      <c r="B5663" s="64"/>
      <c r="C5663" s="64"/>
      <c r="D5663" s="64"/>
      <c r="E5663" s="64"/>
      <c r="F5663" s="64"/>
      <c r="G5663" s="64"/>
    </row>
    <row r="5664" spans="2:7" ht="32.25" customHeight="1" x14ac:dyDescent="0.25">
      <c r="B5664" s="64"/>
      <c r="C5664" s="64"/>
      <c r="D5664" s="64"/>
      <c r="E5664" s="64"/>
      <c r="F5664" s="64"/>
      <c r="G5664" s="64"/>
    </row>
    <row r="5665" spans="2:7" ht="32.25" customHeight="1" x14ac:dyDescent="0.25">
      <c r="B5665" s="64"/>
      <c r="C5665" s="64"/>
      <c r="D5665" s="64"/>
      <c r="E5665" s="64"/>
      <c r="F5665" s="64"/>
      <c r="G5665" s="64"/>
    </row>
    <row r="5666" spans="2:7" ht="32.25" customHeight="1" x14ac:dyDescent="0.25">
      <c r="B5666" s="64"/>
      <c r="C5666" s="64"/>
      <c r="D5666" s="64"/>
      <c r="E5666" s="64"/>
      <c r="F5666" s="64"/>
      <c r="G5666" s="64"/>
    </row>
    <row r="5667" spans="2:7" ht="32.25" customHeight="1" x14ac:dyDescent="0.25">
      <c r="B5667" s="64"/>
      <c r="C5667" s="64"/>
      <c r="D5667" s="64"/>
      <c r="E5667" s="64"/>
      <c r="F5667" s="64"/>
      <c r="G5667" s="64"/>
    </row>
    <row r="5668" spans="2:7" ht="32.25" customHeight="1" x14ac:dyDescent="0.25">
      <c r="B5668" s="64"/>
      <c r="C5668" s="64"/>
      <c r="D5668" s="64"/>
      <c r="E5668" s="64"/>
      <c r="F5668" s="64"/>
      <c r="G5668" s="64"/>
    </row>
    <row r="5669" spans="2:7" ht="32.25" customHeight="1" x14ac:dyDescent="0.25">
      <c r="B5669" s="64"/>
      <c r="C5669" s="64"/>
      <c r="D5669" s="64"/>
      <c r="E5669" s="64"/>
      <c r="F5669" s="64"/>
      <c r="G5669" s="64"/>
    </row>
    <row r="5670" spans="2:7" ht="32.25" customHeight="1" x14ac:dyDescent="0.25">
      <c r="B5670" s="64"/>
      <c r="C5670" s="64"/>
      <c r="D5670" s="64"/>
      <c r="E5670" s="64"/>
      <c r="F5670" s="64"/>
      <c r="G5670" s="64"/>
    </row>
    <row r="5671" spans="2:7" ht="32.25" customHeight="1" x14ac:dyDescent="0.25">
      <c r="B5671" s="64"/>
      <c r="C5671" s="64"/>
      <c r="D5671" s="64"/>
      <c r="E5671" s="64"/>
      <c r="F5671" s="64"/>
      <c r="G5671" s="64"/>
    </row>
    <row r="5672" spans="2:7" ht="32.25" customHeight="1" x14ac:dyDescent="0.25">
      <c r="B5672" s="64"/>
      <c r="C5672" s="64"/>
      <c r="D5672" s="64"/>
      <c r="E5672" s="64"/>
      <c r="F5672" s="64"/>
      <c r="G5672" s="64"/>
    </row>
    <row r="5673" spans="2:7" ht="32.25" customHeight="1" x14ac:dyDescent="0.25">
      <c r="B5673" s="64"/>
      <c r="C5673" s="64"/>
      <c r="D5673" s="64"/>
      <c r="E5673" s="64"/>
      <c r="F5673" s="64"/>
      <c r="G5673" s="64"/>
    </row>
    <row r="5674" spans="2:7" ht="32.25" customHeight="1" x14ac:dyDescent="0.25">
      <c r="B5674" s="64"/>
      <c r="C5674" s="64"/>
      <c r="D5674" s="64"/>
      <c r="E5674" s="64"/>
      <c r="F5674" s="64"/>
      <c r="G5674" s="64"/>
    </row>
    <row r="5675" spans="2:7" ht="32.25" customHeight="1" x14ac:dyDescent="0.25">
      <c r="B5675" s="64"/>
      <c r="C5675" s="64"/>
      <c r="D5675" s="64"/>
      <c r="E5675" s="64"/>
      <c r="F5675" s="64"/>
      <c r="G5675" s="64"/>
    </row>
    <row r="5676" spans="2:7" ht="32.25" customHeight="1" x14ac:dyDescent="0.25">
      <c r="B5676" s="64"/>
      <c r="C5676" s="64"/>
      <c r="D5676" s="64"/>
      <c r="E5676" s="64"/>
      <c r="F5676" s="64"/>
      <c r="G5676" s="64"/>
    </row>
    <row r="5677" spans="2:7" ht="32.25" customHeight="1" x14ac:dyDescent="0.25">
      <c r="B5677" s="64"/>
      <c r="C5677" s="64"/>
      <c r="D5677" s="64"/>
      <c r="E5677" s="64"/>
      <c r="F5677" s="64"/>
      <c r="G5677" s="64"/>
    </row>
    <row r="5678" spans="2:7" ht="32.25" customHeight="1" x14ac:dyDescent="0.25">
      <c r="B5678" s="64"/>
      <c r="C5678" s="64"/>
      <c r="D5678" s="64"/>
      <c r="E5678" s="64"/>
      <c r="F5678" s="64"/>
      <c r="G5678" s="64"/>
    </row>
    <row r="5679" spans="2:7" ht="32.25" customHeight="1" x14ac:dyDescent="0.25">
      <c r="B5679" s="64"/>
      <c r="C5679" s="64"/>
      <c r="D5679" s="64"/>
      <c r="E5679" s="64"/>
      <c r="F5679" s="64"/>
      <c r="G5679" s="64"/>
    </row>
    <row r="5680" spans="2:7" ht="32.25" customHeight="1" x14ac:dyDescent="0.25">
      <c r="B5680" s="64"/>
      <c r="C5680" s="64"/>
      <c r="D5680" s="64"/>
      <c r="E5680" s="64"/>
      <c r="F5680" s="64"/>
      <c r="G5680" s="64"/>
    </row>
    <row r="5681" spans="2:7" ht="32.25" customHeight="1" x14ac:dyDescent="0.25">
      <c r="B5681" s="64"/>
      <c r="C5681" s="64"/>
      <c r="D5681" s="64"/>
      <c r="E5681" s="64"/>
      <c r="F5681" s="64"/>
      <c r="G5681" s="64"/>
    </row>
    <row r="5682" spans="2:7" ht="32.25" customHeight="1" x14ac:dyDescent="0.25">
      <c r="B5682" s="64"/>
      <c r="C5682" s="64"/>
      <c r="D5682" s="64"/>
      <c r="E5682" s="64"/>
      <c r="F5682" s="64"/>
      <c r="G5682" s="64"/>
    </row>
    <row r="5683" spans="2:7" ht="32.25" customHeight="1" x14ac:dyDescent="0.25">
      <c r="B5683" s="64"/>
      <c r="C5683" s="64"/>
      <c r="D5683" s="64"/>
      <c r="E5683" s="64"/>
      <c r="F5683" s="64"/>
      <c r="G5683" s="64"/>
    </row>
    <row r="5684" spans="2:7" ht="32.25" customHeight="1" x14ac:dyDescent="0.25">
      <c r="B5684" s="64"/>
      <c r="C5684" s="64"/>
      <c r="D5684" s="64"/>
      <c r="E5684" s="64"/>
      <c r="F5684" s="64"/>
      <c r="G5684" s="64"/>
    </row>
    <row r="5685" spans="2:7" ht="32.25" customHeight="1" x14ac:dyDescent="0.25">
      <c r="B5685" s="64"/>
      <c r="C5685" s="64"/>
      <c r="D5685" s="64"/>
      <c r="E5685" s="64"/>
      <c r="F5685" s="64"/>
      <c r="G5685" s="64"/>
    </row>
    <row r="5686" spans="2:7" ht="32.25" customHeight="1" x14ac:dyDescent="0.25">
      <c r="B5686" s="64"/>
      <c r="C5686" s="64"/>
      <c r="D5686" s="64"/>
      <c r="E5686" s="64"/>
      <c r="F5686" s="64"/>
      <c r="G5686" s="64"/>
    </row>
    <row r="5687" spans="2:7" ht="32.25" customHeight="1" x14ac:dyDescent="0.25">
      <c r="B5687" s="64"/>
      <c r="C5687" s="64"/>
      <c r="D5687" s="64"/>
      <c r="E5687" s="64"/>
      <c r="F5687" s="64"/>
      <c r="G5687" s="64"/>
    </row>
    <row r="5688" spans="2:7" ht="32.25" customHeight="1" x14ac:dyDescent="0.25">
      <c r="B5688" s="64"/>
      <c r="C5688" s="64"/>
      <c r="D5688" s="64"/>
      <c r="E5688" s="64"/>
      <c r="F5688" s="64"/>
      <c r="G5688" s="64"/>
    </row>
    <row r="5689" spans="2:7" ht="32.25" customHeight="1" x14ac:dyDescent="0.25">
      <c r="B5689" s="64"/>
      <c r="C5689" s="64"/>
      <c r="D5689" s="64"/>
      <c r="E5689" s="64"/>
      <c r="F5689" s="64"/>
      <c r="G5689" s="64"/>
    </row>
    <row r="5690" spans="2:7" ht="32.25" customHeight="1" x14ac:dyDescent="0.25">
      <c r="B5690" s="64"/>
      <c r="C5690" s="64"/>
      <c r="D5690" s="64"/>
      <c r="E5690" s="64"/>
      <c r="F5690" s="64"/>
      <c r="G5690" s="64"/>
    </row>
    <row r="5691" spans="2:7" ht="32.25" customHeight="1" x14ac:dyDescent="0.25">
      <c r="B5691" s="64"/>
      <c r="C5691" s="64"/>
      <c r="D5691" s="64"/>
      <c r="E5691" s="64"/>
      <c r="F5691" s="64"/>
      <c r="G5691" s="64"/>
    </row>
    <row r="5692" spans="2:7" ht="32.25" customHeight="1" x14ac:dyDescent="0.25">
      <c r="B5692" s="64"/>
      <c r="C5692" s="64"/>
      <c r="D5692" s="64"/>
      <c r="E5692" s="64"/>
      <c r="F5692" s="64"/>
      <c r="G5692" s="64"/>
    </row>
    <row r="5693" spans="2:7" ht="32.25" customHeight="1" x14ac:dyDescent="0.25">
      <c r="B5693" s="64"/>
      <c r="C5693" s="64"/>
      <c r="D5693" s="64"/>
      <c r="E5693" s="64"/>
      <c r="F5693" s="64"/>
      <c r="G5693" s="64"/>
    </row>
    <row r="5694" spans="2:7" ht="32.25" customHeight="1" x14ac:dyDescent="0.25">
      <c r="B5694" s="64"/>
      <c r="C5694" s="64"/>
      <c r="D5694" s="64"/>
      <c r="E5694" s="64"/>
      <c r="F5694" s="64"/>
      <c r="G5694" s="64"/>
    </row>
    <row r="5695" spans="2:7" ht="32.25" customHeight="1" x14ac:dyDescent="0.25">
      <c r="B5695" s="64"/>
      <c r="C5695" s="64"/>
      <c r="D5695" s="64"/>
      <c r="E5695" s="64"/>
      <c r="F5695" s="64"/>
      <c r="G5695" s="64"/>
    </row>
    <row r="5696" spans="2:7" ht="32.25" customHeight="1" x14ac:dyDescent="0.25">
      <c r="B5696" s="64"/>
      <c r="C5696" s="64"/>
      <c r="D5696" s="64"/>
      <c r="E5696" s="64"/>
      <c r="F5696" s="64"/>
      <c r="G5696" s="64"/>
    </row>
    <row r="5697" spans="2:7" ht="32.25" customHeight="1" x14ac:dyDescent="0.25">
      <c r="B5697" s="64"/>
      <c r="C5697" s="64"/>
      <c r="D5697" s="64"/>
      <c r="E5697" s="64"/>
      <c r="F5697" s="64"/>
      <c r="G5697" s="64"/>
    </row>
    <row r="5698" spans="2:7" ht="32.25" customHeight="1" x14ac:dyDescent="0.25">
      <c r="B5698" s="64"/>
      <c r="C5698" s="64"/>
      <c r="D5698" s="64"/>
      <c r="E5698" s="64"/>
      <c r="F5698" s="64"/>
      <c r="G5698" s="64"/>
    </row>
    <row r="5699" spans="2:7" ht="32.25" customHeight="1" x14ac:dyDescent="0.25">
      <c r="B5699" s="64"/>
      <c r="C5699" s="64"/>
      <c r="D5699" s="64"/>
      <c r="E5699" s="64"/>
      <c r="F5699" s="64"/>
      <c r="G5699" s="64"/>
    </row>
    <row r="5700" spans="2:7" ht="32.25" customHeight="1" x14ac:dyDescent="0.25">
      <c r="B5700" s="64"/>
      <c r="C5700" s="64"/>
      <c r="D5700" s="64"/>
      <c r="E5700" s="64"/>
      <c r="F5700" s="64"/>
      <c r="G5700" s="64"/>
    </row>
    <row r="5701" spans="2:7" ht="32.25" customHeight="1" x14ac:dyDescent="0.25">
      <c r="B5701" s="64"/>
      <c r="C5701" s="64"/>
      <c r="D5701" s="64"/>
      <c r="E5701" s="64"/>
      <c r="F5701" s="64"/>
      <c r="G5701" s="64"/>
    </row>
    <row r="5702" spans="2:7" ht="32.25" customHeight="1" x14ac:dyDescent="0.25">
      <c r="B5702" s="64"/>
      <c r="C5702" s="64"/>
      <c r="D5702" s="64"/>
      <c r="E5702" s="64"/>
      <c r="F5702" s="64"/>
      <c r="G5702" s="64"/>
    </row>
    <row r="5703" spans="2:7" ht="32.25" customHeight="1" x14ac:dyDescent="0.25">
      <c r="B5703" s="64"/>
      <c r="C5703" s="64"/>
      <c r="D5703" s="64"/>
      <c r="E5703" s="64"/>
      <c r="F5703" s="64"/>
      <c r="G5703" s="64"/>
    </row>
    <row r="5704" spans="2:7" ht="32.25" customHeight="1" x14ac:dyDescent="0.25">
      <c r="B5704" s="64"/>
      <c r="C5704" s="64"/>
      <c r="D5704" s="64"/>
      <c r="E5704" s="64"/>
      <c r="F5704" s="64"/>
      <c r="G5704" s="64"/>
    </row>
    <row r="5705" spans="2:7" ht="32.25" customHeight="1" x14ac:dyDescent="0.25">
      <c r="B5705" s="64"/>
      <c r="C5705" s="64"/>
      <c r="D5705" s="64"/>
      <c r="E5705" s="64"/>
      <c r="F5705" s="64"/>
      <c r="G5705" s="64"/>
    </row>
    <row r="5706" spans="2:7" ht="32.25" customHeight="1" x14ac:dyDescent="0.25">
      <c r="B5706" s="64"/>
      <c r="C5706" s="64"/>
      <c r="D5706" s="64"/>
      <c r="E5706" s="64"/>
      <c r="F5706" s="64"/>
      <c r="G5706" s="64"/>
    </row>
    <row r="5707" spans="2:7" ht="32.25" customHeight="1" x14ac:dyDescent="0.25">
      <c r="B5707" s="64"/>
      <c r="C5707" s="64"/>
      <c r="D5707" s="64"/>
      <c r="E5707" s="64"/>
      <c r="F5707" s="64"/>
      <c r="G5707" s="64"/>
    </row>
    <row r="5708" spans="2:7" ht="32.25" customHeight="1" x14ac:dyDescent="0.25">
      <c r="B5708" s="64"/>
      <c r="C5708" s="64"/>
      <c r="D5708" s="64"/>
      <c r="E5708" s="64"/>
      <c r="F5708" s="64"/>
      <c r="G5708" s="64"/>
    </row>
    <row r="5709" spans="2:7" ht="32.25" customHeight="1" x14ac:dyDescent="0.25">
      <c r="B5709" s="64"/>
      <c r="C5709" s="64"/>
      <c r="D5709" s="64"/>
      <c r="E5709" s="64"/>
      <c r="F5709" s="64"/>
      <c r="G5709" s="64"/>
    </row>
    <row r="5710" spans="2:7" ht="32.25" customHeight="1" x14ac:dyDescent="0.25">
      <c r="B5710" s="64"/>
      <c r="C5710" s="64"/>
      <c r="D5710" s="64"/>
      <c r="E5710" s="64"/>
      <c r="F5710" s="64"/>
      <c r="G5710" s="64"/>
    </row>
    <row r="5711" spans="2:7" ht="32.25" customHeight="1" x14ac:dyDescent="0.25">
      <c r="B5711" s="64"/>
      <c r="C5711" s="64"/>
      <c r="D5711" s="64"/>
      <c r="E5711" s="64"/>
      <c r="F5711" s="64"/>
      <c r="G5711" s="64"/>
    </row>
    <row r="5712" spans="2:7" ht="32.25" customHeight="1" x14ac:dyDescent="0.25">
      <c r="B5712" s="64"/>
      <c r="C5712" s="64"/>
      <c r="D5712" s="64"/>
      <c r="E5712" s="64"/>
      <c r="F5712" s="64"/>
      <c r="G5712" s="64"/>
    </row>
    <row r="5713" spans="2:7" ht="32.25" customHeight="1" x14ac:dyDescent="0.25">
      <c r="B5713" s="64"/>
      <c r="C5713" s="64"/>
      <c r="D5713" s="64"/>
      <c r="E5713" s="64"/>
      <c r="F5713" s="64"/>
      <c r="G5713" s="64"/>
    </row>
    <row r="5714" spans="2:7" ht="32.25" customHeight="1" x14ac:dyDescent="0.25">
      <c r="B5714" s="64"/>
      <c r="C5714" s="64"/>
      <c r="D5714" s="64"/>
      <c r="E5714" s="64"/>
      <c r="F5714" s="64"/>
      <c r="G5714" s="64"/>
    </row>
    <row r="5715" spans="2:7" ht="32.25" customHeight="1" x14ac:dyDescent="0.25">
      <c r="B5715" s="64"/>
      <c r="C5715" s="64"/>
      <c r="D5715" s="64"/>
      <c r="E5715" s="64"/>
      <c r="F5715" s="64"/>
      <c r="G5715" s="64"/>
    </row>
    <row r="5716" spans="2:7" ht="32.25" customHeight="1" x14ac:dyDescent="0.25">
      <c r="B5716" s="64"/>
      <c r="C5716" s="64"/>
      <c r="D5716" s="64"/>
      <c r="E5716" s="64"/>
      <c r="F5716" s="64"/>
      <c r="G5716" s="64"/>
    </row>
    <row r="5717" spans="2:7" ht="32.25" customHeight="1" x14ac:dyDescent="0.25">
      <c r="B5717" s="64"/>
      <c r="C5717" s="64"/>
      <c r="D5717" s="64"/>
      <c r="E5717" s="64"/>
      <c r="F5717" s="64"/>
      <c r="G5717" s="64"/>
    </row>
    <row r="5718" spans="2:7" ht="32.25" customHeight="1" x14ac:dyDescent="0.25">
      <c r="B5718" s="64"/>
      <c r="C5718" s="64"/>
      <c r="D5718" s="64"/>
      <c r="E5718" s="64"/>
      <c r="F5718" s="64"/>
      <c r="G5718" s="64"/>
    </row>
    <row r="5719" spans="2:7" ht="32.25" customHeight="1" x14ac:dyDescent="0.25">
      <c r="B5719" s="64"/>
      <c r="C5719" s="64"/>
      <c r="D5719" s="64"/>
      <c r="E5719" s="64"/>
      <c r="F5719" s="64"/>
      <c r="G5719" s="64"/>
    </row>
    <row r="5720" spans="2:7" ht="32.25" customHeight="1" x14ac:dyDescent="0.25">
      <c r="B5720" s="64"/>
      <c r="C5720" s="64"/>
      <c r="D5720" s="64"/>
      <c r="E5720" s="64"/>
      <c r="F5720" s="64"/>
      <c r="G5720" s="64"/>
    </row>
    <row r="5721" spans="2:7" ht="32.25" customHeight="1" x14ac:dyDescent="0.25">
      <c r="B5721" s="64"/>
      <c r="C5721" s="64"/>
      <c r="D5721" s="64"/>
      <c r="E5721" s="64"/>
      <c r="F5721" s="64"/>
      <c r="G5721" s="64"/>
    </row>
    <row r="5722" spans="2:7" ht="32.25" customHeight="1" x14ac:dyDescent="0.25">
      <c r="B5722" s="64"/>
      <c r="C5722" s="64"/>
      <c r="D5722" s="64"/>
      <c r="E5722" s="64"/>
      <c r="F5722" s="64"/>
      <c r="G5722" s="64"/>
    </row>
    <row r="5723" spans="2:7" ht="32.25" customHeight="1" x14ac:dyDescent="0.25">
      <c r="B5723" s="64"/>
      <c r="C5723" s="64"/>
      <c r="D5723" s="64"/>
      <c r="E5723" s="64"/>
      <c r="F5723" s="64"/>
      <c r="G5723" s="64"/>
    </row>
    <row r="5724" spans="2:7" ht="32.25" customHeight="1" x14ac:dyDescent="0.25">
      <c r="B5724" s="64"/>
      <c r="C5724" s="64"/>
      <c r="D5724" s="64"/>
      <c r="E5724" s="64"/>
      <c r="F5724" s="64"/>
      <c r="G5724" s="64"/>
    </row>
    <row r="5725" spans="2:7" ht="32.25" customHeight="1" x14ac:dyDescent="0.25">
      <c r="B5725" s="64"/>
      <c r="C5725" s="64"/>
      <c r="D5725" s="64"/>
      <c r="E5725" s="64"/>
      <c r="F5725" s="64"/>
      <c r="G5725" s="64"/>
    </row>
    <row r="5726" spans="2:7" ht="32.25" customHeight="1" x14ac:dyDescent="0.25">
      <c r="B5726" s="64"/>
      <c r="C5726" s="64"/>
      <c r="D5726" s="64"/>
      <c r="E5726" s="64"/>
      <c r="F5726" s="64"/>
      <c r="G5726" s="64"/>
    </row>
    <row r="5727" spans="2:7" ht="32.25" customHeight="1" x14ac:dyDescent="0.25">
      <c r="B5727" s="64"/>
      <c r="C5727" s="64"/>
      <c r="D5727" s="64"/>
      <c r="E5727" s="64"/>
      <c r="F5727" s="64"/>
      <c r="G5727" s="64"/>
    </row>
    <row r="5728" spans="2:7" ht="32.25" customHeight="1" x14ac:dyDescent="0.25">
      <c r="B5728" s="64"/>
      <c r="C5728" s="64"/>
      <c r="D5728" s="64"/>
      <c r="E5728" s="64"/>
      <c r="F5728" s="64"/>
      <c r="G5728" s="64"/>
    </row>
    <row r="5729" spans="2:7" ht="32.25" customHeight="1" x14ac:dyDescent="0.25">
      <c r="B5729" s="64"/>
      <c r="C5729" s="64"/>
      <c r="D5729" s="64"/>
      <c r="E5729" s="64"/>
      <c r="F5729" s="64"/>
      <c r="G5729" s="64"/>
    </row>
    <row r="5730" spans="2:7" ht="32.25" customHeight="1" x14ac:dyDescent="0.25">
      <c r="B5730" s="64"/>
      <c r="C5730" s="64"/>
      <c r="D5730" s="64"/>
      <c r="E5730" s="64"/>
      <c r="F5730" s="64"/>
      <c r="G5730" s="64"/>
    </row>
    <row r="5731" spans="2:7" ht="32.25" customHeight="1" x14ac:dyDescent="0.25">
      <c r="B5731" s="64"/>
      <c r="C5731" s="64"/>
      <c r="D5731" s="64"/>
      <c r="E5731" s="64"/>
      <c r="F5731" s="64"/>
      <c r="G5731" s="64"/>
    </row>
    <row r="5732" spans="2:7" ht="32.25" customHeight="1" x14ac:dyDescent="0.25">
      <c r="B5732" s="64"/>
      <c r="C5732" s="64"/>
      <c r="D5732" s="64"/>
      <c r="E5732" s="64"/>
      <c r="F5732" s="64"/>
      <c r="G5732" s="64"/>
    </row>
    <row r="5733" spans="2:7" ht="32.25" customHeight="1" x14ac:dyDescent="0.25">
      <c r="B5733" s="64"/>
      <c r="C5733" s="64"/>
      <c r="D5733" s="64"/>
      <c r="E5733" s="64"/>
      <c r="F5733" s="64"/>
      <c r="G5733" s="64"/>
    </row>
    <row r="5734" spans="2:7" ht="32.25" customHeight="1" x14ac:dyDescent="0.25">
      <c r="B5734" s="64"/>
      <c r="C5734" s="64"/>
      <c r="D5734" s="64"/>
      <c r="E5734" s="64"/>
      <c r="F5734" s="64"/>
      <c r="G5734" s="64"/>
    </row>
    <row r="5735" spans="2:7" ht="32.25" customHeight="1" x14ac:dyDescent="0.25">
      <c r="B5735" s="64"/>
      <c r="C5735" s="64"/>
      <c r="D5735" s="64"/>
      <c r="E5735" s="64"/>
      <c r="F5735" s="64"/>
      <c r="G5735" s="64"/>
    </row>
    <row r="5736" spans="2:7" ht="32.25" customHeight="1" x14ac:dyDescent="0.25">
      <c r="B5736" s="64"/>
      <c r="C5736" s="64"/>
      <c r="D5736" s="64"/>
      <c r="E5736" s="64"/>
      <c r="F5736" s="64"/>
      <c r="G5736" s="64"/>
    </row>
    <row r="5737" spans="2:7" ht="32.25" customHeight="1" x14ac:dyDescent="0.25">
      <c r="B5737" s="64"/>
      <c r="C5737" s="64"/>
      <c r="D5737" s="64"/>
      <c r="E5737" s="64"/>
      <c r="F5737" s="64"/>
      <c r="G5737" s="64"/>
    </row>
    <row r="5738" spans="2:7" ht="32.25" customHeight="1" x14ac:dyDescent="0.25">
      <c r="B5738" s="64"/>
      <c r="C5738" s="64"/>
      <c r="D5738" s="64"/>
      <c r="E5738" s="64"/>
      <c r="F5738" s="64"/>
      <c r="G5738" s="64"/>
    </row>
    <row r="5739" spans="2:7" ht="32.25" customHeight="1" x14ac:dyDescent="0.25">
      <c r="B5739" s="64"/>
      <c r="C5739" s="64"/>
      <c r="D5739" s="64"/>
      <c r="E5739" s="64"/>
      <c r="F5739" s="64"/>
      <c r="G5739" s="64"/>
    </row>
    <row r="5740" spans="2:7" ht="32.25" customHeight="1" x14ac:dyDescent="0.25">
      <c r="B5740" s="64"/>
      <c r="C5740" s="64"/>
      <c r="D5740" s="64"/>
      <c r="E5740" s="64"/>
      <c r="F5740" s="64"/>
      <c r="G5740" s="64"/>
    </row>
    <row r="5741" spans="2:7" ht="32.25" customHeight="1" x14ac:dyDescent="0.25">
      <c r="B5741" s="64"/>
      <c r="C5741" s="64"/>
      <c r="D5741" s="64"/>
      <c r="E5741" s="64"/>
      <c r="F5741" s="64"/>
      <c r="G5741" s="64"/>
    </row>
    <row r="5742" spans="2:7" ht="32.25" customHeight="1" x14ac:dyDescent="0.25">
      <c r="B5742" s="64"/>
      <c r="C5742" s="64"/>
      <c r="D5742" s="64"/>
      <c r="E5742" s="64"/>
      <c r="F5742" s="64"/>
      <c r="G5742" s="64"/>
    </row>
    <row r="5743" spans="2:7" ht="32.25" customHeight="1" x14ac:dyDescent="0.25">
      <c r="B5743" s="64"/>
      <c r="C5743" s="64"/>
      <c r="D5743" s="64"/>
      <c r="E5743" s="64"/>
      <c r="F5743" s="64"/>
      <c r="G5743" s="64"/>
    </row>
    <row r="5744" spans="2:7" ht="32.25" customHeight="1" x14ac:dyDescent="0.25">
      <c r="B5744" s="64"/>
      <c r="C5744" s="64"/>
      <c r="D5744" s="64"/>
      <c r="E5744" s="64"/>
      <c r="F5744" s="64"/>
      <c r="G5744" s="64"/>
    </row>
    <row r="5745" spans="2:7" ht="32.25" customHeight="1" x14ac:dyDescent="0.25">
      <c r="B5745" s="64"/>
      <c r="C5745" s="64"/>
      <c r="D5745" s="64"/>
      <c r="E5745" s="64"/>
      <c r="F5745" s="64"/>
      <c r="G5745" s="64"/>
    </row>
    <row r="5746" spans="2:7" ht="32.25" customHeight="1" x14ac:dyDescent="0.25">
      <c r="B5746" s="64"/>
      <c r="C5746" s="64"/>
      <c r="D5746" s="64"/>
      <c r="E5746" s="64"/>
      <c r="F5746" s="64"/>
      <c r="G5746" s="64"/>
    </row>
    <row r="5747" spans="2:7" ht="32.25" customHeight="1" x14ac:dyDescent="0.25">
      <c r="B5747" s="64"/>
      <c r="C5747" s="64"/>
      <c r="D5747" s="64"/>
      <c r="E5747" s="64"/>
      <c r="F5747" s="64"/>
      <c r="G5747" s="64"/>
    </row>
    <row r="5748" spans="2:7" ht="32.25" customHeight="1" x14ac:dyDescent="0.25">
      <c r="B5748" s="64"/>
      <c r="C5748" s="64"/>
      <c r="D5748" s="64"/>
      <c r="E5748" s="64"/>
      <c r="F5748" s="64"/>
      <c r="G5748" s="64"/>
    </row>
    <row r="5749" spans="2:7" ht="32.25" customHeight="1" x14ac:dyDescent="0.25">
      <c r="B5749" s="64"/>
      <c r="C5749" s="64"/>
      <c r="D5749" s="64"/>
      <c r="E5749" s="64"/>
      <c r="F5749" s="64"/>
      <c r="G5749" s="64"/>
    </row>
    <row r="5750" spans="2:7" ht="32.25" customHeight="1" x14ac:dyDescent="0.25">
      <c r="B5750" s="64"/>
      <c r="C5750" s="64"/>
      <c r="D5750" s="64"/>
      <c r="E5750" s="64"/>
      <c r="F5750" s="64"/>
      <c r="G5750" s="64"/>
    </row>
    <row r="5751" spans="2:7" ht="32.25" customHeight="1" x14ac:dyDescent="0.25">
      <c r="B5751" s="64"/>
      <c r="C5751" s="64"/>
      <c r="D5751" s="64"/>
      <c r="E5751" s="64"/>
      <c r="F5751" s="64"/>
      <c r="G5751" s="64"/>
    </row>
    <row r="5752" spans="2:7" ht="32.25" customHeight="1" x14ac:dyDescent="0.25">
      <c r="B5752" s="64"/>
      <c r="C5752" s="64"/>
      <c r="D5752" s="64"/>
      <c r="E5752" s="64"/>
      <c r="F5752" s="64"/>
      <c r="G5752" s="64"/>
    </row>
    <row r="5753" spans="2:7" ht="32.25" customHeight="1" x14ac:dyDescent="0.25">
      <c r="B5753" s="64"/>
      <c r="C5753" s="64"/>
      <c r="D5753" s="64"/>
      <c r="E5753" s="64"/>
      <c r="F5753" s="64"/>
      <c r="G5753" s="64"/>
    </row>
    <row r="5754" spans="2:7" ht="32.25" customHeight="1" x14ac:dyDescent="0.25">
      <c r="B5754" s="64"/>
      <c r="C5754" s="64"/>
      <c r="D5754" s="64"/>
      <c r="E5754" s="64"/>
      <c r="F5754" s="64"/>
      <c r="G5754" s="64"/>
    </row>
    <row r="5755" spans="2:7" ht="32.25" customHeight="1" x14ac:dyDescent="0.25">
      <c r="B5755" s="64"/>
      <c r="C5755" s="64"/>
      <c r="D5755" s="64"/>
      <c r="E5755" s="64"/>
      <c r="F5755" s="64"/>
      <c r="G5755" s="64"/>
    </row>
    <row r="5756" spans="2:7" ht="32.25" customHeight="1" x14ac:dyDescent="0.25">
      <c r="B5756" s="64"/>
      <c r="C5756" s="64"/>
      <c r="D5756" s="64"/>
      <c r="E5756" s="64"/>
      <c r="F5756" s="64"/>
      <c r="G5756" s="64"/>
    </row>
    <row r="5757" spans="2:7" ht="32.25" customHeight="1" x14ac:dyDescent="0.25">
      <c r="B5757" s="64"/>
      <c r="C5757" s="64"/>
      <c r="D5757" s="64"/>
      <c r="E5757" s="64"/>
      <c r="F5757" s="64"/>
      <c r="G5757" s="64"/>
    </row>
    <row r="5758" spans="2:7" ht="32.25" customHeight="1" x14ac:dyDescent="0.25">
      <c r="B5758" s="64"/>
      <c r="C5758" s="64"/>
      <c r="D5758" s="64"/>
      <c r="E5758" s="64"/>
      <c r="F5758" s="64"/>
      <c r="G5758" s="64"/>
    </row>
    <row r="5759" spans="2:7" ht="32.25" customHeight="1" x14ac:dyDescent="0.25">
      <c r="B5759" s="64"/>
      <c r="C5759" s="64"/>
      <c r="D5759" s="64"/>
      <c r="E5759" s="64"/>
      <c r="F5759" s="64"/>
      <c r="G5759" s="64"/>
    </row>
    <row r="5760" spans="2:7" ht="32.25" customHeight="1" x14ac:dyDescent="0.25">
      <c r="B5760" s="64"/>
      <c r="C5760" s="64"/>
      <c r="D5760" s="64"/>
      <c r="E5760" s="64"/>
      <c r="F5760" s="64"/>
      <c r="G5760" s="64"/>
    </row>
    <row r="5761" spans="2:7" ht="32.25" customHeight="1" x14ac:dyDescent="0.25">
      <c r="B5761" s="64"/>
      <c r="C5761" s="64"/>
      <c r="D5761" s="64"/>
      <c r="E5761" s="64"/>
      <c r="F5761" s="64"/>
      <c r="G5761" s="64"/>
    </row>
    <row r="5762" spans="2:7" ht="32.25" customHeight="1" x14ac:dyDescent="0.25">
      <c r="B5762" s="64"/>
      <c r="C5762" s="64"/>
      <c r="D5762" s="64"/>
      <c r="E5762" s="64"/>
      <c r="F5762" s="64"/>
      <c r="G5762" s="64"/>
    </row>
    <row r="5763" spans="2:7" ht="32.25" customHeight="1" x14ac:dyDescent="0.25">
      <c r="B5763" s="64"/>
      <c r="C5763" s="64"/>
      <c r="D5763" s="64"/>
      <c r="E5763" s="64"/>
      <c r="F5763" s="64"/>
      <c r="G5763" s="64"/>
    </row>
    <row r="5764" spans="2:7" ht="32.25" customHeight="1" x14ac:dyDescent="0.25">
      <c r="B5764" s="64"/>
      <c r="C5764" s="64"/>
      <c r="D5764" s="64"/>
      <c r="E5764" s="64"/>
      <c r="F5764" s="64"/>
      <c r="G5764" s="64"/>
    </row>
    <row r="5765" spans="2:7" ht="32.25" customHeight="1" x14ac:dyDescent="0.25">
      <c r="B5765" s="64"/>
      <c r="C5765" s="64"/>
      <c r="D5765" s="64"/>
      <c r="E5765" s="64"/>
      <c r="F5765" s="64"/>
      <c r="G5765" s="64"/>
    </row>
    <row r="5766" spans="2:7" ht="32.25" customHeight="1" x14ac:dyDescent="0.25">
      <c r="B5766" s="64"/>
      <c r="C5766" s="64"/>
      <c r="D5766" s="64"/>
      <c r="E5766" s="64"/>
      <c r="F5766" s="64"/>
      <c r="G5766" s="64"/>
    </row>
    <row r="5767" spans="2:7" ht="32.25" customHeight="1" x14ac:dyDescent="0.25">
      <c r="B5767" s="64"/>
      <c r="C5767" s="64"/>
      <c r="D5767" s="64"/>
      <c r="E5767" s="64"/>
      <c r="F5767" s="64"/>
      <c r="G5767" s="64"/>
    </row>
    <row r="5768" spans="2:7" ht="32.25" customHeight="1" x14ac:dyDescent="0.25">
      <c r="B5768" s="64"/>
      <c r="C5768" s="64"/>
      <c r="D5768" s="64"/>
      <c r="E5768" s="64"/>
      <c r="F5768" s="64"/>
      <c r="G5768" s="64"/>
    </row>
    <row r="5769" spans="2:7" ht="32.25" customHeight="1" x14ac:dyDescent="0.25">
      <c r="B5769" s="64"/>
      <c r="C5769" s="64"/>
      <c r="D5769" s="64"/>
      <c r="E5769" s="64"/>
      <c r="F5769" s="64"/>
      <c r="G5769" s="64"/>
    </row>
    <row r="5770" spans="2:7" ht="32.25" customHeight="1" x14ac:dyDescent="0.25">
      <c r="B5770" s="64"/>
      <c r="C5770" s="64"/>
      <c r="D5770" s="64"/>
      <c r="E5770" s="64"/>
      <c r="F5770" s="64"/>
      <c r="G5770" s="64"/>
    </row>
    <row r="5771" spans="2:7" ht="32.25" customHeight="1" x14ac:dyDescent="0.25">
      <c r="B5771" s="64"/>
      <c r="C5771" s="64"/>
      <c r="D5771" s="64"/>
      <c r="E5771" s="64"/>
      <c r="F5771" s="64"/>
      <c r="G5771" s="64"/>
    </row>
    <row r="5772" spans="2:7" ht="32.25" customHeight="1" x14ac:dyDescent="0.25">
      <c r="B5772" s="64"/>
      <c r="C5772" s="64"/>
      <c r="D5772" s="64"/>
      <c r="E5772" s="64"/>
      <c r="F5772" s="64"/>
      <c r="G5772" s="64"/>
    </row>
    <row r="5773" spans="2:7" ht="32.25" customHeight="1" x14ac:dyDescent="0.25">
      <c r="B5773" s="64"/>
      <c r="C5773" s="64"/>
      <c r="D5773" s="64"/>
      <c r="E5773" s="64"/>
      <c r="F5773" s="64"/>
      <c r="G5773" s="64"/>
    </row>
    <row r="5774" spans="2:7" ht="32.25" customHeight="1" x14ac:dyDescent="0.25">
      <c r="B5774" s="64"/>
      <c r="C5774" s="64"/>
      <c r="D5774" s="64"/>
      <c r="E5774" s="64"/>
      <c r="F5774" s="64"/>
      <c r="G5774" s="64"/>
    </row>
    <row r="5775" spans="2:7" ht="32.25" customHeight="1" x14ac:dyDescent="0.25">
      <c r="B5775" s="64"/>
      <c r="C5775" s="64"/>
      <c r="D5775" s="64"/>
      <c r="E5775" s="64"/>
      <c r="F5775" s="64"/>
      <c r="G5775" s="64"/>
    </row>
    <row r="5776" spans="2:7" ht="32.25" customHeight="1" x14ac:dyDescent="0.25">
      <c r="B5776" s="64"/>
      <c r="C5776" s="64"/>
      <c r="D5776" s="64"/>
      <c r="E5776" s="64"/>
      <c r="F5776" s="64"/>
      <c r="G5776" s="64"/>
    </row>
    <row r="5777" spans="2:7" ht="32.25" customHeight="1" x14ac:dyDescent="0.25">
      <c r="B5777" s="64"/>
      <c r="C5777" s="64"/>
      <c r="D5777" s="64"/>
      <c r="E5777" s="64"/>
      <c r="F5777" s="64"/>
      <c r="G5777" s="64"/>
    </row>
    <row r="5778" spans="2:7" ht="32.25" customHeight="1" x14ac:dyDescent="0.25">
      <c r="B5778" s="64"/>
      <c r="C5778" s="64"/>
      <c r="D5778" s="64"/>
      <c r="E5778" s="64"/>
      <c r="F5778" s="64"/>
      <c r="G5778" s="64"/>
    </row>
    <row r="5779" spans="2:7" ht="32.25" customHeight="1" x14ac:dyDescent="0.25">
      <c r="B5779" s="64"/>
      <c r="C5779" s="64"/>
      <c r="D5779" s="64"/>
      <c r="E5779" s="64"/>
      <c r="F5779" s="64"/>
      <c r="G5779" s="64"/>
    </row>
    <row r="5780" spans="2:7" ht="32.25" customHeight="1" x14ac:dyDescent="0.25">
      <c r="B5780" s="64"/>
      <c r="C5780" s="64"/>
      <c r="D5780" s="64"/>
      <c r="E5780" s="64"/>
      <c r="F5780" s="64"/>
      <c r="G5780" s="64"/>
    </row>
    <row r="5781" spans="2:7" ht="32.25" customHeight="1" x14ac:dyDescent="0.25">
      <c r="B5781" s="64"/>
      <c r="C5781" s="64"/>
      <c r="D5781" s="64"/>
      <c r="E5781" s="64"/>
      <c r="F5781" s="64"/>
      <c r="G5781" s="64"/>
    </row>
    <row r="5782" spans="2:7" ht="32.25" customHeight="1" x14ac:dyDescent="0.25">
      <c r="B5782" s="64"/>
      <c r="C5782" s="64"/>
      <c r="D5782" s="64"/>
      <c r="E5782" s="64"/>
      <c r="F5782" s="64"/>
      <c r="G5782" s="64"/>
    </row>
    <row r="5783" spans="2:7" ht="32.25" customHeight="1" x14ac:dyDescent="0.25">
      <c r="B5783" s="64"/>
      <c r="C5783" s="64"/>
      <c r="D5783" s="64"/>
      <c r="E5783" s="64"/>
      <c r="F5783" s="64"/>
      <c r="G5783" s="64"/>
    </row>
    <row r="5784" spans="2:7" ht="32.25" customHeight="1" x14ac:dyDescent="0.25">
      <c r="B5784" s="64"/>
      <c r="C5784" s="64"/>
      <c r="D5784" s="64"/>
      <c r="E5784" s="64"/>
      <c r="F5784" s="64"/>
      <c r="G5784" s="64"/>
    </row>
    <row r="5785" spans="2:7" ht="32.25" customHeight="1" x14ac:dyDescent="0.25">
      <c r="B5785" s="64"/>
      <c r="C5785" s="64"/>
      <c r="D5785" s="64"/>
      <c r="E5785" s="64"/>
      <c r="F5785" s="64"/>
      <c r="G5785" s="64"/>
    </row>
    <row r="5786" spans="2:7" ht="32.25" customHeight="1" x14ac:dyDescent="0.25">
      <c r="B5786" s="64"/>
      <c r="C5786" s="64"/>
      <c r="D5786" s="64"/>
      <c r="E5786" s="64"/>
      <c r="F5786" s="64"/>
      <c r="G5786" s="64"/>
    </row>
    <row r="5787" spans="2:7" ht="32.25" customHeight="1" x14ac:dyDescent="0.25">
      <c r="B5787" s="64"/>
      <c r="C5787" s="64"/>
      <c r="D5787" s="64"/>
      <c r="E5787" s="64"/>
      <c r="F5787" s="64"/>
      <c r="G5787" s="64"/>
    </row>
    <row r="5788" spans="2:7" ht="32.25" customHeight="1" x14ac:dyDescent="0.25">
      <c r="B5788" s="64"/>
      <c r="C5788" s="64"/>
      <c r="D5788" s="64"/>
      <c r="E5788" s="64"/>
      <c r="F5788" s="64"/>
      <c r="G5788" s="64"/>
    </row>
    <row r="5789" spans="2:7" ht="32.25" customHeight="1" x14ac:dyDescent="0.25">
      <c r="B5789" s="64"/>
      <c r="C5789" s="64"/>
      <c r="D5789" s="64"/>
      <c r="E5789" s="64"/>
      <c r="F5789" s="64"/>
      <c r="G5789" s="64"/>
    </row>
    <row r="5790" spans="2:7" ht="32.25" customHeight="1" x14ac:dyDescent="0.25">
      <c r="B5790" s="64"/>
      <c r="C5790" s="64"/>
      <c r="D5790" s="64"/>
      <c r="E5790" s="64"/>
      <c r="F5790" s="64"/>
      <c r="G5790" s="64"/>
    </row>
    <row r="5791" spans="2:7" ht="32.25" customHeight="1" x14ac:dyDescent="0.25">
      <c r="B5791" s="64"/>
      <c r="C5791" s="64"/>
      <c r="D5791" s="64"/>
      <c r="E5791" s="64"/>
      <c r="F5791" s="64"/>
      <c r="G5791" s="64"/>
    </row>
    <row r="5792" spans="2:7" ht="32.25" customHeight="1" x14ac:dyDescent="0.25">
      <c r="B5792" s="64"/>
      <c r="C5792" s="64"/>
      <c r="D5792" s="64"/>
      <c r="E5792" s="64"/>
      <c r="F5792" s="64"/>
      <c r="G5792" s="64"/>
    </row>
    <row r="5793" spans="2:7" ht="32.25" customHeight="1" x14ac:dyDescent="0.25">
      <c r="B5793" s="64"/>
      <c r="C5793" s="64"/>
      <c r="D5793" s="64"/>
      <c r="E5793" s="64"/>
      <c r="F5793" s="64"/>
      <c r="G5793" s="64"/>
    </row>
    <row r="5794" spans="2:7" ht="32.25" customHeight="1" x14ac:dyDescent="0.25">
      <c r="B5794" s="64"/>
      <c r="C5794" s="64"/>
      <c r="D5794" s="64"/>
      <c r="E5794" s="64"/>
      <c r="F5794" s="64"/>
      <c r="G5794" s="64"/>
    </row>
    <row r="5795" spans="2:7" ht="32.25" customHeight="1" x14ac:dyDescent="0.25">
      <c r="B5795" s="64"/>
      <c r="C5795" s="64"/>
      <c r="D5795" s="64"/>
      <c r="E5795" s="64"/>
      <c r="F5795" s="64"/>
      <c r="G5795" s="64"/>
    </row>
    <row r="5796" spans="2:7" ht="32.25" customHeight="1" x14ac:dyDescent="0.25">
      <c r="B5796" s="64"/>
      <c r="C5796" s="64"/>
      <c r="D5796" s="64"/>
      <c r="E5796" s="64"/>
      <c r="F5796" s="64"/>
      <c r="G5796" s="64"/>
    </row>
    <row r="5797" spans="2:7" ht="32.25" customHeight="1" x14ac:dyDescent="0.25">
      <c r="B5797" s="64"/>
      <c r="C5797" s="64"/>
      <c r="D5797" s="64"/>
      <c r="E5797" s="64"/>
      <c r="F5797" s="64"/>
      <c r="G5797" s="64"/>
    </row>
    <row r="5798" spans="2:7" ht="32.25" customHeight="1" x14ac:dyDescent="0.25">
      <c r="B5798" s="64"/>
      <c r="C5798" s="64"/>
      <c r="D5798" s="64"/>
      <c r="E5798" s="64"/>
      <c r="F5798" s="64"/>
      <c r="G5798" s="64"/>
    </row>
    <row r="5799" spans="2:7" ht="32.25" customHeight="1" x14ac:dyDescent="0.25">
      <c r="B5799" s="64"/>
      <c r="C5799" s="64"/>
      <c r="D5799" s="64"/>
      <c r="E5799" s="64"/>
      <c r="F5799" s="64"/>
      <c r="G5799" s="64"/>
    </row>
    <row r="5800" spans="2:7" ht="32.25" customHeight="1" x14ac:dyDescent="0.25">
      <c r="B5800" s="64"/>
      <c r="C5800" s="64"/>
      <c r="D5800" s="64"/>
      <c r="E5800" s="64"/>
      <c r="F5800" s="64"/>
      <c r="G5800" s="64"/>
    </row>
    <row r="5801" spans="2:7" ht="32.25" customHeight="1" x14ac:dyDescent="0.25">
      <c r="B5801" s="64"/>
      <c r="C5801" s="64"/>
      <c r="D5801" s="64"/>
      <c r="E5801" s="64"/>
      <c r="F5801" s="64"/>
      <c r="G5801" s="64"/>
    </row>
    <row r="5802" spans="2:7" ht="32.25" customHeight="1" x14ac:dyDescent="0.25">
      <c r="B5802" s="64"/>
      <c r="C5802" s="64"/>
      <c r="D5802" s="64"/>
      <c r="E5802" s="64"/>
      <c r="F5802" s="64"/>
      <c r="G5802" s="64"/>
    </row>
    <row r="5803" spans="2:7" ht="32.25" customHeight="1" x14ac:dyDescent="0.25">
      <c r="B5803" s="64"/>
      <c r="C5803" s="64"/>
      <c r="D5803" s="64"/>
      <c r="E5803" s="64"/>
      <c r="F5803" s="64"/>
      <c r="G5803" s="64"/>
    </row>
    <row r="5804" spans="2:7" ht="32.25" customHeight="1" x14ac:dyDescent="0.25">
      <c r="B5804" s="64"/>
      <c r="C5804" s="64"/>
      <c r="D5804" s="64"/>
      <c r="E5804" s="64"/>
      <c r="F5804" s="64"/>
      <c r="G5804" s="64"/>
    </row>
    <row r="5805" spans="2:7" ht="32.25" customHeight="1" x14ac:dyDescent="0.25">
      <c r="B5805" s="64"/>
      <c r="C5805" s="64"/>
      <c r="D5805" s="64"/>
      <c r="E5805" s="64"/>
      <c r="F5805" s="64"/>
      <c r="G5805" s="64"/>
    </row>
    <row r="5806" spans="2:7" ht="32.25" customHeight="1" x14ac:dyDescent="0.25">
      <c r="B5806" s="64"/>
      <c r="C5806" s="64"/>
      <c r="D5806" s="64"/>
      <c r="E5806" s="64"/>
      <c r="F5806" s="64"/>
      <c r="G5806" s="64"/>
    </row>
    <row r="5807" spans="2:7" ht="32.25" customHeight="1" x14ac:dyDescent="0.25">
      <c r="B5807" s="64"/>
      <c r="C5807" s="64"/>
      <c r="D5807" s="64"/>
      <c r="E5807" s="64"/>
      <c r="F5807" s="64"/>
      <c r="G5807" s="64"/>
    </row>
    <row r="5808" spans="2:7" ht="32.25" customHeight="1" x14ac:dyDescent="0.25">
      <c r="B5808" s="64"/>
      <c r="C5808" s="64"/>
      <c r="D5808" s="64"/>
      <c r="E5808" s="64"/>
      <c r="F5808" s="64"/>
      <c r="G5808" s="64"/>
    </row>
    <row r="5809" spans="2:7" ht="32.25" customHeight="1" x14ac:dyDescent="0.25">
      <c r="B5809" s="64"/>
      <c r="C5809" s="64"/>
      <c r="D5809" s="64"/>
      <c r="E5809" s="64"/>
      <c r="F5809" s="64"/>
      <c r="G5809" s="64"/>
    </row>
    <row r="5810" spans="2:7" ht="32.25" customHeight="1" x14ac:dyDescent="0.25">
      <c r="B5810" s="64"/>
      <c r="C5810" s="64"/>
      <c r="D5810" s="64"/>
      <c r="E5810" s="64"/>
      <c r="F5810" s="64"/>
      <c r="G5810" s="64"/>
    </row>
    <row r="5811" spans="2:7" ht="32.25" customHeight="1" x14ac:dyDescent="0.25">
      <c r="B5811" s="64"/>
      <c r="C5811" s="64"/>
      <c r="D5811" s="64"/>
      <c r="E5811" s="64"/>
      <c r="F5811" s="64"/>
      <c r="G5811" s="64"/>
    </row>
    <row r="5812" spans="2:7" ht="32.25" customHeight="1" x14ac:dyDescent="0.25">
      <c r="B5812" s="64"/>
      <c r="C5812" s="64"/>
      <c r="D5812" s="64"/>
      <c r="E5812" s="64"/>
      <c r="F5812" s="64"/>
      <c r="G5812" s="64"/>
    </row>
    <row r="5813" spans="2:7" ht="32.25" customHeight="1" x14ac:dyDescent="0.25">
      <c r="B5813" s="64"/>
      <c r="C5813" s="64"/>
      <c r="D5813" s="64"/>
      <c r="E5813" s="64"/>
      <c r="F5813" s="64"/>
      <c r="G5813" s="64"/>
    </row>
    <row r="5814" spans="2:7" ht="32.25" customHeight="1" x14ac:dyDescent="0.25">
      <c r="B5814" s="64"/>
      <c r="C5814" s="64"/>
      <c r="D5814" s="64"/>
      <c r="E5814" s="64"/>
      <c r="F5814" s="64"/>
      <c r="G5814" s="64"/>
    </row>
    <row r="5815" spans="2:7" ht="32.25" customHeight="1" x14ac:dyDescent="0.25">
      <c r="B5815" s="64"/>
      <c r="C5815" s="64"/>
      <c r="D5815" s="64"/>
      <c r="E5815" s="64"/>
      <c r="F5815" s="64"/>
      <c r="G5815" s="64"/>
    </row>
    <row r="5816" spans="2:7" ht="32.25" customHeight="1" x14ac:dyDescent="0.25">
      <c r="B5816" s="64"/>
      <c r="C5816" s="64"/>
      <c r="D5816" s="64"/>
      <c r="E5816" s="64"/>
      <c r="F5816" s="64"/>
      <c r="G5816" s="64"/>
    </row>
    <row r="5817" spans="2:7" ht="32.25" customHeight="1" x14ac:dyDescent="0.25">
      <c r="B5817" s="64"/>
      <c r="C5817" s="64"/>
      <c r="D5817" s="64"/>
      <c r="E5817" s="64"/>
      <c r="F5817" s="64"/>
      <c r="G5817" s="64"/>
    </row>
    <row r="5818" spans="2:7" ht="32.25" customHeight="1" x14ac:dyDescent="0.25">
      <c r="B5818" s="64"/>
      <c r="C5818" s="64"/>
      <c r="D5818" s="64"/>
      <c r="E5818" s="64"/>
      <c r="F5818" s="64"/>
      <c r="G5818" s="64"/>
    </row>
    <row r="5819" spans="2:7" ht="32.25" customHeight="1" x14ac:dyDescent="0.25">
      <c r="B5819" s="64"/>
      <c r="C5819" s="64"/>
      <c r="D5819" s="64"/>
      <c r="E5819" s="64"/>
      <c r="F5819" s="64"/>
      <c r="G5819" s="64"/>
    </row>
    <row r="5820" spans="2:7" ht="32.25" customHeight="1" x14ac:dyDescent="0.25">
      <c r="B5820" s="64"/>
      <c r="C5820" s="64"/>
      <c r="D5820" s="64"/>
      <c r="E5820" s="64"/>
      <c r="F5820" s="64"/>
      <c r="G5820" s="64"/>
    </row>
    <row r="5821" spans="2:7" ht="32.25" customHeight="1" x14ac:dyDescent="0.25">
      <c r="B5821" s="64"/>
      <c r="C5821" s="64"/>
      <c r="D5821" s="64"/>
      <c r="E5821" s="64"/>
      <c r="F5821" s="64"/>
      <c r="G5821" s="64"/>
    </row>
    <row r="5822" spans="2:7" ht="32.25" customHeight="1" x14ac:dyDescent="0.25">
      <c r="B5822" s="64"/>
      <c r="C5822" s="64"/>
      <c r="D5822" s="64"/>
      <c r="E5822" s="64"/>
      <c r="F5822" s="64"/>
      <c r="G5822" s="64"/>
    </row>
    <row r="5823" spans="2:7" ht="32.25" customHeight="1" x14ac:dyDescent="0.25">
      <c r="B5823" s="64"/>
      <c r="C5823" s="64"/>
      <c r="D5823" s="64"/>
      <c r="E5823" s="64"/>
      <c r="F5823" s="64"/>
      <c r="G5823" s="64"/>
    </row>
    <row r="5824" spans="2:7" ht="32.25" customHeight="1" x14ac:dyDescent="0.25">
      <c r="B5824" s="64"/>
      <c r="C5824" s="64"/>
      <c r="D5824" s="64"/>
      <c r="E5824" s="64"/>
      <c r="F5824" s="64"/>
      <c r="G5824" s="64"/>
    </row>
    <row r="5825" spans="2:7" ht="32.25" customHeight="1" x14ac:dyDescent="0.25">
      <c r="B5825" s="64"/>
      <c r="C5825" s="64"/>
      <c r="D5825" s="64"/>
      <c r="E5825" s="64"/>
      <c r="F5825" s="64"/>
      <c r="G5825" s="64"/>
    </row>
    <row r="5826" spans="2:7" ht="32.25" customHeight="1" x14ac:dyDescent="0.25">
      <c r="B5826" s="64"/>
      <c r="C5826" s="64"/>
      <c r="D5826" s="64"/>
      <c r="E5826" s="64"/>
      <c r="F5826" s="64"/>
      <c r="G5826" s="64"/>
    </row>
    <row r="5827" spans="2:7" ht="32.25" customHeight="1" x14ac:dyDescent="0.25">
      <c r="B5827" s="64"/>
      <c r="C5827" s="64"/>
      <c r="D5827" s="64"/>
      <c r="E5827" s="64"/>
      <c r="F5827" s="64"/>
      <c r="G5827" s="64"/>
    </row>
    <row r="5828" spans="2:7" ht="32.25" customHeight="1" x14ac:dyDescent="0.25">
      <c r="B5828" s="64"/>
      <c r="C5828" s="64"/>
      <c r="D5828" s="64"/>
      <c r="E5828" s="64"/>
      <c r="F5828" s="64"/>
      <c r="G5828" s="64"/>
    </row>
    <row r="5829" spans="2:7" ht="32.25" customHeight="1" x14ac:dyDescent="0.25">
      <c r="B5829" s="64"/>
      <c r="C5829" s="64"/>
      <c r="D5829" s="64"/>
      <c r="E5829" s="64"/>
      <c r="F5829" s="64"/>
      <c r="G5829" s="64"/>
    </row>
    <row r="5830" spans="2:7" ht="32.25" customHeight="1" x14ac:dyDescent="0.25">
      <c r="B5830" s="64"/>
      <c r="C5830" s="64"/>
      <c r="D5830" s="64"/>
      <c r="E5830" s="64"/>
      <c r="F5830" s="64"/>
      <c r="G5830" s="64"/>
    </row>
    <row r="5831" spans="2:7" ht="32.25" customHeight="1" x14ac:dyDescent="0.25">
      <c r="B5831" s="64"/>
      <c r="C5831" s="64"/>
      <c r="D5831" s="64"/>
      <c r="E5831" s="64"/>
      <c r="F5831" s="64"/>
      <c r="G5831" s="64"/>
    </row>
    <row r="5832" spans="2:7" ht="32.25" customHeight="1" x14ac:dyDescent="0.25">
      <c r="B5832" s="64"/>
      <c r="C5832" s="64"/>
      <c r="D5832" s="64"/>
      <c r="E5832" s="64"/>
      <c r="F5832" s="64"/>
      <c r="G5832" s="64"/>
    </row>
    <row r="5833" spans="2:7" ht="32.25" customHeight="1" x14ac:dyDescent="0.25">
      <c r="B5833" s="64"/>
      <c r="C5833" s="64"/>
      <c r="D5833" s="64"/>
      <c r="E5833" s="64"/>
      <c r="F5833" s="64"/>
      <c r="G5833" s="64"/>
    </row>
    <row r="5834" spans="2:7" ht="32.25" customHeight="1" x14ac:dyDescent="0.25">
      <c r="B5834" s="64"/>
      <c r="C5834" s="64"/>
      <c r="D5834" s="64"/>
      <c r="E5834" s="64"/>
      <c r="F5834" s="64"/>
      <c r="G5834" s="64"/>
    </row>
    <row r="5835" spans="2:7" ht="32.25" customHeight="1" x14ac:dyDescent="0.25">
      <c r="B5835" s="64"/>
      <c r="C5835" s="64"/>
      <c r="D5835" s="64"/>
      <c r="E5835" s="64"/>
      <c r="F5835" s="64"/>
      <c r="G5835" s="64"/>
    </row>
    <row r="5836" spans="2:7" ht="32.25" customHeight="1" x14ac:dyDescent="0.25">
      <c r="B5836" s="64"/>
      <c r="C5836" s="64"/>
      <c r="D5836" s="64"/>
      <c r="E5836" s="64"/>
      <c r="F5836" s="64"/>
      <c r="G5836" s="64"/>
    </row>
    <row r="5837" spans="2:7" ht="32.25" customHeight="1" x14ac:dyDescent="0.25">
      <c r="B5837" s="64"/>
      <c r="C5837" s="64"/>
      <c r="D5837" s="64"/>
      <c r="E5837" s="64"/>
      <c r="F5837" s="64"/>
      <c r="G5837" s="64"/>
    </row>
    <row r="5838" spans="2:7" ht="32.25" customHeight="1" x14ac:dyDescent="0.25">
      <c r="B5838" s="64"/>
      <c r="C5838" s="64"/>
      <c r="D5838" s="64"/>
      <c r="E5838" s="64"/>
      <c r="F5838" s="64"/>
      <c r="G5838" s="64"/>
    </row>
    <row r="5839" spans="2:7" ht="32.25" customHeight="1" x14ac:dyDescent="0.25">
      <c r="B5839" s="64"/>
      <c r="C5839" s="64"/>
      <c r="D5839" s="64"/>
      <c r="E5839" s="64"/>
      <c r="F5839" s="64"/>
      <c r="G5839" s="64"/>
    </row>
    <row r="5840" spans="2:7" ht="32.25" customHeight="1" x14ac:dyDescent="0.25">
      <c r="B5840" s="64"/>
      <c r="C5840" s="64"/>
      <c r="D5840" s="64"/>
      <c r="E5840" s="64"/>
      <c r="F5840" s="64"/>
      <c r="G5840" s="64"/>
    </row>
    <row r="5841" spans="2:7" ht="32.25" customHeight="1" x14ac:dyDescent="0.25">
      <c r="B5841" s="64"/>
      <c r="C5841" s="64"/>
      <c r="D5841" s="64"/>
      <c r="E5841" s="64"/>
      <c r="F5841" s="64"/>
      <c r="G5841" s="64"/>
    </row>
    <row r="5842" spans="2:7" ht="32.25" customHeight="1" x14ac:dyDescent="0.25">
      <c r="B5842" s="64"/>
      <c r="C5842" s="64"/>
      <c r="D5842" s="64"/>
      <c r="E5842" s="64"/>
      <c r="F5842" s="64"/>
      <c r="G5842" s="64"/>
    </row>
    <row r="5843" spans="2:7" ht="32.25" customHeight="1" x14ac:dyDescent="0.25">
      <c r="B5843" s="64"/>
      <c r="C5843" s="64"/>
      <c r="D5843" s="64"/>
      <c r="E5843" s="64"/>
      <c r="F5843" s="64"/>
      <c r="G5843" s="64"/>
    </row>
    <row r="5844" spans="2:7" ht="32.25" customHeight="1" x14ac:dyDescent="0.25">
      <c r="B5844" s="64"/>
      <c r="C5844" s="64"/>
      <c r="D5844" s="64"/>
      <c r="E5844" s="64"/>
      <c r="F5844" s="64"/>
      <c r="G5844" s="64"/>
    </row>
    <row r="5845" spans="2:7" ht="32.25" customHeight="1" x14ac:dyDescent="0.25">
      <c r="B5845" s="64"/>
      <c r="C5845" s="64"/>
      <c r="D5845" s="64"/>
      <c r="E5845" s="64"/>
      <c r="F5845" s="64"/>
      <c r="G5845" s="64"/>
    </row>
    <row r="5846" spans="2:7" ht="32.25" customHeight="1" x14ac:dyDescent="0.25">
      <c r="B5846" s="64"/>
      <c r="C5846" s="64"/>
      <c r="D5846" s="64"/>
      <c r="E5846" s="64"/>
      <c r="F5846" s="64"/>
      <c r="G5846" s="64"/>
    </row>
    <row r="5847" spans="2:7" ht="32.25" customHeight="1" x14ac:dyDescent="0.25">
      <c r="B5847" s="64"/>
      <c r="C5847" s="64"/>
      <c r="D5847" s="64"/>
      <c r="E5847" s="64"/>
      <c r="F5847" s="64"/>
      <c r="G5847" s="64"/>
    </row>
    <row r="5848" spans="2:7" ht="32.25" customHeight="1" x14ac:dyDescent="0.25">
      <c r="B5848" s="64"/>
      <c r="C5848" s="64"/>
      <c r="D5848" s="64"/>
      <c r="E5848" s="64"/>
      <c r="F5848" s="64"/>
      <c r="G5848" s="64"/>
    </row>
    <row r="5849" spans="2:7" ht="32.25" customHeight="1" x14ac:dyDescent="0.25">
      <c r="B5849" s="64"/>
      <c r="C5849" s="64"/>
      <c r="D5849" s="64"/>
      <c r="E5849" s="64"/>
      <c r="F5849" s="64"/>
      <c r="G5849" s="64"/>
    </row>
    <row r="5850" spans="2:7" ht="32.25" customHeight="1" x14ac:dyDescent="0.25">
      <c r="B5850" s="64"/>
      <c r="C5850" s="64"/>
      <c r="D5850" s="64"/>
      <c r="E5850" s="64"/>
      <c r="F5850" s="64"/>
      <c r="G5850" s="64"/>
    </row>
    <row r="5851" spans="2:7" ht="32.25" customHeight="1" x14ac:dyDescent="0.25">
      <c r="B5851" s="64"/>
      <c r="C5851" s="64"/>
      <c r="D5851" s="64"/>
      <c r="E5851" s="64"/>
      <c r="F5851" s="64"/>
      <c r="G5851" s="64"/>
    </row>
    <row r="5852" spans="2:7" ht="32.25" customHeight="1" x14ac:dyDescent="0.25">
      <c r="B5852" s="64"/>
      <c r="C5852" s="64"/>
      <c r="D5852" s="64"/>
      <c r="E5852" s="64"/>
      <c r="F5852" s="64"/>
      <c r="G5852" s="64"/>
    </row>
    <row r="5853" spans="2:7" ht="32.25" customHeight="1" x14ac:dyDescent="0.25">
      <c r="B5853" s="64"/>
      <c r="C5853" s="64"/>
      <c r="D5853" s="64"/>
      <c r="E5853" s="64"/>
      <c r="F5853" s="64"/>
      <c r="G5853" s="64"/>
    </row>
    <row r="5854" spans="2:7" ht="32.25" customHeight="1" x14ac:dyDescent="0.25">
      <c r="B5854" s="64"/>
      <c r="C5854" s="64"/>
      <c r="D5854" s="64"/>
      <c r="E5854" s="64"/>
      <c r="F5854" s="64"/>
      <c r="G5854" s="64"/>
    </row>
    <row r="5855" spans="2:7" ht="32.25" customHeight="1" x14ac:dyDescent="0.25">
      <c r="B5855" s="64"/>
      <c r="C5855" s="64"/>
      <c r="D5855" s="64"/>
      <c r="E5855" s="64"/>
      <c r="F5855" s="64"/>
      <c r="G5855" s="64"/>
    </row>
    <row r="5856" spans="2:7" ht="32.25" customHeight="1" x14ac:dyDescent="0.25">
      <c r="B5856" s="64"/>
      <c r="C5856" s="64"/>
      <c r="D5856" s="64"/>
      <c r="E5856" s="64"/>
      <c r="F5856" s="64"/>
      <c r="G5856" s="64"/>
    </row>
    <row r="5857" spans="2:7" ht="32.25" customHeight="1" x14ac:dyDescent="0.25">
      <c r="B5857" s="64"/>
      <c r="C5857" s="64"/>
      <c r="D5857" s="64"/>
      <c r="E5857" s="64"/>
      <c r="F5857" s="64"/>
      <c r="G5857" s="64"/>
    </row>
    <row r="5858" spans="2:7" ht="32.25" customHeight="1" x14ac:dyDescent="0.25">
      <c r="B5858" s="64"/>
      <c r="C5858" s="64"/>
      <c r="D5858" s="64"/>
      <c r="E5858" s="64"/>
      <c r="F5858" s="64"/>
      <c r="G5858" s="64"/>
    </row>
    <row r="5859" spans="2:7" ht="32.25" customHeight="1" x14ac:dyDescent="0.25">
      <c r="B5859" s="64"/>
      <c r="C5859" s="64"/>
      <c r="D5859" s="64"/>
      <c r="E5859" s="64"/>
      <c r="F5859" s="64"/>
      <c r="G5859" s="64"/>
    </row>
    <row r="5860" spans="2:7" ht="32.25" customHeight="1" x14ac:dyDescent="0.25">
      <c r="B5860" s="64"/>
      <c r="C5860" s="64"/>
      <c r="D5860" s="64"/>
      <c r="E5860" s="64"/>
      <c r="F5860" s="64"/>
      <c r="G5860" s="64"/>
    </row>
    <row r="5861" spans="2:7" ht="32.25" customHeight="1" x14ac:dyDescent="0.25">
      <c r="B5861" s="64"/>
      <c r="C5861" s="64"/>
      <c r="D5861" s="64"/>
      <c r="E5861" s="64"/>
      <c r="F5861" s="64"/>
      <c r="G5861" s="64"/>
    </row>
    <row r="5862" spans="2:7" ht="32.25" customHeight="1" x14ac:dyDescent="0.25">
      <c r="B5862" s="64"/>
      <c r="C5862" s="64"/>
      <c r="D5862" s="64"/>
      <c r="E5862" s="64"/>
      <c r="F5862" s="64"/>
      <c r="G5862" s="64"/>
    </row>
    <row r="5863" spans="2:7" ht="32.25" customHeight="1" x14ac:dyDescent="0.25">
      <c r="B5863" s="64"/>
      <c r="C5863" s="64"/>
      <c r="D5863" s="64"/>
      <c r="E5863" s="64"/>
      <c r="F5863" s="64"/>
      <c r="G5863" s="64"/>
    </row>
    <row r="5864" spans="2:7" ht="32.25" customHeight="1" x14ac:dyDescent="0.25">
      <c r="B5864" s="64"/>
      <c r="C5864" s="64"/>
      <c r="D5864" s="64"/>
      <c r="E5864" s="64"/>
      <c r="F5864" s="64"/>
      <c r="G5864" s="64"/>
    </row>
    <row r="5865" spans="2:7" ht="32.25" customHeight="1" x14ac:dyDescent="0.25">
      <c r="B5865" s="64"/>
      <c r="C5865" s="64"/>
      <c r="D5865" s="64"/>
      <c r="E5865" s="64"/>
      <c r="F5865" s="64"/>
      <c r="G5865" s="64"/>
    </row>
    <row r="5866" spans="2:7" ht="32.25" customHeight="1" x14ac:dyDescent="0.25">
      <c r="B5866" s="64"/>
      <c r="C5866" s="64"/>
      <c r="D5866" s="64"/>
      <c r="E5866" s="64"/>
      <c r="F5866" s="64"/>
      <c r="G5866" s="64"/>
    </row>
    <row r="5867" spans="2:7" ht="32.25" customHeight="1" x14ac:dyDescent="0.25">
      <c r="B5867" s="64"/>
      <c r="C5867" s="64"/>
      <c r="D5867" s="64"/>
      <c r="E5867" s="64"/>
      <c r="F5867" s="64"/>
      <c r="G5867" s="64"/>
    </row>
    <row r="5868" spans="2:7" ht="32.25" customHeight="1" x14ac:dyDescent="0.25">
      <c r="B5868" s="64"/>
      <c r="C5868" s="64"/>
      <c r="D5868" s="64"/>
      <c r="E5868" s="64"/>
      <c r="F5868" s="64"/>
      <c r="G5868" s="64"/>
    </row>
    <row r="5869" spans="2:7" ht="32.25" customHeight="1" x14ac:dyDescent="0.25">
      <c r="B5869" s="64"/>
      <c r="C5869" s="64"/>
      <c r="D5869" s="64"/>
      <c r="E5869" s="64"/>
      <c r="F5869" s="64"/>
      <c r="G5869" s="64"/>
    </row>
    <row r="5870" spans="2:7" ht="32.25" customHeight="1" x14ac:dyDescent="0.25">
      <c r="B5870" s="64"/>
      <c r="C5870" s="64"/>
      <c r="D5870" s="64"/>
      <c r="E5870" s="64"/>
      <c r="F5870" s="64"/>
      <c r="G5870" s="64"/>
    </row>
    <row r="5871" spans="2:7" ht="32.25" customHeight="1" x14ac:dyDescent="0.25">
      <c r="B5871" s="64"/>
      <c r="C5871" s="64"/>
      <c r="D5871" s="64"/>
      <c r="E5871" s="64"/>
      <c r="F5871" s="64"/>
      <c r="G5871" s="64"/>
    </row>
    <row r="5872" spans="2:7" ht="32.25" customHeight="1" x14ac:dyDescent="0.25">
      <c r="B5872" s="64"/>
      <c r="C5872" s="64"/>
      <c r="D5872" s="64"/>
      <c r="E5872" s="64"/>
      <c r="F5872" s="64"/>
      <c r="G5872" s="64"/>
    </row>
    <row r="5873" spans="2:7" ht="32.25" customHeight="1" x14ac:dyDescent="0.25">
      <c r="B5873" s="64"/>
      <c r="C5873" s="64"/>
      <c r="D5873" s="64"/>
      <c r="E5873" s="64"/>
      <c r="F5873" s="64"/>
      <c r="G5873" s="64"/>
    </row>
    <row r="5874" spans="2:7" ht="32.25" customHeight="1" x14ac:dyDescent="0.25">
      <c r="B5874" s="64"/>
      <c r="C5874" s="64"/>
      <c r="D5874" s="64"/>
      <c r="E5874" s="64"/>
      <c r="F5874" s="64"/>
      <c r="G5874" s="64"/>
    </row>
    <row r="5875" spans="2:7" ht="32.25" customHeight="1" x14ac:dyDescent="0.25">
      <c r="B5875" s="64"/>
      <c r="C5875" s="64"/>
      <c r="D5875" s="64"/>
      <c r="E5875" s="64"/>
      <c r="F5875" s="64"/>
      <c r="G5875" s="64"/>
    </row>
    <row r="5876" spans="2:7" ht="32.25" customHeight="1" x14ac:dyDescent="0.25">
      <c r="B5876" s="64"/>
      <c r="C5876" s="64"/>
      <c r="D5876" s="64"/>
      <c r="E5876" s="64"/>
      <c r="F5876" s="64"/>
      <c r="G5876" s="64"/>
    </row>
    <row r="5877" spans="2:7" ht="32.25" customHeight="1" x14ac:dyDescent="0.25">
      <c r="B5877" s="64"/>
      <c r="C5877" s="64"/>
      <c r="D5877" s="64"/>
      <c r="E5877" s="64"/>
      <c r="F5877" s="64"/>
      <c r="G5877" s="64"/>
    </row>
    <row r="5878" spans="2:7" ht="32.25" customHeight="1" x14ac:dyDescent="0.25">
      <c r="B5878" s="64"/>
      <c r="C5878" s="64"/>
      <c r="D5878" s="64"/>
      <c r="E5878" s="64"/>
      <c r="F5878" s="64"/>
      <c r="G5878" s="64"/>
    </row>
    <row r="5879" spans="2:7" ht="32.25" customHeight="1" x14ac:dyDescent="0.25">
      <c r="B5879" s="64"/>
      <c r="C5879" s="64"/>
      <c r="D5879" s="64"/>
      <c r="E5879" s="64"/>
      <c r="F5879" s="64"/>
      <c r="G5879" s="64"/>
    </row>
    <row r="5880" spans="2:7" ht="32.25" customHeight="1" x14ac:dyDescent="0.25">
      <c r="B5880" s="64"/>
      <c r="C5880" s="64"/>
      <c r="D5880" s="64"/>
      <c r="E5880" s="64"/>
      <c r="F5880" s="64"/>
      <c r="G5880" s="64"/>
    </row>
    <row r="5881" spans="2:7" ht="32.25" customHeight="1" x14ac:dyDescent="0.25">
      <c r="B5881" s="64"/>
      <c r="C5881" s="64"/>
      <c r="D5881" s="64"/>
      <c r="E5881" s="64"/>
      <c r="F5881" s="64"/>
      <c r="G5881" s="64"/>
    </row>
    <row r="5882" spans="2:7" ht="32.25" customHeight="1" x14ac:dyDescent="0.25">
      <c r="B5882" s="64"/>
      <c r="C5882" s="64"/>
      <c r="D5882" s="64"/>
      <c r="E5882" s="64"/>
      <c r="F5882" s="64"/>
      <c r="G5882" s="64"/>
    </row>
    <row r="5883" spans="2:7" ht="32.25" customHeight="1" x14ac:dyDescent="0.25">
      <c r="B5883" s="64"/>
      <c r="C5883" s="64"/>
      <c r="D5883" s="64"/>
      <c r="E5883" s="64"/>
      <c r="F5883" s="64"/>
      <c r="G5883" s="64"/>
    </row>
    <row r="5884" spans="2:7" ht="32.25" customHeight="1" x14ac:dyDescent="0.25">
      <c r="B5884" s="64"/>
      <c r="C5884" s="64"/>
      <c r="D5884" s="64"/>
      <c r="E5884" s="64"/>
      <c r="F5884" s="64"/>
      <c r="G5884" s="64"/>
    </row>
    <row r="5885" spans="2:7" ht="32.25" customHeight="1" x14ac:dyDescent="0.25">
      <c r="B5885" s="64"/>
      <c r="C5885" s="64"/>
      <c r="D5885" s="64"/>
      <c r="E5885" s="64"/>
      <c r="F5885" s="64"/>
      <c r="G5885" s="64"/>
    </row>
    <row r="5886" spans="2:7" ht="32.25" customHeight="1" x14ac:dyDescent="0.25">
      <c r="B5886" s="64"/>
      <c r="C5886" s="64"/>
      <c r="D5886" s="64"/>
      <c r="E5886" s="64"/>
      <c r="F5886" s="64"/>
      <c r="G5886" s="64"/>
    </row>
    <row r="5887" spans="2:7" ht="32.25" customHeight="1" x14ac:dyDescent="0.25">
      <c r="B5887" s="64"/>
      <c r="C5887" s="64"/>
      <c r="D5887" s="64"/>
      <c r="E5887" s="64"/>
      <c r="F5887" s="64"/>
      <c r="G5887" s="64"/>
    </row>
    <row r="5888" spans="2:7" ht="32.25" customHeight="1" x14ac:dyDescent="0.25">
      <c r="B5888" s="64"/>
      <c r="C5888" s="64"/>
      <c r="D5888" s="64"/>
      <c r="E5888" s="64"/>
      <c r="F5888" s="64"/>
      <c r="G5888" s="64"/>
    </row>
    <row r="5889" spans="2:7" ht="32.25" customHeight="1" x14ac:dyDescent="0.25">
      <c r="B5889" s="64"/>
      <c r="C5889" s="64"/>
      <c r="D5889" s="64"/>
      <c r="E5889" s="64"/>
      <c r="F5889" s="64"/>
      <c r="G5889" s="64"/>
    </row>
    <row r="5890" spans="2:7" ht="32.25" customHeight="1" x14ac:dyDescent="0.25">
      <c r="B5890" s="64"/>
      <c r="C5890" s="64"/>
      <c r="D5890" s="64"/>
      <c r="E5890" s="64"/>
      <c r="F5890" s="64"/>
      <c r="G5890" s="64"/>
    </row>
    <row r="5891" spans="2:7" ht="32.25" customHeight="1" x14ac:dyDescent="0.25">
      <c r="B5891" s="64"/>
      <c r="C5891" s="64"/>
      <c r="D5891" s="64"/>
      <c r="E5891" s="64"/>
      <c r="F5891" s="64"/>
      <c r="G5891" s="64"/>
    </row>
    <row r="5892" spans="2:7" ht="32.25" customHeight="1" x14ac:dyDescent="0.25">
      <c r="B5892" s="64"/>
      <c r="C5892" s="64"/>
      <c r="D5892" s="64"/>
      <c r="E5892" s="64"/>
      <c r="F5892" s="64"/>
      <c r="G5892" s="64"/>
    </row>
    <row r="5893" spans="2:7" ht="32.25" customHeight="1" x14ac:dyDescent="0.25">
      <c r="B5893" s="64"/>
      <c r="C5893" s="64"/>
      <c r="D5893" s="64"/>
      <c r="E5893" s="64"/>
      <c r="F5893" s="64"/>
      <c r="G5893" s="64"/>
    </row>
    <row r="5894" spans="2:7" ht="32.25" customHeight="1" x14ac:dyDescent="0.25">
      <c r="B5894" s="64"/>
      <c r="C5894" s="64"/>
      <c r="D5894" s="64"/>
      <c r="E5894" s="64"/>
      <c r="F5894" s="64"/>
      <c r="G5894" s="64"/>
    </row>
    <row r="5895" spans="2:7" ht="32.25" customHeight="1" x14ac:dyDescent="0.25">
      <c r="B5895" s="64"/>
      <c r="C5895" s="64"/>
      <c r="D5895" s="64"/>
      <c r="E5895" s="64"/>
      <c r="F5895" s="64"/>
      <c r="G5895" s="64"/>
    </row>
    <row r="5896" spans="2:7" ht="32.25" customHeight="1" x14ac:dyDescent="0.25">
      <c r="B5896" s="64"/>
      <c r="C5896" s="64"/>
      <c r="D5896" s="64"/>
      <c r="E5896" s="64"/>
      <c r="F5896" s="64"/>
      <c r="G5896" s="64"/>
    </row>
    <row r="5897" spans="2:7" ht="32.25" customHeight="1" x14ac:dyDescent="0.25">
      <c r="B5897" s="64"/>
      <c r="C5897" s="64"/>
      <c r="D5897" s="64"/>
      <c r="E5897" s="64"/>
      <c r="F5897" s="64"/>
      <c r="G5897" s="64"/>
    </row>
    <row r="5898" spans="2:7" ht="32.25" customHeight="1" x14ac:dyDescent="0.25">
      <c r="B5898" s="64"/>
      <c r="C5898" s="64"/>
      <c r="D5898" s="64"/>
      <c r="E5898" s="64"/>
      <c r="F5898" s="64"/>
      <c r="G5898" s="64"/>
    </row>
    <row r="5899" spans="2:7" ht="32.25" customHeight="1" x14ac:dyDescent="0.25">
      <c r="B5899" s="64"/>
      <c r="C5899" s="64"/>
      <c r="D5899" s="64"/>
      <c r="E5899" s="64"/>
      <c r="F5899" s="64"/>
      <c r="G5899" s="64"/>
    </row>
    <row r="5900" spans="2:7" ht="32.25" customHeight="1" x14ac:dyDescent="0.25">
      <c r="B5900" s="64"/>
      <c r="C5900" s="64"/>
      <c r="D5900" s="64"/>
      <c r="E5900" s="64"/>
      <c r="F5900" s="64"/>
      <c r="G5900" s="64"/>
    </row>
    <row r="5901" spans="2:7" ht="32.25" customHeight="1" x14ac:dyDescent="0.25">
      <c r="B5901" s="64"/>
      <c r="C5901" s="64"/>
      <c r="D5901" s="64"/>
      <c r="E5901" s="64"/>
      <c r="F5901" s="64"/>
      <c r="G5901" s="64"/>
    </row>
    <row r="5902" spans="2:7" ht="32.25" customHeight="1" x14ac:dyDescent="0.25">
      <c r="B5902" s="64"/>
      <c r="C5902" s="64"/>
      <c r="D5902" s="64"/>
      <c r="E5902" s="64"/>
      <c r="F5902" s="64"/>
      <c r="G5902" s="64"/>
    </row>
    <row r="5903" spans="2:7" ht="32.25" customHeight="1" x14ac:dyDescent="0.25">
      <c r="B5903" s="64"/>
      <c r="C5903" s="64"/>
      <c r="D5903" s="64"/>
      <c r="E5903" s="64"/>
      <c r="F5903" s="64"/>
      <c r="G5903" s="64"/>
    </row>
    <row r="5904" spans="2:7" ht="32.25" customHeight="1" x14ac:dyDescent="0.25">
      <c r="B5904" s="64"/>
      <c r="C5904" s="64"/>
      <c r="D5904" s="64"/>
      <c r="E5904" s="64"/>
      <c r="F5904" s="64"/>
      <c r="G5904" s="64"/>
    </row>
    <row r="5905" spans="2:7" ht="32.25" customHeight="1" x14ac:dyDescent="0.25">
      <c r="B5905" s="64"/>
      <c r="C5905" s="64"/>
      <c r="D5905" s="64"/>
      <c r="E5905" s="64"/>
      <c r="F5905" s="64"/>
      <c r="G5905" s="64"/>
    </row>
    <row r="5906" spans="2:7" ht="32.25" customHeight="1" x14ac:dyDescent="0.25">
      <c r="B5906" s="64"/>
      <c r="C5906" s="64"/>
      <c r="D5906" s="64"/>
      <c r="E5906" s="64"/>
      <c r="F5906" s="64"/>
      <c r="G5906" s="64"/>
    </row>
    <row r="5907" spans="2:7" ht="32.25" customHeight="1" x14ac:dyDescent="0.25">
      <c r="B5907" s="64"/>
      <c r="C5907" s="64"/>
      <c r="D5907" s="64"/>
      <c r="E5907" s="64"/>
      <c r="F5907" s="64"/>
      <c r="G5907" s="64"/>
    </row>
    <row r="5908" spans="2:7" ht="32.25" customHeight="1" x14ac:dyDescent="0.25">
      <c r="B5908" s="64"/>
      <c r="C5908" s="64"/>
      <c r="D5908" s="64"/>
      <c r="E5908" s="64"/>
      <c r="F5908" s="64"/>
      <c r="G5908" s="64"/>
    </row>
    <row r="5909" spans="2:7" ht="32.25" customHeight="1" x14ac:dyDescent="0.25">
      <c r="B5909" s="64"/>
      <c r="C5909" s="64"/>
      <c r="D5909" s="64"/>
      <c r="E5909" s="64"/>
      <c r="F5909" s="64"/>
      <c r="G5909" s="64"/>
    </row>
    <row r="5910" spans="2:7" ht="32.25" customHeight="1" x14ac:dyDescent="0.25">
      <c r="B5910" s="64"/>
      <c r="C5910" s="64"/>
      <c r="D5910" s="64"/>
      <c r="E5910" s="64"/>
      <c r="F5910" s="64"/>
      <c r="G5910" s="64"/>
    </row>
    <row r="5911" spans="2:7" ht="32.25" customHeight="1" x14ac:dyDescent="0.25">
      <c r="B5911" s="64"/>
      <c r="C5911" s="64"/>
      <c r="D5911" s="64"/>
      <c r="E5911" s="64"/>
      <c r="F5911" s="64"/>
      <c r="G5911" s="64"/>
    </row>
    <row r="5912" spans="2:7" ht="32.25" customHeight="1" x14ac:dyDescent="0.25">
      <c r="B5912" s="64"/>
      <c r="C5912" s="64"/>
      <c r="D5912" s="64"/>
      <c r="E5912" s="64"/>
      <c r="F5912" s="64"/>
      <c r="G5912" s="64"/>
    </row>
    <row r="5913" spans="2:7" ht="32.25" customHeight="1" x14ac:dyDescent="0.25">
      <c r="B5913" s="64"/>
      <c r="C5913" s="64"/>
      <c r="D5913" s="64"/>
      <c r="E5913" s="64"/>
      <c r="F5913" s="64"/>
      <c r="G5913" s="64"/>
    </row>
    <row r="5914" spans="2:7" ht="32.25" customHeight="1" x14ac:dyDescent="0.25">
      <c r="B5914" s="64"/>
      <c r="C5914" s="64"/>
      <c r="D5914" s="64"/>
      <c r="E5914" s="64"/>
      <c r="F5914" s="64"/>
      <c r="G5914" s="64"/>
    </row>
    <row r="5915" spans="2:7" ht="32.25" customHeight="1" x14ac:dyDescent="0.25">
      <c r="B5915" s="64"/>
      <c r="C5915" s="64"/>
      <c r="D5915" s="64"/>
      <c r="E5915" s="64"/>
      <c r="F5915" s="64"/>
      <c r="G5915" s="64"/>
    </row>
    <row r="5916" spans="2:7" ht="32.25" customHeight="1" x14ac:dyDescent="0.25">
      <c r="B5916" s="64"/>
      <c r="C5916" s="64"/>
      <c r="D5916" s="64"/>
      <c r="E5916" s="64"/>
      <c r="F5916" s="64"/>
      <c r="G5916" s="64"/>
    </row>
    <row r="5917" spans="2:7" ht="32.25" customHeight="1" x14ac:dyDescent="0.25">
      <c r="B5917" s="64"/>
      <c r="C5917" s="64"/>
      <c r="D5917" s="64"/>
      <c r="E5917" s="64"/>
      <c r="F5917" s="64"/>
      <c r="G5917" s="64"/>
    </row>
    <row r="5918" spans="2:7" ht="32.25" customHeight="1" x14ac:dyDescent="0.25">
      <c r="B5918" s="64"/>
      <c r="C5918" s="64"/>
      <c r="D5918" s="64"/>
      <c r="E5918" s="64"/>
      <c r="F5918" s="64"/>
      <c r="G5918" s="64"/>
    </row>
    <row r="5919" spans="2:7" ht="32.25" customHeight="1" x14ac:dyDescent="0.25">
      <c r="B5919" s="64"/>
      <c r="C5919" s="64"/>
      <c r="D5919" s="64"/>
      <c r="E5919" s="64"/>
      <c r="F5919" s="64"/>
      <c r="G5919" s="64"/>
    </row>
    <row r="5920" spans="2:7" ht="32.25" customHeight="1" x14ac:dyDescent="0.25">
      <c r="B5920" s="64"/>
      <c r="C5920" s="64"/>
      <c r="D5920" s="64"/>
      <c r="E5920" s="64"/>
      <c r="F5920" s="64"/>
      <c r="G5920" s="64"/>
    </row>
    <row r="5921" spans="2:7" ht="32.25" customHeight="1" x14ac:dyDescent="0.25">
      <c r="B5921" s="64"/>
      <c r="C5921" s="64"/>
      <c r="D5921" s="64"/>
      <c r="E5921" s="64"/>
      <c r="F5921" s="64"/>
      <c r="G5921" s="64"/>
    </row>
    <row r="5922" spans="2:7" ht="32.25" customHeight="1" x14ac:dyDescent="0.25">
      <c r="B5922" s="64"/>
      <c r="C5922" s="64"/>
      <c r="D5922" s="64"/>
      <c r="E5922" s="64"/>
      <c r="F5922" s="64"/>
      <c r="G5922" s="64"/>
    </row>
    <row r="5923" spans="2:7" ht="32.25" customHeight="1" x14ac:dyDescent="0.25">
      <c r="B5923" s="64"/>
      <c r="C5923" s="64"/>
      <c r="D5923" s="64"/>
      <c r="E5923" s="64"/>
      <c r="F5923" s="64"/>
      <c r="G5923" s="64"/>
    </row>
    <row r="5924" spans="2:7" ht="32.25" customHeight="1" x14ac:dyDescent="0.25">
      <c r="B5924" s="64"/>
      <c r="C5924" s="64"/>
      <c r="D5924" s="64"/>
      <c r="E5924" s="64"/>
      <c r="F5924" s="64"/>
      <c r="G5924" s="64"/>
    </row>
    <row r="5925" spans="2:7" ht="32.25" customHeight="1" x14ac:dyDescent="0.25">
      <c r="B5925" s="64"/>
      <c r="C5925" s="64"/>
      <c r="D5925" s="64"/>
      <c r="E5925" s="64"/>
      <c r="F5925" s="64"/>
      <c r="G5925" s="64"/>
    </row>
    <row r="5926" spans="2:7" ht="32.25" customHeight="1" x14ac:dyDescent="0.25">
      <c r="B5926" s="64"/>
      <c r="C5926" s="64"/>
      <c r="D5926" s="64"/>
      <c r="E5926" s="64"/>
      <c r="F5926" s="64"/>
      <c r="G5926" s="64"/>
    </row>
    <row r="5927" spans="2:7" ht="32.25" customHeight="1" x14ac:dyDescent="0.25">
      <c r="B5927" s="64"/>
      <c r="C5927" s="64"/>
      <c r="D5927" s="64"/>
      <c r="E5927" s="64"/>
      <c r="F5927" s="64"/>
      <c r="G5927" s="64"/>
    </row>
    <row r="5928" spans="2:7" ht="32.25" customHeight="1" x14ac:dyDescent="0.25">
      <c r="B5928" s="64"/>
      <c r="C5928" s="64"/>
      <c r="D5928" s="64"/>
      <c r="E5928" s="64"/>
      <c r="F5928" s="64"/>
      <c r="G5928" s="64"/>
    </row>
    <row r="5929" spans="2:7" ht="32.25" customHeight="1" x14ac:dyDescent="0.25">
      <c r="B5929" s="64"/>
      <c r="C5929" s="64"/>
      <c r="D5929" s="64"/>
      <c r="E5929" s="64"/>
      <c r="F5929" s="64"/>
      <c r="G5929" s="64"/>
    </row>
    <row r="5930" spans="2:7" ht="32.25" customHeight="1" x14ac:dyDescent="0.25">
      <c r="B5930" s="64"/>
      <c r="C5930" s="64"/>
      <c r="D5930" s="64"/>
      <c r="E5930" s="64"/>
      <c r="F5930" s="64"/>
      <c r="G5930" s="64"/>
    </row>
    <row r="5931" spans="2:7" ht="32.25" customHeight="1" x14ac:dyDescent="0.25">
      <c r="B5931" s="64"/>
      <c r="C5931" s="64"/>
      <c r="D5931" s="64"/>
      <c r="E5931" s="64"/>
      <c r="F5931" s="64"/>
      <c r="G5931" s="64"/>
    </row>
    <row r="5932" spans="2:7" ht="32.25" customHeight="1" x14ac:dyDescent="0.25">
      <c r="B5932" s="64"/>
      <c r="C5932" s="64"/>
      <c r="D5932" s="64"/>
      <c r="E5932" s="64"/>
      <c r="F5932" s="64"/>
      <c r="G5932" s="64"/>
    </row>
    <row r="5933" spans="2:7" ht="32.25" customHeight="1" x14ac:dyDescent="0.25">
      <c r="B5933" s="64"/>
      <c r="C5933" s="64"/>
      <c r="D5933" s="64"/>
      <c r="E5933" s="64"/>
      <c r="F5933" s="64"/>
      <c r="G5933" s="64"/>
    </row>
    <row r="5934" spans="2:7" ht="32.25" customHeight="1" x14ac:dyDescent="0.25">
      <c r="B5934" s="64"/>
      <c r="C5934" s="64"/>
      <c r="D5934" s="64"/>
      <c r="E5934" s="64"/>
      <c r="F5934" s="64"/>
      <c r="G5934" s="64"/>
    </row>
    <row r="5935" spans="2:7" ht="32.25" customHeight="1" x14ac:dyDescent="0.25">
      <c r="B5935" s="64"/>
      <c r="C5935" s="64"/>
      <c r="D5935" s="64"/>
      <c r="E5935" s="64"/>
      <c r="F5935" s="64"/>
      <c r="G5935" s="64"/>
    </row>
    <row r="5936" spans="2:7" ht="32.25" customHeight="1" x14ac:dyDescent="0.25">
      <c r="B5936" s="64"/>
      <c r="C5936" s="64"/>
      <c r="D5936" s="64"/>
      <c r="E5936" s="64"/>
      <c r="F5936" s="64"/>
      <c r="G5936" s="64"/>
    </row>
    <row r="5937" spans="2:7" ht="32.25" customHeight="1" x14ac:dyDescent="0.25">
      <c r="B5937" s="64"/>
      <c r="C5937" s="64"/>
      <c r="D5937" s="64"/>
      <c r="E5937" s="64"/>
      <c r="F5937" s="64"/>
      <c r="G5937" s="64"/>
    </row>
    <row r="5938" spans="2:7" ht="32.25" customHeight="1" x14ac:dyDescent="0.25">
      <c r="B5938" s="64"/>
      <c r="C5938" s="64"/>
      <c r="D5938" s="64"/>
      <c r="E5938" s="64"/>
      <c r="F5938" s="64"/>
      <c r="G5938" s="64"/>
    </row>
    <row r="5939" spans="2:7" ht="32.25" customHeight="1" x14ac:dyDescent="0.25">
      <c r="B5939" s="64"/>
      <c r="C5939" s="64"/>
      <c r="D5939" s="64"/>
      <c r="E5939" s="64"/>
      <c r="F5939" s="64"/>
      <c r="G5939" s="64"/>
    </row>
    <row r="5940" spans="2:7" ht="32.25" customHeight="1" x14ac:dyDescent="0.25">
      <c r="B5940" s="64"/>
      <c r="C5940" s="64"/>
      <c r="D5940" s="64"/>
      <c r="E5940" s="64"/>
      <c r="F5940" s="64"/>
      <c r="G5940" s="64"/>
    </row>
    <row r="5941" spans="2:7" ht="32.25" customHeight="1" x14ac:dyDescent="0.25">
      <c r="B5941" s="64"/>
      <c r="C5941" s="64"/>
      <c r="D5941" s="64"/>
      <c r="E5941" s="64"/>
      <c r="F5941" s="64"/>
      <c r="G5941" s="64"/>
    </row>
    <row r="5942" spans="2:7" ht="32.25" customHeight="1" x14ac:dyDescent="0.25">
      <c r="B5942" s="64"/>
      <c r="C5942" s="64"/>
      <c r="D5942" s="64"/>
      <c r="E5942" s="64"/>
      <c r="F5942" s="64"/>
      <c r="G5942" s="64"/>
    </row>
    <row r="5943" spans="2:7" ht="32.25" customHeight="1" x14ac:dyDescent="0.25">
      <c r="B5943" s="64"/>
      <c r="C5943" s="64"/>
      <c r="D5943" s="64"/>
      <c r="E5943" s="64"/>
      <c r="F5943" s="64"/>
      <c r="G5943" s="64"/>
    </row>
    <row r="5944" spans="2:7" ht="32.25" customHeight="1" x14ac:dyDescent="0.25">
      <c r="B5944" s="64"/>
      <c r="C5944" s="64"/>
      <c r="D5944" s="64"/>
      <c r="E5944" s="64"/>
      <c r="F5944" s="64"/>
      <c r="G5944" s="64"/>
    </row>
    <row r="5945" spans="2:7" ht="32.25" customHeight="1" x14ac:dyDescent="0.25">
      <c r="B5945" s="64"/>
      <c r="C5945" s="64"/>
      <c r="D5945" s="64"/>
      <c r="E5945" s="64"/>
      <c r="F5945" s="64"/>
      <c r="G5945" s="64"/>
    </row>
    <row r="5946" spans="2:7" ht="32.25" customHeight="1" x14ac:dyDescent="0.25">
      <c r="B5946" s="64"/>
      <c r="C5946" s="64"/>
      <c r="D5946" s="64"/>
      <c r="E5946" s="64"/>
      <c r="F5946" s="64"/>
      <c r="G5946" s="64"/>
    </row>
    <row r="5947" spans="2:7" ht="32.25" customHeight="1" x14ac:dyDescent="0.25">
      <c r="B5947" s="64"/>
      <c r="C5947" s="64"/>
      <c r="D5947" s="64"/>
      <c r="E5947" s="64"/>
      <c r="F5947" s="64"/>
      <c r="G5947" s="64"/>
    </row>
    <row r="5948" spans="2:7" ht="32.25" customHeight="1" x14ac:dyDescent="0.25">
      <c r="B5948" s="64"/>
      <c r="C5948" s="64"/>
      <c r="D5948" s="64"/>
      <c r="E5948" s="64"/>
      <c r="F5948" s="64"/>
      <c r="G5948" s="64"/>
    </row>
    <row r="5949" spans="2:7" ht="32.25" customHeight="1" x14ac:dyDescent="0.25">
      <c r="B5949" s="64"/>
      <c r="C5949" s="64"/>
      <c r="D5949" s="64"/>
      <c r="E5949" s="64"/>
      <c r="F5949" s="64"/>
      <c r="G5949" s="64"/>
    </row>
    <row r="5950" spans="2:7" ht="32.25" customHeight="1" x14ac:dyDescent="0.25">
      <c r="B5950" s="64"/>
      <c r="C5950" s="64"/>
      <c r="D5950" s="64"/>
      <c r="E5950" s="64"/>
      <c r="F5950" s="64"/>
      <c r="G5950" s="64"/>
    </row>
    <row r="5951" spans="2:7" ht="32.25" customHeight="1" x14ac:dyDescent="0.25">
      <c r="B5951" s="64"/>
      <c r="C5951" s="64"/>
      <c r="D5951" s="64"/>
      <c r="E5951" s="64"/>
      <c r="F5951" s="64"/>
      <c r="G5951" s="64"/>
    </row>
    <row r="5952" spans="2:7" ht="32.25" customHeight="1" x14ac:dyDescent="0.25">
      <c r="B5952" s="64"/>
      <c r="C5952" s="64"/>
      <c r="D5952" s="64"/>
      <c r="E5952" s="64"/>
      <c r="F5952" s="64"/>
      <c r="G5952" s="64"/>
    </row>
    <row r="5953" spans="2:7" ht="32.25" customHeight="1" x14ac:dyDescent="0.25">
      <c r="B5953" s="64"/>
      <c r="C5953" s="64"/>
      <c r="D5953" s="64"/>
      <c r="E5953" s="64"/>
      <c r="F5953" s="64"/>
      <c r="G5953" s="64"/>
    </row>
    <row r="5954" spans="2:7" ht="32.25" customHeight="1" x14ac:dyDescent="0.25">
      <c r="B5954" s="64"/>
      <c r="C5954" s="64"/>
      <c r="D5954" s="64"/>
      <c r="E5954" s="64"/>
      <c r="F5954" s="64"/>
      <c r="G5954" s="64"/>
    </row>
    <row r="5955" spans="2:7" ht="32.25" customHeight="1" x14ac:dyDescent="0.25">
      <c r="B5955" s="64"/>
      <c r="C5955" s="64"/>
      <c r="D5955" s="64"/>
      <c r="E5955" s="64"/>
      <c r="F5955" s="64"/>
      <c r="G5955" s="64"/>
    </row>
    <row r="5956" spans="2:7" ht="32.25" customHeight="1" x14ac:dyDescent="0.25">
      <c r="B5956" s="64"/>
      <c r="C5956" s="64"/>
      <c r="D5956" s="64"/>
      <c r="E5956" s="64"/>
      <c r="F5956" s="64"/>
      <c r="G5956" s="64"/>
    </row>
    <row r="5957" spans="2:7" ht="32.25" customHeight="1" x14ac:dyDescent="0.25">
      <c r="B5957" s="64"/>
      <c r="C5957" s="64"/>
      <c r="D5957" s="64"/>
      <c r="E5957" s="64"/>
      <c r="F5957" s="64"/>
      <c r="G5957" s="64"/>
    </row>
    <row r="5958" spans="2:7" ht="32.25" customHeight="1" x14ac:dyDescent="0.25">
      <c r="B5958" s="64"/>
      <c r="C5958" s="64"/>
      <c r="D5958" s="64"/>
      <c r="E5958" s="64"/>
      <c r="F5958" s="64"/>
      <c r="G5958" s="64"/>
    </row>
    <row r="5959" spans="2:7" ht="32.25" customHeight="1" x14ac:dyDescent="0.25">
      <c r="B5959" s="64"/>
      <c r="C5959" s="64"/>
      <c r="D5959" s="64"/>
      <c r="E5959" s="64"/>
      <c r="F5959" s="64"/>
      <c r="G5959" s="64"/>
    </row>
    <row r="5960" spans="2:7" ht="32.25" customHeight="1" x14ac:dyDescent="0.25">
      <c r="B5960" s="64"/>
      <c r="C5960" s="64"/>
      <c r="D5960" s="64"/>
      <c r="E5960" s="64"/>
      <c r="F5960" s="64"/>
      <c r="G5960" s="64"/>
    </row>
    <row r="5961" spans="2:7" ht="32.25" customHeight="1" x14ac:dyDescent="0.25">
      <c r="B5961" s="64"/>
      <c r="C5961" s="64"/>
      <c r="D5961" s="64"/>
      <c r="E5961" s="64"/>
      <c r="F5961" s="64"/>
      <c r="G5961" s="64"/>
    </row>
    <row r="5962" spans="2:7" ht="32.25" customHeight="1" x14ac:dyDescent="0.25">
      <c r="B5962" s="64"/>
      <c r="C5962" s="64"/>
      <c r="D5962" s="64"/>
      <c r="E5962" s="64"/>
      <c r="F5962" s="64"/>
      <c r="G5962" s="64"/>
    </row>
    <row r="5963" spans="2:7" ht="32.25" customHeight="1" x14ac:dyDescent="0.25">
      <c r="B5963" s="64"/>
      <c r="C5963" s="64"/>
      <c r="D5963" s="64"/>
      <c r="E5963" s="64"/>
      <c r="F5963" s="64"/>
      <c r="G5963" s="64"/>
    </row>
    <row r="5964" spans="2:7" ht="32.25" customHeight="1" x14ac:dyDescent="0.25">
      <c r="B5964" s="64"/>
      <c r="C5964" s="64"/>
      <c r="D5964" s="64"/>
      <c r="E5964" s="64"/>
      <c r="F5964" s="64"/>
      <c r="G5964" s="64"/>
    </row>
    <row r="5965" spans="2:7" ht="32.25" customHeight="1" x14ac:dyDescent="0.25">
      <c r="B5965" s="64"/>
      <c r="C5965" s="64"/>
      <c r="D5965" s="64"/>
      <c r="E5965" s="64"/>
      <c r="F5965" s="64"/>
      <c r="G5965" s="64"/>
    </row>
    <row r="5966" spans="2:7" ht="32.25" customHeight="1" x14ac:dyDescent="0.25">
      <c r="B5966" s="64"/>
      <c r="C5966" s="64"/>
      <c r="D5966" s="64"/>
      <c r="E5966" s="64"/>
      <c r="F5966" s="64"/>
      <c r="G5966" s="64"/>
    </row>
    <row r="5967" spans="2:7" ht="32.25" customHeight="1" x14ac:dyDescent="0.25">
      <c r="B5967" s="64"/>
      <c r="C5967" s="64"/>
      <c r="D5967" s="64"/>
      <c r="E5967" s="64"/>
      <c r="F5967" s="64"/>
      <c r="G5967" s="64"/>
    </row>
    <row r="5968" spans="2:7" ht="32.25" customHeight="1" x14ac:dyDescent="0.25">
      <c r="B5968" s="64"/>
      <c r="C5968" s="64"/>
      <c r="D5968" s="64"/>
      <c r="E5968" s="64"/>
      <c r="F5968" s="64"/>
      <c r="G5968" s="64"/>
    </row>
    <row r="5969" spans="2:7" ht="32.25" customHeight="1" x14ac:dyDescent="0.25">
      <c r="B5969" s="64"/>
      <c r="C5969" s="64"/>
      <c r="D5969" s="64"/>
      <c r="E5969" s="64"/>
      <c r="F5969" s="64"/>
      <c r="G5969" s="64"/>
    </row>
    <row r="5970" spans="2:7" ht="32.25" customHeight="1" x14ac:dyDescent="0.25">
      <c r="B5970" s="64"/>
      <c r="C5970" s="64"/>
      <c r="D5970" s="64"/>
      <c r="E5970" s="64"/>
      <c r="F5970" s="64"/>
      <c r="G5970" s="64"/>
    </row>
    <row r="5971" spans="2:7" ht="32.25" customHeight="1" x14ac:dyDescent="0.25">
      <c r="B5971" s="64"/>
      <c r="C5971" s="64"/>
      <c r="D5971" s="64"/>
      <c r="E5971" s="64"/>
      <c r="F5971" s="64"/>
      <c r="G5971" s="64"/>
    </row>
    <row r="5972" spans="2:7" ht="32.25" customHeight="1" x14ac:dyDescent="0.25">
      <c r="B5972" s="64"/>
      <c r="C5972" s="64"/>
      <c r="D5972" s="64"/>
      <c r="E5972" s="64"/>
      <c r="F5972" s="64"/>
      <c r="G5972" s="64"/>
    </row>
    <row r="5973" spans="2:7" ht="32.25" customHeight="1" x14ac:dyDescent="0.25">
      <c r="B5973" s="64"/>
      <c r="C5973" s="64"/>
      <c r="D5973" s="64"/>
      <c r="E5973" s="64"/>
      <c r="F5973" s="64"/>
      <c r="G5973" s="64"/>
    </row>
    <row r="5974" spans="2:7" ht="32.25" customHeight="1" x14ac:dyDescent="0.25">
      <c r="B5974" s="64"/>
      <c r="C5974" s="64"/>
      <c r="D5974" s="64"/>
      <c r="E5974" s="64"/>
      <c r="F5974" s="64"/>
      <c r="G5974" s="64"/>
    </row>
    <row r="5975" spans="2:7" ht="32.25" customHeight="1" x14ac:dyDescent="0.25">
      <c r="B5975" s="64"/>
      <c r="C5975" s="64"/>
      <c r="D5975" s="64"/>
      <c r="E5975" s="64"/>
      <c r="F5975" s="64"/>
      <c r="G5975" s="64"/>
    </row>
    <row r="5976" spans="2:7" ht="32.25" customHeight="1" x14ac:dyDescent="0.25">
      <c r="B5976" s="64"/>
      <c r="C5976" s="64"/>
      <c r="D5976" s="64"/>
      <c r="E5976" s="64"/>
      <c r="F5976" s="64"/>
      <c r="G5976" s="64"/>
    </row>
    <row r="5977" spans="2:7" ht="32.25" customHeight="1" x14ac:dyDescent="0.25">
      <c r="B5977" s="64"/>
      <c r="C5977" s="64"/>
      <c r="D5977" s="64"/>
      <c r="E5977" s="64"/>
      <c r="F5977" s="64"/>
      <c r="G5977" s="64"/>
    </row>
    <row r="5978" spans="2:7" ht="32.25" customHeight="1" x14ac:dyDescent="0.25">
      <c r="B5978" s="64"/>
      <c r="C5978" s="64"/>
      <c r="D5978" s="64"/>
      <c r="E5978" s="64"/>
      <c r="F5978" s="64"/>
      <c r="G5978" s="64"/>
    </row>
    <row r="5979" spans="2:7" ht="32.25" customHeight="1" x14ac:dyDescent="0.25">
      <c r="B5979" s="64"/>
      <c r="C5979" s="64"/>
      <c r="D5979" s="64"/>
      <c r="E5979" s="64"/>
      <c r="F5979" s="64"/>
      <c r="G5979" s="64"/>
    </row>
    <row r="5980" spans="2:7" ht="32.25" customHeight="1" x14ac:dyDescent="0.25">
      <c r="B5980" s="64"/>
      <c r="C5980" s="64"/>
      <c r="D5980" s="64"/>
      <c r="E5980" s="64"/>
      <c r="F5980" s="64"/>
      <c r="G5980" s="64"/>
    </row>
    <row r="5981" spans="2:7" ht="32.25" customHeight="1" x14ac:dyDescent="0.25">
      <c r="B5981" s="64"/>
      <c r="C5981" s="64"/>
      <c r="D5981" s="64"/>
      <c r="E5981" s="64"/>
      <c r="F5981" s="64"/>
      <c r="G5981" s="64"/>
    </row>
    <row r="5982" spans="2:7" ht="32.25" customHeight="1" x14ac:dyDescent="0.25">
      <c r="B5982" s="64"/>
      <c r="C5982" s="64"/>
      <c r="D5982" s="64"/>
      <c r="E5982" s="64"/>
      <c r="F5982" s="64"/>
      <c r="G5982" s="64"/>
    </row>
    <row r="5983" spans="2:7" ht="32.25" customHeight="1" x14ac:dyDescent="0.25">
      <c r="B5983" s="64"/>
      <c r="C5983" s="64"/>
      <c r="D5983" s="64"/>
      <c r="E5983" s="64"/>
      <c r="F5983" s="64"/>
      <c r="G5983" s="64"/>
    </row>
    <row r="5984" spans="2:7" ht="32.25" customHeight="1" x14ac:dyDescent="0.25">
      <c r="B5984" s="64"/>
      <c r="C5984" s="64"/>
      <c r="D5984" s="64"/>
      <c r="E5984" s="64"/>
      <c r="F5984" s="64"/>
      <c r="G5984" s="64"/>
    </row>
    <row r="5985" spans="2:7" ht="32.25" customHeight="1" x14ac:dyDescent="0.25">
      <c r="B5985" s="64"/>
      <c r="C5985" s="64"/>
      <c r="D5985" s="64"/>
      <c r="E5985" s="64"/>
      <c r="F5985" s="64"/>
      <c r="G5985" s="64"/>
    </row>
    <row r="5986" spans="2:7" ht="32.25" customHeight="1" x14ac:dyDescent="0.25">
      <c r="B5986" s="64"/>
      <c r="C5986" s="64"/>
      <c r="D5986" s="64"/>
      <c r="E5986" s="64"/>
      <c r="F5986" s="64"/>
      <c r="G5986" s="64"/>
    </row>
    <row r="5987" spans="2:7" ht="32.25" customHeight="1" x14ac:dyDescent="0.25">
      <c r="B5987" s="64"/>
      <c r="C5987" s="64"/>
      <c r="D5987" s="64"/>
      <c r="E5987" s="64"/>
      <c r="F5987" s="64"/>
      <c r="G5987" s="64"/>
    </row>
    <row r="5988" spans="2:7" ht="32.25" customHeight="1" x14ac:dyDescent="0.25">
      <c r="B5988" s="64"/>
      <c r="C5988" s="64"/>
      <c r="D5988" s="64"/>
      <c r="E5988" s="64"/>
      <c r="F5988" s="64"/>
      <c r="G5988" s="64"/>
    </row>
    <row r="5989" spans="2:7" ht="32.25" customHeight="1" x14ac:dyDescent="0.25">
      <c r="B5989" s="64"/>
      <c r="C5989" s="64"/>
      <c r="D5989" s="64"/>
      <c r="E5989" s="64"/>
      <c r="F5989" s="64"/>
      <c r="G5989" s="64"/>
    </row>
    <row r="5990" spans="2:7" ht="32.25" customHeight="1" x14ac:dyDescent="0.25">
      <c r="B5990" s="64"/>
      <c r="C5990" s="64"/>
      <c r="D5990" s="64"/>
      <c r="E5990" s="64"/>
      <c r="F5990" s="64"/>
      <c r="G5990" s="64"/>
    </row>
    <row r="5991" spans="2:7" ht="32.25" customHeight="1" x14ac:dyDescent="0.25">
      <c r="B5991" s="64"/>
      <c r="C5991" s="64"/>
      <c r="D5991" s="64"/>
      <c r="E5991" s="64"/>
      <c r="F5991" s="64"/>
      <c r="G5991" s="64"/>
    </row>
    <row r="5992" spans="2:7" ht="32.25" customHeight="1" x14ac:dyDescent="0.25">
      <c r="B5992" s="64"/>
      <c r="C5992" s="64"/>
      <c r="D5992" s="64"/>
      <c r="E5992" s="64"/>
      <c r="F5992" s="64"/>
      <c r="G5992" s="64"/>
    </row>
    <row r="5993" spans="2:7" ht="32.25" customHeight="1" x14ac:dyDescent="0.25">
      <c r="B5993" s="64"/>
      <c r="C5993" s="64"/>
      <c r="D5993" s="64"/>
      <c r="E5993" s="64"/>
      <c r="F5993" s="64"/>
      <c r="G5993" s="64"/>
    </row>
    <row r="5994" spans="2:7" ht="32.25" customHeight="1" x14ac:dyDescent="0.25">
      <c r="B5994" s="64"/>
      <c r="C5994" s="64"/>
      <c r="D5994" s="64"/>
      <c r="E5994" s="64"/>
      <c r="F5994" s="64"/>
      <c r="G5994" s="64"/>
    </row>
    <row r="5995" spans="2:7" ht="32.25" customHeight="1" x14ac:dyDescent="0.25">
      <c r="B5995" s="64"/>
      <c r="C5995" s="64"/>
      <c r="D5995" s="64"/>
      <c r="E5995" s="64"/>
      <c r="F5995" s="64"/>
      <c r="G5995" s="64"/>
    </row>
    <row r="5996" spans="2:7" ht="32.25" customHeight="1" x14ac:dyDescent="0.25">
      <c r="B5996" s="64"/>
      <c r="C5996" s="64"/>
      <c r="D5996" s="64"/>
      <c r="E5996" s="64"/>
      <c r="F5996" s="64"/>
      <c r="G5996" s="64"/>
    </row>
    <row r="5997" spans="2:7" ht="32.25" customHeight="1" x14ac:dyDescent="0.25">
      <c r="B5997" s="64"/>
      <c r="C5997" s="64"/>
      <c r="D5997" s="64"/>
      <c r="E5997" s="64"/>
      <c r="F5997" s="64"/>
      <c r="G5997" s="64"/>
    </row>
    <row r="5998" spans="2:7" ht="32.25" customHeight="1" x14ac:dyDescent="0.25">
      <c r="B5998" s="64"/>
      <c r="C5998" s="64"/>
      <c r="D5998" s="64"/>
      <c r="E5998" s="64"/>
      <c r="F5998" s="64"/>
      <c r="G5998" s="64"/>
    </row>
    <row r="5999" spans="2:7" ht="32.25" customHeight="1" x14ac:dyDescent="0.25">
      <c r="B5999" s="64"/>
      <c r="C5999" s="64"/>
      <c r="D5999" s="64"/>
      <c r="E5999" s="64"/>
      <c r="F5999" s="64"/>
      <c r="G5999" s="64"/>
    </row>
    <row r="6000" spans="2:7" ht="32.25" customHeight="1" x14ac:dyDescent="0.25">
      <c r="B6000" s="64"/>
      <c r="C6000" s="64"/>
      <c r="D6000" s="64"/>
      <c r="E6000" s="64"/>
      <c r="F6000" s="64"/>
      <c r="G6000" s="64"/>
    </row>
    <row r="6001" spans="2:7" ht="32.25" customHeight="1" x14ac:dyDescent="0.25">
      <c r="B6001" s="64"/>
      <c r="C6001" s="64"/>
      <c r="D6001" s="64"/>
      <c r="E6001" s="64"/>
      <c r="F6001" s="64"/>
      <c r="G6001" s="64"/>
    </row>
    <row r="6002" spans="2:7" ht="32.25" customHeight="1" x14ac:dyDescent="0.25">
      <c r="B6002" s="64"/>
      <c r="C6002" s="64"/>
      <c r="D6002" s="64"/>
      <c r="E6002" s="64"/>
      <c r="F6002" s="64"/>
      <c r="G6002" s="64"/>
    </row>
    <row r="6003" spans="2:7" ht="32.25" customHeight="1" x14ac:dyDescent="0.25">
      <c r="B6003" s="64"/>
      <c r="C6003" s="64"/>
      <c r="D6003" s="64"/>
      <c r="E6003" s="64"/>
      <c r="F6003" s="64"/>
      <c r="G6003" s="64"/>
    </row>
    <row r="6004" spans="2:7" ht="32.25" customHeight="1" x14ac:dyDescent="0.25">
      <c r="B6004" s="64"/>
      <c r="C6004" s="64"/>
      <c r="D6004" s="64"/>
      <c r="E6004" s="64"/>
      <c r="F6004" s="64"/>
      <c r="G6004" s="64"/>
    </row>
    <row r="6005" spans="2:7" ht="32.25" customHeight="1" x14ac:dyDescent="0.25">
      <c r="B6005" s="64"/>
      <c r="C6005" s="64"/>
      <c r="D6005" s="64"/>
      <c r="E6005" s="64"/>
      <c r="F6005" s="64"/>
      <c r="G6005" s="64"/>
    </row>
    <row r="6006" spans="2:7" ht="32.25" customHeight="1" x14ac:dyDescent="0.25">
      <c r="B6006" s="64"/>
      <c r="C6006" s="64"/>
      <c r="D6006" s="64"/>
      <c r="E6006" s="64"/>
      <c r="F6006" s="64"/>
      <c r="G6006" s="64"/>
    </row>
    <row r="6007" spans="2:7" ht="32.25" customHeight="1" x14ac:dyDescent="0.25">
      <c r="B6007" s="64"/>
      <c r="C6007" s="64"/>
      <c r="D6007" s="64"/>
      <c r="E6007" s="64"/>
      <c r="F6007" s="64"/>
      <c r="G6007" s="64"/>
    </row>
    <row r="6008" spans="2:7" ht="32.25" customHeight="1" x14ac:dyDescent="0.25">
      <c r="B6008" s="64"/>
      <c r="C6008" s="64"/>
      <c r="D6008" s="64"/>
      <c r="E6008" s="64"/>
      <c r="F6008" s="64"/>
      <c r="G6008" s="64"/>
    </row>
    <row r="6009" spans="2:7" ht="32.25" customHeight="1" x14ac:dyDescent="0.25">
      <c r="B6009" s="64"/>
      <c r="C6009" s="64"/>
      <c r="D6009" s="64"/>
      <c r="E6009" s="64"/>
      <c r="F6009" s="64"/>
      <c r="G6009" s="64"/>
    </row>
    <row r="6010" spans="2:7" ht="32.25" customHeight="1" x14ac:dyDescent="0.25">
      <c r="B6010" s="64"/>
      <c r="C6010" s="64"/>
      <c r="D6010" s="64"/>
      <c r="E6010" s="64"/>
      <c r="F6010" s="64"/>
      <c r="G6010" s="64"/>
    </row>
    <row r="6011" spans="2:7" ht="32.25" customHeight="1" x14ac:dyDescent="0.25">
      <c r="B6011" s="64"/>
      <c r="C6011" s="64"/>
      <c r="D6011" s="64"/>
      <c r="E6011" s="64"/>
      <c r="F6011" s="64"/>
      <c r="G6011" s="64"/>
    </row>
    <row r="6012" spans="2:7" ht="32.25" customHeight="1" x14ac:dyDescent="0.25">
      <c r="B6012" s="64"/>
      <c r="C6012" s="64"/>
      <c r="D6012" s="64"/>
      <c r="E6012" s="64"/>
      <c r="F6012" s="64"/>
      <c r="G6012" s="64"/>
    </row>
    <row r="6013" spans="2:7" ht="32.25" customHeight="1" x14ac:dyDescent="0.25">
      <c r="B6013" s="64"/>
      <c r="C6013" s="64"/>
      <c r="D6013" s="64"/>
      <c r="E6013" s="64"/>
      <c r="F6013" s="64"/>
      <c r="G6013" s="64"/>
    </row>
    <row r="6014" spans="2:7" ht="32.25" customHeight="1" x14ac:dyDescent="0.25">
      <c r="B6014" s="64"/>
      <c r="C6014" s="64"/>
      <c r="D6014" s="64"/>
      <c r="E6014" s="64"/>
      <c r="F6014" s="64"/>
      <c r="G6014" s="64"/>
    </row>
    <row r="6015" spans="2:7" ht="32.25" customHeight="1" x14ac:dyDescent="0.25">
      <c r="B6015" s="64"/>
      <c r="C6015" s="64"/>
      <c r="D6015" s="64"/>
      <c r="E6015" s="64"/>
      <c r="F6015" s="64"/>
      <c r="G6015" s="64"/>
    </row>
    <row r="6016" spans="2:7" ht="32.25" customHeight="1" x14ac:dyDescent="0.25">
      <c r="B6016" s="64"/>
      <c r="C6016" s="64"/>
      <c r="D6016" s="64"/>
      <c r="E6016" s="64"/>
      <c r="F6016" s="64"/>
      <c r="G6016" s="64"/>
    </row>
    <row r="6017" spans="2:7" ht="32.25" customHeight="1" x14ac:dyDescent="0.25">
      <c r="B6017" s="64"/>
      <c r="C6017" s="64"/>
      <c r="D6017" s="64"/>
      <c r="E6017" s="64"/>
      <c r="F6017" s="64"/>
      <c r="G6017" s="64"/>
    </row>
    <row r="6018" spans="2:7" ht="32.25" customHeight="1" x14ac:dyDescent="0.25">
      <c r="B6018" s="64"/>
      <c r="C6018" s="64"/>
      <c r="D6018" s="64"/>
      <c r="E6018" s="64"/>
      <c r="F6018" s="64"/>
      <c r="G6018" s="64"/>
    </row>
    <row r="6019" spans="2:7" ht="32.25" customHeight="1" x14ac:dyDescent="0.25">
      <c r="B6019" s="64"/>
      <c r="C6019" s="64"/>
      <c r="D6019" s="64"/>
      <c r="E6019" s="64"/>
      <c r="F6019" s="64"/>
      <c r="G6019" s="64"/>
    </row>
    <row r="6020" spans="2:7" ht="32.25" customHeight="1" x14ac:dyDescent="0.25">
      <c r="B6020" s="64"/>
      <c r="C6020" s="64"/>
      <c r="D6020" s="64"/>
      <c r="E6020" s="64"/>
      <c r="F6020" s="64"/>
      <c r="G6020" s="64"/>
    </row>
    <row r="6021" spans="2:7" ht="32.25" customHeight="1" x14ac:dyDescent="0.25">
      <c r="B6021" s="64"/>
      <c r="C6021" s="64"/>
      <c r="D6021" s="64"/>
      <c r="E6021" s="64"/>
      <c r="F6021" s="64"/>
      <c r="G6021" s="64"/>
    </row>
    <row r="6022" spans="2:7" ht="32.25" customHeight="1" x14ac:dyDescent="0.25">
      <c r="B6022" s="64"/>
      <c r="C6022" s="64"/>
      <c r="D6022" s="64"/>
      <c r="E6022" s="64"/>
      <c r="F6022" s="64"/>
      <c r="G6022" s="64"/>
    </row>
    <row r="6023" spans="2:7" ht="32.25" customHeight="1" x14ac:dyDescent="0.25">
      <c r="B6023" s="64"/>
      <c r="C6023" s="64"/>
      <c r="D6023" s="64"/>
      <c r="E6023" s="64"/>
      <c r="F6023" s="64"/>
      <c r="G6023" s="64"/>
    </row>
    <row r="6024" spans="2:7" ht="32.25" customHeight="1" x14ac:dyDescent="0.25">
      <c r="B6024" s="64"/>
      <c r="C6024" s="64"/>
      <c r="D6024" s="64"/>
      <c r="E6024" s="64"/>
      <c r="F6024" s="64"/>
      <c r="G6024" s="64"/>
    </row>
    <row r="6025" spans="2:7" ht="32.25" customHeight="1" x14ac:dyDescent="0.25">
      <c r="B6025" s="64"/>
      <c r="C6025" s="64"/>
      <c r="D6025" s="64"/>
      <c r="E6025" s="64"/>
      <c r="F6025" s="64"/>
      <c r="G6025" s="64"/>
    </row>
    <row r="6026" spans="2:7" ht="32.25" customHeight="1" x14ac:dyDescent="0.25">
      <c r="B6026" s="64"/>
      <c r="C6026" s="64"/>
      <c r="D6026" s="64"/>
      <c r="E6026" s="64"/>
      <c r="F6026" s="64"/>
      <c r="G6026" s="64"/>
    </row>
    <row r="6027" spans="2:7" ht="32.25" customHeight="1" x14ac:dyDescent="0.25">
      <c r="B6027" s="64"/>
      <c r="C6027" s="64"/>
      <c r="D6027" s="64"/>
      <c r="E6027" s="64"/>
      <c r="F6027" s="64"/>
      <c r="G6027" s="64"/>
    </row>
    <row r="6028" spans="2:7" ht="32.25" customHeight="1" x14ac:dyDescent="0.25">
      <c r="B6028" s="64"/>
      <c r="C6028" s="64"/>
      <c r="D6028" s="64"/>
      <c r="E6028" s="64"/>
      <c r="F6028" s="64"/>
      <c r="G6028" s="64"/>
    </row>
    <row r="6029" spans="2:7" ht="32.25" customHeight="1" x14ac:dyDescent="0.25">
      <c r="B6029" s="64"/>
      <c r="C6029" s="64"/>
      <c r="D6029" s="64"/>
      <c r="E6029" s="64"/>
      <c r="F6029" s="64"/>
      <c r="G6029" s="64"/>
    </row>
    <row r="6030" spans="2:7" ht="32.25" customHeight="1" x14ac:dyDescent="0.25">
      <c r="B6030" s="64"/>
      <c r="C6030" s="64"/>
      <c r="D6030" s="64"/>
      <c r="E6030" s="64"/>
      <c r="F6030" s="64"/>
      <c r="G6030" s="64"/>
    </row>
    <row r="6031" spans="2:7" ht="32.25" customHeight="1" x14ac:dyDescent="0.25">
      <c r="B6031" s="64"/>
      <c r="C6031" s="64"/>
      <c r="D6031" s="64"/>
      <c r="E6031" s="64"/>
      <c r="F6031" s="64"/>
      <c r="G6031" s="64"/>
    </row>
    <row r="6032" spans="2:7" ht="32.25" customHeight="1" x14ac:dyDescent="0.25">
      <c r="B6032" s="64"/>
      <c r="C6032" s="64"/>
      <c r="D6032" s="64"/>
      <c r="E6032" s="64"/>
      <c r="F6032" s="64"/>
      <c r="G6032" s="64"/>
    </row>
    <row r="6033" spans="2:7" ht="32.25" customHeight="1" x14ac:dyDescent="0.25">
      <c r="B6033" s="64"/>
      <c r="C6033" s="64"/>
      <c r="D6033" s="64"/>
      <c r="E6033" s="64"/>
      <c r="F6033" s="64"/>
      <c r="G6033" s="64"/>
    </row>
    <row r="6034" spans="2:7" ht="32.25" customHeight="1" x14ac:dyDescent="0.25">
      <c r="B6034" s="64"/>
      <c r="C6034" s="64"/>
      <c r="D6034" s="64"/>
      <c r="E6034" s="64"/>
      <c r="F6034" s="64"/>
      <c r="G6034" s="64"/>
    </row>
    <row r="6035" spans="2:7" ht="32.25" customHeight="1" x14ac:dyDescent="0.25">
      <c r="B6035" s="64"/>
      <c r="C6035" s="64"/>
      <c r="D6035" s="64"/>
      <c r="E6035" s="64"/>
      <c r="F6035" s="64"/>
      <c r="G6035" s="64"/>
    </row>
    <row r="6036" spans="2:7" ht="32.25" customHeight="1" x14ac:dyDescent="0.25">
      <c r="B6036" s="64"/>
      <c r="C6036" s="64"/>
      <c r="D6036" s="64"/>
      <c r="E6036" s="64"/>
      <c r="F6036" s="64"/>
      <c r="G6036" s="64"/>
    </row>
    <row r="6037" spans="2:7" ht="32.25" customHeight="1" x14ac:dyDescent="0.25">
      <c r="B6037" s="64"/>
      <c r="C6037" s="64"/>
      <c r="D6037" s="64"/>
      <c r="E6037" s="64"/>
      <c r="F6037" s="64"/>
      <c r="G6037" s="64"/>
    </row>
    <row r="6038" spans="2:7" ht="32.25" customHeight="1" x14ac:dyDescent="0.25">
      <c r="B6038" s="64"/>
      <c r="C6038" s="64"/>
      <c r="D6038" s="64"/>
      <c r="E6038" s="64"/>
      <c r="F6038" s="64"/>
      <c r="G6038" s="64"/>
    </row>
    <row r="6039" spans="2:7" ht="32.25" customHeight="1" x14ac:dyDescent="0.25">
      <c r="B6039" s="64"/>
      <c r="C6039" s="64"/>
      <c r="D6039" s="64"/>
      <c r="E6039" s="64"/>
      <c r="F6039" s="64"/>
      <c r="G6039" s="64"/>
    </row>
    <row r="6040" spans="2:7" ht="32.25" customHeight="1" x14ac:dyDescent="0.25">
      <c r="B6040" s="64"/>
      <c r="C6040" s="64"/>
      <c r="D6040" s="64"/>
      <c r="E6040" s="64"/>
      <c r="F6040" s="64"/>
      <c r="G6040" s="64"/>
    </row>
    <row r="6041" spans="2:7" ht="32.25" customHeight="1" x14ac:dyDescent="0.25">
      <c r="B6041" s="64"/>
      <c r="C6041" s="64"/>
      <c r="D6041" s="64"/>
      <c r="E6041" s="64"/>
      <c r="F6041" s="64"/>
      <c r="G6041" s="64"/>
    </row>
    <row r="6042" spans="2:7" ht="32.25" customHeight="1" x14ac:dyDescent="0.25">
      <c r="B6042" s="64"/>
      <c r="C6042" s="64"/>
      <c r="D6042" s="64"/>
      <c r="E6042" s="64"/>
      <c r="F6042" s="64"/>
      <c r="G6042" s="64"/>
    </row>
    <row r="6043" spans="2:7" ht="32.25" customHeight="1" x14ac:dyDescent="0.25">
      <c r="B6043" s="64"/>
      <c r="C6043" s="64"/>
      <c r="D6043" s="64"/>
      <c r="E6043" s="64"/>
      <c r="F6043" s="64"/>
      <c r="G6043" s="64"/>
    </row>
    <row r="6044" spans="2:7" ht="32.25" customHeight="1" x14ac:dyDescent="0.25">
      <c r="B6044" s="64"/>
      <c r="C6044" s="64"/>
      <c r="D6044" s="64"/>
      <c r="E6044" s="64"/>
      <c r="F6044" s="64"/>
      <c r="G6044" s="64"/>
    </row>
    <row r="6045" spans="2:7" ht="32.25" customHeight="1" x14ac:dyDescent="0.25">
      <c r="B6045" s="64"/>
      <c r="C6045" s="64"/>
      <c r="D6045" s="64"/>
      <c r="E6045" s="64"/>
      <c r="F6045" s="64"/>
      <c r="G6045" s="64"/>
    </row>
    <row r="6046" spans="2:7" ht="32.25" customHeight="1" x14ac:dyDescent="0.25">
      <c r="B6046" s="64"/>
      <c r="C6046" s="64"/>
      <c r="D6046" s="64"/>
      <c r="E6046" s="64"/>
      <c r="F6046" s="64"/>
      <c r="G6046" s="64"/>
    </row>
    <row r="6047" spans="2:7" ht="32.25" customHeight="1" x14ac:dyDescent="0.25">
      <c r="B6047" s="64"/>
      <c r="C6047" s="64"/>
      <c r="D6047" s="64"/>
      <c r="E6047" s="64"/>
      <c r="F6047" s="64"/>
      <c r="G6047" s="64"/>
    </row>
    <row r="6048" spans="2:7" ht="32.25" customHeight="1" x14ac:dyDescent="0.25">
      <c r="B6048" s="64"/>
      <c r="C6048" s="64"/>
      <c r="D6048" s="64"/>
      <c r="E6048" s="64"/>
      <c r="F6048" s="64"/>
      <c r="G6048" s="64"/>
    </row>
    <row r="6049" spans="2:7" ht="32.25" customHeight="1" x14ac:dyDescent="0.25">
      <c r="B6049" s="64"/>
      <c r="C6049" s="64"/>
      <c r="D6049" s="64"/>
      <c r="E6049" s="64"/>
      <c r="F6049" s="64"/>
      <c r="G6049" s="64"/>
    </row>
    <row r="6050" spans="2:7" ht="32.25" customHeight="1" x14ac:dyDescent="0.25">
      <c r="B6050" s="64"/>
      <c r="C6050" s="64"/>
      <c r="D6050" s="64"/>
      <c r="E6050" s="64"/>
      <c r="F6050" s="64"/>
      <c r="G6050" s="64"/>
    </row>
    <row r="6051" spans="2:7" ht="32.25" customHeight="1" x14ac:dyDescent="0.25">
      <c r="B6051" s="64"/>
      <c r="C6051" s="64"/>
      <c r="D6051" s="64"/>
      <c r="E6051" s="64"/>
      <c r="F6051" s="64"/>
      <c r="G6051" s="64"/>
    </row>
    <row r="6052" spans="2:7" ht="32.25" customHeight="1" x14ac:dyDescent="0.25">
      <c r="B6052" s="64"/>
      <c r="C6052" s="64"/>
      <c r="D6052" s="64"/>
      <c r="E6052" s="64"/>
      <c r="F6052" s="64"/>
      <c r="G6052" s="64"/>
    </row>
    <row r="6053" spans="2:7" ht="32.25" customHeight="1" x14ac:dyDescent="0.25">
      <c r="B6053" s="64"/>
      <c r="C6053" s="64"/>
      <c r="D6053" s="64"/>
      <c r="E6053" s="64"/>
      <c r="F6053" s="64"/>
      <c r="G6053" s="64"/>
    </row>
    <row r="6054" spans="2:7" ht="32.25" customHeight="1" x14ac:dyDescent="0.25">
      <c r="B6054" s="64"/>
      <c r="C6054" s="64"/>
      <c r="D6054" s="64"/>
      <c r="E6054" s="64"/>
      <c r="F6054" s="64"/>
      <c r="G6054" s="64"/>
    </row>
    <row r="6055" spans="2:7" ht="32.25" customHeight="1" x14ac:dyDescent="0.25">
      <c r="B6055" s="64"/>
      <c r="C6055" s="64"/>
      <c r="D6055" s="64"/>
      <c r="E6055" s="64"/>
      <c r="F6055" s="64"/>
      <c r="G6055" s="64"/>
    </row>
  </sheetData>
  <autoFilter ref="B1:G10" xr:uid="{00000000-0009-0000-0000-000002000000}"/>
  <pageMargins left="0.75" right="0.75" top="1" bottom="1" header="0.511811023622047" footer="0.511811023622047"/>
  <pageSetup fitToHeight="0"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392B"/>
    <pageSetUpPr fitToPage="1"/>
  </sheetPr>
  <dimension ref="B1:H6055"/>
  <sheetViews>
    <sheetView showGridLines="0" zoomScale="80" zoomScaleNormal="80" workbookViewId="0">
      <pane xSplit="1" ySplit="1" topLeftCell="B2" activePane="bottomRight" state="frozen"/>
      <selection pane="topRight" activeCell="B1" sqref="B1"/>
      <selection pane="bottomLeft" activeCell="A12" sqref="A12"/>
      <selection pane="bottomRight" activeCell="D2" sqref="D2"/>
    </sheetView>
  </sheetViews>
  <sheetFormatPr defaultColWidth="8.5703125" defaultRowHeight="15" x14ac:dyDescent="0.25"/>
  <cols>
    <col min="1" max="1" width="2.42578125" style="67" customWidth="1"/>
    <col min="2" max="2" width="4" style="67" customWidth="1"/>
    <col min="3" max="3" width="26" style="67" customWidth="1"/>
    <col min="4" max="4" width="57.85546875" style="67" customWidth="1"/>
    <col min="5" max="5" width="13.5703125" style="67" customWidth="1"/>
    <col min="6" max="6" width="48" style="67" customWidth="1"/>
    <col min="7" max="7" width="26" style="67" customWidth="1"/>
    <col min="8" max="8" width="12.42578125" style="71" customWidth="1"/>
    <col min="9" max="16384" width="8.5703125" style="67"/>
  </cols>
  <sheetData>
    <row r="1" spans="2:8" s="32" customFormat="1" ht="21.75" customHeight="1" thickBot="1" x14ac:dyDescent="0.3">
      <c r="B1" s="29" t="s">
        <v>139</v>
      </c>
      <c r="C1" s="29" t="s">
        <v>140</v>
      </c>
      <c r="D1" s="29" t="s">
        <v>141</v>
      </c>
      <c r="E1" s="29" t="s">
        <v>142</v>
      </c>
      <c r="F1" s="29" t="s">
        <v>143</v>
      </c>
      <c r="G1" s="30" t="s">
        <v>144</v>
      </c>
      <c r="H1" s="35" t="s">
        <v>1170</v>
      </c>
    </row>
    <row r="2" spans="2:8" ht="101.25" customHeight="1" thickBot="1" x14ac:dyDescent="0.3">
      <c r="B2" s="36">
        <v>1</v>
      </c>
      <c r="C2" s="40" t="s">
        <v>563</v>
      </c>
      <c r="D2" s="41" t="s">
        <v>564</v>
      </c>
      <c r="E2" s="65" t="s">
        <v>565</v>
      </c>
      <c r="F2" s="41" t="s">
        <v>566</v>
      </c>
      <c r="G2" s="43" t="s">
        <v>567</v>
      </c>
      <c r="H2" s="66" t="s">
        <v>1171</v>
      </c>
    </row>
    <row r="3" spans="2:8" ht="87.6" customHeight="1" thickBot="1" x14ac:dyDescent="0.3">
      <c r="B3" s="36">
        <v>2</v>
      </c>
      <c r="C3" s="45" t="s">
        <v>568</v>
      </c>
      <c r="D3" s="46" t="s">
        <v>569</v>
      </c>
      <c r="E3" s="65" t="s">
        <v>565</v>
      </c>
      <c r="F3" s="46" t="s">
        <v>570</v>
      </c>
      <c r="G3" s="47" t="s">
        <v>571</v>
      </c>
      <c r="H3" s="66" t="s">
        <v>1171</v>
      </c>
    </row>
    <row r="4" spans="2:8" ht="95.25" customHeight="1" thickBot="1" x14ac:dyDescent="0.3">
      <c r="B4" s="36">
        <v>3</v>
      </c>
      <c r="C4" s="45" t="s">
        <v>572</v>
      </c>
      <c r="D4" s="46" t="s">
        <v>573</v>
      </c>
      <c r="E4" s="65" t="s">
        <v>565</v>
      </c>
      <c r="F4" s="46" t="s">
        <v>574</v>
      </c>
      <c r="G4" s="47" t="s">
        <v>575</v>
      </c>
      <c r="H4" s="66" t="s">
        <v>1171</v>
      </c>
    </row>
    <row r="5" spans="2:8" ht="95.25" customHeight="1" thickBot="1" x14ac:dyDescent="0.3">
      <c r="B5" s="36">
        <v>4</v>
      </c>
      <c r="C5" s="45" t="s">
        <v>576</v>
      </c>
      <c r="D5" s="46" t="s">
        <v>577</v>
      </c>
      <c r="E5" s="65" t="s">
        <v>565</v>
      </c>
      <c r="F5" s="46" t="s">
        <v>578</v>
      </c>
      <c r="G5" s="47" t="s">
        <v>579</v>
      </c>
      <c r="H5" s="66" t="s">
        <v>1171</v>
      </c>
    </row>
    <row r="6" spans="2:8" ht="95.25" customHeight="1" thickBot="1" x14ac:dyDescent="0.3">
      <c r="B6" s="36">
        <v>5</v>
      </c>
      <c r="C6" s="45" t="s">
        <v>580</v>
      </c>
      <c r="D6" s="46" t="s">
        <v>581</v>
      </c>
      <c r="E6" s="65" t="s">
        <v>565</v>
      </c>
      <c r="F6" s="46" t="s">
        <v>582</v>
      </c>
      <c r="G6" s="47" t="s">
        <v>583</v>
      </c>
      <c r="H6" s="66" t="s">
        <v>1171</v>
      </c>
    </row>
    <row r="7" spans="2:8" ht="95.25" customHeight="1" thickBot="1" x14ac:dyDescent="0.3">
      <c r="B7" s="36">
        <v>6</v>
      </c>
      <c r="C7" s="45" t="s">
        <v>584</v>
      </c>
      <c r="D7" s="46" t="s">
        <v>585</v>
      </c>
      <c r="E7" s="65" t="s">
        <v>565</v>
      </c>
      <c r="F7" s="46" t="s">
        <v>586</v>
      </c>
      <c r="G7" s="47" t="s">
        <v>587</v>
      </c>
      <c r="H7" s="66" t="s">
        <v>1171</v>
      </c>
    </row>
    <row r="8" spans="2:8" ht="95.25" customHeight="1" thickBot="1" x14ac:dyDescent="0.3">
      <c r="B8" s="36">
        <v>7</v>
      </c>
      <c r="C8" s="45" t="s">
        <v>588</v>
      </c>
      <c r="D8" s="46" t="s">
        <v>589</v>
      </c>
      <c r="E8" s="65" t="s">
        <v>565</v>
      </c>
      <c r="F8" s="46" t="s">
        <v>590</v>
      </c>
      <c r="G8" s="47" t="s">
        <v>591</v>
      </c>
      <c r="H8" s="66" t="s">
        <v>1171</v>
      </c>
    </row>
    <row r="9" spans="2:8" ht="95.25" customHeight="1" thickBot="1" x14ac:dyDescent="0.3">
      <c r="B9" s="36">
        <v>8</v>
      </c>
      <c r="C9" s="45" t="s">
        <v>592</v>
      </c>
      <c r="D9" s="46" t="s">
        <v>593</v>
      </c>
      <c r="E9" s="65" t="s">
        <v>565</v>
      </c>
      <c r="F9" s="46" t="s">
        <v>594</v>
      </c>
      <c r="G9" s="47" t="s">
        <v>595</v>
      </c>
      <c r="H9" s="66" t="s">
        <v>1171</v>
      </c>
    </row>
    <row r="10" spans="2:8" ht="95.25" customHeight="1" thickBot="1" x14ac:dyDescent="0.3">
      <c r="B10" s="36">
        <v>9</v>
      </c>
      <c r="C10" s="45" t="s">
        <v>596</v>
      </c>
      <c r="D10" s="46" t="s">
        <v>597</v>
      </c>
      <c r="E10" s="65" t="s">
        <v>565</v>
      </c>
      <c r="F10" s="46" t="s">
        <v>598</v>
      </c>
      <c r="G10" s="47" t="s">
        <v>599</v>
      </c>
      <c r="H10" s="66" t="s">
        <v>1171</v>
      </c>
    </row>
    <row r="11" spans="2:8" ht="95.25" customHeight="1" thickBot="1" x14ac:dyDescent="0.3">
      <c r="B11" s="37"/>
      <c r="C11" s="45" t="s">
        <v>600</v>
      </c>
      <c r="D11" s="46" t="s">
        <v>601</v>
      </c>
      <c r="E11" s="65" t="s">
        <v>565</v>
      </c>
      <c r="F11" s="46" t="s">
        <v>602</v>
      </c>
      <c r="G11" s="47" t="s">
        <v>603</v>
      </c>
      <c r="H11" s="66" t="s">
        <v>1171</v>
      </c>
    </row>
    <row r="12" spans="2:8" ht="95.25" customHeight="1" thickBot="1" x14ac:dyDescent="0.3">
      <c r="B12" s="37"/>
      <c r="C12" s="45" t="s">
        <v>604</v>
      </c>
      <c r="D12" s="46" t="s">
        <v>605</v>
      </c>
      <c r="E12" s="65" t="s">
        <v>565</v>
      </c>
      <c r="F12" s="46" t="s">
        <v>606</v>
      </c>
      <c r="G12" s="47" t="s">
        <v>607</v>
      </c>
      <c r="H12" s="66" t="s">
        <v>1171</v>
      </c>
    </row>
    <row r="13" spans="2:8" ht="95.25" customHeight="1" thickBot="1" x14ac:dyDescent="0.3">
      <c r="B13" s="37"/>
      <c r="C13" s="45" t="s">
        <v>608</v>
      </c>
      <c r="D13" s="46" t="s">
        <v>609</v>
      </c>
      <c r="E13" s="65" t="s">
        <v>565</v>
      </c>
      <c r="F13" s="46" t="s">
        <v>610</v>
      </c>
      <c r="G13" s="47" t="s">
        <v>611</v>
      </c>
      <c r="H13" s="66" t="s">
        <v>1171</v>
      </c>
    </row>
    <row r="14" spans="2:8" ht="95.25" customHeight="1" thickBot="1" x14ac:dyDescent="0.3">
      <c r="B14" s="37"/>
      <c r="C14" s="45" t="s">
        <v>612</v>
      </c>
      <c r="D14" s="46" t="s">
        <v>613</v>
      </c>
      <c r="E14" s="65" t="s">
        <v>565</v>
      </c>
      <c r="F14" s="46" t="s">
        <v>614</v>
      </c>
      <c r="G14" s="47" t="s">
        <v>615</v>
      </c>
      <c r="H14" s="66" t="s">
        <v>1171</v>
      </c>
    </row>
    <row r="15" spans="2:8" ht="95.25" customHeight="1" thickBot="1" x14ac:dyDescent="0.3">
      <c r="B15" s="37"/>
      <c r="C15" s="45" t="s">
        <v>616</v>
      </c>
      <c r="D15" s="46" t="s">
        <v>617</v>
      </c>
      <c r="E15" s="65" t="s">
        <v>565</v>
      </c>
      <c r="F15" s="46" t="s">
        <v>618</v>
      </c>
      <c r="G15" s="47" t="s">
        <v>619</v>
      </c>
      <c r="H15" s="66" t="s">
        <v>1171</v>
      </c>
    </row>
    <row r="16" spans="2:8" ht="95.25" customHeight="1" thickBot="1" x14ac:dyDescent="0.3">
      <c r="B16" s="37"/>
      <c r="C16" s="45" t="s">
        <v>620</v>
      </c>
      <c r="D16" s="46" t="s">
        <v>621</v>
      </c>
      <c r="E16" s="65" t="s">
        <v>565</v>
      </c>
      <c r="F16" s="46" t="s">
        <v>622</v>
      </c>
      <c r="G16" s="47" t="s">
        <v>623</v>
      </c>
      <c r="H16" s="66" t="s">
        <v>1171</v>
      </c>
    </row>
    <row r="17" spans="2:8" ht="111" customHeight="1" thickBot="1" x14ac:dyDescent="0.3">
      <c r="B17" s="37"/>
      <c r="C17" s="45" t="s">
        <v>624</v>
      </c>
      <c r="D17" s="46" t="s">
        <v>625</v>
      </c>
      <c r="E17" s="65" t="s">
        <v>565</v>
      </c>
      <c r="F17" s="46" t="s">
        <v>626</v>
      </c>
      <c r="G17" s="47" t="s">
        <v>627</v>
      </c>
      <c r="H17" s="66" t="s">
        <v>1171</v>
      </c>
    </row>
    <row r="18" spans="2:8" ht="95.25" customHeight="1" thickBot="1" x14ac:dyDescent="0.3">
      <c r="B18" s="37"/>
      <c r="C18" s="45" t="s">
        <v>628</v>
      </c>
      <c r="D18" s="46" t="s">
        <v>629</v>
      </c>
      <c r="E18" s="65" t="s">
        <v>565</v>
      </c>
      <c r="F18" s="46" t="s">
        <v>630</v>
      </c>
      <c r="G18" s="47" t="s">
        <v>631</v>
      </c>
      <c r="H18" s="66" t="s">
        <v>1171</v>
      </c>
    </row>
    <row r="19" spans="2:8" ht="95.25" customHeight="1" thickBot="1" x14ac:dyDescent="0.3">
      <c r="B19" s="37"/>
      <c r="C19" s="45" t="s">
        <v>632</v>
      </c>
      <c r="D19" s="46" t="s">
        <v>633</v>
      </c>
      <c r="E19" s="65" t="s">
        <v>565</v>
      </c>
      <c r="F19" s="46" t="s">
        <v>634</v>
      </c>
      <c r="G19" s="47" t="s">
        <v>635</v>
      </c>
      <c r="H19" s="66" t="s">
        <v>1171</v>
      </c>
    </row>
    <row r="20" spans="2:8" ht="95.25" customHeight="1" thickBot="1" x14ac:dyDescent="0.3">
      <c r="B20" s="37"/>
      <c r="C20" s="45" t="s">
        <v>636</v>
      </c>
      <c r="D20" s="46" t="s">
        <v>637</v>
      </c>
      <c r="E20" s="65" t="s">
        <v>565</v>
      </c>
      <c r="F20" s="46" t="s">
        <v>638</v>
      </c>
      <c r="G20" s="47" t="s">
        <v>639</v>
      </c>
      <c r="H20" s="66" t="s">
        <v>1171</v>
      </c>
    </row>
    <row r="21" spans="2:8" ht="95.25" customHeight="1" thickBot="1" x14ac:dyDescent="0.3">
      <c r="B21" s="37"/>
      <c r="C21" s="45" t="s">
        <v>640</v>
      </c>
      <c r="D21" s="46" t="s">
        <v>641</v>
      </c>
      <c r="E21" s="65" t="s">
        <v>565</v>
      </c>
      <c r="F21" s="46" t="s">
        <v>642</v>
      </c>
      <c r="G21" s="47" t="s">
        <v>643</v>
      </c>
      <c r="H21" s="66" t="s">
        <v>1171</v>
      </c>
    </row>
    <row r="22" spans="2:8" ht="95.25" customHeight="1" thickBot="1" x14ac:dyDescent="0.3">
      <c r="B22" s="37"/>
      <c r="C22" s="45" t="s">
        <v>644</v>
      </c>
      <c r="D22" s="46" t="s">
        <v>645</v>
      </c>
      <c r="E22" s="65" t="s">
        <v>565</v>
      </c>
      <c r="F22" s="46" t="s">
        <v>646</v>
      </c>
      <c r="G22" s="47" t="s">
        <v>647</v>
      </c>
      <c r="H22" s="66" t="s">
        <v>1171</v>
      </c>
    </row>
    <row r="23" spans="2:8" ht="95.25" customHeight="1" thickBot="1" x14ac:dyDescent="0.3">
      <c r="B23" s="37"/>
      <c r="C23" s="45" t="s">
        <v>648</v>
      </c>
      <c r="D23" s="46" t="s">
        <v>649</v>
      </c>
      <c r="E23" s="65" t="s">
        <v>565</v>
      </c>
      <c r="F23" s="46" t="s">
        <v>650</v>
      </c>
      <c r="G23" s="47" t="s">
        <v>651</v>
      </c>
      <c r="H23" s="66" t="s">
        <v>1171</v>
      </c>
    </row>
    <row r="24" spans="2:8" ht="95.25" customHeight="1" thickBot="1" x14ac:dyDescent="0.3">
      <c r="B24" s="37"/>
      <c r="C24" s="45" t="s">
        <v>652</v>
      </c>
      <c r="D24" s="46" t="s">
        <v>653</v>
      </c>
      <c r="E24" s="65" t="s">
        <v>565</v>
      </c>
      <c r="F24" s="46" t="s">
        <v>650</v>
      </c>
      <c r="G24" s="47" t="s">
        <v>654</v>
      </c>
      <c r="H24" s="66" t="s">
        <v>1171</v>
      </c>
    </row>
    <row r="25" spans="2:8" ht="95.25" customHeight="1" thickBot="1" x14ac:dyDescent="0.3">
      <c r="B25" s="37"/>
      <c r="C25" s="45" t="s">
        <v>655</v>
      </c>
      <c r="D25" s="46" t="s">
        <v>656</v>
      </c>
      <c r="E25" s="65" t="s">
        <v>565</v>
      </c>
      <c r="F25" s="46" t="s">
        <v>657</v>
      </c>
      <c r="G25" s="47" t="s">
        <v>658</v>
      </c>
      <c r="H25" s="66" t="s">
        <v>1171</v>
      </c>
    </row>
    <row r="26" spans="2:8" ht="95.25" customHeight="1" thickBot="1" x14ac:dyDescent="0.3">
      <c r="B26" s="37"/>
      <c r="C26" s="45" t="s">
        <v>659</v>
      </c>
      <c r="D26" s="46" t="s">
        <v>660</v>
      </c>
      <c r="E26" s="65" t="s">
        <v>565</v>
      </c>
      <c r="F26" s="46" t="s">
        <v>661</v>
      </c>
      <c r="G26" s="47" t="s">
        <v>662</v>
      </c>
      <c r="H26" s="66" t="s">
        <v>1171</v>
      </c>
    </row>
    <row r="27" spans="2:8" ht="111" customHeight="1" thickBot="1" x14ac:dyDescent="0.3">
      <c r="B27" s="37"/>
      <c r="C27" s="45" t="s">
        <v>663</v>
      </c>
      <c r="D27" s="46" t="s">
        <v>664</v>
      </c>
      <c r="E27" s="65" t="s">
        <v>565</v>
      </c>
      <c r="F27" s="46" t="s">
        <v>665</v>
      </c>
      <c r="G27" s="47" t="s">
        <v>666</v>
      </c>
      <c r="H27" s="66" t="s">
        <v>1171</v>
      </c>
    </row>
    <row r="28" spans="2:8" ht="95.25" customHeight="1" thickBot="1" x14ac:dyDescent="0.3">
      <c r="B28" s="37"/>
      <c r="C28" s="45" t="s">
        <v>667</v>
      </c>
      <c r="D28" s="46" t="s">
        <v>668</v>
      </c>
      <c r="E28" s="65" t="s">
        <v>565</v>
      </c>
      <c r="F28" s="46" t="s">
        <v>669</v>
      </c>
      <c r="G28" s="47" t="s">
        <v>670</v>
      </c>
      <c r="H28" s="66" t="s">
        <v>1171</v>
      </c>
    </row>
    <row r="29" spans="2:8" ht="111" customHeight="1" thickBot="1" x14ac:dyDescent="0.3">
      <c r="B29" s="37"/>
      <c r="C29" s="45" t="s">
        <v>671</v>
      </c>
      <c r="D29" s="46" t="s">
        <v>672</v>
      </c>
      <c r="E29" s="65" t="s">
        <v>565</v>
      </c>
      <c r="F29" s="46" t="s">
        <v>673</v>
      </c>
      <c r="G29" s="47" t="s">
        <v>674</v>
      </c>
      <c r="H29" s="66" t="s">
        <v>1171</v>
      </c>
    </row>
    <row r="30" spans="2:8" ht="95.25" customHeight="1" thickBot="1" x14ac:dyDescent="0.3">
      <c r="B30" s="37"/>
      <c r="C30" s="45" t="s">
        <v>675</v>
      </c>
      <c r="D30" s="46" t="s">
        <v>676</v>
      </c>
      <c r="E30" s="65" t="s">
        <v>565</v>
      </c>
      <c r="F30" s="46" t="s">
        <v>677</v>
      </c>
      <c r="G30" s="47" t="s">
        <v>678</v>
      </c>
      <c r="H30" s="66" t="s">
        <v>1171</v>
      </c>
    </row>
    <row r="31" spans="2:8" ht="95.25" customHeight="1" thickBot="1" x14ac:dyDescent="0.3">
      <c r="B31" s="37"/>
      <c r="C31" s="45" t="s">
        <v>679</v>
      </c>
      <c r="D31" s="46" t="s">
        <v>680</v>
      </c>
      <c r="E31" s="65" t="s">
        <v>565</v>
      </c>
      <c r="F31" s="46" t="s">
        <v>681</v>
      </c>
      <c r="G31" s="47" t="s">
        <v>682</v>
      </c>
      <c r="H31" s="66" t="s">
        <v>1171</v>
      </c>
    </row>
    <row r="32" spans="2:8" ht="111" customHeight="1" thickBot="1" x14ac:dyDescent="0.3">
      <c r="B32" s="37"/>
      <c r="C32" s="45" t="s">
        <v>683</v>
      </c>
      <c r="D32" s="46" t="s">
        <v>684</v>
      </c>
      <c r="E32" s="65" t="s">
        <v>565</v>
      </c>
      <c r="F32" s="46" t="s">
        <v>685</v>
      </c>
      <c r="G32" s="47" t="s">
        <v>686</v>
      </c>
      <c r="H32" s="66" t="s">
        <v>1171</v>
      </c>
    </row>
    <row r="33" spans="2:8" ht="95.25" customHeight="1" thickBot="1" x14ac:dyDescent="0.3">
      <c r="B33" s="37"/>
      <c r="C33" s="45" t="s">
        <v>687</v>
      </c>
      <c r="D33" s="46" t="s">
        <v>688</v>
      </c>
      <c r="E33" s="65" t="s">
        <v>565</v>
      </c>
      <c r="F33" s="46" t="s">
        <v>689</v>
      </c>
      <c r="G33" s="47" t="s">
        <v>690</v>
      </c>
      <c r="H33" s="66" t="s">
        <v>1171</v>
      </c>
    </row>
    <row r="34" spans="2:8" ht="111" customHeight="1" thickBot="1" x14ac:dyDescent="0.3">
      <c r="B34" s="37"/>
      <c r="C34" s="45" t="s">
        <v>691</v>
      </c>
      <c r="D34" s="46" t="s">
        <v>692</v>
      </c>
      <c r="E34" s="65" t="s">
        <v>565</v>
      </c>
      <c r="F34" s="46" t="s">
        <v>693</v>
      </c>
      <c r="G34" s="47" t="s">
        <v>694</v>
      </c>
      <c r="H34" s="66" t="s">
        <v>1171</v>
      </c>
    </row>
    <row r="35" spans="2:8" ht="95.25" customHeight="1" thickBot="1" x14ac:dyDescent="0.3">
      <c r="B35" s="37"/>
      <c r="C35" s="45" t="s">
        <v>695</v>
      </c>
      <c r="D35" s="46" t="s">
        <v>696</v>
      </c>
      <c r="E35" s="65" t="s">
        <v>565</v>
      </c>
      <c r="F35" s="46" t="s">
        <v>697</v>
      </c>
      <c r="G35" s="47" t="s">
        <v>698</v>
      </c>
      <c r="H35" s="66" t="s">
        <v>1171</v>
      </c>
    </row>
    <row r="36" spans="2:8" ht="111" customHeight="1" thickBot="1" x14ac:dyDescent="0.3">
      <c r="B36" s="37"/>
      <c r="C36" s="45" t="s">
        <v>699</v>
      </c>
      <c r="D36" s="46" t="s">
        <v>700</v>
      </c>
      <c r="E36" s="65" t="s">
        <v>565</v>
      </c>
      <c r="F36" s="46" t="s">
        <v>701</v>
      </c>
      <c r="G36" s="47" t="s">
        <v>702</v>
      </c>
      <c r="H36" s="66" t="s">
        <v>1171</v>
      </c>
    </row>
    <row r="37" spans="2:8" ht="95.25" customHeight="1" thickBot="1" x14ac:dyDescent="0.3">
      <c r="B37" s="37"/>
      <c r="C37" s="45" t="s">
        <v>703</v>
      </c>
      <c r="D37" s="46" t="s">
        <v>704</v>
      </c>
      <c r="E37" s="65" t="s">
        <v>565</v>
      </c>
      <c r="F37" s="46" t="s">
        <v>705</v>
      </c>
      <c r="G37" s="47" t="s">
        <v>706</v>
      </c>
      <c r="H37" s="66" t="s">
        <v>1171</v>
      </c>
    </row>
    <row r="38" spans="2:8" ht="95.25" customHeight="1" thickBot="1" x14ac:dyDescent="0.3">
      <c r="B38" s="37"/>
      <c r="C38" s="45" t="s">
        <v>707</v>
      </c>
      <c r="D38" s="46" t="s">
        <v>708</v>
      </c>
      <c r="E38" s="65" t="s">
        <v>565</v>
      </c>
      <c r="F38" s="46" t="s">
        <v>709</v>
      </c>
      <c r="G38" s="47" t="s">
        <v>710</v>
      </c>
      <c r="H38" s="66" t="s">
        <v>1171</v>
      </c>
    </row>
    <row r="39" spans="2:8" ht="95.25" customHeight="1" thickBot="1" x14ac:dyDescent="0.3">
      <c r="B39" s="37"/>
      <c r="C39" s="45" t="s">
        <v>711</v>
      </c>
      <c r="D39" s="46" t="s">
        <v>712</v>
      </c>
      <c r="E39" s="65" t="s">
        <v>565</v>
      </c>
      <c r="F39" s="46" t="s">
        <v>713</v>
      </c>
      <c r="G39" s="47" t="s">
        <v>714</v>
      </c>
      <c r="H39" s="66" t="s">
        <v>1171</v>
      </c>
    </row>
    <row r="40" spans="2:8" ht="126.75" customHeight="1" thickBot="1" x14ac:dyDescent="0.3">
      <c r="B40" s="37"/>
      <c r="C40" s="45" t="s">
        <v>715</v>
      </c>
      <c r="D40" s="46" t="s">
        <v>716</v>
      </c>
      <c r="E40" s="65" t="s">
        <v>565</v>
      </c>
      <c r="F40" s="46" t="s">
        <v>717</v>
      </c>
      <c r="G40" s="47" t="s">
        <v>718</v>
      </c>
      <c r="H40" s="66" t="s">
        <v>1171</v>
      </c>
    </row>
    <row r="41" spans="2:8" ht="95.25" customHeight="1" thickBot="1" x14ac:dyDescent="0.3">
      <c r="B41" s="37"/>
      <c r="C41" s="45" t="s">
        <v>719</v>
      </c>
      <c r="D41" s="46" t="s">
        <v>720</v>
      </c>
      <c r="E41" s="65" t="s">
        <v>565</v>
      </c>
      <c r="F41" s="46" t="s">
        <v>721</v>
      </c>
      <c r="G41" s="47" t="s">
        <v>722</v>
      </c>
      <c r="H41" s="66" t="s">
        <v>1171</v>
      </c>
    </row>
    <row r="42" spans="2:8" ht="95.25" customHeight="1" thickBot="1" x14ac:dyDescent="0.3">
      <c r="B42" s="37"/>
      <c r="C42" s="45" t="s">
        <v>723</v>
      </c>
      <c r="D42" s="46" t="s">
        <v>724</v>
      </c>
      <c r="E42" s="65" t="s">
        <v>565</v>
      </c>
      <c r="F42" s="46" t="s">
        <v>725</v>
      </c>
      <c r="G42" s="47" t="s">
        <v>726</v>
      </c>
      <c r="H42" s="66" t="s">
        <v>1171</v>
      </c>
    </row>
    <row r="43" spans="2:8" ht="95.25" customHeight="1" thickBot="1" x14ac:dyDescent="0.3">
      <c r="B43" s="37"/>
      <c r="C43" s="45" t="s">
        <v>727</v>
      </c>
      <c r="D43" s="46" t="s">
        <v>728</v>
      </c>
      <c r="E43" s="65" t="s">
        <v>565</v>
      </c>
      <c r="F43" s="46" t="s">
        <v>729</v>
      </c>
      <c r="G43" s="47" t="s">
        <v>730</v>
      </c>
      <c r="H43" s="66" t="s">
        <v>1171</v>
      </c>
    </row>
    <row r="44" spans="2:8" ht="111" customHeight="1" thickBot="1" x14ac:dyDescent="0.3">
      <c r="B44" s="37"/>
      <c r="C44" s="45" t="s">
        <v>731</v>
      </c>
      <c r="D44" s="46" t="s">
        <v>732</v>
      </c>
      <c r="E44" s="65" t="s">
        <v>565</v>
      </c>
      <c r="F44" s="46" t="s">
        <v>733</v>
      </c>
      <c r="G44" s="47" t="s">
        <v>734</v>
      </c>
      <c r="H44" s="66" t="s">
        <v>1171</v>
      </c>
    </row>
    <row r="45" spans="2:8" ht="95.25" customHeight="1" thickBot="1" x14ac:dyDescent="0.3">
      <c r="B45" s="37"/>
      <c r="C45" s="45" t="s">
        <v>735</v>
      </c>
      <c r="D45" s="46" t="s">
        <v>736</v>
      </c>
      <c r="E45" s="65" t="s">
        <v>565</v>
      </c>
      <c r="F45" s="46" t="s">
        <v>737</v>
      </c>
      <c r="G45" s="47" t="s">
        <v>738</v>
      </c>
      <c r="H45" s="66" t="s">
        <v>1171</v>
      </c>
    </row>
    <row r="46" spans="2:8" ht="95.25" customHeight="1" thickBot="1" x14ac:dyDescent="0.3">
      <c r="B46" s="37"/>
      <c r="C46" s="45" t="s">
        <v>739</v>
      </c>
      <c r="D46" s="46" t="s">
        <v>740</v>
      </c>
      <c r="E46" s="65" t="s">
        <v>565</v>
      </c>
      <c r="F46" s="46" t="s">
        <v>741</v>
      </c>
      <c r="G46" s="47" t="s">
        <v>742</v>
      </c>
      <c r="H46" s="66" t="s">
        <v>1171</v>
      </c>
    </row>
    <row r="47" spans="2:8" ht="79.5" customHeight="1" thickBot="1" x14ac:dyDescent="0.3">
      <c r="B47" s="37"/>
      <c r="C47" s="45" t="s">
        <v>743</v>
      </c>
      <c r="D47" s="46" t="s">
        <v>744</v>
      </c>
      <c r="E47" s="65" t="s">
        <v>565</v>
      </c>
      <c r="F47" s="46" t="s">
        <v>745</v>
      </c>
      <c r="G47" s="47" t="s">
        <v>746</v>
      </c>
      <c r="H47" s="66" t="s">
        <v>1171</v>
      </c>
    </row>
    <row r="48" spans="2:8" ht="95.25" customHeight="1" thickBot="1" x14ac:dyDescent="0.3">
      <c r="B48" s="37"/>
      <c r="C48" s="45" t="s">
        <v>747</v>
      </c>
      <c r="D48" s="46" t="s">
        <v>748</v>
      </c>
      <c r="E48" s="65" t="s">
        <v>565</v>
      </c>
      <c r="F48" s="46" t="s">
        <v>749</v>
      </c>
      <c r="G48" s="47" t="s">
        <v>750</v>
      </c>
      <c r="H48" s="66" t="s">
        <v>1171</v>
      </c>
    </row>
    <row r="49" spans="2:8" ht="79.5" customHeight="1" thickBot="1" x14ac:dyDescent="0.3">
      <c r="B49" s="37"/>
      <c r="C49" s="45" t="s">
        <v>751</v>
      </c>
      <c r="D49" s="46" t="s">
        <v>752</v>
      </c>
      <c r="E49" s="65" t="s">
        <v>565</v>
      </c>
      <c r="F49" s="46" t="s">
        <v>753</v>
      </c>
      <c r="G49" s="47" t="s">
        <v>754</v>
      </c>
      <c r="H49" s="66" t="s">
        <v>1171</v>
      </c>
    </row>
    <row r="50" spans="2:8" ht="79.5" customHeight="1" thickBot="1" x14ac:dyDescent="0.3">
      <c r="B50" s="37"/>
      <c r="C50" s="45" t="s">
        <v>755</v>
      </c>
      <c r="D50" s="46" t="s">
        <v>756</v>
      </c>
      <c r="E50" s="65" t="s">
        <v>565</v>
      </c>
      <c r="F50" s="46" t="s">
        <v>757</v>
      </c>
      <c r="G50" s="47" t="s">
        <v>758</v>
      </c>
      <c r="H50" s="66" t="s">
        <v>1171</v>
      </c>
    </row>
    <row r="51" spans="2:8" ht="95.25" customHeight="1" thickBot="1" x14ac:dyDescent="0.3">
      <c r="B51" s="37"/>
      <c r="C51" s="45" t="s">
        <v>759</v>
      </c>
      <c r="D51" s="46" t="s">
        <v>760</v>
      </c>
      <c r="E51" s="65" t="s">
        <v>565</v>
      </c>
      <c r="F51" s="46" t="s">
        <v>761</v>
      </c>
      <c r="G51" s="47" t="s">
        <v>762</v>
      </c>
      <c r="H51" s="66" t="s">
        <v>1171</v>
      </c>
    </row>
    <row r="52" spans="2:8" ht="79.5" customHeight="1" thickBot="1" x14ac:dyDescent="0.3">
      <c r="B52" s="37"/>
      <c r="C52" s="45" t="s">
        <v>763</v>
      </c>
      <c r="D52" s="46" t="s">
        <v>764</v>
      </c>
      <c r="E52" s="65" t="s">
        <v>565</v>
      </c>
      <c r="F52" s="46" t="s">
        <v>765</v>
      </c>
      <c r="G52" s="47" t="s">
        <v>766</v>
      </c>
      <c r="H52" s="66" t="s">
        <v>1171</v>
      </c>
    </row>
    <row r="53" spans="2:8" ht="95.25" customHeight="1" thickBot="1" x14ac:dyDescent="0.3">
      <c r="B53" s="37"/>
      <c r="C53" s="45" t="s">
        <v>767</v>
      </c>
      <c r="D53" s="46" t="s">
        <v>768</v>
      </c>
      <c r="E53" s="65" t="s">
        <v>565</v>
      </c>
      <c r="F53" s="46" t="s">
        <v>769</v>
      </c>
      <c r="G53" s="47" t="s">
        <v>770</v>
      </c>
      <c r="H53" s="66" t="s">
        <v>1171</v>
      </c>
    </row>
    <row r="54" spans="2:8" ht="95.25" customHeight="1" thickBot="1" x14ac:dyDescent="0.3">
      <c r="B54" s="37"/>
      <c r="C54" s="45" t="s">
        <v>771</v>
      </c>
      <c r="D54" s="46" t="s">
        <v>772</v>
      </c>
      <c r="E54" s="65" t="s">
        <v>565</v>
      </c>
      <c r="F54" s="46" t="s">
        <v>773</v>
      </c>
      <c r="G54" s="47" t="s">
        <v>774</v>
      </c>
      <c r="H54" s="66" t="s">
        <v>1171</v>
      </c>
    </row>
    <row r="55" spans="2:8" ht="79.5" customHeight="1" thickBot="1" x14ac:dyDescent="0.3">
      <c r="B55" s="37"/>
      <c r="C55" s="45" t="s">
        <v>775</v>
      </c>
      <c r="D55" s="46" t="s">
        <v>776</v>
      </c>
      <c r="E55" s="65" t="s">
        <v>565</v>
      </c>
      <c r="F55" s="46" t="s">
        <v>777</v>
      </c>
      <c r="G55" s="47" t="s">
        <v>778</v>
      </c>
      <c r="H55" s="66" t="s">
        <v>1171</v>
      </c>
    </row>
    <row r="56" spans="2:8" ht="79.5" customHeight="1" thickBot="1" x14ac:dyDescent="0.3">
      <c r="B56" s="37"/>
      <c r="C56" s="45" t="s">
        <v>779</v>
      </c>
      <c r="D56" s="46" t="s">
        <v>764</v>
      </c>
      <c r="E56" s="65" t="s">
        <v>565</v>
      </c>
      <c r="F56" s="46" t="s">
        <v>780</v>
      </c>
      <c r="G56" s="47" t="s">
        <v>781</v>
      </c>
      <c r="H56" s="66" t="s">
        <v>1171</v>
      </c>
    </row>
    <row r="57" spans="2:8" ht="95.25" customHeight="1" thickBot="1" x14ac:dyDescent="0.3">
      <c r="B57" s="37"/>
      <c r="C57" s="45" t="s">
        <v>782</v>
      </c>
      <c r="D57" s="46" t="s">
        <v>783</v>
      </c>
      <c r="E57" s="65" t="s">
        <v>565</v>
      </c>
      <c r="F57" s="46" t="s">
        <v>784</v>
      </c>
      <c r="G57" s="47" t="s">
        <v>785</v>
      </c>
      <c r="H57" s="66" t="s">
        <v>1171</v>
      </c>
    </row>
    <row r="58" spans="2:8" ht="95.25" customHeight="1" thickBot="1" x14ac:dyDescent="0.3">
      <c r="B58" s="37"/>
      <c r="C58" s="45" t="s">
        <v>786</v>
      </c>
      <c r="D58" s="46" t="s">
        <v>787</v>
      </c>
      <c r="E58" s="65" t="s">
        <v>565</v>
      </c>
      <c r="F58" s="46" t="s">
        <v>788</v>
      </c>
      <c r="G58" s="47" t="s">
        <v>789</v>
      </c>
      <c r="H58" s="66" t="s">
        <v>1171</v>
      </c>
    </row>
    <row r="59" spans="2:8" ht="79.5" customHeight="1" thickBot="1" x14ac:dyDescent="0.3">
      <c r="B59" s="37"/>
      <c r="C59" s="45" t="s">
        <v>790</v>
      </c>
      <c r="D59" s="46" t="s">
        <v>791</v>
      </c>
      <c r="E59" s="65" t="s">
        <v>565</v>
      </c>
      <c r="F59" s="46" t="s">
        <v>792</v>
      </c>
      <c r="G59" s="47" t="s">
        <v>793</v>
      </c>
      <c r="H59" s="66" t="s">
        <v>1171</v>
      </c>
    </row>
    <row r="60" spans="2:8" ht="95.25" customHeight="1" thickBot="1" x14ac:dyDescent="0.3">
      <c r="B60" s="37"/>
      <c r="C60" s="45" t="s">
        <v>794</v>
      </c>
      <c r="D60" s="46" t="s">
        <v>795</v>
      </c>
      <c r="E60" s="65" t="s">
        <v>565</v>
      </c>
      <c r="F60" s="46" t="s">
        <v>796</v>
      </c>
      <c r="G60" s="47" t="s">
        <v>797</v>
      </c>
      <c r="H60" s="66" t="s">
        <v>1171</v>
      </c>
    </row>
    <row r="61" spans="2:8" ht="79.5" customHeight="1" thickBot="1" x14ac:dyDescent="0.3">
      <c r="B61" s="37"/>
      <c r="C61" s="45" t="s">
        <v>798</v>
      </c>
      <c r="D61" s="46" t="s">
        <v>799</v>
      </c>
      <c r="E61" s="65" t="s">
        <v>565</v>
      </c>
      <c r="F61" s="46" t="s">
        <v>800</v>
      </c>
      <c r="G61" s="47" t="s">
        <v>801</v>
      </c>
      <c r="H61" s="66" t="s">
        <v>1171</v>
      </c>
    </row>
    <row r="62" spans="2:8" ht="111" customHeight="1" thickBot="1" x14ac:dyDescent="0.3">
      <c r="B62" s="37"/>
      <c r="C62" s="45" t="s">
        <v>802</v>
      </c>
      <c r="D62" s="46" t="s">
        <v>803</v>
      </c>
      <c r="E62" s="65" t="s">
        <v>565</v>
      </c>
      <c r="F62" s="46" t="s">
        <v>804</v>
      </c>
      <c r="G62" s="47" t="s">
        <v>805</v>
      </c>
      <c r="H62" s="66" t="s">
        <v>1171</v>
      </c>
    </row>
    <row r="63" spans="2:8" ht="95.25" customHeight="1" thickBot="1" x14ac:dyDescent="0.3">
      <c r="B63" s="37"/>
      <c r="C63" s="45" t="s">
        <v>806</v>
      </c>
      <c r="D63" s="46" t="s">
        <v>807</v>
      </c>
      <c r="E63" s="65" t="s">
        <v>565</v>
      </c>
      <c r="F63" s="46" t="s">
        <v>808</v>
      </c>
      <c r="G63" s="47" t="s">
        <v>809</v>
      </c>
      <c r="H63" s="66" t="s">
        <v>1171</v>
      </c>
    </row>
    <row r="64" spans="2:8" ht="111" customHeight="1" thickBot="1" x14ac:dyDescent="0.3">
      <c r="B64" s="37"/>
      <c r="C64" s="45" t="s">
        <v>810</v>
      </c>
      <c r="D64" s="46" t="s">
        <v>811</v>
      </c>
      <c r="E64" s="65" t="s">
        <v>565</v>
      </c>
      <c r="F64" s="46" t="s">
        <v>812</v>
      </c>
      <c r="G64" s="47" t="s">
        <v>813</v>
      </c>
      <c r="H64" s="66" t="s">
        <v>1171</v>
      </c>
    </row>
    <row r="65" spans="2:8" ht="111" customHeight="1" thickBot="1" x14ac:dyDescent="0.3">
      <c r="B65" s="37"/>
      <c r="C65" s="45" t="s">
        <v>814</v>
      </c>
      <c r="D65" s="46" t="s">
        <v>815</v>
      </c>
      <c r="E65" s="65" t="s">
        <v>565</v>
      </c>
      <c r="F65" s="46" t="s">
        <v>816</v>
      </c>
      <c r="G65" s="47" t="s">
        <v>817</v>
      </c>
      <c r="H65" s="66" t="s">
        <v>1171</v>
      </c>
    </row>
    <row r="66" spans="2:8" ht="111" customHeight="1" thickBot="1" x14ac:dyDescent="0.3">
      <c r="B66" s="37"/>
      <c r="C66" s="45" t="s">
        <v>818</v>
      </c>
      <c r="D66" s="46" t="s">
        <v>819</v>
      </c>
      <c r="E66" s="65" t="s">
        <v>565</v>
      </c>
      <c r="F66" s="46" t="s">
        <v>820</v>
      </c>
      <c r="G66" s="47" t="s">
        <v>821</v>
      </c>
      <c r="H66" s="66" t="s">
        <v>1171</v>
      </c>
    </row>
    <row r="67" spans="2:8" ht="95.25" customHeight="1" thickBot="1" x14ac:dyDescent="0.3">
      <c r="B67" s="37"/>
      <c r="C67" s="45" t="s">
        <v>822</v>
      </c>
      <c r="D67" s="46" t="s">
        <v>823</v>
      </c>
      <c r="E67" s="65" t="s">
        <v>565</v>
      </c>
      <c r="F67" s="46" t="s">
        <v>824</v>
      </c>
      <c r="G67" s="47" t="s">
        <v>825</v>
      </c>
      <c r="H67" s="66" t="s">
        <v>1171</v>
      </c>
    </row>
    <row r="68" spans="2:8" ht="95.25" customHeight="1" thickBot="1" x14ac:dyDescent="0.3">
      <c r="B68" s="37"/>
      <c r="C68" s="45" t="s">
        <v>826</v>
      </c>
      <c r="D68" s="46" t="s">
        <v>827</v>
      </c>
      <c r="E68" s="65" t="s">
        <v>565</v>
      </c>
      <c r="F68" s="46" t="s">
        <v>828</v>
      </c>
      <c r="G68" s="47" t="s">
        <v>829</v>
      </c>
      <c r="H68" s="66" t="s">
        <v>1171</v>
      </c>
    </row>
    <row r="69" spans="2:8" ht="79.5" customHeight="1" thickBot="1" x14ac:dyDescent="0.3">
      <c r="B69" s="37"/>
      <c r="C69" s="45" t="s">
        <v>830</v>
      </c>
      <c r="D69" s="46" t="s">
        <v>831</v>
      </c>
      <c r="E69" s="65" t="s">
        <v>565</v>
      </c>
      <c r="F69" s="46" t="s">
        <v>832</v>
      </c>
      <c r="G69" s="47" t="s">
        <v>833</v>
      </c>
      <c r="H69" s="66" t="s">
        <v>1171</v>
      </c>
    </row>
    <row r="70" spans="2:8" ht="79.5" customHeight="1" thickBot="1" x14ac:dyDescent="0.3">
      <c r="B70" s="37"/>
      <c r="C70" s="45" t="s">
        <v>834</v>
      </c>
      <c r="D70" s="46" t="s">
        <v>835</v>
      </c>
      <c r="E70" s="65" t="s">
        <v>565</v>
      </c>
      <c r="F70" s="46" t="s">
        <v>836</v>
      </c>
      <c r="G70" s="47" t="s">
        <v>837</v>
      </c>
      <c r="H70" s="66" t="s">
        <v>1171</v>
      </c>
    </row>
    <row r="71" spans="2:8" ht="95.25" customHeight="1" thickBot="1" x14ac:dyDescent="0.3">
      <c r="B71" s="37"/>
      <c r="C71" s="45" t="s">
        <v>838</v>
      </c>
      <c r="D71" s="46" t="s">
        <v>839</v>
      </c>
      <c r="E71" s="65" t="s">
        <v>565</v>
      </c>
      <c r="F71" s="46" t="s">
        <v>840</v>
      </c>
      <c r="G71" s="47" t="s">
        <v>841</v>
      </c>
      <c r="H71" s="66" t="s">
        <v>1171</v>
      </c>
    </row>
    <row r="72" spans="2:8" ht="95.25" customHeight="1" thickBot="1" x14ac:dyDescent="0.3">
      <c r="B72" s="37"/>
      <c r="C72" s="45" t="s">
        <v>842</v>
      </c>
      <c r="D72" s="46" t="s">
        <v>843</v>
      </c>
      <c r="E72" s="65" t="s">
        <v>565</v>
      </c>
      <c r="F72" s="46" t="s">
        <v>844</v>
      </c>
      <c r="G72" s="47" t="s">
        <v>845</v>
      </c>
      <c r="H72" s="66" t="s">
        <v>1171</v>
      </c>
    </row>
    <row r="73" spans="2:8" ht="95.25" customHeight="1" thickBot="1" x14ac:dyDescent="0.3">
      <c r="B73" s="37"/>
      <c r="C73" s="45" t="s">
        <v>846</v>
      </c>
      <c r="D73" s="46" t="s">
        <v>847</v>
      </c>
      <c r="E73" s="65" t="s">
        <v>565</v>
      </c>
      <c r="F73" s="46" t="s">
        <v>848</v>
      </c>
      <c r="G73" s="47" t="s">
        <v>849</v>
      </c>
      <c r="H73" s="66" t="s">
        <v>1171</v>
      </c>
    </row>
    <row r="74" spans="2:8" ht="95.25" customHeight="1" thickBot="1" x14ac:dyDescent="0.3">
      <c r="B74" s="37"/>
      <c r="C74" s="45" t="s">
        <v>850</v>
      </c>
      <c r="D74" s="46" t="s">
        <v>851</v>
      </c>
      <c r="E74" s="65" t="s">
        <v>565</v>
      </c>
      <c r="F74" s="46" t="s">
        <v>852</v>
      </c>
      <c r="G74" s="47" t="s">
        <v>853</v>
      </c>
      <c r="H74" s="66" t="s">
        <v>1171</v>
      </c>
    </row>
    <row r="75" spans="2:8" ht="79.5" customHeight="1" thickBot="1" x14ac:dyDescent="0.3">
      <c r="B75" s="37"/>
      <c r="C75" s="45" t="s">
        <v>854</v>
      </c>
      <c r="D75" s="46" t="s">
        <v>855</v>
      </c>
      <c r="E75" s="65" t="s">
        <v>565</v>
      </c>
      <c r="F75" s="46" t="s">
        <v>856</v>
      </c>
      <c r="G75" s="47" t="s">
        <v>857</v>
      </c>
      <c r="H75" s="66" t="s">
        <v>1171</v>
      </c>
    </row>
    <row r="76" spans="2:8" ht="95.25" customHeight="1" thickBot="1" x14ac:dyDescent="0.3">
      <c r="B76" s="37"/>
      <c r="C76" s="45" t="s">
        <v>858</v>
      </c>
      <c r="D76" s="46" t="s">
        <v>859</v>
      </c>
      <c r="E76" s="65" t="s">
        <v>565</v>
      </c>
      <c r="F76" s="46" t="s">
        <v>860</v>
      </c>
      <c r="G76" s="47" t="s">
        <v>861</v>
      </c>
      <c r="H76" s="66" t="s">
        <v>1171</v>
      </c>
    </row>
    <row r="77" spans="2:8" ht="63.75" customHeight="1" thickBot="1" x14ac:dyDescent="0.3">
      <c r="B77" s="37"/>
      <c r="C77" s="45" t="s">
        <v>862</v>
      </c>
      <c r="D77" s="46" t="s">
        <v>863</v>
      </c>
      <c r="E77" s="65" t="s">
        <v>565</v>
      </c>
      <c r="F77" s="46" t="s">
        <v>864</v>
      </c>
      <c r="G77" s="47" t="s">
        <v>865</v>
      </c>
      <c r="H77" s="66" t="s">
        <v>1171</v>
      </c>
    </row>
    <row r="78" spans="2:8" ht="63.75" customHeight="1" thickBot="1" x14ac:dyDescent="0.3">
      <c r="B78" s="37"/>
      <c r="C78" s="45" t="s">
        <v>866</v>
      </c>
      <c r="D78" s="46" t="s">
        <v>867</v>
      </c>
      <c r="E78" s="65" t="s">
        <v>565</v>
      </c>
      <c r="F78" s="46" t="s">
        <v>868</v>
      </c>
      <c r="G78" s="47" t="s">
        <v>869</v>
      </c>
      <c r="H78" s="66" t="s">
        <v>1171</v>
      </c>
    </row>
    <row r="79" spans="2:8" ht="95.25" customHeight="1" thickBot="1" x14ac:dyDescent="0.3">
      <c r="B79" s="37"/>
      <c r="C79" s="45" t="s">
        <v>870</v>
      </c>
      <c r="D79" s="46" t="s">
        <v>871</v>
      </c>
      <c r="E79" s="65" t="s">
        <v>565</v>
      </c>
      <c r="F79" s="46" t="s">
        <v>872</v>
      </c>
      <c r="G79" s="47" t="s">
        <v>873</v>
      </c>
      <c r="H79" s="66" t="s">
        <v>1171</v>
      </c>
    </row>
    <row r="80" spans="2:8" ht="95.25" customHeight="1" thickBot="1" x14ac:dyDescent="0.3">
      <c r="B80" s="37"/>
      <c r="C80" s="45" t="s">
        <v>874</v>
      </c>
      <c r="D80" s="46" t="s">
        <v>875</v>
      </c>
      <c r="E80" s="65" t="s">
        <v>565</v>
      </c>
      <c r="F80" s="46" t="s">
        <v>876</v>
      </c>
      <c r="G80" s="47" t="s">
        <v>877</v>
      </c>
      <c r="H80" s="66" t="s">
        <v>1171</v>
      </c>
    </row>
    <row r="81" spans="2:8" ht="111" customHeight="1" thickBot="1" x14ac:dyDescent="0.3">
      <c r="B81" s="37"/>
      <c r="C81" s="45" t="s">
        <v>878</v>
      </c>
      <c r="D81" s="46" t="s">
        <v>879</v>
      </c>
      <c r="E81" s="65" t="s">
        <v>565</v>
      </c>
      <c r="F81" s="46" t="s">
        <v>880</v>
      </c>
      <c r="G81" s="47" t="s">
        <v>881</v>
      </c>
      <c r="H81" s="66" t="s">
        <v>1171</v>
      </c>
    </row>
    <row r="82" spans="2:8" ht="79.5" customHeight="1" thickBot="1" x14ac:dyDescent="0.3">
      <c r="B82" s="37"/>
      <c r="C82" s="45" t="s">
        <v>882</v>
      </c>
      <c r="D82" s="46" t="s">
        <v>883</v>
      </c>
      <c r="E82" s="65" t="s">
        <v>565</v>
      </c>
      <c r="F82" s="46" t="s">
        <v>884</v>
      </c>
      <c r="G82" s="47" t="s">
        <v>885</v>
      </c>
      <c r="H82" s="66" t="s">
        <v>1171</v>
      </c>
    </row>
    <row r="83" spans="2:8" ht="63.75" customHeight="1" thickBot="1" x14ac:dyDescent="0.3">
      <c r="B83" s="37"/>
      <c r="C83" s="45" t="s">
        <v>886</v>
      </c>
      <c r="D83" s="46" t="s">
        <v>887</v>
      </c>
      <c r="E83" s="65" t="s">
        <v>565</v>
      </c>
      <c r="F83" s="46" t="s">
        <v>888</v>
      </c>
      <c r="G83" s="47" t="s">
        <v>889</v>
      </c>
      <c r="H83" s="66" t="s">
        <v>1171</v>
      </c>
    </row>
    <row r="84" spans="2:8" ht="79.5" customHeight="1" thickBot="1" x14ac:dyDescent="0.3">
      <c r="B84" s="37"/>
      <c r="C84" s="45" t="s">
        <v>890</v>
      </c>
      <c r="D84" s="46" t="s">
        <v>891</v>
      </c>
      <c r="E84" s="65" t="s">
        <v>565</v>
      </c>
      <c r="F84" s="46" t="s">
        <v>892</v>
      </c>
      <c r="G84" s="47" t="s">
        <v>893</v>
      </c>
      <c r="H84" s="66" t="s">
        <v>1171</v>
      </c>
    </row>
    <row r="85" spans="2:8" ht="95.25" customHeight="1" thickBot="1" x14ac:dyDescent="0.3">
      <c r="B85" s="37"/>
      <c r="C85" s="45" t="s">
        <v>894</v>
      </c>
      <c r="D85" s="46" t="s">
        <v>895</v>
      </c>
      <c r="E85" s="65" t="s">
        <v>565</v>
      </c>
      <c r="F85" s="46" t="s">
        <v>896</v>
      </c>
      <c r="G85" s="47" t="s">
        <v>897</v>
      </c>
      <c r="H85" s="66" t="s">
        <v>1171</v>
      </c>
    </row>
    <row r="86" spans="2:8" ht="95.25" customHeight="1" thickBot="1" x14ac:dyDescent="0.3">
      <c r="B86" s="37"/>
      <c r="C86" s="45" t="s">
        <v>898</v>
      </c>
      <c r="D86" s="46" t="s">
        <v>899</v>
      </c>
      <c r="E86" s="65" t="s">
        <v>565</v>
      </c>
      <c r="F86" s="46" t="s">
        <v>900</v>
      </c>
      <c r="G86" s="47" t="s">
        <v>901</v>
      </c>
      <c r="H86" s="66" t="s">
        <v>1171</v>
      </c>
    </row>
    <row r="87" spans="2:8" ht="95.25" customHeight="1" thickBot="1" x14ac:dyDescent="0.3">
      <c r="B87" s="37"/>
      <c r="C87" s="45" t="s">
        <v>902</v>
      </c>
      <c r="D87" s="46" t="s">
        <v>903</v>
      </c>
      <c r="E87" s="65" t="s">
        <v>565</v>
      </c>
      <c r="F87" s="46" t="s">
        <v>904</v>
      </c>
      <c r="G87" s="47" t="s">
        <v>905</v>
      </c>
      <c r="H87" s="66" t="s">
        <v>1171</v>
      </c>
    </row>
    <row r="88" spans="2:8" ht="95.25" customHeight="1" thickBot="1" x14ac:dyDescent="0.3">
      <c r="B88" s="37"/>
      <c r="C88" s="45" t="s">
        <v>906</v>
      </c>
      <c r="D88" s="46" t="s">
        <v>907</v>
      </c>
      <c r="E88" s="65" t="s">
        <v>565</v>
      </c>
      <c r="F88" s="46" t="s">
        <v>908</v>
      </c>
      <c r="G88" s="47" t="s">
        <v>909</v>
      </c>
      <c r="H88" s="66" t="s">
        <v>1171</v>
      </c>
    </row>
    <row r="89" spans="2:8" ht="111" customHeight="1" thickBot="1" x14ac:dyDescent="0.3">
      <c r="B89" s="37"/>
      <c r="C89" s="45" t="s">
        <v>910</v>
      </c>
      <c r="D89" s="46" t="s">
        <v>911</v>
      </c>
      <c r="E89" s="65" t="s">
        <v>565</v>
      </c>
      <c r="F89" s="46" t="s">
        <v>912</v>
      </c>
      <c r="G89" s="47" t="s">
        <v>913</v>
      </c>
      <c r="H89" s="66" t="s">
        <v>1171</v>
      </c>
    </row>
    <row r="90" spans="2:8" ht="111" customHeight="1" thickBot="1" x14ac:dyDescent="0.3">
      <c r="B90" s="37"/>
      <c r="C90" s="45" t="s">
        <v>914</v>
      </c>
      <c r="D90" s="46" t="s">
        <v>915</v>
      </c>
      <c r="E90" s="65" t="s">
        <v>565</v>
      </c>
      <c r="F90" s="46" t="s">
        <v>916</v>
      </c>
      <c r="G90" s="47" t="s">
        <v>917</v>
      </c>
      <c r="H90" s="66" t="s">
        <v>1171</v>
      </c>
    </row>
    <row r="91" spans="2:8" ht="79.5" customHeight="1" thickBot="1" x14ac:dyDescent="0.3">
      <c r="B91" s="37"/>
      <c r="C91" s="45" t="s">
        <v>918</v>
      </c>
      <c r="D91" s="46" t="s">
        <v>919</v>
      </c>
      <c r="E91" s="65" t="s">
        <v>565</v>
      </c>
      <c r="F91" s="46" t="s">
        <v>920</v>
      </c>
      <c r="G91" s="47" t="s">
        <v>921</v>
      </c>
      <c r="H91" s="66" t="s">
        <v>1171</v>
      </c>
    </row>
    <row r="92" spans="2:8" ht="95.25" customHeight="1" thickBot="1" x14ac:dyDescent="0.3">
      <c r="B92" s="37"/>
      <c r="C92" s="45" t="s">
        <v>922</v>
      </c>
      <c r="D92" s="46" t="s">
        <v>923</v>
      </c>
      <c r="E92" s="65" t="s">
        <v>565</v>
      </c>
      <c r="F92" s="46" t="s">
        <v>924</v>
      </c>
      <c r="G92" s="47" t="s">
        <v>925</v>
      </c>
      <c r="H92" s="66" t="s">
        <v>1171</v>
      </c>
    </row>
    <row r="93" spans="2:8" ht="79.5" customHeight="1" thickBot="1" x14ac:dyDescent="0.3">
      <c r="B93" s="37"/>
      <c r="C93" s="45" t="s">
        <v>926</v>
      </c>
      <c r="D93" s="46" t="s">
        <v>927</v>
      </c>
      <c r="E93" s="65" t="s">
        <v>565</v>
      </c>
      <c r="F93" s="46" t="s">
        <v>928</v>
      </c>
      <c r="G93" s="47" t="s">
        <v>929</v>
      </c>
      <c r="H93" s="66" t="s">
        <v>1171</v>
      </c>
    </row>
    <row r="94" spans="2:8" ht="79.5" customHeight="1" thickBot="1" x14ac:dyDescent="0.3">
      <c r="B94" s="37"/>
      <c r="C94" s="45" t="s">
        <v>930</v>
      </c>
      <c r="D94" s="46" t="s">
        <v>931</v>
      </c>
      <c r="E94" s="65" t="s">
        <v>565</v>
      </c>
      <c r="F94" s="46" t="s">
        <v>932</v>
      </c>
      <c r="G94" s="47" t="s">
        <v>933</v>
      </c>
      <c r="H94" s="66" t="s">
        <v>1171</v>
      </c>
    </row>
    <row r="95" spans="2:8" ht="95.25" customHeight="1" thickBot="1" x14ac:dyDescent="0.3">
      <c r="B95" s="37"/>
      <c r="C95" s="45" t="s">
        <v>934</v>
      </c>
      <c r="D95" s="46" t="s">
        <v>935</v>
      </c>
      <c r="E95" s="65" t="s">
        <v>565</v>
      </c>
      <c r="F95" s="46" t="s">
        <v>936</v>
      </c>
      <c r="G95" s="47" t="s">
        <v>937</v>
      </c>
      <c r="H95" s="66" t="s">
        <v>1171</v>
      </c>
    </row>
    <row r="96" spans="2:8" ht="79.5" customHeight="1" thickBot="1" x14ac:dyDescent="0.3">
      <c r="B96" s="37"/>
      <c r="C96" s="45" t="s">
        <v>938</v>
      </c>
      <c r="D96" s="46" t="s">
        <v>939</v>
      </c>
      <c r="E96" s="65" t="s">
        <v>565</v>
      </c>
      <c r="F96" s="46" t="s">
        <v>940</v>
      </c>
      <c r="G96" s="47" t="s">
        <v>941</v>
      </c>
      <c r="H96" s="66" t="s">
        <v>1171</v>
      </c>
    </row>
    <row r="97" spans="2:8" ht="79.5" customHeight="1" thickBot="1" x14ac:dyDescent="0.3">
      <c r="B97" s="37"/>
      <c r="C97" s="45" t="s">
        <v>942</v>
      </c>
      <c r="D97" s="46" t="s">
        <v>943</v>
      </c>
      <c r="E97" s="65" t="s">
        <v>565</v>
      </c>
      <c r="F97" s="46" t="s">
        <v>944</v>
      </c>
      <c r="G97" s="47" t="s">
        <v>945</v>
      </c>
      <c r="H97" s="66" t="s">
        <v>1171</v>
      </c>
    </row>
    <row r="98" spans="2:8" ht="95.25" customHeight="1" thickBot="1" x14ac:dyDescent="0.3">
      <c r="B98" s="37"/>
      <c r="C98" s="45" t="s">
        <v>946</v>
      </c>
      <c r="D98" s="46" t="s">
        <v>947</v>
      </c>
      <c r="E98" s="65" t="s">
        <v>565</v>
      </c>
      <c r="F98" s="46" t="s">
        <v>948</v>
      </c>
      <c r="G98" s="47" t="s">
        <v>949</v>
      </c>
      <c r="H98" s="66" t="s">
        <v>1171</v>
      </c>
    </row>
    <row r="99" spans="2:8" ht="95.25" customHeight="1" thickBot="1" x14ac:dyDescent="0.3">
      <c r="B99" s="37"/>
      <c r="C99" s="40" t="s">
        <v>950</v>
      </c>
      <c r="D99" s="41" t="s">
        <v>951</v>
      </c>
      <c r="E99" s="68" t="s">
        <v>67</v>
      </c>
      <c r="F99" s="41" t="s">
        <v>952</v>
      </c>
      <c r="G99" s="43" t="s">
        <v>953</v>
      </c>
      <c r="H99" s="66" t="s">
        <v>1171</v>
      </c>
    </row>
    <row r="100" spans="2:8" ht="79.5" customHeight="1" thickBot="1" x14ac:dyDescent="0.3">
      <c r="B100" s="37"/>
      <c r="C100" s="45" t="s">
        <v>954</v>
      </c>
      <c r="D100" s="46" t="s">
        <v>955</v>
      </c>
      <c r="E100" s="69" t="s">
        <v>67</v>
      </c>
      <c r="F100" s="46" t="s">
        <v>956</v>
      </c>
      <c r="G100" s="47" t="s">
        <v>957</v>
      </c>
      <c r="H100" s="66" t="s">
        <v>1171</v>
      </c>
    </row>
    <row r="101" spans="2:8" ht="95.25" customHeight="1" thickBot="1" x14ac:dyDescent="0.3">
      <c r="B101" s="37"/>
      <c r="C101" s="45" t="s">
        <v>958</v>
      </c>
      <c r="D101" s="46" t="s">
        <v>959</v>
      </c>
      <c r="E101" s="69" t="s">
        <v>67</v>
      </c>
      <c r="F101" s="46" t="s">
        <v>960</v>
      </c>
      <c r="G101" s="47" t="s">
        <v>961</v>
      </c>
      <c r="H101" s="66" t="s">
        <v>1171</v>
      </c>
    </row>
    <row r="102" spans="2:8" ht="95.25" customHeight="1" thickBot="1" x14ac:dyDescent="0.3">
      <c r="B102" s="37"/>
      <c r="C102" s="45" t="s">
        <v>962</v>
      </c>
      <c r="D102" s="46" t="s">
        <v>963</v>
      </c>
      <c r="E102" s="69" t="s">
        <v>67</v>
      </c>
      <c r="F102" s="46" t="s">
        <v>964</v>
      </c>
      <c r="G102" s="47" t="s">
        <v>965</v>
      </c>
      <c r="H102" s="66" t="s">
        <v>1171</v>
      </c>
    </row>
    <row r="103" spans="2:8" ht="95.25" customHeight="1" thickBot="1" x14ac:dyDescent="0.3">
      <c r="B103" s="37"/>
      <c r="C103" s="45" t="s">
        <v>966</v>
      </c>
      <c r="D103" s="46" t="s">
        <v>967</v>
      </c>
      <c r="E103" s="69" t="s">
        <v>67</v>
      </c>
      <c r="F103" s="46" t="s">
        <v>968</v>
      </c>
      <c r="G103" s="47" t="s">
        <v>969</v>
      </c>
      <c r="H103" s="66" t="s">
        <v>1171</v>
      </c>
    </row>
    <row r="104" spans="2:8" ht="79.5" customHeight="1" thickBot="1" x14ac:dyDescent="0.3">
      <c r="B104" s="37"/>
      <c r="C104" s="45" t="s">
        <v>970</v>
      </c>
      <c r="D104" s="46" t="s">
        <v>971</v>
      </c>
      <c r="E104" s="69" t="s">
        <v>67</v>
      </c>
      <c r="F104" s="46" t="s">
        <v>972</v>
      </c>
      <c r="G104" s="47" t="s">
        <v>973</v>
      </c>
      <c r="H104" s="66" t="s">
        <v>1171</v>
      </c>
    </row>
    <row r="105" spans="2:8" ht="79.5" customHeight="1" thickBot="1" x14ac:dyDescent="0.3">
      <c r="B105" s="37"/>
      <c r="C105" s="45" t="s">
        <v>974</v>
      </c>
      <c r="D105" s="46" t="s">
        <v>975</v>
      </c>
      <c r="E105" s="69" t="s">
        <v>67</v>
      </c>
      <c r="F105" s="46" t="s">
        <v>976</v>
      </c>
      <c r="G105" s="47" t="s">
        <v>977</v>
      </c>
      <c r="H105" s="66" t="s">
        <v>1171</v>
      </c>
    </row>
    <row r="106" spans="2:8" ht="126.75" customHeight="1" thickBot="1" x14ac:dyDescent="0.3">
      <c r="B106" s="37"/>
      <c r="C106" s="45" t="s">
        <v>978</v>
      </c>
      <c r="D106" s="46" t="s">
        <v>979</v>
      </c>
      <c r="E106" s="69" t="s">
        <v>67</v>
      </c>
      <c r="F106" s="46" t="s">
        <v>980</v>
      </c>
      <c r="G106" s="47" t="s">
        <v>981</v>
      </c>
      <c r="H106" s="66" t="s">
        <v>1171</v>
      </c>
    </row>
    <row r="107" spans="2:8" ht="111" customHeight="1" thickBot="1" x14ac:dyDescent="0.3">
      <c r="B107" s="37"/>
      <c r="C107" s="45" t="s">
        <v>982</v>
      </c>
      <c r="D107" s="46" t="s">
        <v>983</v>
      </c>
      <c r="E107" s="69" t="s">
        <v>73</v>
      </c>
      <c r="F107" s="46" t="s">
        <v>984</v>
      </c>
      <c r="G107" s="47" t="s">
        <v>985</v>
      </c>
      <c r="H107" s="66" t="s">
        <v>1171</v>
      </c>
    </row>
    <row r="108" spans="2:8" ht="111" customHeight="1" thickBot="1" x14ac:dyDescent="0.3">
      <c r="B108" s="37"/>
      <c r="C108" s="45" t="s">
        <v>986</v>
      </c>
      <c r="D108" s="46" t="s">
        <v>987</v>
      </c>
      <c r="E108" s="69" t="s">
        <v>73</v>
      </c>
      <c r="F108" s="46" t="s">
        <v>988</v>
      </c>
      <c r="G108" s="47" t="s">
        <v>989</v>
      </c>
      <c r="H108" s="66" t="s">
        <v>1171</v>
      </c>
    </row>
    <row r="109" spans="2:8" ht="142.5" customHeight="1" thickBot="1" x14ac:dyDescent="0.3">
      <c r="B109" s="37"/>
      <c r="C109" s="45" t="s">
        <v>990</v>
      </c>
      <c r="D109" s="46" t="s">
        <v>991</v>
      </c>
      <c r="E109" s="69" t="s">
        <v>73</v>
      </c>
      <c r="F109" s="46" t="s">
        <v>992</v>
      </c>
      <c r="G109" s="47" t="s">
        <v>993</v>
      </c>
      <c r="H109" s="66" t="s">
        <v>1171</v>
      </c>
    </row>
    <row r="110" spans="2:8" ht="79.5" customHeight="1" thickBot="1" x14ac:dyDescent="0.3">
      <c r="B110" s="37"/>
      <c r="C110" s="45" t="s">
        <v>994</v>
      </c>
      <c r="D110" s="46" t="s">
        <v>995</v>
      </c>
      <c r="E110" s="69" t="s">
        <v>73</v>
      </c>
      <c r="F110" s="46" t="s">
        <v>996</v>
      </c>
      <c r="G110" s="47" t="s">
        <v>997</v>
      </c>
      <c r="H110" s="66" t="s">
        <v>1171</v>
      </c>
    </row>
    <row r="111" spans="2:8" ht="111" customHeight="1" thickBot="1" x14ac:dyDescent="0.3">
      <c r="B111" s="37"/>
      <c r="C111" s="45" t="s">
        <v>998</v>
      </c>
      <c r="D111" s="46" t="s">
        <v>999</v>
      </c>
      <c r="E111" s="69" t="s">
        <v>73</v>
      </c>
      <c r="F111" s="46" t="s">
        <v>1000</v>
      </c>
      <c r="G111" s="47" t="s">
        <v>1001</v>
      </c>
      <c r="H111" s="66" t="s">
        <v>1171</v>
      </c>
    </row>
    <row r="112" spans="2:8" ht="95.25" customHeight="1" thickBot="1" x14ac:dyDescent="0.3">
      <c r="B112" s="37"/>
      <c r="C112" s="45" t="s">
        <v>1002</v>
      </c>
      <c r="D112" s="46" t="s">
        <v>1003</v>
      </c>
      <c r="E112" s="69" t="s">
        <v>73</v>
      </c>
      <c r="F112" s="46" t="s">
        <v>1004</v>
      </c>
      <c r="G112" s="47" t="s">
        <v>1005</v>
      </c>
      <c r="H112" s="66" t="s">
        <v>1171</v>
      </c>
    </row>
    <row r="113" spans="2:8" ht="79.5" customHeight="1" thickBot="1" x14ac:dyDescent="0.3">
      <c r="B113" s="37"/>
      <c r="C113" s="45" t="s">
        <v>1006</v>
      </c>
      <c r="D113" s="46" t="s">
        <v>1007</v>
      </c>
      <c r="E113" s="69" t="s">
        <v>76</v>
      </c>
      <c r="F113" s="46" t="s">
        <v>1008</v>
      </c>
      <c r="G113" s="47" t="s">
        <v>1009</v>
      </c>
      <c r="H113" s="66" t="s">
        <v>1171</v>
      </c>
    </row>
    <row r="114" spans="2:8" ht="95.25" customHeight="1" thickBot="1" x14ac:dyDescent="0.3">
      <c r="B114" s="37"/>
      <c r="C114" s="45" t="s">
        <v>1010</v>
      </c>
      <c r="D114" s="46" t="s">
        <v>1011</v>
      </c>
      <c r="E114" s="69" t="s">
        <v>76</v>
      </c>
      <c r="F114" s="46" t="s">
        <v>1012</v>
      </c>
      <c r="G114" s="47" t="s">
        <v>1013</v>
      </c>
      <c r="H114" s="66" t="s">
        <v>1171</v>
      </c>
    </row>
    <row r="115" spans="2:8" ht="63.75" customHeight="1" thickBot="1" x14ac:dyDescent="0.3">
      <c r="B115" s="37"/>
      <c r="C115" s="45" t="s">
        <v>1014</v>
      </c>
      <c r="D115" s="46" t="s">
        <v>1015</v>
      </c>
      <c r="E115" s="69" t="s">
        <v>76</v>
      </c>
      <c r="F115" s="46" t="s">
        <v>1016</v>
      </c>
      <c r="G115" s="47" t="s">
        <v>1017</v>
      </c>
      <c r="H115" s="66" t="s">
        <v>1171</v>
      </c>
    </row>
    <row r="116" spans="2:8" ht="63.75" customHeight="1" thickBot="1" x14ac:dyDescent="0.3">
      <c r="B116" s="37"/>
      <c r="C116" s="45" t="s">
        <v>1018</v>
      </c>
      <c r="D116" s="46" t="s">
        <v>1019</v>
      </c>
      <c r="E116" s="69" t="s">
        <v>76</v>
      </c>
      <c r="F116" s="46" t="s">
        <v>1020</v>
      </c>
      <c r="G116" s="47" t="s">
        <v>1021</v>
      </c>
      <c r="H116" s="66" t="s">
        <v>1171</v>
      </c>
    </row>
    <row r="117" spans="2:8" ht="63.75" customHeight="1" thickBot="1" x14ac:dyDescent="0.3">
      <c r="B117" s="37"/>
      <c r="C117" s="45" t="s">
        <v>1022</v>
      </c>
      <c r="D117" s="46" t="s">
        <v>1023</v>
      </c>
      <c r="E117" s="69" t="s">
        <v>76</v>
      </c>
      <c r="F117" s="46" t="s">
        <v>1024</v>
      </c>
      <c r="G117" s="47" t="s">
        <v>1025</v>
      </c>
      <c r="H117" s="66" t="s">
        <v>1171</v>
      </c>
    </row>
    <row r="118" spans="2:8" ht="79.5" customHeight="1" thickBot="1" x14ac:dyDescent="0.3">
      <c r="B118" s="37"/>
      <c r="C118" s="45" t="s">
        <v>1026</v>
      </c>
      <c r="D118" s="46" t="s">
        <v>1027</v>
      </c>
      <c r="E118" s="69" t="s">
        <v>80</v>
      </c>
      <c r="F118" s="46" t="s">
        <v>1028</v>
      </c>
      <c r="G118" s="47" t="s">
        <v>1029</v>
      </c>
      <c r="H118" s="66" t="s">
        <v>1171</v>
      </c>
    </row>
    <row r="119" spans="2:8" ht="126.75" customHeight="1" thickBot="1" x14ac:dyDescent="0.3">
      <c r="B119" s="37"/>
      <c r="C119" s="45" t="s">
        <v>1030</v>
      </c>
      <c r="D119" s="46" t="s">
        <v>1031</v>
      </c>
      <c r="E119" s="69" t="s">
        <v>80</v>
      </c>
      <c r="F119" s="46" t="s">
        <v>1032</v>
      </c>
      <c r="G119" s="47" t="s">
        <v>1033</v>
      </c>
      <c r="H119" s="66" t="s">
        <v>1171</v>
      </c>
    </row>
    <row r="120" spans="2:8" ht="63.75" customHeight="1" thickBot="1" x14ac:dyDescent="0.3">
      <c r="B120" s="37"/>
      <c r="C120" s="45" t="s">
        <v>1034</v>
      </c>
      <c r="D120" s="46" t="s">
        <v>1015</v>
      </c>
      <c r="E120" s="69" t="s">
        <v>80</v>
      </c>
      <c r="F120" s="46" t="s">
        <v>1016</v>
      </c>
      <c r="G120" s="47" t="s">
        <v>1017</v>
      </c>
      <c r="H120" s="66" t="s">
        <v>1171</v>
      </c>
    </row>
    <row r="121" spans="2:8" ht="48" customHeight="1" thickBot="1" x14ac:dyDescent="0.3">
      <c r="B121" s="37"/>
      <c r="C121" s="45" t="s">
        <v>1035</v>
      </c>
      <c r="D121" s="46" t="s">
        <v>1019</v>
      </c>
      <c r="E121" s="69" t="s">
        <v>80</v>
      </c>
      <c r="F121" s="46" t="s">
        <v>1036</v>
      </c>
      <c r="G121" s="47" t="s">
        <v>1021</v>
      </c>
      <c r="H121" s="66" t="s">
        <v>1171</v>
      </c>
    </row>
    <row r="122" spans="2:8" ht="63.75" customHeight="1" thickBot="1" x14ac:dyDescent="0.3">
      <c r="B122" s="37"/>
      <c r="C122" s="45" t="s">
        <v>1037</v>
      </c>
      <c r="D122" s="46" t="s">
        <v>1023</v>
      </c>
      <c r="E122" s="69" t="s">
        <v>80</v>
      </c>
      <c r="F122" s="46" t="s">
        <v>1024</v>
      </c>
      <c r="G122" s="47" t="s">
        <v>1025</v>
      </c>
      <c r="H122" s="66" t="s">
        <v>1171</v>
      </c>
    </row>
    <row r="123" spans="2:8" ht="79.5" customHeight="1" thickBot="1" x14ac:dyDescent="0.3">
      <c r="B123" s="37"/>
      <c r="C123" s="45" t="s">
        <v>1038</v>
      </c>
      <c r="D123" s="46" t="s">
        <v>1039</v>
      </c>
      <c r="E123" s="69" t="s">
        <v>83</v>
      </c>
      <c r="F123" s="46" t="s">
        <v>1040</v>
      </c>
      <c r="G123" s="47" t="s">
        <v>1041</v>
      </c>
      <c r="H123" s="66" t="s">
        <v>1171</v>
      </c>
    </row>
    <row r="124" spans="2:8" ht="95.25" customHeight="1" thickBot="1" x14ac:dyDescent="0.3">
      <c r="B124" s="37"/>
      <c r="C124" s="45" t="s">
        <v>1042</v>
      </c>
      <c r="D124" s="46" t="s">
        <v>1043</v>
      </c>
      <c r="E124" s="69" t="s">
        <v>83</v>
      </c>
      <c r="F124" s="46" t="s">
        <v>1044</v>
      </c>
      <c r="G124" s="47" t="s">
        <v>1045</v>
      </c>
      <c r="H124" s="66" t="s">
        <v>1171</v>
      </c>
    </row>
    <row r="125" spans="2:8" ht="63.75" customHeight="1" thickBot="1" x14ac:dyDescent="0.3">
      <c r="B125" s="37"/>
      <c r="C125" s="45" t="s">
        <v>1046</v>
      </c>
      <c r="D125" s="46" t="s">
        <v>1015</v>
      </c>
      <c r="E125" s="69" t="s">
        <v>83</v>
      </c>
      <c r="F125" s="46" t="s">
        <v>1016</v>
      </c>
      <c r="G125" s="47" t="s">
        <v>1017</v>
      </c>
      <c r="H125" s="66" t="s">
        <v>1171</v>
      </c>
    </row>
    <row r="126" spans="2:8" ht="48" customHeight="1" thickBot="1" x14ac:dyDescent="0.3">
      <c r="B126" s="37"/>
      <c r="C126" s="45" t="s">
        <v>1047</v>
      </c>
      <c r="D126" s="46" t="s">
        <v>1019</v>
      </c>
      <c r="E126" s="69" t="s">
        <v>83</v>
      </c>
      <c r="F126" s="46" t="s">
        <v>1048</v>
      </c>
      <c r="G126" s="47" t="s">
        <v>1021</v>
      </c>
      <c r="H126" s="66" t="s">
        <v>1171</v>
      </c>
    </row>
    <row r="127" spans="2:8" ht="63.75" customHeight="1" thickBot="1" x14ac:dyDescent="0.3">
      <c r="B127" s="37"/>
      <c r="C127" s="45" t="s">
        <v>1049</v>
      </c>
      <c r="D127" s="46" t="s">
        <v>1023</v>
      </c>
      <c r="E127" s="69" t="s">
        <v>83</v>
      </c>
      <c r="F127" s="46" t="s">
        <v>1024</v>
      </c>
      <c r="G127" s="47" t="s">
        <v>1025</v>
      </c>
      <c r="H127" s="66" t="s">
        <v>1171</v>
      </c>
    </row>
    <row r="128" spans="2:8" ht="79.5" customHeight="1" thickBot="1" x14ac:dyDescent="0.3">
      <c r="B128" s="37"/>
      <c r="C128" s="45" t="s">
        <v>1050</v>
      </c>
      <c r="D128" s="46" t="s">
        <v>1051</v>
      </c>
      <c r="E128" s="69" t="s">
        <v>86</v>
      </c>
      <c r="F128" s="46" t="s">
        <v>1052</v>
      </c>
      <c r="G128" s="47" t="s">
        <v>1053</v>
      </c>
      <c r="H128" s="66" t="s">
        <v>1171</v>
      </c>
    </row>
    <row r="129" spans="2:8" ht="111" customHeight="1" thickBot="1" x14ac:dyDescent="0.3">
      <c r="B129" s="37"/>
      <c r="C129" s="45" t="s">
        <v>1054</v>
      </c>
      <c r="D129" s="46" t="s">
        <v>1055</v>
      </c>
      <c r="E129" s="69" t="s">
        <v>86</v>
      </c>
      <c r="F129" s="46" t="s">
        <v>1056</v>
      </c>
      <c r="G129" s="47" t="s">
        <v>1057</v>
      </c>
      <c r="H129" s="66" t="s">
        <v>1171</v>
      </c>
    </row>
    <row r="130" spans="2:8" ht="63.75" customHeight="1" thickBot="1" x14ac:dyDescent="0.3">
      <c r="B130" s="37"/>
      <c r="C130" s="45" t="s">
        <v>1058</v>
      </c>
      <c r="D130" s="46" t="s">
        <v>1015</v>
      </c>
      <c r="E130" s="69" t="s">
        <v>86</v>
      </c>
      <c r="F130" s="46" t="s">
        <v>1016</v>
      </c>
      <c r="G130" s="47" t="s">
        <v>1017</v>
      </c>
      <c r="H130" s="66" t="s">
        <v>1171</v>
      </c>
    </row>
    <row r="131" spans="2:8" ht="63.75" customHeight="1" thickBot="1" x14ac:dyDescent="0.3">
      <c r="B131" s="37"/>
      <c r="C131" s="45" t="s">
        <v>1059</v>
      </c>
      <c r="D131" s="46" t="s">
        <v>1019</v>
      </c>
      <c r="E131" s="69" t="s">
        <v>86</v>
      </c>
      <c r="F131" s="46" t="s">
        <v>1060</v>
      </c>
      <c r="G131" s="47" t="s">
        <v>1021</v>
      </c>
      <c r="H131" s="66" t="s">
        <v>1171</v>
      </c>
    </row>
    <row r="132" spans="2:8" ht="63.75" customHeight="1" thickBot="1" x14ac:dyDescent="0.3">
      <c r="B132" s="37"/>
      <c r="C132" s="45" t="s">
        <v>1061</v>
      </c>
      <c r="D132" s="46" t="s">
        <v>1023</v>
      </c>
      <c r="E132" s="69" t="s">
        <v>86</v>
      </c>
      <c r="F132" s="46" t="s">
        <v>1024</v>
      </c>
      <c r="G132" s="47" t="s">
        <v>1025</v>
      </c>
      <c r="H132" s="66" t="s">
        <v>1171</v>
      </c>
    </row>
    <row r="133" spans="2:8" ht="63.75" customHeight="1" thickBot="1" x14ac:dyDescent="0.3">
      <c r="B133" s="37"/>
      <c r="C133" s="45" t="s">
        <v>1062</v>
      </c>
      <c r="D133" s="46" t="s">
        <v>1063</v>
      </c>
      <c r="E133" s="69" t="s">
        <v>89</v>
      </c>
      <c r="F133" s="46" t="s">
        <v>1064</v>
      </c>
      <c r="G133" s="47" t="s">
        <v>1065</v>
      </c>
      <c r="H133" s="66" t="s">
        <v>1171</v>
      </c>
    </row>
    <row r="134" spans="2:8" ht="63.75" customHeight="1" thickBot="1" x14ac:dyDescent="0.3">
      <c r="B134" s="37"/>
      <c r="C134" s="45" t="s">
        <v>1066</v>
      </c>
      <c r="D134" s="46" t="s">
        <v>1067</v>
      </c>
      <c r="E134" s="69" t="s">
        <v>89</v>
      </c>
      <c r="F134" s="46" t="s">
        <v>1068</v>
      </c>
      <c r="G134" s="47" t="s">
        <v>1069</v>
      </c>
      <c r="H134" s="66" t="s">
        <v>1171</v>
      </c>
    </row>
    <row r="135" spans="2:8" ht="63.75" customHeight="1" thickBot="1" x14ac:dyDescent="0.3">
      <c r="B135" s="37"/>
      <c r="C135" s="45" t="s">
        <v>1070</v>
      </c>
      <c r="D135" s="46" t="s">
        <v>1071</v>
      </c>
      <c r="E135" s="69" t="s">
        <v>89</v>
      </c>
      <c r="F135" s="46" t="s">
        <v>1072</v>
      </c>
      <c r="G135" s="47" t="s">
        <v>1073</v>
      </c>
      <c r="H135" s="66" t="s">
        <v>1171</v>
      </c>
    </row>
    <row r="136" spans="2:8" ht="48" customHeight="1" thickBot="1" x14ac:dyDescent="0.3">
      <c r="B136" s="37"/>
      <c r="C136" s="45" t="s">
        <v>1074</v>
      </c>
      <c r="D136" s="46" t="s">
        <v>1075</v>
      </c>
      <c r="E136" s="69" t="s">
        <v>92</v>
      </c>
      <c r="F136" s="46" t="s">
        <v>1076</v>
      </c>
      <c r="G136" s="47" t="s">
        <v>1077</v>
      </c>
      <c r="H136" s="66" t="s">
        <v>1171</v>
      </c>
    </row>
    <row r="137" spans="2:8" ht="63.75" customHeight="1" thickBot="1" x14ac:dyDescent="0.3">
      <c r="B137" s="37"/>
      <c r="C137" s="45" t="s">
        <v>1078</v>
      </c>
      <c r="D137" s="46" t="s">
        <v>1079</v>
      </c>
      <c r="E137" s="69" t="s">
        <v>92</v>
      </c>
      <c r="F137" s="46" t="s">
        <v>1080</v>
      </c>
      <c r="G137" s="47" t="s">
        <v>1081</v>
      </c>
      <c r="H137" s="66" t="s">
        <v>1171</v>
      </c>
    </row>
    <row r="138" spans="2:8" ht="63.75" customHeight="1" thickBot="1" x14ac:dyDescent="0.3">
      <c r="B138" s="37"/>
      <c r="C138" s="45" t="s">
        <v>1082</v>
      </c>
      <c r="D138" s="46" t="s">
        <v>1083</v>
      </c>
      <c r="E138" s="69" t="s">
        <v>92</v>
      </c>
      <c r="F138" s="46" t="s">
        <v>1084</v>
      </c>
      <c r="G138" s="47" t="s">
        <v>1073</v>
      </c>
      <c r="H138" s="66" t="s">
        <v>1171</v>
      </c>
    </row>
    <row r="139" spans="2:8" ht="48" customHeight="1" thickBot="1" x14ac:dyDescent="0.3">
      <c r="B139" s="37"/>
      <c r="C139" s="45" t="s">
        <v>1085</v>
      </c>
      <c r="D139" s="46" t="s">
        <v>1086</v>
      </c>
      <c r="E139" s="69" t="s">
        <v>95</v>
      </c>
      <c r="F139" s="46" t="s">
        <v>1087</v>
      </c>
      <c r="G139" s="47" t="s">
        <v>1088</v>
      </c>
      <c r="H139" s="66" t="s">
        <v>1171</v>
      </c>
    </row>
    <row r="140" spans="2:8" ht="48" customHeight="1" thickBot="1" x14ac:dyDescent="0.3">
      <c r="B140" s="37"/>
      <c r="C140" s="45" t="s">
        <v>1089</v>
      </c>
      <c r="D140" s="46" t="s">
        <v>1090</v>
      </c>
      <c r="E140" s="69" t="s">
        <v>95</v>
      </c>
      <c r="F140" s="46" t="s">
        <v>1091</v>
      </c>
      <c r="G140" s="47" t="s">
        <v>1092</v>
      </c>
      <c r="H140" s="66" t="s">
        <v>1171</v>
      </c>
    </row>
    <row r="141" spans="2:8" ht="79.5" customHeight="1" thickBot="1" x14ac:dyDescent="0.3">
      <c r="B141" s="37"/>
      <c r="C141" s="45" t="s">
        <v>1093</v>
      </c>
      <c r="D141" s="46" t="s">
        <v>1094</v>
      </c>
      <c r="E141" s="69" t="s">
        <v>95</v>
      </c>
      <c r="F141" s="46" t="s">
        <v>1095</v>
      </c>
      <c r="G141" s="47" t="s">
        <v>1096</v>
      </c>
      <c r="H141" s="66" t="s">
        <v>1171</v>
      </c>
    </row>
    <row r="142" spans="2:8" ht="63.75" customHeight="1" thickBot="1" x14ac:dyDescent="0.3">
      <c r="B142" s="37"/>
      <c r="C142" s="45" t="s">
        <v>1097</v>
      </c>
      <c r="D142" s="46" t="s">
        <v>1098</v>
      </c>
      <c r="E142" s="69" t="s">
        <v>98</v>
      </c>
      <c r="F142" s="46" t="s">
        <v>1099</v>
      </c>
      <c r="G142" s="47" t="s">
        <v>1100</v>
      </c>
      <c r="H142" s="66" t="s">
        <v>1171</v>
      </c>
    </row>
    <row r="143" spans="2:8" ht="63.75" customHeight="1" thickBot="1" x14ac:dyDescent="0.3">
      <c r="B143" s="37"/>
      <c r="C143" s="45" t="s">
        <v>1101</v>
      </c>
      <c r="D143" s="46" t="s">
        <v>1102</v>
      </c>
      <c r="E143" s="69" t="s">
        <v>98</v>
      </c>
      <c r="F143" s="46" t="s">
        <v>1103</v>
      </c>
      <c r="G143" s="47" t="s">
        <v>1104</v>
      </c>
      <c r="H143" s="66" t="s">
        <v>1171</v>
      </c>
    </row>
    <row r="144" spans="2:8" ht="63.75" customHeight="1" thickBot="1" x14ac:dyDescent="0.3">
      <c r="B144" s="37"/>
      <c r="C144" s="45" t="s">
        <v>1105</v>
      </c>
      <c r="D144" s="46" t="s">
        <v>1106</v>
      </c>
      <c r="E144" s="69" t="s">
        <v>101</v>
      </c>
      <c r="F144" s="46" t="s">
        <v>1107</v>
      </c>
      <c r="G144" s="47" t="s">
        <v>1108</v>
      </c>
      <c r="H144" s="66" t="s">
        <v>1171</v>
      </c>
    </row>
    <row r="145" spans="2:8" ht="48" customHeight="1" thickBot="1" x14ac:dyDescent="0.3">
      <c r="B145" s="37"/>
      <c r="C145" s="45" t="s">
        <v>1109</v>
      </c>
      <c r="D145" s="46" t="s">
        <v>1110</v>
      </c>
      <c r="E145" s="69" t="s">
        <v>104</v>
      </c>
      <c r="F145" s="46" t="s">
        <v>1111</v>
      </c>
      <c r="G145" s="47" t="s">
        <v>1112</v>
      </c>
      <c r="H145" s="66" t="s">
        <v>1171</v>
      </c>
    </row>
    <row r="146" spans="2:8" ht="48" customHeight="1" thickBot="1" x14ac:dyDescent="0.3">
      <c r="B146" s="37"/>
      <c r="C146" s="45" t="s">
        <v>1113</v>
      </c>
      <c r="D146" s="46" t="s">
        <v>1114</v>
      </c>
      <c r="E146" s="69" t="s">
        <v>104</v>
      </c>
      <c r="F146" s="46" t="s">
        <v>1115</v>
      </c>
      <c r="G146" s="47" t="s">
        <v>1116</v>
      </c>
      <c r="H146" s="66" t="s">
        <v>1171</v>
      </c>
    </row>
    <row r="147" spans="2:8" ht="63.75" customHeight="1" thickBot="1" x14ac:dyDescent="0.3">
      <c r="B147" s="37"/>
      <c r="C147" s="45" t="s">
        <v>1117</v>
      </c>
      <c r="D147" s="46" t="s">
        <v>1118</v>
      </c>
      <c r="E147" s="69" t="s">
        <v>104</v>
      </c>
      <c r="F147" s="46" t="s">
        <v>1119</v>
      </c>
      <c r="G147" s="47" t="s">
        <v>1120</v>
      </c>
      <c r="H147" s="66" t="s">
        <v>1171</v>
      </c>
    </row>
    <row r="148" spans="2:8" ht="63.75" customHeight="1" thickBot="1" x14ac:dyDescent="0.3">
      <c r="B148" s="37"/>
      <c r="C148" s="45" t="s">
        <v>1121</v>
      </c>
      <c r="D148" s="46" t="s">
        <v>1122</v>
      </c>
      <c r="E148" s="69" t="s">
        <v>107</v>
      </c>
      <c r="F148" s="46" t="s">
        <v>1123</v>
      </c>
      <c r="G148" s="47" t="s">
        <v>1124</v>
      </c>
      <c r="H148" s="66" t="s">
        <v>1171</v>
      </c>
    </row>
    <row r="149" spans="2:8" ht="48" customHeight="1" thickBot="1" x14ac:dyDescent="0.3">
      <c r="B149" s="37"/>
      <c r="C149" s="45" t="s">
        <v>1125</v>
      </c>
      <c r="D149" s="46" t="s">
        <v>1126</v>
      </c>
      <c r="E149" s="69" t="s">
        <v>107</v>
      </c>
      <c r="F149" s="46" t="s">
        <v>1127</v>
      </c>
      <c r="G149" s="47" t="s">
        <v>1128</v>
      </c>
      <c r="H149" s="66" t="s">
        <v>1171</v>
      </c>
    </row>
    <row r="150" spans="2:8" ht="79.5" customHeight="1" thickBot="1" x14ac:dyDescent="0.3">
      <c r="B150" s="37"/>
      <c r="C150" s="45" t="s">
        <v>1129</v>
      </c>
      <c r="D150" s="46" t="s">
        <v>1130</v>
      </c>
      <c r="E150" s="69" t="s">
        <v>107</v>
      </c>
      <c r="F150" s="46" t="s">
        <v>1131</v>
      </c>
      <c r="G150" s="47" t="s">
        <v>1132</v>
      </c>
      <c r="H150" s="66" t="s">
        <v>1171</v>
      </c>
    </row>
    <row r="151" spans="2:8" ht="63.75" customHeight="1" thickBot="1" x14ac:dyDescent="0.3">
      <c r="B151" s="37"/>
      <c r="C151" s="45" t="s">
        <v>1133</v>
      </c>
      <c r="D151" s="46" t="s">
        <v>1134</v>
      </c>
      <c r="E151" s="69" t="s">
        <v>110</v>
      </c>
      <c r="F151" s="46" t="s">
        <v>1135</v>
      </c>
      <c r="G151" s="47" t="s">
        <v>1136</v>
      </c>
      <c r="H151" s="66" t="s">
        <v>1171</v>
      </c>
    </row>
    <row r="152" spans="2:8" ht="48" customHeight="1" thickBot="1" x14ac:dyDescent="0.3">
      <c r="B152" s="37"/>
      <c r="C152" s="45" t="s">
        <v>1137</v>
      </c>
      <c r="D152" s="46" t="s">
        <v>1138</v>
      </c>
      <c r="E152" s="69" t="s">
        <v>110</v>
      </c>
      <c r="F152" s="46" t="s">
        <v>1139</v>
      </c>
      <c r="G152" s="47" t="s">
        <v>1140</v>
      </c>
      <c r="H152" s="66" t="s">
        <v>1171</v>
      </c>
    </row>
    <row r="153" spans="2:8" ht="63.75" customHeight="1" thickBot="1" x14ac:dyDescent="0.3">
      <c r="B153" s="37"/>
      <c r="C153" s="45" t="s">
        <v>1141</v>
      </c>
      <c r="D153" s="46" t="s">
        <v>1142</v>
      </c>
      <c r="E153" s="69" t="s">
        <v>110</v>
      </c>
      <c r="F153" s="46" t="s">
        <v>1143</v>
      </c>
      <c r="G153" s="47" t="s">
        <v>1144</v>
      </c>
      <c r="H153" s="66" t="s">
        <v>1171</v>
      </c>
    </row>
    <row r="154" spans="2:8" ht="48" customHeight="1" thickBot="1" x14ac:dyDescent="0.3">
      <c r="B154" s="37"/>
      <c r="C154" s="45" t="s">
        <v>1145</v>
      </c>
      <c r="D154" s="46" t="s">
        <v>1146</v>
      </c>
      <c r="E154" s="69" t="s">
        <v>113</v>
      </c>
      <c r="F154" s="46" t="s">
        <v>1147</v>
      </c>
      <c r="G154" s="47" t="s">
        <v>1148</v>
      </c>
      <c r="H154" s="66" t="s">
        <v>1171</v>
      </c>
    </row>
    <row r="155" spans="2:8" x14ac:dyDescent="0.25">
      <c r="B155" s="37"/>
      <c r="C155" s="37"/>
      <c r="D155" s="37"/>
      <c r="E155" s="37"/>
      <c r="F155" s="37"/>
      <c r="G155" s="70"/>
    </row>
    <row r="156" spans="2:8" x14ac:dyDescent="0.25">
      <c r="B156" s="37"/>
      <c r="C156" s="37"/>
      <c r="D156" s="37"/>
      <c r="E156" s="37"/>
      <c r="F156" s="37"/>
      <c r="G156" s="70"/>
    </row>
    <row r="157" spans="2:8" x14ac:dyDescent="0.25">
      <c r="B157" s="37"/>
      <c r="C157" s="37"/>
      <c r="D157" s="37"/>
      <c r="E157" s="37"/>
      <c r="F157" s="37"/>
      <c r="G157" s="70"/>
    </row>
    <row r="158" spans="2:8" x14ac:dyDescent="0.25">
      <c r="B158" s="37"/>
      <c r="C158" s="37"/>
      <c r="D158" s="37"/>
      <c r="E158" s="37"/>
      <c r="F158" s="37"/>
      <c r="G158" s="70"/>
    </row>
    <row r="159" spans="2:8" x14ac:dyDescent="0.25">
      <c r="B159" s="37"/>
      <c r="C159" s="37"/>
      <c r="D159" s="37"/>
      <c r="E159" s="37"/>
      <c r="F159" s="37"/>
      <c r="G159" s="70"/>
    </row>
    <row r="160" spans="2:8" x14ac:dyDescent="0.25">
      <c r="B160" s="37"/>
      <c r="C160" s="37"/>
      <c r="D160" s="37"/>
      <c r="E160" s="37"/>
      <c r="F160" s="37"/>
      <c r="G160" s="70"/>
    </row>
    <row r="161" spans="2:7" x14ac:dyDescent="0.25">
      <c r="B161" s="37"/>
      <c r="C161" s="37"/>
      <c r="D161" s="37"/>
      <c r="E161" s="37"/>
      <c r="F161" s="37"/>
      <c r="G161" s="70"/>
    </row>
    <row r="162" spans="2:7" x14ac:dyDescent="0.25">
      <c r="B162" s="37"/>
      <c r="C162" s="37"/>
      <c r="D162" s="37"/>
      <c r="E162" s="37"/>
      <c r="F162" s="37"/>
      <c r="G162" s="70"/>
    </row>
    <row r="163" spans="2:7" x14ac:dyDescent="0.25">
      <c r="B163" s="37"/>
      <c r="C163" s="37"/>
      <c r="D163" s="37"/>
      <c r="E163" s="37"/>
      <c r="F163" s="37"/>
      <c r="G163" s="70"/>
    </row>
    <row r="164" spans="2:7" x14ac:dyDescent="0.25">
      <c r="B164" s="37"/>
      <c r="C164" s="37"/>
      <c r="D164" s="37"/>
      <c r="E164" s="37"/>
      <c r="F164" s="37"/>
      <c r="G164" s="70"/>
    </row>
    <row r="165" spans="2:7" x14ac:dyDescent="0.25">
      <c r="B165" s="37"/>
      <c r="C165" s="37"/>
      <c r="D165" s="37"/>
      <c r="E165" s="37"/>
      <c r="F165" s="37"/>
      <c r="G165" s="70"/>
    </row>
    <row r="166" spans="2:7" x14ac:dyDescent="0.25">
      <c r="B166" s="37"/>
      <c r="C166" s="37"/>
      <c r="D166" s="37"/>
      <c r="E166" s="37"/>
      <c r="F166" s="37"/>
      <c r="G166" s="70"/>
    </row>
    <row r="167" spans="2:7" x14ac:dyDescent="0.25">
      <c r="B167" s="37"/>
      <c r="C167" s="37"/>
      <c r="D167" s="37"/>
      <c r="E167" s="37"/>
      <c r="F167" s="37"/>
      <c r="G167" s="70"/>
    </row>
    <row r="168" spans="2:7" x14ac:dyDescent="0.25">
      <c r="B168" s="37"/>
      <c r="C168" s="37"/>
      <c r="D168" s="37"/>
      <c r="E168" s="37"/>
      <c r="F168" s="37"/>
      <c r="G168" s="70"/>
    </row>
    <row r="169" spans="2:7" x14ac:dyDescent="0.25">
      <c r="B169" s="37"/>
      <c r="C169" s="37"/>
      <c r="D169" s="37"/>
      <c r="E169" s="37"/>
      <c r="F169" s="37"/>
      <c r="G169" s="70"/>
    </row>
    <row r="170" spans="2:7" x14ac:dyDescent="0.25">
      <c r="B170" s="37"/>
      <c r="C170" s="37"/>
      <c r="D170" s="37"/>
      <c r="E170" s="37"/>
      <c r="F170" s="37"/>
      <c r="G170" s="70"/>
    </row>
    <row r="171" spans="2:7" x14ac:dyDescent="0.25">
      <c r="B171" s="37"/>
      <c r="C171" s="37"/>
      <c r="D171" s="37"/>
      <c r="E171" s="37"/>
      <c r="F171" s="37"/>
      <c r="G171" s="70"/>
    </row>
    <row r="172" spans="2:7" x14ac:dyDescent="0.25">
      <c r="B172" s="37"/>
      <c r="C172" s="37"/>
      <c r="D172" s="37"/>
      <c r="E172" s="37"/>
      <c r="F172" s="37"/>
      <c r="G172" s="70"/>
    </row>
    <row r="173" spans="2:7" x14ac:dyDescent="0.25">
      <c r="B173" s="37"/>
      <c r="C173" s="37"/>
      <c r="D173" s="37"/>
      <c r="E173" s="37"/>
      <c r="F173" s="37"/>
      <c r="G173" s="70"/>
    </row>
    <row r="174" spans="2:7" x14ac:dyDescent="0.25">
      <c r="B174" s="37"/>
      <c r="C174" s="37"/>
      <c r="D174" s="37"/>
      <c r="E174" s="37"/>
      <c r="F174" s="37"/>
      <c r="G174" s="70"/>
    </row>
    <row r="175" spans="2:7" x14ac:dyDescent="0.25">
      <c r="B175" s="37"/>
      <c r="C175" s="37"/>
      <c r="D175" s="37"/>
      <c r="E175" s="37"/>
      <c r="F175" s="37"/>
      <c r="G175" s="70"/>
    </row>
    <row r="176" spans="2:7" x14ac:dyDescent="0.25">
      <c r="B176" s="37"/>
      <c r="C176" s="37"/>
      <c r="D176" s="37"/>
      <c r="E176" s="37"/>
      <c r="F176" s="37"/>
      <c r="G176" s="70"/>
    </row>
    <row r="177" spans="2:7" x14ac:dyDescent="0.25">
      <c r="B177" s="37"/>
      <c r="C177" s="37"/>
      <c r="D177" s="37"/>
      <c r="E177" s="37"/>
      <c r="F177" s="37"/>
      <c r="G177" s="70"/>
    </row>
    <row r="178" spans="2:7" x14ac:dyDescent="0.25">
      <c r="B178" s="37"/>
      <c r="C178" s="37"/>
      <c r="D178" s="37"/>
      <c r="E178" s="37"/>
      <c r="F178" s="37"/>
      <c r="G178" s="70"/>
    </row>
    <row r="179" spans="2:7" x14ac:dyDescent="0.25">
      <c r="B179" s="37"/>
      <c r="C179" s="37"/>
      <c r="D179" s="37"/>
      <c r="E179" s="37"/>
      <c r="F179" s="37"/>
      <c r="G179" s="70"/>
    </row>
    <row r="180" spans="2:7" x14ac:dyDescent="0.25">
      <c r="B180" s="37"/>
      <c r="C180" s="37"/>
      <c r="D180" s="37"/>
      <c r="E180" s="37"/>
      <c r="F180" s="37"/>
      <c r="G180" s="70"/>
    </row>
    <row r="181" spans="2:7" x14ac:dyDescent="0.25">
      <c r="B181" s="37"/>
      <c r="C181" s="37"/>
      <c r="D181" s="37"/>
      <c r="E181" s="37"/>
      <c r="F181" s="37"/>
      <c r="G181" s="70"/>
    </row>
    <row r="182" spans="2:7" x14ac:dyDescent="0.25">
      <c r="B182" s="37"/>
      <c r="C182" s="37"/>
      <c r="D182" s="37"/>
      <c r="E182" s="37"/>
      <c r="F182" s="37"/>
      <c r="G182" s="70"/>
    </row>
    <row r="183" spans="2:7" x14ac:dyDescent="0.25">
      <c r="B183" s="37"/>
      <c r="C183" s="37"/>
      <c r="D183" s="37"/>
      <c r="E183" s="37"/>
      <c r="F183" s="37"/>
      <c r="G183" s="70"/>
    </row>
    <row r="184" spans="2:7" x14ac:dyDescent="0.25">
      <c r="B184" s="37"/>
      <c r="C184" s="37"/>
      <c r="D184" s="37"/>
      <c r="E184" s="37"/>
      <c r="F184" s="37"/>
      <c r="G184" s="70"/>
    </row>
    <row r="185" spans="2:7" x14ac:dyDescent="0.25">
      <c r="B185" s="37"/>
      <c r="C185" s="37"/>
      <c r="D185" s="37"/>
      <c r="E185" s="37"/>
      <c r="F185" s="37"/>
      <c r="G185" s="70"/>
    </row>
    <row r="186" spans="2:7" x14ac:dyDescent="0.25">
      <c r="B186" s="37"/>
      <c r="C186" s="37"/>
      <c r="D186" s="37"/>
      <c r="E186" s="37"/>
      <c r="F186" s="37"/>
      <c r="G186" s="70"/>
    </row>
    <row r="187" spans="2:7" x14ac:dyDescent="0.25">
      <c r="B187" s="37"/>
      <c r="C187" s="37"/>
      <c r="D187" s="37"/>
      <c r="E187" s="37"/>
      <c r="F187" s="37"/>
      <c r="G187" s="70"/>
    </row>
    <row r="188" spans="2:7" x14ac:dyDescent="0.25">
      <c r="B188" s="37"/>
      <c r="C188" s="37"/>
      <c r="D188" s="37"/>
      <c r="E188" s="37"/>
      <c r="F188" s="37"/>
      <c r="G188" s="70"/>
    </row>
    <row r="189" spans="2:7" x14ac:dyDescent="0.25">
      <c r="B189" s="37"/>
      <c r="C189" s="37"/>
      <c r="D189" s="37"/>
      <c r="E189" s="37"/>
      <c r="F189" s="37"/>
      <c r="G189" s="70"/>
    </row>
    <row r="190" spans="2:7" x14ac:dyDescent="0.25">
      <c r="B190" s="37"/>
      <c r="C190" s="37"/>
      <c r="D190" s="37"/>
      <c r="E190" s="37"/>
      <c r="F190" s="37"/>
      <c r="G190" s="70"/>
    </row>
    <row r="191" spans="2:7" x14ac:dyDescent="0.25">
      <c r="B191" s="37"/>
      <c r="C191" s="37"/>
      <c r="D191" s="37"/>
      <c r="E191" s="37"/>
      <c r="F191" s="37"/>
      <c r="G191" s="70"/>
    </row>
    <row r="192" spans="2:7" x14ac:dyDescent="0.25">
      <c r="B192" s="37"/>
      <c r="C192" s="37"/>
      <c r="D192" s="37"/>
      <c r="E192" s="37"/>
      <c r="F192" s="37"/>
      <c r="G192" s="70"/>
    </row>
    <row r="193" spans="2:7" x14ac:dyDescent="0.25">
      <c r="B193" s="37"/>
      <c r="C193" s="37"/>
      <c r="D193" s="37"/>
      <c r="E193" s="37"/>
      <c r="F193" s="37"/>
      <c r="G193" s="70"/>
    </row>
    <row r="194" spans="2:7" x14ac:dyDescent="0.25">
      <c r="B194" s="37"/>
      <c r="C194" s="37"/>
      <c r="D194" s="37"/>
      <c r="E194" s="37"/>
      <c r="F194" s="37"/>
      <c r="G194" s="70"/>
    </row>
    <row r="195" spans="2:7" x14ac:dyDescent="0.25">
      <c r="B195" s="37"/>
      <c r="C195" s="37"/>
      <c r="D195" s="37"/>
      <c r="E195" s="37"/>
      <c r="F195" s="37"/>
      <c r="G195" s="70"/>
    </row>
    <row r="196" spans="2:7" x14ac:dyDescent="0.25">
      <c r="B196" s="37"/>
      <c r="C196" s="37"/>
      <c r="D196" s="37"/>
      <c r="E196" s="37"/>
      <c r="F196" s="37"/>
      <c r="G196" s="70"/>
    </row>
    <row r="197" spans="2:7" x14ac:dyDescent="0.25">
      <c r="B197" s="37"/>
      <c r="C197" s="37"/>
      <c r="D197" s="37"/>
      <c r="E197" s="37"/>
      <c r="F197" s="37"/>
      <c r="G197" s="70"/>
    </row>
    <row r="198" spans="2:7" x14ac:dyDescent="0.25">
      <c r="B198" s="37"/>
      <c r="C198" s="37"/>
      <c r="D198" s="37"/>
      <c r="E198" s="37"/>
      <c r="F198" s="37"/>
      <c r="G198" s="70"/>
    </row>
    <row r="199" spans="2:7" x14ac:dyDescent="0.25">
      <c r="B199" s="37"/>
      <c r="C199" s="37"/>
      <c r="D199" s="37"/>
      <c r="E199" s="37"/>
      <c r="F199" s="37"/>
      <c r="G199" s="70"/>
    </row>
    <row r="200" spans="2:7" x14ac:dyDescent="0.25">
      <c r="B200" s="37"/>
      <c r="C200" s="37"/>
      <c r="D200" s="37"/>
      <c r="E200" s="37"/>
      <c r="F200" s="37"/>
      <c r="G200" s="70"/>
    </row>
    <row r="201" spans="2:7" x14ac:dyDescent="0.25">
      <c r="B201" s="37"/>
      <c r="C201" s="37"/>
      <c r="D201" s="37"/>
      <c r="E201" s="37"/>
      <c r="F201" s="37"/>
      <c r="G201" s="70"/>
    </row>
    <row r="202" spans="2:7" x14ac:dyDescent="0.25">
      <c r="B202" s="37"/>
      <c r="C202" s="37"/>
      <c r="D202" s="37"/>
      <c r="E202" s="37"/>
      <c r="F202" s="37"/>
      <c r="G202" s="70"/>
    </row>
    <row r="203" spans="2:7" x14ac:dyDescent="0.25">
      <c r="B203" s="37"/>
      <c r="C203" s="37"/>
      <c r="D203" s="37"/>
      <c r="E203" s="37"/>
      <c r="F203" s="37"/>
      <c r="G203" s="70"/>
    </row>
    <row r="204" spans="2:7" x14ac:dyDescent="0.25">
      <c r="B204" s="37"/>
      <c r="C204" s="37"/>
      <c r="D204" s="37"/>
      <c r="E204" s="37"/>
      <c r="F204" s="37"/>
      <c r="G204" s="70"/>
    </row>
    <row r="205" spans="2:7" x14ac:dyDescent="0.25">
      <c r="B205" s="37"/>
      <c r="C205" s="37"/>
      <c r="D205" s="37"/>
      <c r="E205" s="37"/>
      <c r="F205" s="37"/>
      <c r="G205" s="70"/>
    </row>
    <row r="206" spans="2:7" x14ac:dyDescent="0.25">
      <c r="B206" s="37"/>
      <c r="C206" s="37"/>
      <c r="D206" s="37"/>
      <c r="E206" s="37"/>
      <c r="F206" s="37"/>
      <c r="G206" s="70"/>
    </row>
    <row r="207" spans="2:7" x14ac:dyDescent="0.25">
      <c r="B207" s="37"/>
      <c r="C207" s="37"/>
      <c r="D207" s="37"/>
      <c r="E207" s="37"/>
      <c r="F207" s="37"/>
      <c r="G207" s="70"/>
    </row>
    <row r="208" spans="2:7" x14ac:dyDescent="0.25">
      <c r="B208" s="37"/>
      <c r="C208" s="37"/>
      <c r="D208" s="37"/>
      <c r="E208" s="37"/>
      <c r="F208" s="37"/>
      <c r="G208" s="70"/>
    </row>
    <row r="209" spans="2:7" x14ac:dyDescent="0.25">
      <c r="B209" s="37"/>
      <c r="C209" s="37"/>
      <c r="D209" s="37"/>
      <c r="E209" s="37"/>
      <c r="F209" s="37"/>
      <c r="G209" s="70"/>
    </row>
    <row r="210" spans="2:7" x14ac:dyDescent="0.25">
      <c r="B210" s="37"/>
      <c r="C210" s="37"/>
      <c r="D210" s="37"/>
      <c r="E210" s="37"/>
      <c r="F210" s="37"/>
      <c r="G210" s="70"/>
    </row>
    <row r="211" spans="2:7" x14ac:dyDescent="0.25">
      <c r="B211" s="37"/>
      <c r="C211" s="37"/>
      <c r="D211" s="37"/>
      <c r="E211" s="37"/>
      <c r="F211" s="37"/>
      <c r="G211" s="70"/>
    </row>
    <row r="212" spans="2:7" x14ac:dyDescent="0.25">
      <c r="B212" s="37"/>
      <c r="C212" s="37"/>
      <c r="D212" s="37"/>
      <c r="E212" s="37"/>
      <c r="F212" s="37"/>
      <c r="G212" s="70"/>
    </row>
    <row r="213" spans="2:7" x14ac:dyDescent="0.25">
      <c r="B213" s="37"/>
      <c r="C213" s="37"/>
      <c r="D213" s="37"/>
      <c r="E213" s="37"/>
      <c r="F213" s="37"/>
      <c r="G213" s="70"/>
    </row>
    <row r="214" spans="2:7" x14ac:dyDescent="0.25">
      <c r="B214" s="37"/>
      <c r="C214" s="37"/>
      <c r="D214" s="37"/>
      <c r="E214" s="37"/>
      <c r="F214" s="37"/>
      <c r="G214" s="70"/>
    </row>
    <row r="215" spans="2:7" x14ac:dyDescent="0.25">
      <c r="B215" s="37"/>
      <c r="C215" s="37"/>
      <c r="D215" s="37"/>
      <c r="E215" s="37"/>
      <c r="F215" s="37"/>
      <c r="G215" s="70"/>
    </row>
    <row r="216" spans="2:7" x14ac:dyDescent="0.25">
      <c r="B216" s="37"/>
      <c r="C216" s="37"/>
      <c r="D216" s="37"/>
      <c r="E216" s="37"/>
      <c r="F216" s="37"/>
      <c r="G216" s="70"/>
    </row>
    <row r="217" spans="2:7" x14ac:dyDescent="0.25">
      <c r="B217" s="37"/>
      <c r="C217" s="37"/>
      <c r="D217" s="37"/>
      <c r="E217" s="37"/>
      <c r="F217" s="37"/>
      <c r="G217" s="70"/>
    </row>
    <row r="218" spans="2:7" x14ac:dyDescent="0.25">
      <c r="B218" s="37"/>
      <c r="C218" s="37"/>
      <c r="D218" s="37"/>
      <c r="E218" s="37"/>
      <c r="F218" s="37"/>
      <c r="G218" s="70"/>
    </row>
    <row r="219" spans="2:7" x14ac:dyDescent="0.25">
      <c r="B219" s="37"/>
      <c r="C219" s="37"/>
      <c r="D219" s="37"/>
      <c r="E219" s="37"/>
      <c r="F219" s="37"/>
      <c r="G219" s="70"/>
    </row>
    <row r="220" spans="2:7" x14ac:dyDescent="0.25">
      <c r="B220" s="37"/>
      <c r="C220" s="37"/>
      <c r="D220" s="37"/>
      <c r="E220" s="37"/>
      <c r="F220" s="37"/>
      <c r="G220" s="70"/>
    </row>
    <row r="221" spans="2:7" x14ac:dyDescent="0.25">
      <c r="B221" s="37"/>
      <c r="C221" s="37"/>
      <c r="D221" s="37"/>
      <c r="E221" s="37"/>
      <c r="F221" s="37"/>
      <c r="G221" s="70"/>
    </row>
    <row r="222" spans="2:7" x14ac:dyDescent="0.25">
      <c r="B222" s="37"/>
      <c r="C222" s="37"/>
      <c r="D222" s="37"/>
      <c r="E222" s="37"/>
      <c r="F222" s="37"/>
      <c r="G222" s="70"/>
    </row>
    <row r="223" spans="2:7" x14ac:dyDescent="0.25">
      <c r="B223" s="37"/>
      <c r="C223" s="37"/>
      <c r="D223" s="37"/>
      <c r="E223" s="37"/>
      <c r="F223" s="37"/>
      <c r="G223" s="70"/>
    </row>
    <row r="224" spans="2:7" x14ac:dyDescent="0.25">
      <c r="B224" s="37"/>
      <c r="C224" s="37"/>
      <c r="D224" s="37"/>
      <c r="E224" s="37"/>
      <c r="F224" s="37"/>
      <c r="G224" s="70"/>
    </row>
    <row r="225" spans="2:7" x14ac:dyDescent="0.25">
      <c r="B225" s="37"/>
      <c r="C225" s="37"/>
      <c r="D225" s="37"/>
      <c r="E225" s="37"/>
      <c r="F225" s="37"/>
      <c r="G225" s="70"/>
    </row>
    <row r="226" spans="2:7" x14ac:dyDescent="0.25">
      <c r="B226" s="37"/>
      <c r="C226" s="37"/>
      <c r="D226" s="37"/>
      <c r="E226" s="37"/>
      <c r="F226" s="37"/>
      <c r="G226" s="70"/>
    </row>
    <row r="227" spans="2:7" x14ac:dyDescent="0.25">
      <c r="B227" s="37"/>
      <c r="C227" s="37"/>
      <c r="D227" s="37"/>
      <c r="E227" s="37"/>
      <c r="F227" s="37"/>
      <c r="G227" s="70"/>
    </row>
    <row r="228" spans="2:7" x14ac:dyDescent="0.25">
      <c r="B228" s="37"/>
      <c r="C228" s="37"/>
      <c r="D228" s="37"/>
      <c r="E228" s="37"/>
      <c r="F228" s="37"/>
      <c r="G228" s="70"/>
    </row>
    <row r="229" spans="2:7" x14ac:dyDescent="0.25">
      <c r="B229" s="37"/>
      <c r="C229" s="37"/>
      <c r="D229" s="37"/>
      <c r="E229" s="37"/>
      <c r="F229" s="37"/>
      <c r="G229" s="70"/>
    </row>
    <row r="230" spans="2:7" x14ac:dyDescent="0.25">
      <c r="B230" s="37"/>
      <c r="C230" s="37"/>
      <c r="D230" s="37"/>
      <c r="E230" s="37"/>
      <c r="F230" s="37"/>
      <c r="G230" s="70"/>
    </row>
    <row r="231" spans="2:7" x14ac:dyDescent="0.25">
      <c r="B231" s="37"/>
      <c r="C231" s="37"/>
      <c r="D231" s="37"/>
      <c r="E231" s="37"/>
      <c r="F231" s="37"/>
      <c r="G231" s="70"/>
    </row>
    <row r="232" spans="2:7" x14ac:dyDescent="0.25">
      <c r="B232" s="37"/>
      <c r="C232" s="37"/>
      <c r="D232" s="37"/>
      <c r="E232" s="37"/>
      <c r="F232" s="37"/>
      <c r="G232" s="70"/>
    </row>
    <row r="233" spans="2:7" x14ac:dyDescent="0.25">
      <c r="B233" s="37"/>
      <c r="C233" s="37"/>
      <c r="D233" s="37"/>
      <c r="E233" s="37"/>
      <c r="F233" s="37"/>
      <c r="G233" s="70"/>
    </row>
    <row r="234" spans="2:7" x14ac:dyDescent="0.25">
      <c r="B234" s="37"/>
      <c r="C234" s="37"/>
      <c r="D234" s="37"/>
      <c r="E234" s="37"/>
      <c r="F234" s="37"/>
      <c r="G234" s="70"/>
    </row>
    <row r="235" spans="2:7" x14ac:dyDescent="0.25">
      <c r="B235" s="37"/>
      <c r="C235" s="37"/>
      <c r="D235" s="37"/>
      <c r="E235" s="37"/>
      <c r="F235" s="37"/>
      <c r="G235" s="70"/>
    </row>
    <row r="236" spans="2:7" x14ac:dyDescent="0.25">
      <c r="B236" s="37"/>
      <c r="C236" s="37"/>
      <c r="D236" s="37"/>
      <c r="E236" s="37"/>
      <c r="F236" s="37"/>
      <c r="G236" s="70"/>
    </row>
    <row r="237" spans="2:7" x14ac:dyDescent="0.25">
      <c r="B237" s="37"/>
      <c r="C237" s="37"/>
      <c r="D237" s="37"/>
      <c r="E237" s="37"/>
      <c r="F237" s="37"/>
      <c r="G237" s="70"/>
    </row>
    <row r="238" spans="2:7" x14ac:dyDescent="0.25">
      <c r="B238" s="37"/>
      <c r="C238" s="37"/>
      <c r="D238" s="37"/>
      <c r="E238" s="37"/>
      <c r="F238" s="37"/>
      <c r="G238" s="70"/>
    </row>
    <row r="239" spans="2:7" x14ac:dyDescent="0.25">
      <c r="B239" s="37"/>
      <c r="C239" s="37"/>
      <c r="D239" s="37"/>
      <c r="E239" s="37"/>
      <c r="F239" s="37"/>
      <c r="G239" s="70"/>
    </row>
    <row r="240" spans="2:7" x14ac:dyDescent="0.25">
      <c r="B240" s="37"/>
      <c r="C240" s="37"/>
      <c r="D240" s="37"/>
      <c r="E240" s="37"/>
      <c r="F240" s="37"/>
      <c r="G240" s="70"/>
    </row>
    <row r="241" spans="2:7" x14ac:dyDescent="0.25">
      <c r="B241" s="37"/>
      <c r="C241" s="37"/>
      <c r="D241" s="37"/>
      <c r="E241" s="37"/>
      <c r="F241" s="37"/>
      <c r="G241" s="70"/>
    </row>
    <row r="242" spans="2:7" x14ac:dyDescent="0.25">
      <c r="B242" s="37"/>
      <c r="C242" s="37"/>
      <c r="D242" s="37"/>
      <c r="E242" s="37"/>
      <c r="F242" s="37"/>
      <c r="G242" s="70"/>
    </row>
    <row r="243" spans="2:7" x14ac:dyDescent="0.25">
      <c r="B243" s="37"/>
      <c r="C243" s="37"/>
      <c r="D243" s="37"/>
      <c r="E243" s="37"/>
      <c r="F243" s="37"/>
      <c r="G243" s="70"/>
    </row>
    <row r="244" spans="2:7" x14ac:dyDescent="0.25">
      <c r="B244" s="37"/>
      <c r="C244" s="37"/>
      <c r="D244" s="37"/>
      <c r="E244" s="37"/>
      <c r="F244" s="37"/>
      <c r="G244" s="70"/>
    </row>
    <row r="245" spans="2:7" x14ac:dyDescent="0.25">
      <c r="B245" s="37"/>
      <c r="C245" s="37"/>
      <c r="D245" s="37"/>
      <c r="E245" s="37"/>
      <c r="F245" s="37"/>
      <c r="G245" s="70"/>
    </row>
    <row r="246" spans="2:7" x14ac:dyDescent="0.25">
      <c r="B246" s="37"/>
      <c r="C246" s="37"/>
      <c r="D246" s="37"/>
      <c r="E246" s="37"/>
      <c r="F246" s="37"/>
      <c r="G246" s="70"/>
    </row>
    <row r="247" spans="2:7" x14ac:dyDescent="0.25">
      <c r="B247" s="37"/>
      <c r="C247" s="37"/>
      <c r="D247" s="37"/>
      <c r="E247" s="37"/>
      <c r="F247" s="37"/>
      <c r="G247" s="70"/>
    </row>
    <row r="248" spans="2:7" x14ac:dyDescent="0.25">
      <c r="B248" s="37"/>
      <c r="C248" s="37"/>
      <c r="D248" s="37"/>
      <c r="E248" s="37"/>
      <c r="F248" s="37"/>
      <c r="G248" s="70"/>
    </row>
    <row r="249" spans="2:7" x14ac:dyDescent="0.25">
      <c r="B249" s="37"/>
      <c r="C249" s="37"/>
      <c r="D249" s="37"/>
      <c r="E249" s="37"/>
      <c r="F249" s="37"/>
      <c r="G249" s="70"/>
    </row>
    <row r="250" spans="2:7" x14ac:dyDescent="0.25">
      <c r="B250" s="37"/>
      <c r="C250" s="37"/>
      <c r="D250" s="37"/>
      <c r="E250" s="37"/>
      <c r="F250" s="37"/>
      <c r="G250" s="70"/>
    </row>
    <row r="251" spans="2:7" x14ac:dyDescent="0.25">
      <c r="B251" s="37"/>
      <c r="C251" s="37"/>
      <c r="D251" s="37"/>
      <c r="E251" s="37"/>
      <c r="F251" s="37"/>
      <c r="G251" s="70"/>
    </row>
    <row r="252" spans="2:7" x14ac:dyDescent="0.25">
      <c r="B252" s="37"/>
      <c r="C252" s="37"/>
      <c r="D252" s="37"/>
      <c r="E252" s="37"/>
      <c r="F252" s="37"/>
      <c r="G252" s="70"/>
    </row>
    <row r="253" spans="2:7" x14ac:dyDescent="0.25">
      <c r="B253" s="37"/>
      <c r="C253" s="37"/>
      <c r="D253" s="37"/>
      <c r="E253" s="37"/>
      <c r="F253" s="37"/>
      <c r="G253" s="70"/>
    </row>
    <row r="254" spans="2:7" x14ac:dyDescent="0.25">
      <c r="B254" s="37"/>
      <c r="C254" s="37"/>
      <c r="D254" s="37"/>
      <c r="E254" s="37"/>
      <c r="F254" s="37"/>
      <c r="G254" s="70"/>
    </row>
    <row r="255" spans="2:7" x14ac:dyDescent="0.25">
      <c r="B255" s="37"/>
      <c r="C255" s="37"/>
      <c r="D255" s="37"/>
      <c r="E255" s="37"/>
      <c r="F255" s="37"/>
      <c r="G255" s="70"/>
    </row>
    <row r="256" spans="2:7" x14ac:dyDescent="0.25">
      <c r="B256" s="37"/>
      <c r="C256" s="37"/>
      <c r="D256" s="37"/>
      <c r="E256" s="37"/>
      <c r="F256" s="37"/>
      <c r="G256" s="70"/>
    </row>
    <row r="257" spans="2:7" x14ac:dyDescent="0.25">
      <c r="B257" s="37"/>
      <c r="C257" s="37"/>
      <c r="D257" s="37"/>
      <c r="E257" s="37"/>
      <c r="F257" s="37"/>
      <c r="G257" s="70"/>
    </row>
    <row r="258" spans="2:7" x14ac:dyDescent="0.25">
      <c r="B258" s="37"/>
      <c r="C258" s="37"/>
      <c r="D258" s="37"/>
      <c r="E258" s="37"/>
      <c r="F258" s="37"/>
      <c r="G258" s="70"/>
    </row>
    <row r="259" spans="2:7" x14ac:dyDescent="0.25">
      <c r="B259" s="37"/>
      <c r="C259" s="37"/>
      <c r="D259" s="37"/>
      <c r="E259" s="37"/>
      <c r="F259" s="37"/>
      <c r="G259" s="70"/>
    </row>
    <row r="260" spans="2:7" x14ac:dyDescent="0.25">
      <c r="B260" s="37"/>
      <c r="C260" s="37"/>
      <c r="D260" s="37"/>
      <c r="E260" s="37"/>
      <c r="F260" s="37"/>
      <c r="G260" s="70"/>
    </row>
    <row r="261" spans="2:7" x14ac:dyDescent="0.25">
      <c r="B261" s="37"/>
      <c r="C261" s="37"/>
      <c r="D261" s="37"/>
      <c r="E261" s="37"/>
      <c r="F261" s="37"/>
      <c r="G261" s="70"/>
    </row>
    <row r="262" spans="2:7" x14ac:dyDescent="0.25">
      <c r="B262" s="37"/>
      <c r="C262" s="37"/>
      <c r="D262" s="37"/>
      <c r="E262" s="37"/>
      <c r="F262" s="37"/>
      <c r="G262" s="70"/>
    </row>
    <row r="263" spans="2:7" x14ac:dyDescent="0.25">
      <c r="B263" s="37"/>
      <c r="C263" s="37"/>
      <c r="D263" s="37"/>
      <c r="E263" s="37"/>
      <c r="F263" s="37"/>
      <c r="G263" s="70"/>
    </row>
    <row r="264" spans="2:7" x14ac:dyDescent="0.25">
      <c r="B264" s="37"/>
      <c r="C264" s="37"/>
      <c r="D264" s="37"/>
      <c r="E264" s="37"/>
      <c r="F264" s="37"/>
      <c r="G264" s="70"/>
    </row>
    <row r="265" spans="2:7" x14ac:dyDescent="0.25">
      <c r="B265" s="37"/>
      <c r="C265" s="37"/>
      <c r="D265" s="37"/>
      <c r="E265" s="37"/>
      <c r="F265" s="37"/>
      <c r="G265" s="70"/>
    </row>
    <row r="266" spans="2:7" x14ac:dyDescent="0.25">
      <c r="B266" s="37"/>
      <c r="C266" s="37"/>
      <c r="D266" s="37"/>
      <c r="E266" s="37"/>
      <c r="F266" s="37"/>
      <c r="G266" s="70"/>
    </row>
    <row r="267" spans="2:7" x14ac:dyDescent="0.25">
      <c r="B267" s="37"/>
      <c r="C267" s="37"/>
      <c r="D267" s="37"/>
      <c r="E267" s="37"/>
      <c r="F267" s="37"/>
      <c r="G267" s="70"/>
    </row>
    <row r="268" spans="2:7" x14ac:dyDescent="0.25">
      <c r="B268" s="37"/>
      <c r="C268" s="37"/>
      <c r="D268" s="37"/>
      <c r="E268" s="37"/>
      <c r="F268" s="37"/>
      <c r="G268" s="70"/>
    </row>
    <row r="269" spans="2:7" x14ac:dyDescent="0.25">
      <c r="B269" s="37"/>
      <c r="C269" s="37"/>
      <c r="D269" s="37"/>
      <c r="E269" s="37"/>
      <c r="F269" s="37"/>
      <c r="G269" s="70"/>
    </row>
    <row r="270" spans="2:7" x14ac:dyDescent="0.25">
      <c r="B270" s="37"/>
      <c r="C270" s="37"/>
      <c r="D270" s="37"/>
      <c r="E270" s="37"/>
      <c r="F270" s="37"/>
      <c r="G270" s="70"/>
    </row>
    <row r="271" spans="2:7" x14ac:dyDescent="0.25">
      <c r="B271" s="37"/>
      <c r="C271" s="37"/>
      <c r="D271" s="37"/>
      <c r="E271" s="37"/>
      <c r="F271" s="37"/>
      <c r="G271" s="70"/>
    </row>
    <row r="272" spans="2:7" x14ac:dyDescent="0.25">
      <c r="B272" s="37"/>
      <c r="C272" s="37"/>
      <c r="D272" s="37"/>
      <c r="E272" s="37"/>
      <c r="F272" s="37"/>
      <c r="G272" s="70"/>
    </row>
    <row r="273" spans="2:7" x14ac:dyDescent="0.25">
      <c r="B273" s="37"/>
      <c r="C273" s="37"/>
      <c r="D273" s="37"/>
      <c r="E273" s="37"/>
      <c r="F273" s="37"/>
      <c r="G273" s="70"/>
    </row>
    <row r="274" spans="2:7" x14ac:dyDescent="0.25">
      <c r="B274" s="37"/>
      <c r="C274" s="37"/>
      <c r="D274" s="37"/>
      <c r="E274" s="37"/>
      <c r="F274" s="37"/>
      <c r="G274" s="70"/>
    </row>
    <row r="275" spans="2:7" x14ac:dyDescent="0.25">
      <c r="B275" s="37"/>
      <c r="C275" s="37"/>
      <c r="D275" s="37"/>
      <c r="E275" s="37"/>
      <c r="F275" s="37"/>
      <c r="G275" s="70"/>
    </row>
    <row r="276" spans="2:7" x14ac:dyDescent="0.25">
      <c r="B276" s="37"/>
      <c r="C276" s="37"/>
      <c r="D276" s="37"/>
      <c r="E276" s="37"/>
      <c r="F276" s="37"/>
      <c r="G276" s="70"/>
    </row>
    <row r="277" spans="2:7" x14ac:dyDescent="0.25">
      <c r="B277" s="37"/>
      <c r="C277" s="37"/>
      <c r="D277" s="37"/>
      <c r="E277" s="37"/>
      <c r="F277" s="37"/>
      <c r="G277" s="70"/>
    </row>
    <row r="278" spans="2:7" x14ac:dyDescent="0.25">
      <c r="B278" s="37"/>
      <c r="C278" s="37"/>
      <c r="D278" s="37"/>
      <c r="E278" s="37"/>
      <c r="F278" s="37"/>
      <c r="G278" s="70"/>
    </row>
    <row r="279" spans="2:7" x14ac:dyDescent="0.25">
      <c r="B279" s="37"/>
      <c r="C279" s="37"/>
      <c r="D279" s="37"/>
      <c r="E279" s="37"/>
      <c r="F279" s="37"/>
      <c r="G279" s="70"/>
    </row>
    <row r="280" spans="2:7" x14ac:dyDescent="0.25">
      <c r="B280" s="37"/>
      <c r="C280" s="37"/>
      <c r="D280" s="37"/>
      <c r="E280" s="37"/>
      <c r="F280" s="37"/>
      <c r="G280" s="70"/>
    </row>
    <row r="281" spans="2:7" x14ac:dyDescent="0.25">
      <c r="B281" s="37"/>
      <c r="C281" s="37"/>
      <c r="D281" s="37"/>
      <c r="E281" s="37"/>
      <c r="F281" s="37"/>
      <c r="G281" s="70"/>
    </row>
    <row r="282" spans="2:7" x14ac:dyDescent="0.25">
      <c r="B282" s="37"/>
      <c r="C282" s="37"/>
      <c r="D282" s="37"/>
      <c r="E282" s="37"/>
      <c r="F282" s="37"/>
      <c r="G282" s="70"/>
    </row>
    <row r="283" spans="2:7" x14ac:dyDescent="0.25">
      <c r="B283" s="37"/>
      <c r="C283" s="37"/>
      <c r="D283" s="37"/>
      <c r="E283" s="37"/>
      <c r="F283" s="37"/>
      <c r="G283" s="70"/>
    </row>
    <row r="284" spans="2:7" x14ac:dyDescent="0.25">
      <c r="B284" s="37"/>
      <c r="C284" s="37"/>
      <c r="D284" s="37"/>
      <c r="E284" s="37"/>
      <c r="F284" s="37"/>
      <c r="G284" s="70"/>
    </row>
    <row r="285" spans="2:7" x14ac:dyDescent="0.25">
      <c r="B285" s="37"/>
      <c r="C285" s="37"/>
      <c r="D285" s="37"/>
      <c r="E285" s="37"/>
      <c r="F285" s="37"/>
      <c r="G285" s="70"/>
    </row>
    <row r="286" spans="2:7" x14ac:dyDescent="0.25">
      <c r="B286" s="37"/>
      <c r="C286" s="37"/>
      <c r="D286" s="37"/>
      <c r="E286" s="37"/>
      <c r="F286" s="37"/>
      <c r="G286" s="70"/>
    </row>
    <row r="287" spans="2:7" x14ac:dyDescent="0.25">
      <c r="B287" s="37"/>
      <c r="C287" s="37"/>
      <c r="D287" s="37"/>
      <c r="E287" s="37"/>
      <c r="F287" s="37"/>
      <c r="G287" s="70"/>
    </row>
    <row r="288" spans="2:7" x14ac:dyDescent="0.25">
      <c r="B288" s="37"/>
      <c r="C288" s="37"/>
      <c r="D288" s="37"/>
      <c r="E288" s="37"/>
      <c r="F288" s="37"/>
      <c r="G288" s="70"/>
    </row>
    <row r="289" spans="2:7" x14ac:dyDescent="0.25">
      <c r="B289" s="37"/>
      <c r="C289" s="37"/>
      <c r="D289" s="37"/>
      <c r="E289" s="37"/>
      <c r="F289" s="37"/>
      <c r="G289" s="70"/>
    </row>
    <row r="290" spans="2:7" x14ac:dyDescent="0.25">
      <c r="B290" s="37"/>
      <c r="C290" s="37"/>
      <c r="D290" s="37"/>
      <c r="E290" s="37"/>
      <c r="F290" s="37"/>
      <c r="G290" s="70"/>
    </row>
    <row r="291" spans="2:7" x14ac:dyDescent="0.25">
      <c r="B291" s="37"/>
      <c r="C291" s="37"/>
      <c r="D291" s="37"/>
      <c r="E291" s="37"/>
      <c r="F291" s="37"/>
      <c r="G291" s="70"/>
    </row>
    <row r="292" spans="2:7" x14ac:dyDescent="0.25">
      <c r="B292" s="37"/>
      <c r="C292" s="37"/>
      <c r="D292" s="37"/>
      <c r="E292" s="37"/>
      <c r="F292" s="37"/>
      <c r="G292" s="70"/>
    </row>
    <row r="293" spans="2:7" x14ac:dyDescent="0.25">
      <c r="B293" s="37"/>
      <c r="C293" s="37"/>
      <c r="D293" s="37"/>
      <c r="E293" s="37"/>
      <c r="F293" s="37"/>
      <c r="G293" s="70"/>
    </row>
    <row r="294" spans="2:7" x14ac:dyDescent="0.25">
      <c r="B294" s="37"/>
      <c r="C294" s="37"/>
      <c r="D294" s="37"/>
      <c r="E294" s="37"/>
      <c r="F294" s="37"/>
      <c r="G294" s="70"/>
    </row>
    <row r="295" spans="2:7" x14ac:dyDescent="0.25">
      <c r="B295" s="37"/>
      <c r="C295" s="37"/>
      <c r="D295" s="37"/>
      <c r="E295" s="37"/>
      <c r="F295" s="37"/>
      <c r="G295" s="70"/>
    </row>
    <row r="296" spans="2:7" x14ac:dyDescent="0.25">
      <c r="B296" s="37"/>
      <c r="C296" s="37"/>
      <c r="D296" s="37"/>
      <c r="E296" s="37"/>
      <c r="F296" s="37"/>
      <c r="G296" s="70"/>
    </row>
    <row r="297" spans="2:7" x14ac:dyDescent="0.25">
      <c r="B297" s="37"/>
      <c r="C297" s="37"/>
      <c r="D297" s="37"/>
      <c r="E297" s="37"/>
      <c r="F297" s="37"/>
      <c r="G297" s="70"/>
    </row>
    <row r="298" spans="2:7" x14ac:dyDescent="0.25">
      <c r="B298" s="37"/>
      <c r="C298" s="37"/>
      <c r="D298" s="37"/>
      <c r="E298" s="37"/>
      <c r="F298" s="37"/>
      <c r="G298" s="70"/>
    </row>
    <row r="299" spans="2:7" x14ac:dyDescent="0.25">
      <c r="B299" s="37"/>
      <c r="C299" s="37"/>
      <c r="D299" s="37"/>
      <c r="E299" s="37"/>
      <c r="F299" s="37"/>
      <c r="G299" s="70"/>
    </row>
    <row r="300" spans="2:7" x14ac:dyDescent="0.25">
      <c r="B300" s="37"/>
      <c r="C300" s="37"/>
      <c r="D300" s="37"/>
      <c r="E300" s="37"/>
      <c r="F300" s="37"/>
      <c r="G300" s="70"/>
    </row>
    <row r="301" spans="2:7" x14ac:dyDescent="0.25">
      <c r="B301" s="37"/>
      <c r="C301" s="37"/>
      <c r="D301" s="37"/>
      <c r="E301" s="37"/>
      <c r="F301" s="37"/>
      <c r="G301" s="70"/>
    </row>
    <row r="302" spans="2:7" x14ac:dyDescent="0.25">
      <c r="B302" s="37"/>
      <c r="C302" s="37"/>
      <c r="D302" s="37"/>
      <c r="E302" s="37"/>
      <c r="F302" s="37"/>
      <c r="G302" s="70"/>
    </row>
    <row r="303" spans="2:7" x14ac:dyDescent="0.25">
      <c r="B303" s="37"/>
      <c r="C303" s="37"/>
      <c r="D303" s="37"/>
      <c r="E303" s="37"/>
      <c r="F303" s="37"/>
      <c r="G303" s="70"/>
    </row>
    <row r="304" spans="2:7" x14ac:dyDescent="0.25">
      <c r="B304" s="37"/>
      <c r="C304" s="37"/>
      <c r="D304" s="37"/>
      <c r="E304" s="37"/>
      <c r="F304" s="37"/>
      <c r="G304" s="70"/>
    </row>
    <row r="305" spans="2:7" x14ac:dyDescent="0.25">
      <c r="B305" s="37"/>
      <c r="C305" s="37"/>
      <c r="D305" s="37"/>
      <c r="E305" s="37"/>
      <c r="F305" s="37"/>
      <c r="G305" s="70"/>
    </row>
    <row r="306" spans="2:7" x14ac:dyDescent="0.25">
      <c r="B306" s="37"/>
      <c r="C306" s="37"/>
      <c r="D306" s="37"/>
      <c r="E306" s="37"/>
      <c r="F306" s="37"/>
      <c r="G306" s="70"/>
    </row>
    <row r="307" spans="2:7" x14ac:dyDescent="0.25">
      <c r="B307" s="37"/>
      <c r="C307" s="37"/>
      <c r="D307" s="37"/>
      <c r="E307" s="37"/>
      <c r="F307" s="37"/>
      <c r="G307" s="70"/>
    </row>
    <row r="308" spans="2:7" x14ac:dyDescent="0.25">
      <c r="B308" s="37"/>
      <c r="C308" s="37"/>
      <c r="D308" s="37"/>
      <c r="E308" s="37"/>
      <c r="F308" s="37"/>
      <c r="G308" s="70"/>
    </row>
    <row r="309" spans="2:7" x14ac:dyDescent="0.25">
      <c r="B309" s="37"/>
      <c r="C309" s="37"/>
      <c r="D309" s="37"/>
      <c r="E309" s="37"/>
      <c r="F309" s="37"/>
      <c r="G309" s="70"/>
    </row>
    <row r="310" spans="2:7" x14ac:dyDescent="0.25">
      <c r="B310" s="37"/>
      <c r="C310" s="37"/>
      <c r="D310" s="37"/>
      <c r="E310" s="37"/>
      <c r="F310" s="37"/>
      <c r="G310" s="70"/>
    </row>
    <row r="311" spans="2:7" x14ac:dyDescent="0.25">
      <c r="B311" s="37"/>
      <c r="C311" s="37"/>
      <c r="D311" s="37"/>
      <c r="E311" s="37"/>
      <c r="F311" s="37"/>
      <c r="G311" s="70"/>
    </row>
    <row r="312" spans="2:7" x14ac:dyDescent="0.25">
      <c r="B312" s="37"/>
      <c r="C312" s="37"/>
      <c r="D312" s="37"/>
      <c r="E312" s="37"/>
      <c r="F312" s="37"/>
      <c r="G312" s="70"/>
    </row>
    <row r="313" spans="2:7" x14ac:dyDescent="0.25">
      <c r="B313" s="37"/>
      <c r="C313" s="37"/>
      <c r="D313" s="37"/>
      <c r="E313" s="37"/>
      <c r="F313" s="37"/>
      <c r="G313" s="70"/>
    </row>
    <row r="314" spans="2:7" x14ac:dyDescent="0.25">
      <c r="B314" s="37"/>
      <c r="C314" s="37"/>
      <c r="D314" s="37"/>
      <c r="E314" s="37"/>
      <c r="F314" s="37"/>
      <c r="G314" s="70"/>
    </row>
    <row r="315" spans="2:7" x14ac:dyDescent="0.25">
      <c r="B315" s="37"/>
      <c r="C315" s="37"/>
      <c r="D315" s="37"/>
      <c r="E315" s="37"/>
      <c r="F315" s="37"/>
      <c r="G315" s="70"/>
    </row>
    <row r="316" spans="2:7" x14ac:dyDescent="0.25">
      <c r="B316" s="37"/>
      <c r="C316" s="37"/>
      <c r="D316" s="37"/>
      <c r="E316" s="37"/>
      <c r="F316" s="37"/>
      <c r="G316" s="70"/>
    </row>
    <row r="317" spans="2:7" x14ac:dyDescent="0.25">
      <c r="B317" s="37"/>
      <c r="C317" s="37"/>
      <c r="D317" s="37"/>
      <c r="E317" s="37"/>
      <c r="F317" s="37"/>
      <c r="G317" s="70"/>
    </row>
    <row r="318" spans="2:7" x14ac:dyDescent="0.25">
      <c r="B318" s="37"/>
      <c r="C318" s="37"/>
      <c r="D318" s="37"/>
      <c r="E318" s="37"/>
      <c r="F318" s="37"/>
      <c r="G318" s="70"/>
    </row>
    <row r="319" spans="2:7" x14ac:dyDescent="0.25">
      <c r="B319" s="37"/>
      <c r="C319" s="37"/>
      <c r="D319" s="37"/>
      <c r="E319" s="37"/>
      <c r="F319" s="37"/>
      <c r="G319" s="70"/>
    </row>
    <row r="320" spans="2:7" x14ac:dyDescent="0.25">
      <c r="B320" s="37"/>
      <c r="C320" s="37"/>
      <c r="D320" s="37"/>
      <c r="E320" s="37"/>
      <c r="F320" s="37"/>
      <c r="G320" s="70"/>
    </row>
    <row r="321" spans="2:7" x14ac:dyDescent="0.25">
      <c r="B321" s="37"/>
      <c r="C321" s="37"/>
      <c r="D321" s="37"/>
      <c r="E321" s="37"/>
      <c r="F321" s="37"/>
      <c r="G321" s="70"/>
    </row>
    <row r="322" spans="2:7" x14ac:dyDescent="0.25">
      <c r="B322" s="37"/>
      <c r="C322" s="37"/>
      <c r="D322" s="37"/>
      <c r="E322" s="37"/>
      <c r="F322" s="37"/>
      <c r="G322" s="70"/>
    </row>
    <row r="323" spans="2:7" x14ac:dyDescent="0.25">
      <c r="B323" s="37"/>
      <c r="C323" s="37"/>
      <c r="D323" s="37"/>
      <c r="E323" s="37"/>
      <c r="F323" s="37"/>
      <c r="G323" s="70"/>
    </row>
    <row r="324" spans="2:7" x14ac:dyDescent="0.25">
      <c r="B324" s="37"/>
      <c r="C324" s="37"/>
      <c r="D324" s="37"/>
      <c r="E324" s="37"/>
      <c r="F324" s="37"/>
      <c r="G324" s="70"/>
    </row>
    <row r="325" spans="2:7" x14ac:dyDescent="0.25">
      <c r="B325" s="37"/>
      <c r="C325" s="37"/>
      <c r="D325" s="37"/>
      <c r="E325" s="37"/>
      <c r="F325" s="37"/>
      <c r="G325" s="70"/>
    </row>
    <row r="326" spans="2:7" x14ac:dyDescent="0.25">
      <c r="B326" s="37"/>
      <c r="C326" s="37"/>
      <c r="D326" s="37"/>
      <c r="E326" s="37"/>
      <c r="F326" s="37"/>
      <c r="G326" s="70"/>
    </row>
    <row r="327" spans="2:7" x14ac:dyDescent="0.25">
      <c r="B327" s="37"/>
      <c r="C327" s="37"/>
      <c r="D327" s="37"/>
      <c r="E327" s="37"/>
      <c r="F327" s="37"/>
      <c r="G327" s="70"/>
    </row>
    <row r="328" spans="2:7" x14ac:dyDescent="0.25">
      <c r="B328" s="37"/>
      <c r="C328" s="37"/>
      <c r="D328" s="37"/>
      <c r="E328" s="37"/>
      <c r="F328" s="37"/>
      <c r="G328" s="70"/>
    </row>
    <row r="329" spans="2:7" x14ac:dyDescent="0.25">
      <c r="B329" s="37"/>
      <c r="C329" s="37"/>
      <c r="D329" s="37"/>
      <c r="E329" s="37"/>
      <c r="F329" s="37"/>
      <c r="G329" s="70"/>
    </row>
    <row r="330" spans="2:7" x14ac:dyDescent="0.25">
      <c r="B330" s="37"/>
      <c r="C330" s="37"/>
      <c r="D330" s="37"/>
      <c r="E330" s="37"/>
      <c r="F330" s="37"/>
      <c r="G330" s="70"/>
    </row>
    <row r="331" spans="2:7" x14ac:dyDescent="0.25">
      <c r="B331" s="37"/>
      <c r="C331" s="37"/>
      <c r="D331" s="37"/>
      <c r="E331" s="37"/>
      <c r="F331" s="37"/>
      <c r="G331" s="70"/>
    </row>
    <row r="332" spans="2:7" x14ac:dyDescent="0.25">
      <c r="B332" s="37"/>
      <c r="C332" s="37"/>
      <c r="D332" s="37"/>
      <c r="E332" s="37"/>
      <c r="F332" s="37"/>
      <c r="G332" s="70"/>
    </row>
    <row r="333" spans="2:7" x14ac:dyDescent="0.25">
      <c r="B333" s="37"/>
      <c r="C333" s="37"/>
      <c r="D333" s="37"/>
      <c r="E333" s="37"/>
      <c r="F333" s="37"/>
      <c r="G333" s="70"/>
    </row>
    <row r="334" spans="2:7" x14ac:dyDescent="0.25">
      <c r="B334" s="37"/>
      <c r="C334" s="37"/>
      <c r="D334" s="37"/>
      <c r="E334" s="37"/>
      <c r="F334" s="37"/>
      <c r="G334" s="70"/>
    </row>
    <row r="335" spans="2:7" x14ac:dyDescent="0.25">
      <c r="B335" s="37"/>
      <c r="C335" s="37"/>
      <c r="D335" s="37"/>
      <c r="E335" s="37"/>
      <c r="F335" s="37"/>
      <c r="G335" s="70"/>
    </row>
    <row r="336" spans="2:7" x14ac:dyDescent="0.25">
      <c r="B336" s="37"/>
      <c r="C336" s="37"/>
      <c r="D336" s="37"/>
      <c r="E336" s="37"/>
      <c r="F336" s="37"/>
      <c r="G336" s="70"/>
    </row>
    <row r="337" spans="2:7" x14ac:dyDescent="0.25">
      <c r="B337" s="37"/>
      <c r="C337" s="37"/>
      <c r="D337" s="37"/>
      <c r="E337" s="37"/>
      <c r="F337" s="37"/>
      <c r="G337" s="70"/>
    </row>
    <row r="338" spans="2:7" x14ac:dyDescent="0.25">
      <c r="B338" s="37"/>
      <c r="C338" s="37"/>
      <c r="D338" s="37"/>
      <c r="E338" s="37"/>
      <c r="F338" s="37"/>
      <c r="G338" s="70"/>
    </row>
    <row r="339" spans="2:7" x14ac:dyDescent="0.25">
      <c r="B339" s="37"/>
      <c r="C339" s="37"/>
      <c r="D339" s="37"/>
      <c r="E339" s="37"/>
      <c r="F339" s="37"/>
      <c r="G339" s="70"/>
    </row>
    <row r="340" spans="2:7" x14ac:dyDescent="0.25">
      <c r="B340" s="37"/>
      <c r="C340" s="37"/>
      <c r="D340" s="37"/>
      <c r="E340" s="37"/>
      <c r="F340" s="37"/>
      <c r="G340" s="70"/>
    </row>
    <row r="341" spans="2:7" x14ac:dyDescent="0.25">
      <c r="B341" s="37"/>
      <c r="C341" s="37"/>
      <c r="D341" s="37"/>
      <c r="E341" s="37"/>
      <c r="F341" s="37"/>
      <c r="G341" s="70"/>
    </row>
    <row r="342" spans="2:7" x14ac:dyDescent="0.25">
      <c r="B342" s="37"/>
      <c r="C342" s="37"/>
      <c r="D342" s="37"/>
      <c r="E342" s="37"/>
      <c r="F342" s="37"/>
      <c r="G342" s="70"/>
    </row>
    <row r="343" spans="2:7" x14ac:dyDescent="0.25">
      <c r="B343" s="37"/>
      <c r="C343" s="37"/>
      <c r="D343" s="37"/>
      <c r="E343" s="37"/>
      <c r="F343" s="37"/>
      <c r="G343" s="70"/>
    </row>
    <row r="344" spans="2:7" x14ac:dyDescent="0.25">
      <c r="B344" s="37"/>
      <c r="C344" s="37"/>
      <c r="D344" s="37"/>
      <c r="E344" s="37"/>
      <c r="F344" s="37"/>
      <c r="G344" s="70"/>
    </row>
    <row r="345" spans="2:7" x14ac:dyDescent="0.25">
      <c r="B345" s="37"/>
      <c r="C345" s="37"/>
      <c r="D345" s="37"/>
      <c r="E345" s="37"/>
      <c r="F345" s="37"/>
      <c r="G345" s="70"/>
    </row>
    <row r="346" spans="2:7" x14ac:dyDescent="0.25">
      <c r="B346" s="37"/>
      <c r="C346" s="37"/>
      <c r="D346" s="37"/>
      <c r="E346" s="37"/>
      <c r="F346" s="37"/>
      <c r="G346" s="70"/>
    </row>
    <row r="347" spans="2:7" x14ac:dyDescent="0.25">
      <c r="B347" s="37"/>
      <c r="C347" s="37"/>
      <c r="D347" s="37"/>
      <c r="E347" s="37"/>
      <c r="F347" s="37"/>
      <c r="G347" s="70"/>
    </row>
    <row r="348" spans="2:7" x14ac:dyDescent="0.25">
      <c r="B348" s="37"/>
      <c r="C348" s="37"/>
      <c r="D348" s="37"/>
      <c r="E348" s="37"/>
      <c r="F348" s="37"/>
      <c r="G348" s="70"/>
    </row>
    <row r="349" spans="2:7" x14ac:dyDescent="0.25">
      <c r="B349" s="37"/>
      <c r="C349" s="37"/>
      <c r="D349" s="37"/>
      <c r="E349" s="37"/>
      <c r="F349" s="37"/>
      <c r="G349" s="70"/>
    </row>
    <row r="350" spans="2:7" x14ac:dyDescent="0.25">
      <c r="B350" s="37"/>
      <c r="C350" s="37"/>
      <c r="D350" s="37"/>
      <c r="E350" s="37"/>
      <c r="F350" s="37"/>
      <c r="G350" s="70"/>
    </row>
    <row r="351" spans="2:7" x14ac:dyDescent="0.25">
      <c r="B351" s="37"/>
      <c r="C351" s="37"/>
      <c r="D351" s="37"/>
      <c r="E351" s="37"/>
      <c r="F351" s="37"/>
      <c r="G351" s="70"/>
    </row>
    <row r="352" spans="2:7" x14ac:dyDescent="0.25">
      <c r="B352" s="37"/>
      <c r="C352" s="37"/>
      <c r="D352" s="37"/>
      <c r="E352" s="37"/>
      <c r="F352" s="37"/>
      <c r="G352" s="70"/>
    </row>
    <row r="353" spans="2:7" x14ac:dyDescent="0.25">
      <c r="B353" s="37"/>
      <c r="C353" s="37"/>
      <c r="D353" s="37"/>
      <c r="E353" s="37"/>
      <c r="F353" s="37"/>
      <c r="G353" s="70"/>
    </row>
    <row r="354" spans="2:7" x14ac:dyDescent="0.25">
      <c r="B354" s="37"/>
      <c r="C354" s="37"/>
      <c r="D354" s="37"/>
      <c r="E354" s="37"/>
      <c r="F354" s="37"/>
      <c r="G354" s="70"/>
    </row>
    <row r="355" spans="2:7" x14ac:dyDescent="0.25">
      <c r="B355" s="37"/>
      <c r="C355" s="37"/>
      <c r="D355" s="37"/>
      <c r="E355" s="37"/>
      <c r="F355" s="37"/>
      <c r="G355" s="70"/>
    </row>
    <row r="356" spans="2:7" x14ac:dyDescent="0.25">
      <c r="B356" s="37"/>
      <c r="C356" s="37"/>
      <c r="D356" s="37"/>
      <c r="E356" s="37"/>
      <c r="F356" s="37"/>
      <c r="G356" s="70"/>
    </row>
    <row r="357" spans="2:7" x14ac:dyDescent="0.25">
      <c r="B357" s="37"/>
      <c r="C357" s="37"/>
      <c r="D357" s="37"/>
      <c r="E357" s="37"/>
      <c r="F357" s="37"/>
      <c r="G357" s="70"/>
    </row>
    <row r="358" spans="2:7" x14ac:dyDescent="0.25">
      <c r="B358" s="37"/>
      <c r="C358" s="37"/>
      <c r="D358" s="37"/>
      <c r="E358" s="37"/>
      <c r="F358" s="37"/>
      <c r="G358" s="70"/>
    </row>
    <row r="359" spans="2:7" x14ac:dyDescent="0.25">
      <c r="B359" s="37"/>
      <c r="C359" s="37"/>
      <c r="D359" s="37"/>
      <c r="E359" s="37"/>
      <c r="F359" s="37"/>
      <c r="G359" s="70"/>
    </row>
    <row r="360" spans="2:7" x14ac:dyDescent="0.25">
      <c r="B360" s="37"/>
      <c r="C360" s="37"/>
      <c r="D360" s="37"/>
      <c r="E360" s="37"/>
      <c r="F360" s="37"/>
      <c r="G360" s="70"/>
    </row>
    <row r="361" spans="2:7" x14ac:dyDescent="0.25">
      <c r="B361" s="37"/>
      <c r="C361" s="37"/>
      <c r="D361" s="37"/>
      <c r="E361" s="37"/>
      <c r="F361" s="37"/>
      <c r="G361" s="70"/>
    </row>
    <row r="362" spans="2:7" x14ac:dyDescent="0.25">
      <c r="B362" s="37"/>
      <c r="C362" s="37"/>
      <c r="D362" s="37"/>
      <c r="E362" s="37"/>
      <c r="F362" s="37"/>
      <c r="G362" s="70"/>
    </row>
    <row r="363" spans="2:7" x14ac:dyDescent="0.25">
      <c r="B363" s="37"/>
      <c r="C363" s="37"/>
      <c r="D363" s="37"/>
      <c r="E363" s="37"/>
      <c r="F363" s="37"/>
      <c r="G363" s="70"/>
    </row>
    <row r="364" spans="2:7" x14ac:dyDescent="0.25">
      <c r="B364" s="37"/>
      <c r="C364" s="37"/>
      <c r="D364" s="37"/>
      <c r="E364" s="37"/>
      <c r="F364" s="37"/>
      <c r="G364" s="70"/>
    </row>
    <row r="365" spans="2:7" x14ac:dyDescent="0.25">
      <c r="B365" s="37"/>
      <c r="C365" s="37"/>
      <c r="D365" s="37"/>
      <c r="E365" s="37"/>
      <c r="F365" s="37"/>
      <c r="G365" s="70"/>
    </row>
    <row r="366" spans="2:7" x14ac:dyDescent="0.25">
      <c r="B366" s="37"/>
      <c r="C366" s="37"/>
      <c r="D366" s="37"/>
      <c r="E366" s="37"/>
      <c r="F366" s="37"/>
      <c r="G366" s="70"/>
    </row>
    <row r="367" spans="2:7" x14ac:dyDescent="0.25">
      <c r="B367" s="37"/>
      <c r="C367" s="37"/>
      <c r="D367" s="37"/>
      <c r="E367" s="37"/>
      <c r="F367" s="37"/>
      <c r="G367" s="70"/>
    </row>
    <row r="368" spans="2:7" x14ac:dyDescent="0.25">
      <c r="B368" s="37"/>
      <c r="C368" s="37"/>
      <c r="D368" s="37"/>
      <c r="E368" s="37"/>
      <c r="F368" s="37"/>
      <c r="G368" s="70"/>
    </row>
    <row r="369" spans="2:7" x14ac:dyDescent="0.25">
      <c r="B369" s="37"/>
      <c r="C369" s="37"/>
      <c r="D369" s="37"/>
      <c r="E369" s="37"/>
      <c r="F369" s="37"/>
      <c r="G369" s="70"/>
    </row>
    <row r="370" spans="2:7" x14ac:dyDescent="0.25">
      <c r="B370" s="37"/>
      <c r="C370" s="37"/>
      <c r="D370" s="37"/>
      <c r="E370" s="37"/>
      <c r="F370" s="37"/>
      <c r="G370" s="70"/>
    </row>
    <row r="371" spans="2:7" x14ac:dyDescent="0.25">
      <c r="B371" s="37"/>
      <c r="C371" s="37"/>
      <c r="D371" s="37"/>
      <c r="E371" s="37"/>
      <c r="F371" s="37"/>
      <c r="G371" s="70"/>
    </row>
    <row r="372" spans="2:7" x14ac:dyDescent="0.25">
      <c r="B372" s="37"/>
      <c r="C372" s="37"/>
      <c r="D372" s="37"/>
      <c r="E372" s="37"/>
      <c r="F372" s="37"/>
      <c r="G372" s="70"/>
    </row>
    <row r="373" spans="2:7" x14ac:dyDescent="0.25">
      <c r="B373" s="37"/>
      <c r="C373" s="37"/>
      <c r="D373" s="37"/>
      <c r="E373" s="37"/>
      <c r="F373" s="37"/>
      <c r="G373" s="70"/>
    </row>
    <row r="374" spans="2:7" x14ac:dyDescent="0.25">
      <c r="B374" s="37"/>
      <c r="C374" s="37"/>
      <c r="D374" s="37"/>
      <c r="E374" s="37"/>
      <c r="F374" s="37"/>
      <c r="G374" s="70"/>
    </row>
    <row r="375" spans="2:7" x14ac:dyDescent="0.25">
      <c r="B375" s="37"/>
      <c r="C375" s="37"/>
      <c r="D375" s="37"/>
      <c r="E375" s="37"/>
      <c r="F375" s="37"/>
      <c r="G375" s="70"/>
    </row>
    <row r="376" spans="2:7" x14ac:dyDescent="0.25">
      <c r="B376" s="37"/>
      <c r="C376" s="37"/>
      <c r="D376" s="37"/>
      <c r="E376" s="37"/>
      <c r="F376" s="37"/>
      <c r="G376" s="70"/>
    </row>
    <row r="377" spans="2:7" x14ac:dyDescent="0.25">
      <c r="B377" s="37"/>
      <c r="C377" s="37"/>
      <c r="D377" s="37"/>
      <c r="E377" s="37"/>
      <c r="F377" s="37"/>
      <c r="G377" s="70"/>
    </row>
    <row r="378" spans="2:7" x14ac:dyDescent="0.25">
      <c r="B378" s="37"/>
      <c r="C378" s="37"/>
      <c r="D378" s="37"/>
      <c r="E378" s="37"/>
      <c r="F378" s="37"/>
      <c r="G378" s="70"/>
    </row>
    <row r="379" spans="2:7" x14ac:dyDescent="0.25">
      <c r="B379" s="37"/>
      <c r="C379" s="37"/>
      <c r="D379" s="37"/>
      <c r="E379" s="37"/>
      <c r="F379" s="37"/>
      <c r="G379" s="70"/>
    </row>
    <row r="380" spans="2:7" x14ac:dyDescent="0.25">
      <c r="B380" s="37"/>
      <c r="C380" s="37"/>
      <c r="D380" s="37"/>
      <c r="E380" s="37"/>
      <c r="F380" s="37"/>
      <c r="G380" s="70"/>
    </row>
    <row r="381" spans="2:7" x14ac:dyDescent="0.25">
      <c r="B381" s="37"/>
      <c r="C381" s="37"/>
      <c r="D381" s="37"/>
      <c r="E381" s="37"/>
      <c r="F381" s="37"/>
      <c r="G381" s="70"/>
    </row>
    <row r="382" spans="2:7" x14ac:dyDescent="0.25">
      <c r="B382" s="37"/>
      <c r="C382" s="37"/>
      <c r="D382" s="37"/>
      <c r="E382" s="37"/>
      <c r="F382" s="37"/>
      <c r="G382" s="70"/>
    </row>
    <row r="383" spans="2:7" x14ac:dyDescent="0.25">
      <c r="B383" s="37"/>
      <c r="C383" s="37"/>
      <c r="D383" s="37"/>
      <c r="E383" s="37"/>
      <c r="F383" s="37"/>
      <c r="G383" s="70"/>
    </row>
    <row r="384" spans="2:7" x14ac:dyDescent="0.25">
      <c r="B384" s="37"/>
      <c r="C384" s="37"/>
      <c r="D384" s="37"/>
      <c r="E384" s="37"/>
      <c r="F384" s="37"/>
      <c r="G384" s="70"/>
    </row>
    <row r="385" spans="2:7" x14ac:dyDescent="0.25">
      <c r="B385" s="37"/>
      <c r="C385" s="37"/>
      <c r="D385" s="37"/>
      <c r="E385" s="37"/>
      <c r="F385" s="37"/>
      <c r="G385" s="70"/>
    </row>
    <row r="386" spans="2:7" x14ac:dyDescent="0.25">
      <c r="B386" s="37"/>
      <c r="C386" s="37"/>
      <c r="D386" s="37"/>
      <c r="E386" s="37"/>
      <c r="F386" s="37"/>
      <c r="G386" s="70"/>
    </row>
    <row r="387" spans="2:7" x14ac:dyDescent="0.25">
      <c r="B387" s="37"/>
      <c r="C387" s="37"/>
      <c r="D387" s="37"/>
      <c r="E387" s="37"/>
      <c r="F387" s="37"/>
      <c r="G387" s="70"/>
    </row>
    <row r="388" spans="2:7" x14ac:dyDescent="0.25">
      <c r="B388" s="37"/>
      <c r="C388" s="37"/>
      <c r="D388" s="37"/>
      <c r="E388" s="37"/>
      <c r="F388" s="37"/>
      <c r="G388" s="70"/>
    </row>
    <row r="389" spans="2:7" x14ac:dyDescent="0.25">
      <c r="B389" s="37"/>
      <c r="C389" s="37"/>
      <c r="D389" s="37"/>
      <c r="E389" s="37"/>
      <c r="F389" s="37"/>
      <c r="G389" s="70"/>
    </row>
    <row r="390" spans="2:7" x14ac:dyDescent="0.25">
      <c r="B390" s="37"/>
      <c r="C390" s="37"/>
      <c r="D390" s="37"/>
      <c r="E390" s="37"/>
      <c r="F390" s="37"/>
      <c r="G390" s="70"/>
    </row>
    <row r="391" spans="2:7" x14ac:dyDescent="0.25">
      <c r="B391" s="37"/>
      <c r="C391" s="37"/>
      <c r="D391" s="37"/>
      <c r="E391" s="37"/>
      <c r="F391" s="37"/>
      <c r="G391" s="70"/>
    </row>
    <row r="392" spans="2:7" x14ac:dyDescent="0.25">
      <c r="B392" s="37"/>
      <c r="C392" s="37"/>
      <c r="D392" s="37"/>
      <c r="E392" s="37"/>
      <c r="F392" s="37"/>
      <c r="G392" s="70"/>
    </row>
    <row r="393" spans="2:7" x14ac:dyDescent="0.25">
      <c r="B393" s="37"/>
      <c r="C393" s="37"/>
      <c r="D393" s="37"/>
      <c r="E393" s="37"/>
      <c r="F393" s="37"/>
      <c r="G393" s="70"/>
    </row>
    <row r="394" spans="2:7" x14ac:dyDescent="0.25">
      <c r="B394" s="37"/>
      <c r="C394" s="37"/>
      <c r="D394" s="37"/>
      <c r="E394" s="37"/>
      <c r="F394" s="37"/>
      <c r="G394" s="70"/>
    </row>
    <row r="395" spans="2:7" x14ac:dyDescent="0.25">
      <c r="B395" s="37"/>
      <c r="C395" s="37"/>
      <c r="D395" s="37"/>
      <c r="E395" s="37"/>
      <c r="F395" s="37"/>
      <c r="G395" s="70"/>
    </row>
    <row r="396" spans="2:7" x14ac:dyDescent="0.25">
      <c r="B396" s="37"/>
      <c r="C396" s="37"/>
      <c r="D396" s="37"/>
      <c r="E396" s="37"/>
      <c r="F396" s="37"/>
      <c r="G396" s="70"/>
    </row>
    <row r="397" spans="2:7" x14ac:dyDescent="0.25">
      <c r="B397" s="37"/>
      <c r="C397" s="37"/>
      <c r="D397" s="37"/>
      <c r="E397" s="37"/>
      <c r="F397" s="37"/>
      <c r="G397" s="70"/>
    </row>
    <row r="398" spans="2:7" x14ac:dyDescent="0.25">
      <c r="B398" s="37"/>
      <c r="C398" s="37"/>
      <c r="D398" s="37"/>
      <c r="E398" s="37"/>
      <c r="F398" s="37"/>
      <c r="G398" s="70"/>
    </row>
    <row r="399" spans="2:7" x14ac:dyDescent="0.25">
      <c r="B399" s="37"/>
      <c r="C399" s="37"/>
      <c r="D399" s="37"/>
      <c r="E399" s="37"/>
      <c r="F399" s="37"/>
      <c r="G399" s="70"/>
    </row>
    <row r="400" spans="2:7" x14ac:dyDescent="0.25">
      <c r="B400" s="37"/>
      <c r="C400" s="37"/>
      <c r="D400" s="37"/>
      <c r="E400" s="37"/>
      <c r="F400" s="37"/>
      <c r="G400" s="70"/>
    </row>
    <row r="401" spans="2:7" x14ac:dyDescent="0.25">
      <c r="B401" s="37"/>
      <c r="C401" s="37"/>
      <c r="D401" s="37"/>
      <c r="E401" s="37"/>
      <c r="F401" s="37"/>
      <c r="G401" s="70"/>
    </row>
    <row r="402" spans="2:7" x14ac:dyDescent="0.25">
      <c r="B402" s="37"/>
      <c r="C402" s="37"/>
      <c r="D402" s="37"/>
      <c r="E402" s="37"/>
      <c r="F402" s="37"/>
      <c r="G402" s="70"/>
    </row>
    <row r="403" spans="2:7" x14ac:dyDescent="0.25">
      <c r="B403" s="37"/>
      <c r="C403" s="37"/>
      <c r="D403" s="37"/>
      <c r="E403" s="37"/>
      <c r="F403" s="37"/>
      <c r="G403" s="70"/>
    </row>
    <row r="404" spans="2:7" x14ac:dyDescent="0.25">
      <c r="B404" s="37"/>
      <c r="C404" s="37"/>
      <c r="D404" s="37"/>
      <c r="E404" s="37"/>
      <c r="F404" s="37"/>
      <c r="G404" s="70"/>
    </row>
    <row r="405" spans="2:7" x14ac:dyDescent="0.25">
      <c r="B405" s="37"/>
      <c r="C405" s="37"/>
      <c r="D405" s="37"/>
      <c r="E405" s="37"/>
      <c r="F405" s="37"/>
      <c r="G405" s="70"/>
    </row>
    <row r="406" spans="2:7" x14ac:dyDescent="0.25">
      <c r="B406" s="37"/>
      <c r="C406" s="37"/>
      <c r="D406" s="37"/>
      <c r="E406" s="37"/>
      <c r="F406" s="37"/>
      <c r="G406" s="70"/>
    </row>
    <row r="407" spans="2:7" x14ac:dyDescent="0.25">
      <c r="B407" s="37"/>
      <c r="C407" s="37"/>
      <c r="D407" s="37"/>
      <c r="E407" s="37"/>
      <c r="F407" s="37"/>
      <c r="G407" s="70"/>
    </row>
    <row r="408" spans="2:7" x14ac:dyDescent="0.25">
      <c r="B408" s="37"/>
      <c r="C408" s="37"/>
      <c r="D408" s="37"/>
      <c r="E408" s="37"/>
      <c r="F408" s="37"/>
      <c r="G408" s="70"/>
    </row>
    <row r="409" spans="2:7" x14ac:dyDescent="0.25">
      <c r="B409" s="37"/>
      <c r="C409" s="37"/>
      <c r="D409" s="37"/>
      <c r="E409" s="37"/>
      <c r="F409" s="37"/>
      <c r="G409" s="70"/>
    </row>
    <row r="410" spans="2:7" x14ac:dyDescent="0.25">
      <c r="B410" s="37"/>
      <c r="C410" s="37"/>
      <c r="D410" s="37"/>
      <c r="E410" s="37"/>
      <c r="F410" s="37"/>
      <c r="G410" s="70"/>
    </row>
    <row r="411" spans="2:7" x14ac:dyDescent="0.25">
      <c r="B411" s="37"/>
      <c r="C411" s="37"/>
      <c r="D411" s="37"/>
      <c r="E411" s="37"/>
      <c r="F411" s="37"/>
      <c r="G411" s="70"/>
    </row>
    <row r="412" spans="2:7" x14ac:dyDescent="0.25">
      <c r="B412" s="37"/>
      <c r="C412" s="37"/>
      <c r="D412" s="37"/>
      <c r="E412" s="37"/>
      <c r="F412" s="37"/>
      <c r="G412" s="70"/>
    </row>
    <row r="413" spans="2:7" x14ac:dyDescent="0.25">
      <c r="B413" s="37"/>
      <c r="C413" s="37"/>
      <c r="D413" s="37"/>
      <c r="E413" s="37"/>
      <c r="F413" s="37"/>
      <c r="G413" s="70"/>
    </row>
    <row r="414" spans="2:7" x14ac:dyDescent="0.25">
      <c r="B414" s="37"/>
      <c r="C414" s="37"/>
      <c r="D414" s="37"/>
      <c r="E414" s="37"/>
      <c r="F414" s="37"/>
      <c r="G414" s="70"/>
    </row>
    <row r="415" spans="2:7" x14ac:dyDescent="0.25">
      <c r="B415" s="37"/>
      <c r="C415" s="37"/>
      <c r="D415" s="37"/>
      <c r="E415" s="37"/>
      <c r="F415" s="37"/>
      <c r="G415" s="70"/>
    </row>
    <row r="416" spans="2:7" x14ac:dyDescent="0.25">
      <c r="B416" s="37"/>
      <c r="C416" s="37"/>
      <c r="D416" s="37"/>
      <c r="E416" s="37"/>
      <c r="F416" s="37"/>
      <c r="G416" s="70"/>
    </row>
    <row r="417" spans="2:7" x14ac:dyDescent="0.25">
      <c r="B417" s="37"/>
      <c r="C417" s="37"/>
      <c r="D417" s="37"/>
      <c r="E417" s="37"/>
      <c r="F417" s="37"/>
      <c r="G417" s="70"/>
    </row>
    <row r="418" spans="2:7" x14ac:dyDescent="0.25">
      <c r="B418" s="37"/>
      <c r="C418" s="37"/>
      <c r="D418" s="37"/>
      <c r="E418" s="37"/>
      <c r="F418" s="37"/>
      <c r="G418" s="70"/>
    </row>
    <row r="419" spans="2:7" x14ac:dyDescent="0.25">
      <c r="B419" s="37"/>
      <c r="C419" s="37"/>
      <c r="D419" s="37"/>
      <c r="E419" s="37"/>
      <c r="F419" s="37"/>
      <c r="G419" s="70"/>
    </row>
    <row r="420" spans="2:7" x14ac:dyDescent="0.25">
      <c r="B420" s="37"/>
      <c r="C420" s="37"/>
      <c r="D420" s="37"/>
      <c r="E420" s="37"/>
      <c r="F420" s="37"/>
      <c r="G420" s="70"/>
    </row>
    <row r="421" spans="2:7" x14ac:dyDescent="0.25">
      <c r="B421" s="37"/>
      <c r="C421" s="37"/>
      <c r="D421" s="37"/>
      <c r="E421" s="37"/>
      <c r="F421" s="37"/>
      <c r="G421" s="70"/>
    </row>
    <row r="422" spans="2:7" x14ac:dyDescent="0.25">
      <c r="B422" s="37"/>
      <c r="C422" s="37"/>
      <c r="D422" s="37"/>
      <c r="E422" s="37"/>
      <c r="F422" s="37"/>
      <c r="G422" s="70"/>
    </row>
    <row r="423" spans="2:7" x14ac:dyDescent="0.25">
      <c r="B423" s="37"/>
      <c r="C423" s="37"/>
      <c r="D423" s="37"/>
      <c r="E423" s="37"/>
      <c r="F423" s="37"/>
      <c r="G423" s="70"/>
    </row>
    <row r="424" spans="2:7" x14ac:dyDescent="0.25">
      <c r="B424" s="37"/>
      <c r="C424" s="37"/>
      <c r="D424" s="37"/>
      <c r="E424" s="37"/>
      <c r="F424" s="37"/>
      <c r="G424" s="70"/>
    </row>
    <row r="425" spans="2:7" x14ac:dyDescent="0.25">
      <c r="B425" s="37"/>
      <c r="C425" s="37"/>
      <c r="D425" s="37"/>
      <c r="E425" s="37"/>
      <c r="F425" s="37"/>
      <c r="G425" s="70"/>
    </row>
    <row r="426" spans="2:7" x14ac:dyDescent="0.25">
      <c r="B426" s="37"/>
      <c r="C426" s="37"/>
      <c r="D426" s="37"/>
      <c r="E426" s="37"/>
      <c r="F426" s="37"/>
      <c r="G426" s="70"/>
    </row>
    <row r="427" spans="2:7" x14ac:dyDescent="0.25">
      <c r="B427" s="37"/>
      <c r="C427" s="37"/>
      <c r="D427" s="37"/>
      <c r="E427" s="37"/>
      <c r="F427" s="37"/>
      <c r="G427" s="70"/>
    </row>
    <row r="428" spans="2:7" x14ac:dyDescent="0.25">
      <c r="B428" s="37"/>
      <c r="C428" s="37"/>
      <c r="D428" s="37"/>
      <c r="E428" s="37"/>
      <c r="F428" s="37"/>
      <c r="G428" s="70"/>
    </row>
    <row r="429" spans="2:7" x14ac:dyDescent="0.25">
      <c r="B429" s="37"/>
      <c r="C429" s="37"/>
      <c r="D429" s="37"/>
      <c r="E429" s="37"/>
      <c r="F429" s="37"/>
      <c r="G429" s="70"/>
    </row>
    <row r="430" spans="2:7" x14ac:dyDescent="0.25">
      <c r="B430" s="37"/>
      <c r="C430" s="37"/>
      <c r="D430" s="37"/>
      <c r="E430" s="37"/>
      <c r="F430" s="37"/>
      <c r="G430" s="70"/>
    </row>
    <row r="431" spans="2:7" x14ac:dyDescent="0.25">
      <c r="B431" s="37"/>
      <c r="C431" s="37"/>
      <c r="D431" s="37"/>
      <c r="E431" s="37"/>
      <c r="F431" s="37"/>
      <c r="G431" s="70"/>
    </row>
    <row r="432" spans="2:7" x14ac:dyDescent="0.25">
      <c r="B432" s="37"/>
      <c r="C432" s="37"/>
      <c r="D432" s="37"/>
      <c r="E432" s="37"/>
      <c r="F432" s="37"/>
      <c r="G432" s="70"/>
    </row>
    <row r="433" spans="2:7" x14ac:dyDescent="0.25">
      <c r="B433" s="37"/>
      <c r="C433" s="37"/>
      <c r="D433" s="37"/>
      <c r="E433" s="37"/>
      <c r="F433" s="37"/>
      <c r="G433" s="70"/>
    </row>
    <row r="434" spans="2:7" x14ac:dyDescent="0.25">
      <c r="B434" s="37"/>
      <c r="C434" s="37"/>
      <c r="D434" s="37"/>
      <c r="E434" s="37"/>
      <c r="F434" s="37"/>
      <c r="G434" s="70"/>
    </row>
    <row r="435" spans="2:7" x14ac:dyDescent="0.25">
      <c r="B435" s="37"/>
      <c r="C435" s="37"/>
      <c r="D435" s="37"/>
      <c r="E435" s="37"/>
      <c r="F435" s="37"/>
      <c r="G435" s="70"/>
    </row>
    <row r="436" spans="2:7" x14ac:dyDescent="0.25">
      <c r="B436" s="37"/>
      <c r="C436" s="37"/>
      <c r="D436" s="37"/>
      <c r="E436" s="37"/>
      <c r="F436" s="37"/>
      <c r="G436" s="70"/>
    </row>
    <row r="437" spans="2:7" x14ac:dyDescent="0.25">
      <c r="B437" s="37"/>
      <c r="C437" s="37"/>
      <c r="D437" s="37"/>
      <c r="E437" s="37"/>
      <c r="F437" s="37"/>
      <c r="G437" s="70"/>
    </row>
    <row r="438" spans="2:7" x14ac:dyDescent="0.25">
      <c r="B438" s="37"/>
      <c r="C438" s="37"/>
      <c r="D438" s="37"/>
      <c r="E438" s="37"/>
      <c r="F438" s="37"/>
      <c r="G438" s="70"/>
    </row>
    <row r="439" spans="2:7" x14ac:dyDescent="0.25">
      <c r="B439" s="37"/>
      <c r="C439" s="37"/>
      <c r="D439" s="37"/>
      <c r="E439" s="37"/>
      <c r="F439" s="37"/>
      <c r="G439" s="70"/>
    </row>
    <row r="440" spans="2:7" x14ac:dyDescent="0.25">
      <c r="B440" s="37"/>
      <c r="C440" s="37"/>
      <c r="D440" s="37"/>
      <c r="E440" s="37"/>
      <c r="F440" s="37"/>
      <c r="G440" s="70"/>
    </row>
    <row r="441" spans="2:7" x14ac:dyDescent="0.25">
      <c r="B441" s="37"/>
      <c r="C441" s="37"/>
      <c r="D441" s="37"/>
      <c r="E441" s="37"/>
      <c r="F441" s="37"/>
      <c r="G441" s="70"/>
    </row>
    <row r="442" spans="2:7" x14ac:dyDescent="0.25">
      <c r="B442" s="37"/>
      <c r="C442" s="37"/>
      <c r="D442" s="37"/>
      <c r="E442" s="37"/>
      <c r="F442" s="37"/>
      <c r="G442" s="70"/>
    </row>
    <row r="443" spans="2:7" x14ac:dyDescent="0.25">
      <c r="B443" s="37"/>
      <c r="C443" s="37"/>
      <c r="D443" s="37"/>
      <c r="E443" s="37"/>
      <c r="F443" s="37"/>
      <c r="G443" s="70"/>
    </row>
    <row r="444" spans="2:7" x14ac:dyDescent="0.25">
      <c r="B444" s="37"/>
      <c r="C444" s="37"/>
      <c r="D444" s="37"/>
      <c r="E444" s="37"/>
      <c r="F444" s="37"/>
      <c r="G444" s="70"/>
    </row>
    <row r="445" spans="2:7" x14ac:dyDescent="0.25">
      <c r="B445" s="37"/>
      <c r="C445" s="37"/>
      <c r="D445" s="37"/>
      <c r="E445" s="37"/>
      <c r="F445" s="37"/>
      <c r="G445" s="70"/>
    </row>
    <row r="446" spans="2:7" x14ac:dyDescent="0.25">
      <c r="B446" s="37"/>
      <c r="C446" s="37"/>
      <c r="D446" s="37"/>
      <c r="E446" s="37"/>
      <c r="F446" s="37"/>
      <c r="G446" s="70"/>
    </row>
    <row r="447" spans="2:7" x14ac:dyDescent="0.25">
      <c r="B447" s="37"/>
      <c r="C447" s="37"/>
      <c r="D447" s="37"/>
      <c r="E447" s="37"/>
      <c r="F447" s="37"/>
      <c r="G447" s="70"/>
    </row>
    <row r="448" spans="2:7" x14ac:dyDescent="0.25">
      <c r="B448" s="37"/>
      <c r="C448" s="37"/>
      <c r="D448" s="37"/>
      <c r="E448" s="37"/>
      <c r="F448" s="37"/>
      <c r="G448" s="70"/>
    </row>
    <row r="449" spans="2:7" x14ac:dyDescent="0.25">
      <c r="B449" s="37"/>
      <c r="C449" s="37"/>
      <c r="D449" s="37"/>
      <c r="E449" s="37"/>
      <c r="F449" s="37"/>
      <c r="G449" s="70"/>
    </row>
    <row r="450" spans="2:7" x14ac:dyDescent="0.25">
      <c r="B450" s="37"/>
      <c r="C450" s="37"/>
      <c r="D450" s="37"/>
      <c r="E450" s="37"/>
      <c r="F450" s="37"/>
      <c r="G450" s="70"/>
    </row>
    <row r="451" spans="2:7" x14ac:dyDescent="0.25">
      <c r="B451" s="37"/>
      <c r="C451" s="37"/>
      <c r="D451" s="37"/>
      <c r="E451" s="37"/>
      <c r="F451" s="37"/>
      <c r="G451" s="70"/>
    </row>
    <row r="452" spans="2:7" x14ac:dyDescent="0.25">
      <c r="B452" s="37"/>
      <c r="C452" s="37"/>
      <c r="D452" s="37"/>
      <c r="E452" s="37"/>
      <c r="F452" s="37"/>
      <c r="G452" s="70"/>
    </row>
    <row r="453" spans="2:7" x14ac:dyDescent="0.25">
      <c r="B453" s="37"/>
      <c r="C453" s="37"/>
      <c r="D453" s="37"/>
      <c r="E453" s="37"/>
      <c r="F453" s="37"/>
      <c r="G453" s="70"/>
    </row>
    <row r="454" spans="2:7" x14ac:dyDescent="0.25">
      <c r="B454" s="37"/>
      <c r="C454" s="37"/>
      <c r="D454" s="37"/>
      <c r="E454" s="37"/>
      <c r="F454" s="37"/>
      <c r="G454" s="70"/>
    </row>
    <row r="455" spans="2:7" x14ac:dyDescent="0.25">
      <c r="B455" s="37"/>
      <c r="C455" s="37"/>
      <c r="D455" s="37"/>
      <c r="E455" s="37"/>
      <c r="F455" s="37"/>
      <c r="G455" s="70"/>
    </row>
    <row r="456" spans="2:7" x14ac:dyDescent="0.25">
      <c r="B456" s="37"/>
      <c r="C456" s="37"/>
      <c r="D456" s="37"/>
      <c r="E456" s="37"/>
      <c r="F456" s="37"/>
      <c r="G456" s="70"/>
    </row>
    <row r="457" spans="2:7" x14ac:dyDescent="0.25">
      <c r="B457" s="37"/>
      <c r="C457" s="37"/>
      <c r="D457" s="37"/>
      <c r="E457" s="37"/>
      <c r="F457" s="37"/>
      <c r="G457" s="70"/>
    </row>
    <row r="458" spans="2:7" x14ac:dyDescent="0.25">
      <c r="B458" s="37"/>
      <c r="C458" s="37"/>
      <c r="D458" s="37"/>
      <c r="E458" s="37"/>
      <c r="F458" s="37"/>
      <c r="G458" s="70"/>
    </row>
    <row r="459" spans="2:7" x14ac:dyDescent="0.25">
      <c r="B459" s="37"/>
      <c r="C459" s="37"/>
      <c r="D459" s="37"/>
      <c r="E459" s="37"/>
      <c r="F459" s="37"/>
      <c r="G459" s="70"/>
    </row>
    <row r="460" spans="2:7" x14ac:dyDescent="0.25">
      <c r="B460" s="37"/>
      <c r="C460" s="37"/>
      <c r="D460" s="37"/>
      <c r="E460" s="37"/>
      <c r="F460" s="37"/>
      <c r="G460" s="70"/>
    </row>
    <row r="461" spans="2:7" x14ac:dyDescent="0.25">
      <c r="B461" s="37"/>
      <c r="C461" s="37"/>
      <c r="D461" s="37"/>
      <c r="E461" s="37"/>
      <c r="F461" s="37"/>
      <c r="G461" s="70"/>
    </row>
    <row r="462" spans="2:7" x14ac:dyDescent="0.25">
      <c r="B462" s="37"/>
      <c r="C462" s="37"/>
      <c r="D462" s="37"/>
      <c r="E462" s="37"/>
      <c r="F462" s="37"/>
      <c r="G462" s="70"/>
    </row>
    <row r="463" spans="2:7" x14ac:dyDescent="0.25">
      <c r="B463" s="37"/>
      <c r="C463" s="37"/>
      <c r="D463" s="37"/>
      <c r="E463" s="37"/>
      <c r="F463" s="37"/>
      <c r="G463" s="70"/>
    </row>
    <row r="464" spans="2:7" x14ac:dyDescent="0.25">
      <c r="B464" s="37"/>
      <c r="C464" s="37"/>
      <c r="D464" s="37"/>
      <c r="E464" s="37"/>
      <c r="F464" s="37"/>
      <c r="G464" s="70"/>
    </row>
    <row r="465" spans="2:7" x14ac:dyDescent="0.25">
      <c r="B465" s="37"/>
      <c r="C465" s="37"/>
      <c r="D465" s="37"/>
      <c r="E465" s="37"/>
      <c r="F465" s="37"/>
      <c r="G465" s="70"/>
    </row>
    <row r="466" spans="2:7" x14ac:dyDescent="0.25">
      <c r="B466" s="37"/>
      <c r="C466" s="37"/>
      <c r="D466" s="37"/>
      <c r="E466" s="37"/>
      <c r="F466" s="37"/>
      <c r="G466" s="70"/>
    </row>
    <row r="467" spans="2:7" x14ac:dyDescent="0.25">
      <c r="B467" s="37"/>
      <c r="C467" s="37"/>
      <c r="D467" s="37"/>
      <c r="E467" s="37"/>
      <c r="F467" s="37"/>
      <c r="G467" s="70"/>
    </row>
    <row r="468" spans="2:7" x14ac:dyDescent="0.25">
      <c r="B468" s="37"/>
      <c r="C468" s="37"/>
      <c r="D468" s="37"/>
      <c r="E468" s="37"/>
      <c r="F468" s="37"/>
      <c r="G468" s="70"/>
    </row>
    <row r="469" spans="2:7" x14ac:dyDescent="0.25">
      <c r="B469" s="37"/>
      <c r="C469" s="37"/>
      <c r="D469" s="37"/>
      <c r="E469" s="37"/>
      <c r="F469" s="37"/>
      <c r="G469" s="70"/>
    </row>
    <row r="470" spans="2:7" x14ac:dyDescent="0.25">
      <c r="B470" s="37"/>
      <c r="C470" s="37"/>
      <c r="D470" s="37"/>
      <c r="E470" s="37"/>
      <c r="F470" s="37"/>
      <c r="G470" s="70"/>
    </row>
    <row r="471" spans="2:7" x14ac:dyDescent="0.25">
      <c r="B471" s="37"/>
      <c r="C471" s="37"/>
      <c r="D471" s="37"/>
      <c r="E471" s="37"/>
      <c r="F471" s="37"/>
      <c r="G471" s="70"/>
    </row>
    <row r="472" spans="2:7" x14ac:dyDescent="0.25">
      <c r="B472" s="37"/>
      <c r="C472" s="37"/>
      <c r="D472" s="37"/>
      <c r="E472" s="37"/>
      <c r="F472" s="37"/>
      <c r="G472" s="70"/>
    </row>
    <row r="473" spans="2:7" x14ac:dyDescent="0.25">
      <c r="B473" s="37"/>
      <c r="C473" s="37"/>
      <c r="D473" s="37"/>
      <c r="E473" s="37"/>
      <c r="F473" s="37"/>
      <c r="G473" s="70"/>
    </row>
    <row r="474" spans="2:7" x14ac:dyDescent="0.25">
      <c r="B474" s="37"/>
      <c r="C474" s="37"/>
      <c r="D474" s="37"/>
      <c r="E474" s="37"/>
      <c r="F474" s="37"/>
      <c r="G474" s="70"/>
    </row>
    <row r="475" spans="2:7" x14ac:dyDescent="0.25">
      <c r="B475" s="37"/>
      <c r="C475" s="37"/>
      <c r="D475" s="37"/>
      <c r="E475" s="37"/>
      <c r="F475" s="37"/>
      <c r="G475" s="70"/>
    </row>
    <row r="476" spans="2:7" x14ac:dyDescent="0.25">
      <c r="B476" s="37"/>
      <c r="C476" s="37"/>
      <c r="D476" s="37"/>
      <c r="E476" s="37"/>
      <c r="F476" s="37"/>
      <c r="G476" s="70"/>
    </row>
    <row r="477" spans="2:7" x14ac:dyDescent="0.25">
      <c r="B477" s="37"/>
      <c r="C477" s="37"/>
      <c r="D477" s="37"/>
      <c r="E477" s="37"/>
      <c r="F477" s="37"/>
      <c r="G477" s="70"/>
    </row>
    <row r="478" spans="2:7" x14ac:dyDescent="0.25">
      <c r="B478" s="37"/>
      <c r="C478" s="37"/>
      <c r="D478" s="37"/>
      <c r="E478" s="37"/>
      <c r="F478" s="37"/>
      <c r="G478" s="70"/>
    </row>
    <row r="479" spans="2:7" x14ac:dyDescent="0.25">
      <c r="B479" s="37"/>
      <c r="C479" s="37"/>
      <c r="D479" s="37"/>
      <c r="E479" s="37"/>
      <c r="F479" s="37"/>
      <c r="G479" s="70"/>
    </row>
    <row r="480" spans="2:7" x14ac:dyDescent="0.25">
      <c r="B480" s="37"/>
      <c r="C480" s="37"/>
      <c r="D480" s="37"/>
      <c r="E480" s="37"/>
      <c r="F480" s="37"/>
      <c r="G480" s="70"/>
    </row>
    <row r="481" spans="2:7" x14ac:dyDescent="0.25">
      <c r="B481" s="37"/>
      <c r="C481" s="37"/>
      <c r="D481" s="37"/>
      <c r="E481" s="37"/>
      <c r="F481" s="37"/>
      <c r="G481" s="70"/>
    </row>
    <row r="482" spans="2:7" x14ac:dyDescent="0.25">
      <c r="B482" s="37"/>
      <c r="C482" s="37"/>
      <c r="D482" s="37"/>
      <c r="E482" s="37"/>
      <c r="F482" s="37"/>
      <c r="G482" s="70"/>
    </row>
    <row r="483" spans="2:7" x14ac:dyDescent="0.25">
      <c r="B483" s="37"/>
      <c r="C483" s="37"/>
      <c r="D483" s="37"/>
      <c r="E483" s="37"/>
      <c r="F483" s="37"/>
      <c r="G483" s="70"/>
    </row>
    <row r="484" spans="2:7" x14ac:dyDescent="0.25">
      <c r="B484" s="37"/>
      <c r="C484" s="37"/>
      <c r="D484" s="37"/>
      <c r="E484" s="37"/>
      <c r="F484" s="37"/>
      <c r="G484" s="70"/>
    </row>
    <row r="485" spans="2:7" x14ac:dyDescent="0.25">
      <c r="B485" s="37"/>
      <c r="C485" s="37"/>
      <c r="D485" s="37"/>
      <c r="E485" s="37"/>
      <c r="F485" s="37"/>
      <c r="G485" s="70"/>
    </row>
    <row r="486" spans="2:7" x14ac:dyDescent="0.25">
      <c r="B486" s="37"/>
      <c r="C486" s="37"/>
      <c r="D486" s="37"/>
      <c r="E486" s="37"/>
      <c r="F486" s="37"/>
      <c r="G486" s="70"/>
    </row>
    <row r="487" spans="2:7" x14ac:dyDescent="0.25">
      <c r="B487" s="37"/>
      <c r="C487" s="37"/>
      <c r="D487" s="37"/>
      <c r="E487" s="37"/>
      <c r="F487" s="37"/>
      <c r="G487" s="70"/>
    </row>
    <row r="488" spans="2:7" x14ac:dyDescent="0.25">
      <c r="B488" s="37"/>
      <c r="C488" s="37"/>
      <c r="D488" s="37"/>
      <c r="E488" s="37"/>
      <c r="F488" s="37"/>
      <c r="G488" s="70"/>
    </row>
    <row r="489" spans="2:7" x14ac:dyDescent="0.25">
      <c r="B489" s="37"/>
      <c r="C489" s="37"/>
      <c r="D489" s="37"/>
      <c r="E489" s="37"/>
      <c r="F489" s="37"/>
      <c r="G489" s="70"/>
    </row>
    <row r="490" spans="2:7" x14ac:dyDescent="0.25">
      <c r="B490" s="37"/>
      <c r="C490" s="37"/>
      <c r="D490" s="37"/>
      <c r="E490" s="37"/>
      <c r="F490" s="37"/>
      <c r="G490" s="70"/>
    </row>
    <row r="491" spans="2:7" x14ac:dyDescent="0.25">
      <c r="B491" s="37"/>
      <c r="C491" s="37"/>
      <c r="D491" s="37"/>
      <c r="E491" s="37"/>
      <c r="F491" s="37"/>
      <c r="G491" s="70"/>
    </row>
    <row r="492" spans="2:7" x14ac:dyDescent="0.25">
      <c r="B492" s="37"/>
      <c r="C492" s="37"/>
      <c r="D492" s="37"/>
      <c r="E492" s="37"/>
      <c r="F492" s="37"/>
      <c r="G492" s="70"/>
    </row>
    <row r="493" spans="2:7" x14ac:dyDescent="0.25">
      <c r="B493" s="37"/>
      <c r="C493" s="37"/>
      <c r="D493" s="37"/>
      <c r="E493" s="37"/>
      <c r="F493" s="37"/>
      <c r="G493" s="70"/>
    </row>
    <row r="494" spans="2:7" x14ac:dyDescent="0.25">
      <c r="B494" s="37"/>
      <c r="C494" s="37"/>
      <c r="D494" s="37"/>
      <c r="E494" s="37"/>
      <c r="F494" s="37"/>
      <c r="G494" s="70"/>
    </row>
    <row r="495" spans="2:7" x14ac:dyDescent="0.25">
      <c r="B495" s="37"/>
      <c r="C495" s="37"/>
      <c r="D495" s="37"/>
      <c r="E495" s="37"/>
      <c r="F495" s="37"/>
      <c r="G495" s="70"/>
    </row>
    <row r="496" spans="2:7" x14ac:dyDescent="0.25">
      <c r="B496" s="37"/>
      <c r="C496" s="37"/>
      <c r="D496" s="37"/>
      <c r="E496" s="37"/>
      <c r="F496" s="37"/>
      <c r="G496" s="70"/>
    </row>
    <row r="497" spans="2:7" x14ac:dyDescent="0.25">
      <c r="B497" s="37"/>
      <c r="C497" s="37"/>
      <c r="D497" s="37"/>
      <c r="E497" s="37"/>
      <c r="F497" s="37"/>
      <c r="G497" s="70"/>
    </row>
    <row r="498" spans="2:7" x14ac:dyDescent="0.25">
      <c r="B498" s="37"/>
      <c r="C498" s="37"/>
      <c r="D498" s="37"/>
      <c r="E498" s="37"/>
      <c r="F498" s="37"/>
      <c r="G498" s="70"/>
    </row>
    <row r="499" spans="2:7" x14ac:dyDescent="0.25">
      <c r="B499" s="37"/>
      <c r="C499" s="37"/>
      <c r="D499" s="37"/>
      <c r="E499" s="37"/>
      <c r="F499" s="37"/>
      <c r="G499" s="70"/>
    </row>
    <row r="500" spans="2:7" x14ac:dyDescent="0.25">
      <c r="B500" s="37"/>
      <c r="C500" s="37"/>
      <c r="D500" s="37"/>
      <c r="E500" s="37"/>
      <c r="F500" s="37"/>
      <c r="G500" s="70"/>
    </row>
    <row r="501" spans="2:7" x14ac:dyDescent="0.25">
      <c r="B501" s="37"/>
      <c r="C501" s="37"/>
      <c r="D501" s="37"/>
      <c r="E501" s="37"/>
      <c r="F501" s="37"/>
      <c r="G501" s="70"/>
    </row>
    <row r="502" spans="2:7" x14ac:dyDescent="0.25">
      <c r="B502" s="37"/>
      <c r="C502" s="37"/>
      <c r="D502" s="37"/>
      <c r="E502" s="37"/>
      <c r="F502" s="37"/>
      <c r="G502" s="70"/>
    </row>
    <row r="503" spans="2:7" x14ac:dyDescent="0.25">
      <c r="B503" s="37"/>
      <c r="C503" s="37"/>
      <c r="D503" s="37"/>
      <c r="E503" s="37"/>
      <c r="F503" s="37"/>
      <c r="G503" s="70"/>
    </row>
    <row r="504" spans="2:7" x14ac:dyDescent="0.25">
      <c r="B504" s="37"/>
      <c r="C504" s="37"/>
      <c r="D504" s="37"/>
      <c r="E504" s="37"/>
      <c r="F504" s="37"/>
      <c r="G504" s="70"/>
    </row>
    <row r="505" spans="2:7" x14ac:dyDescent="0.25">
      <c r="B505" s="37"/>
      <c r="C505" s="37"/>
      <c r="D505" s="37"/>
      <c r="E505" s="37"/>
      <c r="F505" s="37"/>
      <c r="G505" s="70"/>
    </row>
    <row r="506" spans="2:7" x14ac:dyDescent="0.25">
      <c r="B506" s="37"/>
      <c r="C506" s="37"/>
      <c r="D506" s="37"/>
      <c r="E506" s="37"/>
      <c r="F506" s="37"/>
      <c r="G506" s="70"/>
    </row>
    <row r="507" spans="2:7" x14ac:dyDescent="0.25">
      <c r="B507" s="37"/>
      <c r="C507" s="37"/>
      <c r="D507" s="37"/>
      <c r="E507" s="37"/>
      <c r="F507" s="37"/>
      <c r="G507" s="70"/>
    </row>
    <row r="508" spans="2:7" x14ac:dyDescent="0.25">
      <c r="B508" s="37"/>
      <c r="C508" s="37"/>
      <c r="D508" s="37"/>
      <c r="E508" s="37"/>
      <c r="F508" s="37"/>
      <c r="G508" s="70"/>
    </row>
    <row r="509" spans="2:7" x14ac:dyDescent="0.25">
      <c r="B509" s="37"/>
      <c r="C509" s="37"/>
      <c r="D509" s="37"/>
      <c r="E509" s="37"/>
      <c r="F509" s="37"/>
      <c r="G509" s="70"/>
    </row>
    <row r="510" spans="2:7" x14ac:dyDescent="0.25">
      <c r="B510" s="37"/>
      <c r="C510" s="37"/>
      <c r="D510" s="37"/>
      <c r="E510" s="37"/>
      <c r="F510" s="37"/>
      <c r="G510" s="70"/>
    </row>
    <row r="511" spans="2:7" x14ac:dyDescent="0.25">
      <c r="B511" s="37"/>
      <c r="C511" s="37"/>
      <c r="D511" s="37"/>
      <c r="E511" s="37"/>
      <c r="F511" s="37"/>
      <c r="G511" s="70"/>
    </row>
    <row r="512" spans="2:7" x14ac:dyDescent="0.25">
      <c r="B512" s="37"/>
      <c r="C512" s="37"/>
      <c r="D512" s="37"/>
      <c r="E512" s="37"/>
      <c r="F512" s="37"/>
      <c r="G512" s="70"/>
    </row>
    <row r="513" spans="2:7" x14ac:dyDescent="0.25">
      <c r="B513" s="37"/>
      <c r="C513" s="37"/>
      <c r="D513" s="37"/>
      <c r="E513" s="37"/>
      <c r="F513" s="37"/>
      <c r="G513" s="70"/>
    </row>
    <row r="514" spans="2:7" x14ac:dyDescent="0.25">
      <c r="B514" s="37"/>
      <c r="C514" s="37"/>
      <c r="D514" s="37"/>
      <c r="E514" s="37"/>
      <c r="F514" s="37"/>
      <c r="G514" s="70"/>
    </row>
    <row r="515" spans="2:7" x14ac:dyDescent="0.25">
      <c r="B515" s="37"/>
      <c r="C515" s="37"/>
      <c r="D515" s="37"/>
      <c r="E515" s="37"/>
      <c r="F515" s="37"/>
      <c r="G515" s="70"/>
    </row>
    <row r="516" spans="2:7" x14ac:dyDescent="0.25">
      <c r="B516" s="37"/>
      <c r="C516" s="37"/>
      <c r="D516" s="37"/>
      <c r="E516" s="37"/>
      <c r="F516" s="37"/>
      <c r="G516" s="70"/>
    </row>
    <row r="517" spans="2:7" x14ac:dyDescent="0.25">
      <c r="B517" s="37"/>
      <c r="C517" s="37"/>
      <c r="D517" s="37"/>
      <c r="E517" s="37"/>
      <c r="F517" s="37"/>
      <c r="G517" s="70"/>
    </row>
    <row r="518" spans="2:7" x14ac:dyDescent="0.25">
      <c r="B518" s="37"/>
      <c r="C518" s="37"/>
      <c r="D518" s="37"/>
      <c r="E518" s="37"/>
      <c r="F518" s="37"/>
      <c r="G518" s="70"/>
    </row>
    <row r="519" spans="2:7" x14ac:dyDescent="0.25">
      <c r="B519" s="37"/>
      <c r="C519" s="37"/>
      <c r="D519" s="37"/>
      <c r="E519" s="37"/>
      <c r="F519" s="37"/>
      <c r="G519" s="70"/>
    </row>
    <row r="520" spans="2:7" x14ac:dyDescent="0.25">
      <c r="B520" s="37"/>
      <c r="C520" s="37"/>
      <c r="D520" s="37"/>
      <c r="E520" s="37"/>
      <c r="F520" s="37"/>
      <c r="G520" s="70"/>
    </row>
    <row r="521" spans="2:7" x14ac:dyDescent="0.25">
      <c r="B521" s="37"/>
      <c r="C521" s="37"/>
      <c r="D521" s="37"/>
      <c r="E521" s="37"/>
      <c r="F521" s="37"/>
      <c r="G521" s="70"/>
    </row>
    <row r="522" spans="2:7" x14ac:dyDescent="0.25">
      <c r="B522" s="37"/>
      <c r="C522" s="37"/>
      <c r="D522" s="37"/>
      <c r="E522" s="37"/>
      <c r="F522" s="37"/>
      <c r="G522" s="70"/>
    </row>
    <row r="523" spans="2:7" x14ac:dyDescent="0.25">
      <c r="B523" s="37"/>
      <c r="C523" s="37"/>
      <c r="D523" s="37"/>
      <c r="E523" s="37"/>
      <c r="F523" s="37"/>
      <c r="G523" s="70"/>
    </row>
    <row r="524" spans="2:7" x14ac:dyDescent="0.25">
      <c r="B524" s="37"/>
      <c r="C524" s="37"/>
      <c r="D524" s="37"/>
      <c r="E524" s="37"/>
      <c r="F524" s="37"/>
      <c r="G524" s="70"/>
    </row>
    <row r="525" spans="2:7" x14ac:dyDescent="0.25">
      <c r="B525" s="37"/>
      <c r="C525" s="37"/>
      <c r="D525" s="37"/>
      <c r="E525" s="37"/>
      <c r="F525" s="37"/>
      <c r="G525" s="70"/>
    </row>
    <row r="526" spans="2:7" x14ac:dyDescent="0.25">
      <c r="B526" s="37"/>
      <c r="C526" s="37"/>
      <c r="D526" s="37"/>
      <c r="E526" s="37"/>
      <c r="F526" s="37"/>
      <c r="G526" s="70"/>
    </row>
    <row r="527" spans="2:7" x14ac:dyDescent="0.25">
      <c r="B527" s="37"/>
      <c r="C527" s="37"/>
      <c r="D527" s="37"/>
      <c r="E527" s="37"/>
      <c r="F527" s="37"/>
      <c r="G527" s="70"/>
    </row>
    <row r="528" spans="2:7" x14ac:dyDescent="0.25">
      <c r="B528" s="37"/>
      <c r="C528" s="37"/>
      <c r="D528" s="37"/>
      <c r="E528" s="37"/>
      <c r="F528" s="37"/>
      <c r="G528" s="70"/>
    </row>
    <row r="529" spans="2:7" x14ac:dyDescent="0.25">
      <c r="B529" s="37"/>
      <c r="C529" s="37"/>
      <c r="D529" s="37"/>
      <c r="E529" s="37"/>
      <c r="F529" s="37"/>
      <c r="G529" s="70"/>
    </row>
    <row r="530" spans="2:7" x14ac:dyDescent="0.25">
      <c r="B530" s="37"/>
      <c r="C530" s="37"/>
      <c r="D530" s="37"/>
      <c r="E530" s="37"/>
      <c r="F530" s="37"/>
      <c r="G530" s="70"/>
    </row>
    <row r="531" spans="2:7" x14ac:dyDescent="0.25">
      <c r="B531" s="37"/>
      <c r="C531" s="37"/>
      <c r="D531" s="37"/>
      <c r="E531" s="37"/>
      <c r="F531" s="37"/>
      <c r="G531" s="70"/>
    </row>
    <row r="532" spans="2:7" x14ac:dyDescent="0.25">
      <c r="B532" s="37"/>
      <c r="C532" s="37"/>
      <c r="D532" s="37"/>
      <c r="E532" s="37"/>
      <c r="F532" s="37"/>
      <c r="G532" s="70"/>
    </row>
    <row r="533" spans="2:7" x14ac:dyDescent="0.25">
      <c r="B533" s="37"/>
      <c r="C533" s="37"/>
      <c r="D533" s="37"/>
      <c r="E533" s="37"/>
      <c r="F533" s="37"/>
      <c r="G533" s="70"/>
    </row>
    <row r="534" spans="2:7" x14ac:dyDescent="0.25">
      <c r="B534" s="37"/>
      <c r="C534" s="37"/>
      <c r="D534" s="37"/>
      <c r="E534" s="37"/>
      <c r="F534" s="37"/>
      <c r="G534" s="70"/>
    </row>
    <row r="535" spans="2:7" x14ac:dyDescent="0.25">
      <c r="B535" s="37"/>
      <c r="C535" s="37"/>
      <c r="D535" s="37"/>
      <c r="E535" s="37"/>
      <c r="F535" s="37"/>
      <c r="G535" s="70"/>
    </row>
    <row r="536" spans="2:7" x14ac:dyDescent="0.25">
      <c r="B536" s="37"/>
      <c r="C536" s="37"/>
      <c r="D536" s="37"/>
      <c r="E536" s="37"/>
      <c r="F536" s="37"/>
      <c r="G536" s="70"/>
    </row>
    <row r="537" spans="2:7" x14ac:dyDescent="0.25">
      <c r="B537" s="37"/>
      <c r="C537" s="37"/>
      <c r="D537" s="37"/>
      <c r="E537" s="37"/>
      <c r="F537" s="37"/>
      <c r="G537" s="70"/>
    </row>
    <row r="538" spans="2:7" x14ac:dyDescent="0.25">
      <c r="B538" s="37"/>
      <c r="C538" s="37"/>
      <c r="D538" s="37"/>
      <c r="E538" s="37"/>
      <c r="F538" s="37"/>
      <c r="G538" s="70"/>
    </row>
    <row r="539" spans="2:7" x14ac:dyDescent="0.25">
      <c r="B539" s="37"/>
      <c r="C539" s="37"/>
      <c r="D539" s="37"/>
      <c r="E539" s="37"/>
      <c r="F539" s="37"/>
      <c r="G539" s="70"/>
    </row>
    <row r="540" spans="2:7" x14ac:dyDescent="0.25">
      <c r="B540" s="37"/>
      <c r="C540" s="37"/>
      <c r="D540" s="37"/>
      <c r="E540" s="37"/>
      <c r="F540" s="37"/>
      <c r="G540" s="70"/>
    </row>
    <row r="541" spans="2:7" x14ac:dyDescent="0.25">
      <c r="B541" s="37"/>
      <c r="C541" s="37"/>
      <c r="D541" s="37"/>
      <c r="E541" s="37"/>
      <c r="F541" s="37"/>
      <c r="G541" s="70"/>
    </row>
    <row r="542" spans="2:7" x14ac:dyDescent="0.25">
      <c r="B542" s="37"/>
      <c r="C542" s="37"/>
      <c r="D542" s="37"/>
      <c r="E542" s="37"/>
      <c r="F542" s="37"/>
      <c r="G542" s="70"/>
    </row>
    <row r="543" spans="2:7" x14ac:dyDescent="0.25">
      <c r="B543" s="37"/>
      <c r="C543" s="37"/>
      <c r="D543" s="37"/>
      <c r="E543" s="37"/>
      <c r="F543" s="37"/>
      <c r="G543" s="70"/>
    </row>
    <row r="544" spans="2:7" x14ac:dyDescent="0.25">
      <c r="B544" s="37"/>
      <c r="C544" s="37"/>
      <c r="D544" s="37"/>
      <c r="E544" s="37"/>
      <c r="F544" s="37"/>
      <c r="G544" s="70"/>
    </row>
    <row r="545" spans="2:7" x14ac:dyDescent="0.25">
      <c r="B545" s="37"/>
      <c r="C545" s="37"/>
      <c r="D545" s="37"/>
      <c r="E545" s="37"/>
      <c r="F545" s="37"/>
      <c r="G545" s="70"/>
    </row>
    <row r="546" spans="2:7" x14ac:dyDescent="0.25">
      <c r="B546" s="37"/>
      <c r="C546" s="37"/>
      <c r="D546" s="37"/>
      <c r="E546" s="37"/>
      <c r="F546" s="37"/>
      <c r="G546" s="70"/>
    </row>
    <row r="547" spans="2:7" x14ac:dyDescent="0.25">
      <c r="B547" s="37"/>
      <c r="C547" s="37"/>
      <c r="D547" s="37"/>
      <c r="E547" s="37"/>
      <c r="F547" s="37"/>
      <c r="G547" s="70"/>
    </row>
    <row r="548" spans="2:7" x14ac:dyDescent="0.25">
      <c r="B548" s="37"/>
      <c r="C548" s="37"/>
      <c r="D548" s="37"/>
      <c r="E548" s="37"/>
      <c r="F548" s="37"/>
      <c r="G548" s="70"/>
    </row>
    <row r="549" spans="2:7" x14ac:dyDescent="0.25">
      <c r="B549" s="37"/>
      <c r="C549" s="37"/>
      <c r="D549" s="37"/>
      <c r="E549" s="37"/>
      <c r="F549" s="37"/>
      <c r="G549" s="70"/>
    </row>
    <row r="550" spans="2:7" x14ac:dyDescent="0.25">
      <c r="B550" s="37"/>
      <c r="C550" s="37"/>
      <c r="D550" s="37"/>
      <c r="E550" s="37"/>
      <c r="F550" s="37"/>
      <c r="G550" s="70"/>
    </row>
    <row r="551" spans="2:7" x14ac:dyDescent="0.25">
      <c r="B551" s="37"/>
      <c r="C551" s="37"/>
      <c r="D551" s="37"/>
      <c r="E551" s="37"/>
      <c r="F551" s="37"/>
      <c r="G551" s="70"/>
    </row>
    <row r="552" spans="2:7" x14ac:dyDescent="0.25">
      <c r="B552" s="37"/>
      <c r="C552" s="37"/>
      <c r="D552" s="37"/>
      <c r="E552" s="37"/>
      <c r="F552" s="37"/>
      <c r="G552" s="70"/>
    </row>
    <row r="553" spans="2:7" x14ac:dyDescent="0.25">
      <c r="B553" s="37"/>
      <c r="C553" s="37"/>
      <c r="D553" s="37"/>
      <c r="E553" s="37"/>
      <c r="F553" s="37"/>
      <c r="G553" s="70"/>
    </row>
    <row r="554" spans="2:7" x14ac:dyDescent="0.25">
      <c r="B554" s="37"/>
      <c r="C554" s="37"/>
      <c r="D554" s="37"/>
      <c r="E554" s="37"/>
      <c r="F554" s="37"/>
      <c r="G554" s="70"/>
    </row>
    <row r="555" spans="2:7" x14ac:dyDescent="0.25">
      <c r="B555" s="37"/>
      <c r="C555" s="37"/>
      <c r="D555" s="37"/>
      <c r="E555" s="37"/>
      <c r="F555" s="37"/>
      <c r="G555" s="70"/>
    </row>
    <row r="556" spans="2:7" x14ac:dyDescent="0.25">
      <c r="B556" s="37"/>
      <c r="C556" s="37"/>
      <c r="D556" s="37"/>
      <c r="E556" s="37"/>
      <c r="F556" s="37"/>
      <c r="G556" s="70"/>
    </row>
    <row r="557" spans="2:7" x14ac:dyDescent="0.25">
      <c r="B557" s="37"/>
      <c r="C557" s="37"/>
      <c r="D557" s="37"/>
      <c r="E557" s="37"/>
      <c r="F557" s="37"/>
      <c r="G557" s="70"/>
    </row>
    <row r="558" spans="2:7" x14ac:dyDescent="0.25">
      <c r="B558" s="37"/>
      <c r="C558" s="37"/>
      <c r="D558" s="37"/>
      <c r="E558" s="37"/>
      <c r="F558" s="37"/>
      <c r="G558" s="70"/>
    </row>
    <row r="559" spans="2:7" x14ac:dyDescent="0.25">
      <c r="B559" s="37"/>
      <c r="C559" s="37"/>
      <c r="D559" s="37"/>
      <c r="E559" s="37"/>
      <c r="F559" s="37"/>
      <c r="G559" s="70"/>
    </row>
    <row r="560" spans="2:7" x14ac:dyDescent="0.25">
      <c r="B560" s="37"/>
      <c r="C560" s="37"/>
      <c r="D560" s="37"/>
      <c r="E560" s="37"/>
      <c r="F560" s="37"/>
      <c r="G560" s="70"/>
    </row>
    <row r="561" spans="2:7" x14ac:dyDescent="0.25">
      <c r="B561" s="37"/>
      <c r="C561" s="37"/>
      <c r="D561" s="37"/>
      <c r="E561" s="37"/>
      <c r="F561" s="37"/>
      <c r="G561" s="70"/>
    </row>
    <row r="562" spans="2:7" x14ac:dyDescent="0.25">
      <c r="B562" s="37"/>
      <c r="C562" s="37"/>
      <c r="D562" s="37"/>
      <c r="E562" s="37"/>
      <c r="F562" s="37"/>
      <c r="G562" s="70"/>
    </row>
    <row r="563" spans="2:7" x14ac:dyDescent="0.25">
      <c r="B563" s="37"/>
      <c r="C563" s="37"/>
      <c r="D563" s="37"/>
      <c r="E563" s="37"/>
      <c r="F563" s="37"/>
      <c r="G563" s="70"/>
    </row>
    <row r="564" spans="2:7" x14ac:dyDescent="0.25">
      <c r="B564" s="37"/>
      <c r="C564" s="37"/>
      <c r="D564" s="37"/>
      <c r="E564" s="37"/>
      <c r="F564" s="37"/>
      <c r="G564" s="70"/>
    </row>
    <row r="565" spans="2:7" x14ac:dyDescent="0.25">
      <c r="B565" s="37"/>
      <c r="C565" s="37"/>
      <c r="D565" s="37"/>
      <c r="E565" s="37"/>
      <c r="F565" s="37"/>
      <c r="G565" s="70"/>
    </row>
    <row r="566" spans="2:7" x14ac:dyDescent="0.25">
      <c r="B566" s="37"/>
      <c r="C566" s="37"/>
      <c r="D566" s="37"/>
      <c r="E566" s="37"/>
      <c r="F566" s="37"/>
      <c r="G566" s="70"/>
    </row>
    <row r="567" spans="2:7" x14ac:dyDescent="0.25">
      <c r="B567" s="37"/>
      <c r="C567" s="37"/>
      <c r="D567" s="37"/>
      <c r="E567" s="37"/>
      <c r="F567" s="37"/>
      <c r="G567" s="70"/>
    </row>
    <row r="568" spans="2:7" x14ac:dyDescent="0.25">
      <c r="B568" s="37"/>
      <c r="C568" s="37"/>
      <c r="D568" s="37"/>
      <c r="E568" s="37"/>
      <c r="F568" s="37"/>
      <c r="G568" s="70"/>
    </row>
    <row r="569" spans="2:7" x14ac:dyDescent="0.25">
      <c r="B569" s="37"/>
      <c r="C569" s="37"/>
      <c r="D569" s="37"/>
      <c r="E569" s="37"/>
      <c r="F569" s="37"/>
      <c r="G569" s="70"/>
    </row>
    <row r="570" spans="2:7" x14ac:dyDescent="0.25">
      <c r="B570" s="37"/>
      <c r="C570" s="37"/>
      <c r="D570" s="37"/>
      <c r="E570" s="37"/>
      <c r="F570" s="37"/>
      <c r="G570" s="70"/>
    </row>
    <row r="571" spans="2:7" x14ac:dyDescent="0.25">
      <c r="B571" s="37"/>
      <c r="C571" s="37"/>
      <c r="D571" s="37"/>
      <c r="E571" s="37"/>
      <c r="F571" s="37"/>
      <c r="G571" s="70"/>
    </row>
    <row r="572" spans="2:7" x14ac:dyDescent="0.25">
      <c r="B572" s="37"/>
      <c r="C572" s="37"/>
      <c r="D572" s="37"/>
      <c r="E572" s="37"/>
      <c r="F572" s="37"/>
      <c r="G572" s="70"/>
    </row>
    <row r="573" spans="2:7" x14ac:dyDescent="0.25">
      <c r="B573" s="37"/>
      <c r="C573" s="37"/>
      <c r="D573" s="37"/>
      <c r="E573" s="37"/>
      <c r="F573" s="37"/>
      <c r="G573" s="70"/>
    </row>
    <row r="574" spans="2:7" x14ac:dyDescent="0.25">
      <c r="B574" s="37"/>
      <c r="C574" s="37"/>
      <c r="D574" s="37"/>
      <c r="E574" s="37"/>
      <c r="F574" s="37"/>
      <c r="G574" s="70"/>
    </row>
    <row r="575" spans="2:7" x14ac:dyDescent="0.25">
      <c r="B575" s="37"/>
      <c r="C575" s="37"/>
      <c r="D575" s="37"/>
      <c r="E575" s="37"/>
      <c r="F575" s="37"/>
      <c r="G575" s="70"/>
    </row>
    <row r="576" spans="2:7" x14ac:dyDescent="0.25">
      <c r="B576" s="37"/>
      <c r="C576" s="37"/>
      <c r="D576" s="37"/>
      <c r="E576" s="37"/>
      <c r="F576" s="37"/>
      <c r="G576" s="70"/>
    </row>
    <row r="577" spans="2:7" x14ac:dyDescent="0.25">
      <c r="B577" s="37"/>
      <c r="C577" s="37"/>
      <c r="D577" s="37"/>
      <c r="E577" s="37"/>
      <c r="F577" s="37"/>
      <c r="G577" s="70"/>
    </row>
    <row r="578" spans="2:7" x14ac:dyDescent="0.25">
      <c r="B578" s="37"/>
      <c r="C578" s="37"/>
      <c r="D578" s="37"/>
      <c r="E578" s="37"/>
      <c r="F578" s="37"/>
      <c r="G578" s="70"/>
    </row>
    <row r="579" spans="2:7" x14ac:dyDescent="0.25">
      <c r="B579" s="37"/>
      <c r="C579" s="37"/>
      <c r="D579" s="37"/>
      <c r="E579" s="37"/>
      <c r="F579" s="37"/>
      <c r="G579" s="70"/>
    </row>
    <row r="580" spans="2:7" x14ac:dyDescent="0.25">
      <c r="B580" s="37"/>
      <c r="C580" s="37"/>
      <c r="D580" s="37"/>
      <c r="E580" s="37"/>
      <c r="F580" s="37"/>
      <c r="G580" s="70"/>
    </row>
    <row r="581" spans="2:7" x14ac:dyDescent="0.25">
      <c r="B581" s="37"/>
      <c r="C581" s="37"/>
      <c r="D581" s="37"/>
      <c r="E581" s="37"/>
      <c r="F581" s="37"/>
      <c r="G581" s="70"/>
    </row>
    <row r="582" spans="2:7" x14ac:dyDescent="0.25">
      <c r="B582" s="37"/>
      <c r="C582" s="37"/>
      <c r="D582" s="37"/>
      <c r="E582" s="37"/>
      <c r="F582" s="37"/>
      <c r="G582" s="70"/>
    </row>
    <row r="583" spans="2:7" x14ac:dyDescent="0.25">
      <c r="B583" s="37"/>
      <c r="C583" s="37"/>
      <c r="D583" s="37"/>
      <c r="E583" s="37"/>
      <c r="F583" s="37"/>
      <c r="G583" s="70"/>
    </row>
    <row r="584" spans="2:7" x14ac:dyDescent="0.25">
      <c r="B584" s="37"/>
      <c r="C584" s="37"/>
      <c r="D584" s="37"/>
      <c r="E584" s="37"/>
      <c r="F584" s="37"/>
      <c r="G584" s="70"/>
    </row>
    <row r="585" spans="2:7" x14ac:dyDescent="0.25">
      <c r="B585" s="37"/>
      <c r="C585" s="37"/>
      <c r="D585" s="37"/>
      <c r="E585" s="37"/>
      <c r="F585" s="37"/>
      <c r="G585" s="70"/>
    </row>
    <row r="586" spans="2:7" x14ac:dyDescent="0.25">
      <c r="B586" s="37"/>
      <c r="C586" s="37"/>
      <c r="D586" s="37"/>
      <c r="E586" s="37"/>
      <c r="F586" s="37"/>
      <c r="G586" s="70"/>
    </row>
    <row r="587" spans="2:7" x14ac:dyDescent="0.25">
      <c r="B587" s="37"/>
      <c r="C587" s="37"/>
      <c r="D587" s="37"/>
      <c r="E587" s="37"/>
      <c r="F587" s="37"/>
      <c r="G587" s="70"/>
    </row>
    <row r="588" spans="2:7" x14ac:dyDescent="0.25">
      <c r="B588" s="37"/>
      <c r="C588" s="37"/>
      <c r="D588" s="37"/>
      <c r="E588" s="37"/>
      <c r="F588" s="37"/>
      <c r="G588" s="70"/>
    </row>
    <row r="589" spans="2:7" x14ac:dyDescent="0.25">
      <c r="B589" s="37"/>
      <c r="C589" s="37"/>
      <c r="D589" s="37"/>
      <c r="E589" s="37"/>
      <c r="F589" s="37"/>
      <c r="G589" s="70"/>
    </row>
    <row r="590" spans="2:7" x14ac:dyDescent="0.25">
      <c r="B590" s="37"/>
      <c r="C590" s="37"/>
      <c r="D590" s="37"/>
      <c r="E590" s="37"/>
      <c r="F590" s="37"/>
      <c r="G590" s="70"/>
    </row>
    <row r="591" spans="2:7" x14ac:dyDescent="0.25">
      <c r="B591" s="37"/>
      <c r="C591" s="37"/>
      <c r="D591" s="37"/>
      <c r="E591" s="37"/>
      <c r="F591" s="37"/>
      <c r="G591" s="70"/>
    </row>
    <row r="592" spans="2:7" x14ac:dyDescent="0.25">
      <c r="B592" s="37"/>
      <c r="C592" s="37"/>
      <c r="D592" s="37"/>
      <c r="E592" s="37"/>
      <c r="F592" s="37"/>
      <c r="G592" s="70"/>
    </row>
    <row r="593" spans="2:7" x14ac:dyDescent="0.25">
      <c r="B593" s="37"/>
      <c r="C593" s="37"/>
      <c r="D593" s="37"/>
      <c r="E593" s="37"/>
      <c r="F593" s="37"/>
      <c r="G593" s="70"/>
    </row>
    <row r="594" spans="2:7" x14ac:dyDescent="0.25">
      <c r="B594" s="37"/>
      <c r="C594" s="37"/>
      <c r="D594" s="37"/>
      <c r="E594" s="37"/>
      <c r="F594" s="37"/>
      <c r="G594" s="70"/>
    </row>
    <row r="595" spans="2:7" x14ac:dyDescent="0.25">
      <c r="B595" s="37"/>
      <c r="C595" s="37"/>
      <c r="D595" s="37"/>
      <c r="E595" s="37"/>
      <c r="F595" s="37"/>
      <c r="G595" s="70"/>
    </row>
    <row r="596" spans="2:7" x14ac:dyDescent="0.25">
      <c r="B596" s="37"/>
      <c r="C596" s="37"/>
      <c r="D596" s="37"/>
      <c r="E596" s="37"/>
      <c r="F596" s="37"/>
      <c r="G596" s="70"/>
    </row>
    <row r="597" spans="2:7" x14ac:dyDescent="0.25">
      <c r="B597" s="37"/>
      <c r="C597" s="37"/>
      <c r="D597" s="37"/>
      <c r="E597" s="37"/>
      <c r="F597" s="37"/>
      <c r="G597" s="70"/>
    </row>
    <row r="598" spans="2:7" x14ac:dyDescent="0.25">
      <c r="B598" s="37"/>
      <c r="C598" s="37"/>
      <c r="D598" s="37"/>
      <c r="E598" s="37"/>
      <c r="F598" s="37"/>
      <c r="G598" s="70"/>
    </row>
    <row r="599" spans="2:7" x14ac:dyDescent="0.25">
      <c r="B599" s="37"/>
      <c r="C599" s="37"/>
      <c r="D599" s="37"/>
      <c r="E599" s="37"/>
      <c r="F599" s="37"/>
      <c r="G599" s="70"/>
    </row>
    <row r="600" spans="2:7" x14ac:dyDescent="0.25">
      <c r="B600" s="37"/>
      <c r="C600" s="37"/>
      <c r="D600" s="37"/>
      <c r="E600" s="37"/>
      <c r="F600" s="37"/>
      <c r="G600" s="70"/>
    </row>
    <row r="601" spans="2:7" x14ac:dyDescent="0.25">
      <c r="B601" s="37"/>
      <c r="C601" s="37"/>
      <c r="D601" s="37"/>
      <c r="E601" s="37"/>
      <c r="F601" s="37"/>
      <c r="G601" s="70"/>
    </row>
    <row r="602" spans="2:7" x14ac:dyDescent="0.25">
      <c r="B602" s="37"/>
      <c r="C602" s="37"/>
      <c r="D602" s="37"/>
      <c r="E602" s="37"/>
      <c r="F602" s="37"/>
      <c r="G602" s="70"/>
    </row>
    <row r="603" spans="2:7" x14ac:dyDescent="0.25">
      <c r="B603" s="37"/>
      <c r="C603" s="37"/>
      <c r="D603" s="37"/>
      <c r="E603" s="37"/>
      <c r="F603" s="37"/>
      <c r="G603" s="70"/>
    </row>
    <row r="604" spans="2:7" x14ac:dyDescent="0.25">
      <c r="B604" s="37"/>
      <c r="C604" s="37"/>
      <c r="D604" s="37"/>
      <c r="E604" s="37"/>
      <c r="F604" s="37"/>
      <c r="G604" s="70"/>
    </row>
    <row r="605" spans="2:7" x14ac:dyDescent="0.25">
      <c r="B605" s="37"/>
      <c r="C605" s="37"/>
      <c r="D605" s="37"/>
      <c r="E605" s="37"/>
      <c r="F605" s="37"/>
      <c r="G605" s="70"/>
    </row>
    <row r="606" spans="2:7" x14ac:dyDescent="0.25">
      <c r="B606" s="37"/>
      <c r="C606" s="37"/>
      <c r="D606" s="37"/>
      <c r="E606" s="37"/>
      <c r="F606" s="37"/>
      <c r="G606" s="70"/>
    </row>
    <row r="607" spans="2:7" x14ac:dyDescent="0.25">
      <c r="B607" s="37"/>
      <c r="C607" s="37"/>
      <c r="D607" s="37"/>
      <c r="E607" s="37"/>
      <c r="F607" s="37"/>
      <c r="G607" s="70"/>
    </row>
    <row r="608" spans="2:7" x14ac:dyDescent="0.25">
      <c r="B608" s="37"/>
      <c r="C608" s="37"/>
      <c r="D608" s="37"/>
      <c r="E608" s="37"/>
      <c r="F608" s="37"/>
      <c r="G608" s="70"/>
    </row>
    <row r="609" spans="2:7" x14ac:dyDescent="0.25">
      <c r="B609" s="37"/>
      <c r="C609" s="37"/>
      <c r="D609" s="37"/>
      <c r="E609" s="37"/>
      <c r="F609" s="37"/>
      <c r="G609" s="70"/>
    </row>
    <row r="610" spans="2:7" x14ac:dyDescent="0.25">
      <c r="B610" s="37"/>
      <c r="C610" s="37"/>
      <c r="D610" s="37"/>
      <c r="E610" s="37"/>
      <c r="F610" s="37"/>
      <c r="G610" s="70"/>
    </row>
    <row r="611" spans="2:7" x14ac:dyDescent="0.25">
      <c r="B611" s="37"/>
      <c r="C611" s="37"/>
      <c r="D611" s="37"/>
      <c r="E611" s="37"/>
      <c r="F611" s="37"/>
      <c r="G611" s="70"/>
    </row>
    <row r="612" spans="2:7" x14ac:dyDescent="0.25">
      <c r="B612" s="37"/>
      <c r="C612" s="37"/>
      <c r="D612" s="37"/>
      <c r="E612" s="37"/>
      <c r="F612" s="37"/>
      <c r="G612" s="70"/>
    </row>
    <row r="613" spans="2:7" x14ac:dyDescent="0.25">
      <c r="B613" s="37"/>
      <c r="C613" s="37"/>
      <c r="D613" s="37"/>
      <c r="E613" s="37"/>
      <c r="F613" s="37"/>
      <c r="G613" s="70"/>
    </row>
    <row r="614" spans="2:7" x14ac:dyDescent="0.25">
      <c r="B614" s="37"/>
      <c r="C614" s="37"/>
      <c r="D614" s="37"/>
      <c r="E614" s="37"/>
      <c r="F614" s="37"/>
      <c r="G614" s="70"/>
    </row>
    <row r="615" spans="2:7" x14ac:dyDescent="0.25">
      <c r="B615" s="37"/>
      <c r="C615" s="37"/>
      <c r="D615" s="37"/>
      <c r="E615" s="37"/>
      <c r="F615" s="37"/>
      <c r="G615" s="70"/>
    </row>
    <row r="616" spans="2:7" x14ac:dyDescent="0.25">
      <c r="B616" s="37"/>
      <c r="C616" s="37"/>
      <c r="D616" s="37"/>
      <c r="E616" s="37"/>
      <c r="F616" s="37"/>
      <c r="G616" s="70"/>
    </row>
    <row r="617" spans="2:7" x14ac:dyDescent="0.25">
      <c r="B617" s="37"/>
      <c r="C617" s="37"/>
      <c r="D617" s="37"/>
      <c r="E617" s="37"/>
      <c r="F617" s="37"/>
      <c r="G617" s="70"/>
    </row>
    <row r="618" spans="2:7" x14ac:dyDescent="0.25">
      <c r="B618" s="37"/>
      <c r="C618" s="37"/>
      <c r="D618" s="37"/>
      <c r="E618" s="37"/>
      <c r="F618" s="37"/>
      <c r="G618" s="70"/>
    </row>
    <row r="619" spans="2:7" x14ac:dyDescent="0.25">
      <c r="B619" s="37"/>
      <c r="C619" s="37"/>
      <c r="D619" s="37"/>
      <c r="E619" s="37"/>
      <c r="F619" s="37"/>
      <c r="G619" s="70"/>
    </row>
    <row r="620" spans="2:7" x14ac:dyDescent="0.25">
      <c r="B620" s="37"/>
      <c r="C620" s="37"/>
      <c r="D620" s="37"/>
      <c r="E620" s="37"/>
      <c r="F620" s="37"/>
      <c r="G620" s="70"/>
    </row>
    <row r="621" spans="2:7" x14ac:dyDescent="0.25">
      <c r="B621" s="37"/>
      <c r="C621" s="37"/>
      <c r="D621" s="37"/>
      <c r="E621" s="37"/>
      <c r="F621" s="37"/>
      <c r="G621" s="70"/>
    </row>
    <row r="622" spans="2:7" x14ac:dyDescent="0.25">
      <c r="B622" s="37"/>
      <c r="C622" s="37"/>
      <c r="D622" s="37"/>
      <c r="E622" s="37"/>
      <c r="F622" s="37"/>
      <c r="G622" s="70"/>
    </row>
    <row r="623" spans="2:7" x14ac:dyDescent="0.25">
      <c r="B623" s="37"/>
      <c r="C623" s="37"/>
      <c r="D623" s="37"/>
      <c r="E623" s="37"/>
      <c r="F623" s="37"/>
      <c r="G623" s="70"/>
    </row>
    <row r="624" spans="2:7" x14ac:dyDescent="0.25">
      <c r="B624" s="37"/>
      <c r="C624" s="37"/>
      <c r="D624" s="37"/>
      <c r="E624" s="37"/>
      <c r="F624" s="37"/>
      <c r="G624" s="70"/>
    </row>
    <row r="625" spans="2:7" x14ac:dyDescent="0.25">
      <c r="B625" s="37"/>
      <c r="C625" s="37"/>
      <c r="D625" s="37"/>
      <c r="E625" s="37"/>
      <c r="F625" s="37"/>
      <c r="G625" s="70"/>
    </row>
    <row r="626" spans="2:7" x14ac:dyDescent="0.25">
      <c r="B626" s="37"/>
      <c r="C626" s="37"/>
      <c r="D626" s="37"/>
      <c r="E626" s="37"/>
      <c r="F626" s="37"/>
      <c r="G626" s="70"/>
    </row>
    <row r="627" spans="2:7" x14ac:dyDescent="0.25">
      <c r="B627" s="37"/>
      <c r="C627" s="37"/>
      <c r="D627" s="37"/>
      <c r="E627" s="37"/>
      <c r="F627" s="37"/>
      <c r="G627" s="70"/>
    </row>
    <row r="628" spans="2:7" x14ac:dyDescent="0.25">
      <c r="B628" s="37"/>
      <c r="C628" s="37"/>
      <c r="D628" s="37"/>
      <c r="E628" s="37"/>
      <c r="F628" s="37"/>
      <c r="G628" s="70"/>
    </row>
    <row r="629" spans="2:7" x14ac:dyDescent="0.25">
      <c r="B629" s="37"/>
      <c r="C629" s="37"/>
      <c r="D629" s="37"/>
      <c r="E629" s="37"/>
      <c r="F629" s="37"/>
      <c r="G629" s="70"/>
    </row>
    <row r="630" spans="2:7" x14ac:dyDescent="0.25">
      <c r="B630" s="37"/>
      <c r="C630" s="37"/>
      <c r="D630" s="37"/>
      <c r="E630" s="37"/>
      <c r="F630" s="37"/>
      <c r="G630" s="70"/>
    </row>
    <row r="631" spans="2:7" x14ac:dyDescent="0.25">
      <c r="B631" s="37"/>
      <c r="C631" s="37"/>
      <c r="D631" s="37"/>
      <c r="E631" s="37"/>
      <c r="F631" s="37"/>
      <c r="G631" s="70"/>
    </row>
    <row r="632" spans="2:7" x14ac:dyDescent="0.25">
      <c r="B632" s="37"/>
      <c r="C632" s="37"/>
      <c r="D632" s="37"/>
      <c r="E632" s="37"/>
      <c r="F632" s="37"/>
      <c r="G632" s="70"/>
    </row>
    <row r="633" spans="2:7" x14ac:dyDescent="0.25">
      <c r="B633" s="37"/>
      <c r="C633" s="37"/>
      <c r="D633" s="37"/>
      <c r="E633" s="37"/>
      <c r="F633" s="37"/>
      <c r="G633" s="70"/>
    </row>
    <row r="634" spans="2:7" x14ac:dyDescent="0.25">
      <c r="B634" s="37"/>
      <c r="C634" s="37"/>
      <c r="D634" s="37"/>
      <c r="E634" s="37"/>
      <c r="F634" s="37"/>
      <c r="G634" s="70"/>
    </row>
    <row r="635" spans="2:7" x14ac:dyDescent="0.25">
      <c r="B635" s="37"/>
      <c r="C635" s="37"/>
      <c r="D635" s="37"/>
      <c r="E635" s="37"/>
      <c r="F635" s="37"/>
      <c r="G635" s="70"/>
    </row>
    <row r="636" spans="2:7" x14ac:dyDescent="0.25">
      <c r="B636" s="37"/>
      <c r="C636" s="37"/>
      <c r="D636" s="37"/>
      <c r="E636" s="37"/>
      <c r="F636" s="37"/>
      <c r="G636" s="70"/>
    </row>
    <row r="637" spans="2:7" x14ac:dyDescent="0.25">
      <c r="B637" s="37"/>
      <c r="C637" s="37"/>
      <c r="D637" s="37"/>
      <c r="E637" s="37"/>
      <c r="F637" s="37"/>
      <c r="G637" s="70"/>
    </row>
    <row r="638" spans="2:7" x14ac:dyDescent="0.25">
      <c r="B638" s="37"/>
      <c r="C638" s="37"/>
      <c r="D638" s="37"/>
      <c r="E638" s="37"/>
      <c r="F638" s="37"/>
      <c r="G638" s="70"/>
    </row>
    <row r="639" spans="2:7" x14ac:dyDescent="0.25">
      <c r="B639" s="37"/>
      <c r="C639" s="37"/>
      <c r="D639" s="37"/>
      <c r="E639" s="37"/>
      <c r="F639" s="37"/>
      <c r="G639" s="70"/>
    </row>
    <row r="640" spans="2:7" x14ac:dyDescent="0.25">
      <c r="B640" s="37"/>
      <c r="C640" s="37"/>
      <c r="D640" s="37"/>
      <c r="E640" s="37"/>
      <c r="F640" s="37"/>
      <c r="G640" s="70"/>
    </row>
    <row r="641" spans="2:7" x14ac:dyDescent="0.25">
      <c r="B641" s="37"/>
      <c r="C641" s="37"/>
      <c r="D641" s="37"/>
      <c r="E641" s="37"/>
      <c r="F641" s="37"/>
      <c r="G641" s="70"/>
    </row>
    <row r="642" spans="2:7" x14ac:dyDescent="0.25">
      <c r="B642" s="37"/>
      <c r="C642" s="37"/>
      <c r="D642" s="37"/>
      <c r="E642" s="37"/>
      <c r="F642" s="37"/>
      <c r="G642" s="70"/>
    </row>
    <row r="643" spans="2:7" x14ac:dyDescent="0.25">
      <c r="B643" s="37"/>
      <c r="C643" s="37"/>
      <c r="D643" s="37"/>
      <c r="E643" s="37"/>
      <c r="F643" s="37"/>
      <c r="G643" s="70"/>
    </row>
    <row r="644" spans="2:7" x14ac:dyDescent="0.25">
      <c r="B644" s="37"/>
      <c r="C644" s="37"/>
      <c r="D644" s="37"/>
      <c r="E644" s="37"/>
      <c r="F644" s="37"/>
      <c r="G644" s="70"/>
    </row>
    <row r="645" spans="2:7" x14ac:dyDescent="0.25">
      <c r="B645" s="37"/>
      <c r="C645" s="37"/>
      <c r="D645" s="37"/>
      <c r="E645" s="37"/>
      <c r="F645" s="37"/>
      <c r="G645" s="70"/>
    </row>
    <row r="646" spans="2:7" x14ac:dyDescent="0.25">
      <c r="B646" s="37"/>
      <c r="C646" s="37"/>
      <c r="D646" s="37"/>
      <c r="E646" s="37"/>
      <c r="F646" s="37"/>
      <c r="G646" s="70"/>
    </row>
    <row r="647" spans="2:7" x14ac:dyDescent="0.25">
      <c r="B647" s="37"/>
      <c r="C647" s="37"/>
      <c r="D647" s="37"/>
      <c r="E647" s="37"/>
      <c r="F647" s="37"/>
      <c r="G647" s="70"/>
    </row>
    <row r="648" spans="2:7" x14ac:dyDescent="0.25">
      <c r="B648" s="37"/>
      <c r="C648" s="37"/>
      <c r="D648" s="37"/>
      <c r="E648" s="37"/>
      <c r="F648" s="37"/>
      <c r="G648" s="70"/>
    </row>
    <row r="649" spans="2:7" x14ac:dyDescent="0.25">
      <c r="B649" s="37"/>
      <c r="C649" s="37"/>
      <c r="D649" s="37"/>
      <c r="E649" s="37"/>
      <c r="F649" s="37"/>
      <c r="G649" s="70"/>
    </row>
    <row r="650" spans="2:7" x14ac:dyDescent="0.25">
      <c r="B650" s="37"/>
      <c r="C650" s="37"/>
      <c r="D650" s="37"/>
      <c r="E650" s="37"/>
      <c r="F650" s="37"/>
      <c r="G650" s="70"/>
    </row>
    <row r="651" spans="2:7" x14ac:dyDescent="0.25">
      <c r="B651" s="37"/>
      <c r="C651" s="37"/>
      <c r="D651" s="37"/>
      <c r="E651" s="37"/>
      <c r="F651" s="37"/>
      <c r="G651" s="70"/>
    </row>
    <row r="652" spans="2:7" x14ac:dyDescent="0.25">
      <c r="B652" s="37"/>
      <c r="C652" s="37"/>
      <c r="D652" s="37"/>
      <c r="E652" s="37"/>
      <c r="F652" s="37"/>
      <c r="G652" s="70"/>
    </row>
    <row r="653" spans="2:7" x14ac:dyDescent="0.25">
      <c r="B653" s="37"/>
      <c r="C653" s="37"/>
      <c r="D653" s="37"/>
      <c r="E653" s="37"/>
      <c r="F653" s="37"/>
      <c r="G653" s="70"/>
    </row>
    <row r="654" spans="2:7" x14ac:dyDescent="0.25">
      <c r="B654" s="37"/>
      <c r="C654" s="37"/>
      <c r="D654" s="37"/>
      <c r="E654" s="37"/>
      <c r="F654" s="37"/>
      <c r="G654" s="70"/>
    </row>
    <row r="655" spans="2:7" x14ac:dyDescent="0.25">
      <c r="B655" s="37"/>
      <c r="C655" s="37"/>
      <c r="D655" s="37"/>
      <c r="E655" s="37"/>
      <c r="F655" s="37"/>
      <c r="G655" s="70"/>
    </row>
    <row r="656" spans="2:7" x14ac:dyDescent="0.25">
      <c r="B656" s="37"/>
      <c r="C656" s="37"/>
      <c r="D656" s="37"/>
      <c r="E656" s="37"/>
      <c r="F656" s="37"/>
      <c r="G656" s="70"/>
    </row>
    <row r="657" spans="2:7" x14ac:dyDescent="0.25">
      <c r="B657" s="37"/>
      <c r="C657" s="37"/>
      <c r="D657" s="37"/>
      <c r="E657" s="37"/>
      <c r="F657" s="37"/>
      <c r="G657" s="70"/>
    </row>
    <row r="658" spans="2:7" x14ac:dyDescent="0.25">
      <c r="B658" s="37"/>
      <c r="C658" s="37"/>
      <c r="D658" s="37"/>
      <c r="E658" s="37"/>
      <c r="F658" s="37"/>
      <c r="G658" s="70"/>
    </row>
    <row r="659" spans="2:7" x14ac:dyDescent="0.25">
      <c r="B659" s="37"/>
      <c r="C659" s="37"/>
      <c r="D659" s="37"/>
      <c r="E659" s="37"/>
      <c r="F659" s="37"/>
      <c r="G659" s="70"/>
    </row>
    <row r="660" spans="2:7" x14ac:dyDescent="0.25">
      <c r="B660" s="37"/>
      <c r="C660" s="37"/>
      <c r="D660" s="37"/>
      <c r="E660" s="37"/>
      <c r="F660" s="37"/>
      <c r="G660" s="70"/>
    </row>
    <row r="661" spans="2:7" x14ac:dyDescent="0.25">
      <c r="B661" s="37"/>
      <c r="C661" s="37"/>
      <c r="D661" s="37"/>
      <c r="E661" s="37"/>
      <c r="F661" s="37"/>
      <c r="G661" s="70"/>
    </row>
    <row r="662" spans="2:7" x14ac:dyDescent="0.25">
      <c r="B662" s="37"/>
      <c r="C662" s="37"/>
      <c r="D662" s="37"/>
      <c r="E662" s="37"/>
      <c r="F662" s="37"/>
      <c r="G662" s="70"/>
    </row>
    <row r="663" spans="2:7" x14ac:dyDescent="0.25">
      <c r="B663" s="37"/>
      <c r="C663" s="37"/>
      <c r="D663" s="37"/>
      <c r="E663" s="37"/>
      <c r="F663" s="37"/>
      <c r="G663" s="70"/>
    </row>
    <row r="664" spans="2:7" x14ac:dyDescent="0.25">
      <c r="B664" s="37"/>
      <c r="C664" s="37"/>
      <c r="D664" s="37"/>
      <c r="E664" s="37"/>
      <c r="F664" s="37"/>
      <c r="G664" s="70"/>
    </row>
    <row r="665" spans="2:7" x14ac:dyDescent="0.25">
      <c r="B665" s="37"/>
      <c r="C665" s="37"/>
      <c r="D665" s="37"/>
      <c r="E665" s="37"/>
      <c r="F665" s="37"/>
      <c r="G665" s="70"/>
    </row>
    <row r="666" spans="2:7" x14ac:dyDescent="0.25">
      <c r="B666" s="37"/>
      <c r="C666" s="37"/>
      <c r="D666" s="37"/>
      <c r="E666" s="37"/>
      <c r="F666" s="37"/>
      <c r="G666" s="70"/>
    </row>
    <row r="667" spans="2:7" x14ac:dyDescent="0.25">
      <c r="B667" s="37"/>
      <c r="C667" s="37"/>
      <c r="D667" s="37"/>
      <c r="E667" s="37"/>
      <c r="F667" s="37"/>
      <c r="G667" s="70"/>
    </row>
    <row r="668" spans="2:7" x14ac:dyDescent="0.25">
      <c r="B668" s="37"/>
      <c r="C668" s="37"/>
      <c r="D668" s="37"/>
      <c r="E668" s="37"/>
      <c r="F668" s="37"/>
      <c r="G668" s="70"/>
    </row>
    <row r="669" spans="2:7" x14ac:dyDescent="0.25">
      <c r="B669" s="37"/>
      <c r="C669" s="37"/>
      <c r="D669" s="37"/>
      <c r="E669" s="37"/>
      <c r="F669" s="37"/>
      <c r="G669" s="70"/>
    </row>
    <row r="670" spans="2:7" x14ac:dyDescent="0.25">
      <c r="B670" s="37"/>
      <c r="C670" s="37"/>
      <c r="D670" s="37"/>
      <c r="E670" s="37"/>
      <c r="F670" s="37"/>
      <c r="G670" s="70"/>
    </row>
    <row r="671" spans="2:7" x14ac:dyDescent="0.25">
      <c r="B671" s="37"/>
      <c r="C671" s="37"/>
      <c r="D671" s="37"/>
      <c r="E671" s="37"/>
      <c r="F671" s="37"/>
      <c r="G671" s="70"/>
    </row>
    <row r="672" spans="2:7" x14ac:dyDescent="0.25">
      <c r="B672" s="37"/>
      <c r="C672" s="37"/>
      <c r="D672" s="37"/>
      <c r="E672" s="37"/>
      <c r="F672" s="37"/>
      <c r="G672" s="70"/>
    </row>
    <row r="673" spans="2:7" x14ac:dyDescent="0.25">
      <c r="B673" s="37"/>
      <c r="C673" s="37"/>
      <c r="D673" s="37"/>
      <c r="E673" s="37"/>
      <c r="F673" s="37"/>
      <c r="G673" s="70"/>
    </row>
    <row r="674" spans="2:7" x14ac:dyDescent="0.25">
      <c r="B674" s="37"/>
      <c r="C674" s="37"/>
      <c r="D674" s="37"/>
      <c r="E674" s="37"/>
      <c r="F674" s="37"/>
      <c r="G674" s="70"/>
    </row>
    <row r="675" spans="2:7" x14ac:dyDescent="0.25">
      <c r="B675" s="37"/>
      <c r="C675" s="37"/>
      <c r="D675" s="37"/>
      <c r="E675" s="37"/>
      <c r="F675" s="37"/>
      <c r="G675" s="70"/>
    </row>
    <row r="676" spans="2:7" x14ac:dyDescent="0.25">
      <c r="B676" s="37"/>
      <c r="C676" s="37"/>
      <c r="D676" s="37"/>
      <c r="E676" s="37"/>
      <c r="F676" s="37"/>
      <c r="G676" s="70"/>
    </row>
    <row r="677" spans="2:7" x14ac:dyDescent="0.25">
      <c r="B677" s="37"/>
      <c r="C677" s="37"/>
      <c r="D677" s="37"/>
      <c r="E677" s="37"/>
      <c r="F677" s="37"/>
      <c r="G677" s="70"/>
    </row>
    <row r="678" spans="2:7" x14ac:dyDescent="0.25">
      <c r="B678" s="37"/>
      <c r="C678" s="37"/>
      <c r="D678" s="37"/>
      <c r="E678" s="37"/>
      <c r="F678" s="37"/>
      <c r="G678" s="70"/>
    </row>
    <row r="679" spans="2:7" x14ac:dyDescent="0.25">
      <c r="B679" s="37"/>
      <c r="C679" s="37"/>
      <c r="D679" s="37"/>
      <c r="E679" s="37"/>
      <c r="F679" s="37"/>
      <c r="G679" s="70"/>
    </row>
    <row r="680" spans="2:7" x14ac:dyDescent="0.25">
      <c r="B680" s="37"/>
      <c r="C680" s="37"/>
      <c r="D680" s="37"/>
      <c r="E680" s="37"/>
      <c r="F680" s="37"/>
      <c r="G680" s="70"/>
    </row>
    <row r="681" spans="2:7" x14ac:dyDescent="0.25">
      <c r="B681" s="37"/>
      <c r="C681" s="37"/>
      <c r="D681" s="37"/>
      <c r="E681" s="37"/>
      <c r="F681" s="37"/>
      <c r="G681" s="70"/>
    </row>
    <row r="682" spans="2:7" x14ac:dyDescent="0.25">
      <c r="B682" s="37"/>
      <c r="C682" s="37"/>
      <c r="D682" s="37"/>
      <c r="E682" s="37"/>
      <c r="F682" s="37"/>
      <c r="G682" s="70"/>
    </row>
    <row r="683" spans="2:7" x14ac:dyDescent="0.25">
      <c r="B683" s="37"/>
      <c r="C683" s="37"/>
      <c r="D683" s="37"/>
      <c r="E683" s="37"/>
      <c r="F683" s="37"/>
      <c r="G683" s="70"/>
    </row>
    <row r="684" spans="2:7" x14ac:dyDescent="0.25">
      <c r="B684" s="37"/>
      <c r="C684" s="37"/>
      <c r="D684" s="37"/>
      <c r="E684" s="37"/>
      <c r="F684" s="37"/>
      <c r="G684" s="70"/>
    </row>
    <row r="685" spans="2:7" x14ac:dyDescent="0.25">
      <c r="B685" s="37"/>
      <c r="C685" s="37"/>
      <c r="D685" s="37"/>
      <c r="E685" s="37"/>
      <c r="F685" s="37"/>
      <c r="G685" s="70"/>
    </row>
    <row r="686" spans="2:7" x14ac:dyDescent="0.25">
      <c r="B686" s="37"/>
      <c r="C686" s="37"/>
      <c r="D686" s="37"/>
      <c r="E686" s="37"/>
      <c r="F686" s="37"/>
      <c r="G686" s="70"/>
    </row>
    <row r="687" spans="2:7" x14ac:dyDescent="0.25">
      <c r="B687" s="37"/>
      <c r="C687" s="37"/>
      <c r="D687" s="37"/>
      <c r="E687" s="37"/>
      <c r="F687" s="37"/>
      <c r="G687" s="70"/>
    </row>
    <row r="688" spans="2:7" x14ac:dyDescent="0.25">
      <c r="B688" s="37"/>
      <c r="C688" s="37"/>
      <c r="D688" s="37"/>
      <c r="E688" s="37"/>
      <c r="F688" s="37"/>
      <c r="G688" s="70"/>
    </row>
    <row r="689" spans="2:7" x14ac:dyDescent="0.25">
      <c r="B689" s="37"/>
      <c r="C689" s="37"/>
      <c r="D689" s="37"/>
      <c r="E689" s="37"/>
      <c r="F689" s="37"/>
      <c r="G689" s="70"/>
    </row>
    <row r="690" spans="2:7" x14ac:dyDescent="0.25">
      <c r="B690" s="37"/>
      <c r="C690" s="37"/>
      <c r="D690" s="37"/>
      <c r="E690" s="37"/>
      <c r="F690" s="37"/>
      <c r="G690" s="70"/>
    </row>
    <row r="691" spans="2:7" x14ac:dyDescent="0.25">
      <c r="B691" s="37"/>
      <c r="C691" s="37"/>
      <c r="D691" s="37"/>
      <c r="E691" s="37"/>
      <c r="F691" s="37"/>
      <c r="G691" s="70"/>
    </row>
    <row r="692" spans="2:7" x14ac:dyDescent="0.25">
      <c r="B692" s="37"/>
      <c r="C692" s="37"/>
      <c r="D692" s="37"/>
      <c r="E692" s="37"/>
      <c r="F692" s="37"/>
      <c r="G692" s="70"/>
    </row>
    <row r="693" spans="2:7" x14ac:dyDescent="0.25">
      <c r="B693" s="37"/>
      <c r="C693" s="37"/>
      <c r="D693" s="37"/>
      <c r="E693" s="37"/>
      <c r="F693" s="37"/>
      <c r="G693" s="70"/>
    </row>
    <row r="694" spans="2:7" x14ac:dyDescent="0.25">
      <c r="B694" s="37"/>
      <c r="C694" s="37"/>
      <c r="D694" s="37"/>
      <c r="E694" s="37"/>
      <c r="F694" s="37"/>
      <c r="G694" s="70"/>
    </row>
    <row r="695" spans="2:7" x14ac:dyDescent="0.25">
      <c r="B695" s="37"/>
      <c r="C695" s="37"/>
      <c r="D695" s="37"/>
      <c r="E695" s="37"/>
      <c r="F695" s="37"/>
      <c r="G695" s="70"/>
    </row>
    <row r="696" spans="2:7" x14ac:dyDescent="0.25">
      <c r="B696" s="37"/>
      <c r="C696" s="37"/>
      <c r="D696" s="37"/>
      <c r="E696" s="37"/>
      <c r="F696" s="37"/>
      <c r="G696" s="70"/>
    </row>
    <row r="697" spans="2:7" x14ac:dyDescent="0.25">
      <c r="B697" s="37"/>
      <c r="C697" s="37"/>
      <c r="D697" s="37"/>
      <c r="E697" s="37"/>
      <c r="F697" s="37"/>
      <c r="G697" s="70"/>
    </row>
    <row r="698" spans="2:7" x14ac:dyDescent="0.25">
      <c r="B698" s="37"/>
      <c r="C698" s="37"/>
      <c r="D698" s="37"/>
      <c r="E698" s="37"/>
      <c r="F698" s="37"/>
      <c r="G698" s="70"/>
    </row>
    <row r="699" spans="2:7" x14ac:dyDescent="0.25">
      <c r="B699" s="37"/>
      <c r="C699" s="37"/>
      <c r="D699" s="37"/>
      <c r="E699" s="37"/>
      <c r="F699" s="37"/>
      <c r="G699" s="70"/>
    </row>
    <row r="700" spans="2:7" x14ac:dyDescent="0.25">
      <c r="B700" s="37"/>
      <c r="C700" s="37"/>
      <c r="D700" s="37"/>
      <c r="E700" s="37"/>
      <c r="F700" s="37"/>
      <c r="G700" s="70"/>
    </row>
    <row r="701" spans="2:7" x14ac:dyDescent="0.25">
      <c r="B701" s="37"/>
      <c r="C701" s="37"/>
      <c r="D701" s="37"/>
      <c r="E701" s="37"/>
      <c r="F701" s="37"/>
      <c r="G701" s="70"/>
    </row>
    <row r="702" spans="2:7" x14ac:dyDescent="0.25">
      <c r="B702" s="37"/>
      <c r="C702" s="37"/>
      <c r="D702" s="37"/>
      <c r="E702" s="37"/>
      <c r="F702" s="37"/>
      <c r="G702" s="70"/>
    </row>
    <row r="703" spans="2:7" x14ac:dyDescent="0.25">
      <c r="B703" s="37"/>
      <c r="C703" s="37"/>
      <c r="D703" s="37"/>
      <c r="E703" s="37"/>
      <c r="F703" s="37"/>
      <c r="G703" s="70"/>
    </row>
    <row r="704" spans="2:7" x14ac:dyDescent="0.25">
      <c r="B704" s="37"/>
      <c r="C704" s="37"/>
      <c r="D704" s="37"/>
      <c r="E704" s="37"/>
      <c r="F704" s="37"/>
      <c r="G704" s="70"/>
    </row>
    <row r="705" spans="2:7" x14ac:dyDescent="0.25">
      <c r="B705" s="37"/>
      <c r="C705" s="37"/>
      <c r="D705" s="37"/>
      <c r="E705" s="37"/>
      <c r="F705" s="37"/>
      <c r="G705" s="70"/>
    </row>
    <row r="706" spans="2:7" x14ac:dyDescent="0.25">
      <c r="B706" s="37"/>
      <c r="C706" s="37"/>
      <c r="D706" s="37"/>
      <c r="E706" s="37"/>
      <c r="F706" s="37"/>
      <c r="G706" s="70"/>
    </row>
    <row r="707" spans="2:7" x14ac:dyDescent="0.25">
      <c r="B707" s="37"/>
      <c r="C707" s="37"/>
      <c r="D707" s="37"/>
      <c r="E707" s="37"/>
      <c r="F707" s="37"/>
      <c r="G707" s="70"/>
    </row>
    <row r="708" spans="2:7" x14ac:dyDescent="0.25">
      <c r="B708" s="37"/>
      <c r="C708" s="37"/>
      <c r="D708" s="37"/>
      <c r="E708" s="37"/>
      <c r="F708" s="37"/>
      <c r="G708" s="70"/>
    </row>
    <row r="709" spans="2:7" x14ac:dyDescent="0.25">
      <c r="B709" s="37"/>
      <c r="C709" s="37"/>
      <c r="D709" s="37"/>
      <c r="E709" s="37"/>
      <c r="F709" s="37"/>
      <c r="G709" s="70"/>
    </row>
    <row r="710" spans="2:7" x14ac:dyDescent="0.25">
      <c r="B710" s="37"/>
      <c r="C710" s="37"/>
      <c r="D710" s="37"/>
      <c r="E710" s="37"/>
      <c r="F710" s="37"/>
      <c r="G710" s="70"/>
    </row>
    <row r="711" spans="2:7" x14ac:dyDescent="0.25">
      <c r="B711" s="37"/>
      <c r="C711" s="37"/>
      <c r="D711" s="37"/>
      <c r="E711" s="37"/>
      <c r="F711" s="37"/>
      <c r="G711" s="70"/>
    </row>
    <row r="712" spans="2:7" x14ac:dyDescent="0.25">
      <c r="B712" s="37"/>
      <c r="C712" s="37"/>
      <c r="D712" s="37"/>
      <c r="E712" s="37"/>
      <c r="F712" s="37"/>
      <c r="G712" s="70"/>
    </row>
    <row r="713" spans="2:7" x14ac:dyDescent="0.25">
      <c r="B713" s="37"/>
      <c r="C713" s="37"/>
      <c r="D713" s="37"/>
      <c r="E713" s="37"/>
      <c r="F713" s="37"/>
      <c r="G713" s="70"/>
    </row>
    <row r="714" spans="2:7" x14ac:dyDescent="0.25">
      <c r="B714" s="37"/>
      <c r="C714" s="37"/>
      <c r="D714" s="37"/>
      <c r="E714" s="37"/>
      <c r="F714" s="37"/>
      <c r="G714" s="70"/>
    </row>
    <row r="715" spans="2:7" x14ac:dyDescent="0.25">
      <c r="B715" s="37"/>
      <c r="C715" s="37"/>
      <c r="D715" s="37"/>
      <c r="E715" s="37"/>
      <c r="F715" s="37"/>
      <c r="G715" s="70"/>
    </row>
    <row r="716" spans="2:7" x14ac:dyDescent="0.25">
      <c r="B716" s="37"/>
      <c r="C716" s="37"/>
      <c r="D716" s="37"/>
      <c r="E716" s="37"/>
      <c r="F716" s="37"/>
      <c r="G716" s="70"/>
    </row>
    <row r="717" spans="2:7" x14ac:dyDescent="0.25">
      <c r="B717" s="37"/>
      <c r="C717" s="37"/>
      <c r="D717" s="37"/>
      <c r="E717" s="37"/>
      <c r="F717" s="37"/>
      <c r="G717" s="70"/>
    </row>
    <row r="718" spans="2:7" x14ac:dyDescent="0.25">
      <c r="B718" s="37"/>
      <c r="C718" s="37"/>
      <c r="D718" s="37"/>
      <c r="E718" s="37"/>
      <c r="F718" s="37"/>
      <c r="G718" s="70"/>
    </row>
    <row r="719" spans="2:7" x14ac:dyDescent="0.25">
      <c r="B719" s="37"/>
      <c r="C719" s="37"/>
      <c r="D719" s="37"/>
      <c r="E719" s="37"/>
      <c r="F719" s="37"/>
      <c r="G719" s="70"/>
    </row>
    <row r="720" spans="2:7" x14ac:dyDescent="0.25">
      <c r="B720" s="37"/>
      <c r="C720" s="37"/>
      <c r="D720" s="37"/>
      <c r="E720" s="37"/>
      <c r="F720" s="37"/>
      <c r="G720" s="70"/>
    </row>
    <row r="721" spans="2:7" x14ac:dyDescent="0.25">
      <c r="B721" s="37"/>
      <c r="C721" s="37"/>
      <c r="D721" s="37"/>
      <c r="E721" s="37"/>
      <c r="F721" s="37"/>
      <c r="G721" s="70"/>
    </row>
    <row r="722" spans="2:7" x14ac:dyDescent="0.25">
      <c r="B722" s="37"/>
      <c r="C722" s="37"/>
      <c r="D722" s="37"/>
      <c r="E722" s="37"/>
      <c r="F722" s="37"/>
      <c r="G722" s="70"/>
    </row>
    <row r="723" spans="2:7" x14ac:dyDescent="0.25">
      <c r="B723" s="37"/>
      <c r="C723" s="37"/>
      <c r="D723" s="37"/>
      <c r="E723" s="37"/>
      <c r="F723" s="37"/>
      <c r="G723" s="70"/>
    </row>
    <row r="724" spans="2:7" x14ac:dyDescent="0.25">
      <c r="B724" s="37"/>
      <c r="C724" s="37"/>
      <c r="D724" s="37"/>
      <c r="E724" s="37"/>
      <c r="F724" s="37"/>
      <c r="G724" s="70"/>
    </row>
    <row r="725" spans="2:7" x14ac:dyDescent="0.25">
      <c r="B725" s="37"/>
      <c r="C725" s="37"/>
      <c r="D725" s="37"/>
      <c r="E725" s="37"/>
      <c r="F725" s="37"/>
      <c r="G725" s="70"/>
    </row>
    <row r="726" spans="2:7" x14ac:dyDescent="0.25">
      <c r="B726" s="37"/>
      <c r="C726" s="37"/>
      <c r="D726" s="37"/>
      <c r="E726" s="37"/>
      <c r="F726" s="37"/>
      <c r="G726" s="70"/>
    </row>
    <row r="727" spans="2:7" x14ac:dyDescent="0.25">
      <c r="B727" s="37"/>
      <c r="C727" s="37"/>
      <c r="D727" s="37"/>
      <c r="E727" s="37"/>
      <c r="F727" s="37"/>
      <c r="G727" s="70"/>
    </row>
    <row r="728" spans="2:7" x14ac:dyDescent="0.25">
      <c r="B728" s="37"/>
      <c r="C728" s="37"/>
      <c r="D728" s="37"/>
      <c r="E728" s="37"/>
      <c r="F728" s="37"/>
      <c r="G728" s="70"/>
    </row>
    <row r="729" spans="2:7" x14ac:dyDescent="0.25">
      <c r="B729" s="37"/>
      <c r="C729" s="37"/>
      <c r="D729" s="37"/>
      <c r="E729" s="37"/>
      <c r="F729" s="37"/>
      <c r="G729" s="70"/>
    </row>
    <row r="730" spans="2:7" x14ac:dyDescent="0.25">
      <c r="B730" s="37"/>
      <c r="C730" s="37"/>
      <c r="D730" s="37"/>
      <c r="E730" s="37"/>
      <c r="F730" s="37"/>
      <c r="G730" s="70"/>
    </row>
    <row r="731" spans="2:7" x14ac:dyDescent="0.25">
      <c r="B731" s="37"/>
      <c r="C731" s="37"/>
      <c r="D731" s="37"/>
      <c r="E731" s="37"/>
      <c r="F731" s="37"/>
      <c r="G731" s="70"/>
    </row>
    <row r="732" spans="2:7" x14ac:dyDescent="0.25">
      <c r="B732" s="37"/>
      <c r="C732" s="37"/>
      <c r="D732" s="37"/>
      <c r="E732" s="37"/>
      <c r="F732" s="37"/>
      <c r="G732" s="70"/>
    </row>
    <row r="733" spans="2:7" x14ac:dyDescent="0.25">
      <c r="B733" s="37"/>
      <c r="C733" s="37"/>
      <c r="D733" s="37"/>
      <c r="E733" s="37"/>
      <c r="F733" s="37"/>
      <c r="G733" s="70"/>
    </row>
    <row r="734" spans="2:7" x14ac:dyDescent="0.25">
      <c r="B734" s="37"/>
      <c r="C734" s="37"/>
      <c r="D734" s="37"/>
      <c r="E734" s="37"/>
      <c r="F734" s="37"/>
      <c r="G734" s="70"/>
    </row>
    <row r="735" spans="2:7" x14ac:dyDescent="0.25">
      <c r="B735" s="37"/>
      <c r="C735" s="37"/>
      <c r="D735" s="37"/>
      <c r="E735" s="37"/>
      <c r="F735" s="37"/>
      <c r="G735" s="70"/>
    </row>
    <row r="736" spans="2:7" x14ac:dyDescent="0.25">
      <c r="B736" s="37"/>
      <c r="C736" s="37"/>
      <c r="D736" s="37"/>
      <c r="E736" s="37"/>
      <c r="F736" s="37"/>
      <c r="G736" s="70"/>
    </row>
    <row r="737" spans="2:7" x14ac:dyDescent="0.25">
      <c r="B737" s="37"/>
      <c r="C737" s="37"/>
      <c r="D737" s="37"/>
      <c r="E737" s="37"/>
      <c r="F737" s="37"/>
      <c r="G737" s="70"/>
    </row>
    <row r="738" spans="2:7" x14ac:dyDescent="0.25">
      <c r="B738" s="37"/>
      <c r="C738" s="37"/>
      <c r="D738" s="37"/>
      <c r="E738" s="37"/>
      <c r="F738" s="37"/>
      <c r="G738" s="70"/>
    </row>
    <row r="739" spans="2:7" x14ac:dyDescent="0.25">
      <c r="B739" s="37"/>
      <c r="C739" s="37"/>
      <c r="D739" s="37"/>
      <c r="E739" s="37"/>
      <c r="F739" s="37"/>
      <c r="G739" s="70"/>
    </row>
    <row r="740" spans="2:7" x14ac:dyDescent="0.25">
      <c r="B740" s="37"/>
      <c r="C740" s="37"/>
      <c r="D740" s="37"/>
      <c r="E740" s="37"/>
      <c r="F740" s="37"/>
      <c r="G740" s="70"/>
    </row>
    <row r="741" spans="2:7" x14ac:dyDescent="0.25">
      <c r="B741" s="37"/>
      <c r="C741" s="37"/>
      <c r="D741" s="37"/>
      <c r="E741" s="37"/>
      <c r="F741" s="37"/>
      <c r="G741" s="70"/>
    </row>
    <row r="742" spans="2:7" x14ac:dyDescent="0.25">
      <c r="B742" s="37"/>
      <c r="C742" s="37"/>
      <c r="D742" s="37"/>
      <c r="E742" s="37"/>
      <c r="F742" s="37"/>
      <c r="G742" s="70"/>
    </row>
    <row r="743" spans="2:7" x14ac:dyDescent="0.25">
      <c r="B743" s="37"/>
      <c r="C743" s="37"/>
      <c r="D743" s="37"/>
      <c r="E743" s="37"/>
      <c r="F743" s="37"/>
      <c r="G743" s="70"/>
    </row>
    <row r="744" spans="2:7" x14ac:dyDescent="0.25">
      <c r="B744" s="37"/>
      <c r="C744" s="37"/>
      <c r="D744" s="37"/>
      <c r="E744" s="37"/>
      <c r="F744" s="37"/>
      <c r="G744" s="70"/>
    </row>
    <row r="745" spans="2:7" x14ac:dyDescent="0.25">
      <c r="B745" s="37"/>
      <c r="C745" s="37"/>
      <c r="D745" s="37"/>
      <c r="E745" s="37"/>
      <c r="F745" s="37"/>
      <c r="G745" s="70"/>
    </row>
    <row r="746" spans="2:7" x14ac:dyDescent="0.25">
      <c r="B746" s="37"/>
      <c r="C746" s="37"/>
      <c r="D746" s="37"/>
      <c r="E746" s="37"/>
      <c r="F746" s="37"/>
      <c r="G746" s="70"/>
    </row>
    <row r="747" spans="2:7" x14ac:dyDescent="0.25">
      <c r="B747" s="37"/>
      <c r="C747" s="37"/>
      <c r="D747" s="37"/>
      <c r="E747" s="37"/>
      <c r="F747" s="37"/>
      <c r="G747" s="70"/>
    </row>
    <row r="748" spans="2:7" x14ac:dyDescent="0.25">
      <c r="B748" s="37"/>
      <c r="C748" s="37"/>
      <c r="D748" s="37"/>
      <c r="E748" s="37"/>
      <c r="F748" s="37"/>
      <c r="G748" s="70"/>
    </row>
    <row r="749" spans="2:7" x14ac:dyDescent="0.25">
      <c r="B749" s="37"/>
      <c r="C749" s="37"/>
      <c r="D749" s="37"/>
      <c r="E749" s="37"/>
      <c r="F749" s="37"/>
      <c r="G749" s="70"/>
    </row>
    <row r="750" spans="2:7" x14ac:dyDescent="0.25">
      <c r="B750" s="37"/>
      <c r="C750" s="37"/>
      <c r="D750" s="37"/>
      <c r="E750" s="37"/>
      <c r="F750" s="37"/>
      <c r="G750" s="70"/>
    </row>
    <row r="751" spans="2:7" x14ac:dyDescent="0.25">
      <c r="B751" s="37"/>
      <c r="C751" s="37"/>
      <c r="D751" s="37"/>
      <c r="E751" s="37"/>
      <c r="F751" s="37"/>
      <c r="G751" s="70"/>
    </row>
    <row r="752" spans="2:7" x14ac:dyDescent="0.25">
      <c r="B752" s="37"/>
      <c r="C752" s="37"/>
      <c r="D752" s="37"/>
      <c r="E752" s="37"/>
      <c r="F752" s="37"/>
      <c r="G752" s="70"/>
    </row>
    <row r="753" spans="2:7" x14ac:dyDescent="0.25">
      <c r="B753" s="37"/>
      <c r="C753" s="37"/>
      <c r="D753" s="37"/>
      <c r="E753" s="37"/>
      <c r="F753" s="37"/>
      <c r="G753" s="70"/>
    </row>
    <row r="754" spans="2:7" x14ac:dyDescent="0.25">
      <c r="B754" s="37"/>
      <c r="C754" s="37"/>
      <c r="D754" s="37"/>
      <c r="E754" s="37"/>
      <c r="F754" s="37"/>
      <c r="G754" s="70"/>
    </row>
    <row r="755" spans="2:7" x14ac:dyDescent="0.25">
      <c r="B755" s="37"/>
      <c r="C755" s="37"/>
      <c r="D755" s="37"/>
      <c r="E755" s="37"/>
      <c r="F755" s="37"/>
      <c r="G755" s="70"/>
    </row>
    <row r="756" spans="2:7" x14ac:dyDescent="0.25">
      <c r="B756" s="37"/>
      <c r="C756" s="37"/>
      <c r="D756" s="37"/>
      <c r="E756" s="37"/>
      <c r="F756" s="37"/>
      <c r="G756" s="70"/>
    </row>
    <row r="757" spans="2:7" x14ac:dyDescent="0.25">
      <c r="B757" s="37"/>
      <c r="C757" s="37"/>
      <c r="D757" s="37"/>
      <c r="E757" s="37"/>
      <c r="F757" s="37"/>
      <c r="G757" s="70"/>
    </row>
    <row r="758" spans="2:7" x14ac:dyDescent="0.25">
      <c r="B758" s="37"/>
      <c r="C758" s="37"/>
      <c r="D758" s="37"/>
      <c r="E758" s="37"/>
      <c r="F758" s="37"/>
      <c r="G758" s="70"/>
    </row>
    <row r="759" spans="2:7" x14ac:dyDescent="0.25">
      <c r="B759" s="37"/>
      <c r="C759" s="37"/>
      <c r="D759" s="37"/>
      <c r="E759" s="37"/>
      <c r="F759" s="37"/>
      <c r="G759" s="70"/>
    </row>
    <row r="760" spans="2:7" x14ac:dyDescent="0.25">
      <c r="B760" s="37"/>
      <c r="C760" s="37"/>
      <c r="D760" s="37"/>
      <c r="E760" s="37"/>
      <c r="F760" s="37"/>
      <c r="G760" s="70"/>
    </row>
    <row r="761" spans="2:7" x14ac:dyDescent="0.25">
      <c r="B761" s="37"/>
      <c r="C761" s="37"/>
      <c r="D761" s="37"/>
      <c r="E761" s="37"/>
      <c r="F761" s="37"/>
      <c r="G761" s="70"/>
    </row>
    <row r="762" spans="2:7" x14ac:dyDescent="0.25">
      <c r="B762" s="37"/>
      <c r="C762" s="37"/>
      <c r="D762" s="37"/>
      <c r="E762" s="37"/>
      <c r="F762" s="37"/>
      <c r="G762" s="70"/>
    </row>
    <row r="763" spans="2:7" x14ac:dyDescent="0.25">
      <c r="B763" s="37"/>
      <c r="C763" s="37"/>
      <c r="D763" s="37"/>
      <c r="E763" s="37"/>
      <c r="F763" s="37"/>
      <c r="G763" s="70"/>
    </row>
    <row r="764" spans="2:7" x14ac:dyDescent="0.25">
      <c r="B764" s="37"/>
      <c r="C764" s="37"/>
      <c r="D764" s="37"/>
      <c r="E764" s="37"/>
      <c r="F764" s="37"/>
      <c r="G764" s="70"/>
    </row>
    <row r="765" spans="2:7" x14ac:dyDescent="0.25">
      <c r="B765" s="37"/>
      <c r="C765" s="37"/>
      <c r="D765" s="37"/>
      <c r="E765" s="37"/>
      <c r="F765" s="37"/>
      <c r="G765" s="70"/>
    </row>
    <row r="766" spans="2:7" x14ac:dyDescent="0.25">
      <c r="B766" s="37"/>
      <c r="C766" s="37"/>
      <c r="D766" s="37"/>
      <c r="E766" s="37"/>
      <c r="F766" s="37"/>
      <c r="G766" s="70"/>
    </row>
    <row r="767" spans="2:7" x14ac:dyDescent="0.25">
      <c r="B767" s="37"/>
      <c r="C767" s="37"/>
      <c r="D767" s="37"/>
      <c r="E767" s="37"/>
      <c r="F767" s="37"/>
      <c r="G767" s="70"/>
    </row>
    <row r="768" spans="2:7" x14ac:dyDescent="0.25">
      <c r="B768" s="37"/>
      <c r="C768" s="37"/>
      <c r="D768" s="37"/>
      <c r="E768" s="37"/>
      <c r="F768" s="37"/>
      <c r="G768" s="70"/>
    </row>
    <row r="769" spans="2:7" x14ac:dyDescent="0.25">
      <c r="B769" s="37"/>
      <c r="C769" s="37"/>
      <c r="D769" s="37"/>
      <c r="E769" s="37"/>
      <c r="F769" s="37"/>
      <c r="G769" s="70"/>
    </row>
    <row r="770" spans="2:7" x14ac:dyDescent="0.25">
      <c r="B770" s="37"/>
      <c r="C770" s="37"/>
      <c r="D770" s="37"/>
      <c r="E770" s="37"/>
      <c r="F770" s="37"/>
      <c r="G770" s="70"/>
    </row>
    <row r="771" spans="2:7" x14ac:dyDescent="0.25">
      <c r="B771" s="37"/>
      <c r="C771" s="37"/>
      <c r="D771" s="37"/>
      <c r="E771" s="37"/>
      <c r="F771" s="37"/>
      <c r="G771" s="70"/>
    </row>
    <row r="772" spans="2:7" x14ac:dyDescent="0.25">
      <c r="B772" s="37"/>
      <c r="C772" s="37"/>
      <c r="D772" s="37"/>
      <c r="E772" s="37"/>
      <c r="F772" s="37"/>
      <c r="G772" s="70"/>
    </row>
    <row r="773" spans="2:7" x14ac:dyDescent="0.25">
      <c r="B773" s="37"/>
      <c r="C773" s="37"/>
      <c r="D773" s="37"/>
      <c r="E773" s="37"/>
      <c r="F773" s="37"/>
      <c r="G773" s="70"/>
    </row>
    <row r="774" spans="2:7" x14ac:dyDescent="0.25">
      <c r="B774" s="37"/>
      <c r="C774" s="37"/>
      <c r="D774" s="37"/>
      <c r="E774" s="37"/>
      <c r="F774" s="37"/>
      <c r="G774" s="70"/>
    </row>
    <row r="775" spans="2:7" x14ac:dyDescent="0.25">
      <c r="B775" s="37"/>
      <c r="C775" s="37"/>
      <c r="D775" s="37"/>
      <c r="E775" s="37"/>
      <c r="F775" s="37"/>
      <c r="G775" s="70"/>
    </row>
    <row r="776" spans="2:7" x14ac:dyDescent="0.25">
      <c r="B776" s="37"/>
      <c r="C776" s="37"/>
      <c r="D776" s="37"/>
      <c r="E776" s="37"/>
      <c r="F776" s="37"/>
      <c r="G776" s="70"/>
    </row>
    <row r="777" spans="2:7" x14ac:dyDescent="0.25">
      <c r="B777" s="37"/>
      <c r="C777" s="37"/>
      <c r="D777" s="37"/>
      <c r="E777" s="37"/>
      <c r="F777" s="37"/>
      <c r="G777" s="70"/>
    </row>
    <row r="778" spans="2:7" x14ac:dyDescent="0.25">
      <c r="B778" s="37"/>
      <c r="C778" s="37"/>
      <c r="D778" s="37"/>
      <c r="E778" s="37"/>
      <c r="F778" s="37"/>
      <c r="G778" s="70"/>
    </row>
    <row r="779" spans="2:7" x14ac:dyDescent="0.25">
      <c r="B779" s="37"/>
      <c r="C779" s="37"/>
      <c r="D779" s="37"/>
      <c r="E779" s="37"/>
      <c r="F779" s="37"/>
      <c r="G779" s="70"/>
    </row>
    <row r="780" spans="2:7" x14ac:dyDescent="0.25">
      <c r="B780" s="37"/>
      <c r="C780" s="37"/>
      <c r="D780" s="37"/>
      <c r="E780" s="37"/>
      <c r="F780" s="37"/>
      <c r="G780" s="70"/>
    </row>
    <row r="781" spans="2:7" x14ac:dyDescent="0.25">
      <c r="B781" s="37"/>
      <c r="C781" s="37"/>
      <c r="D781" s="37"/>
      <c r="E781" s="37"/>
      <c r="F781" s="37"/>
      <c r="G781" s="70"/>
    </row>
    <row r="782" spans="2:7" x14ac:dyDescent="0.25">
      <c r="B782" s="37"/>
      <c r="C782" s="37"/>
      <c r="D782" s="37"/>
      <c r="E782" s="37"/>
      <c r="F782" s="37"/>
      <c r="G782" s="70"/>
    </row>
    <row r="783" spans="2:7" x14ac:dyDescent="0.25">
      <c r="B783" s="37"/>
      <c r="C783" s="37"/>
      <c r="D783" s="37"/>
      <c r="E783" s="37"/>
      <c r="F783" s="37"/>
      <c r="G783" s="70"/>
    </row>
    <row r="784" spans="2:7" x14ac:dyDescent="0.25">
      <c r="B784" s="37"/>
      <c r="C784" s="37"/>
      <c r="D784" s="37"/>
      <c r="E784" s="37"/>
      <c r="F784" s="37"/>
      <c r="G784" s="70"/>
    </row>
    <row r="785" spans="2:7" x14ac:dyDescent="0.25">
      <c r="B785" s="37"/>
      <c r="C785" s="37"/>
      <c r="D785" s="37"/>
      <c r="E785" s="37"/>
      <c r="F785" s="37"/>
      <c r="G785" s="70"/>
    </row>
    <row r="786" spans="2:7" x14ac:dyDescent="0.25">
      <c r="B786" s="37"/>
      <c r="C786" s="37"/>
      <c r="D786" s="37"/>
      <c r="E786" s="37"/>
      <c r="F786" s="37"/>
      <c r="G786" s="70"/>
    </row>
    <row r="787" spans="2:7" x14ac:dyDescent="0.25">
      <c r="B787" s="37"/>
      <c r="C787" s="37"/>
      <c r="D787" s="37"/>
      <c r="E787" s="37"/>
      <c r="F787" s="37"/>
      <c r="G787" s="70"/>
    </row>
    <row r="788" spans="2:7" x14ac:dyDescent="0.25">
      <c r="B788" s="37"/>
      <c r="C788" s="37"/>
      <c r="D788" s="37"/>
      <c r="E788" s="37"/>
      <c r="F788" s="37"/>
      <c r="G788" s="70"/>
    </row>
    <row r="789" spans="2:7" x14ac:dyDescent="0.25">
      <c r="B789" s="37"/>
      <c r="C789" s="37"/>
      <c r="D789" s="37"/>
      <c r="E789" s="37"/>
      <c r="F789" s="37"/>
      <c r="G789" s="70"/>
    </row>
    <row r="790" spans="2:7" x14ac:dyDescent="0.25">
      <c r="B790" s="37"/>
      <c r="C790" s="37"/>
      <c r="D790" s="37"/>
      <c r="E790" s="37"/>
      <c r="F790" s="37"/>
      <c r="G790" s="70"/>
    </row>
    <row r="791" spans="2:7" x14ac:dyDescent="0.25">
      <c r="B791" s="37"/>
      <c r="C791" s="37"/>
      <c r="D791" s="37"/>
      <c r="E791" s="37"/>
      <c r="F791" s="37"/>
      <c r="G791" s="70"/>
    </row>
    <row r="792" spans="2:7" x14ac:dyDescent="0.25">
      <c r="B792" s="37"/>
      <c r="C792" s="37"/>
      <c r="D792" s="37"/>
      <c r="E792" s="37"/>
      <c r="F792" s="37"/>
      <c r="G792" s="70"/>
    </row>
    <row r="793" spans="2:7" x14ac:dyDescent="0.25">
      <c r="B793" s="37"/>
      <c r="C793" s="37"/>
      <c r="D793" s="37"/>
      <c r="E793" s="37"/>
      <c r="F793" s="37"/>
      <c r="G793" s="70"/>
    </row>
    <row r="794" spans="2:7" x14ac:dyDescent="0.25">
      <c r="B794" s="37"/>
      <c r="C794" s="37"/>
      <c r="D794" s="37"/>
      <c r="E794" s="37"/>
      <c r="F794" s="37"/>
      <c r="G794" s="70"/>
    </row>
    <row r="795" spans="2:7" x14ac:dyDescent="0.25">
      <c r="B795" s="37"/>
      <c r="C795" s="37"/>
      <c r="D795" s="37"/>
      <c r="E795" s="37"/>
      <c r="F795" s="37"/>
      <c r="G795" s="70"/>
    </row>
    <row r="796" spans="2:7" x14ac:dyDescent="0.25">
      <c r="B796" s="37"/>
      <c r="C796" s="37"/>
      <c r="D796" s="37"/>
      <c r="E796" s="37"/>
      <c r="F796" s="37"/>
      <c r="G796" s="70"/>
    </row>
    <row r="797" spans="2:7" x14ac:dyDescent="0.25">
      <c r="B797" s="37"/>
      <c r="C797" s="37"/>
      <c r="D797" s="37"/>
      <c r="E797" s="37"/>
      <c r="F797" s="37"/>
      <c r="G797" s="70"/>
    </row>
    <row r="798" spans="2:7" x14ac:dyDescent="0.25">
      <c r="B798" s="37"/>
      <c r="C798" s="37"/>
      <c r="D798" s="37"/>
      <c r="E798" s="37"/>
      <c r="F798" s="37"/>
      <c r="G798" s="70"/>
    </row>
    <row r="799" spans="2:7" x14ac:dyDescent="0.25">
      <c r="B799" s="37"/>
      <c r="C799" s="37"/>
      <c r="D799" s="37"/>
      <c r="E799" s="37"/>
      <c r="F799" s="37"/>
      <c r="G799" s="70"/>
    </row>
    <row r="800" spans="2:7" x14ac:dyDescent="0.25">
      <c r="B800" s="37"/>
      <c r="C800" s="37"/>
      <c r="D800" s="37"/>
      <c r="E800" s="37"/>
      <c r="F800" s="37"/>
      <c r="G800" s="70"/>
    </row>
    <row r="801" spans="2:7" x14ac:dyDescent="0.25">
      <c r="B801" s="37"/>
      <c r="C801" s="37"/>
      <c r="D801" s="37"/>
      <c r="E801" s="37"/>
      <c r="F801" s="37"/>
      <c r="G801" s="70"/>
    </row>
    <row r="802" spans="2:7" x14ac:dyDescent="0.25">
      <c r="B802" s="37"/>
      <c r="C802" s="37"/>
      <c r="D802" s="37"/>
      <c r="E802" s="37"/>
      <c r="F802" s="37"/>
      <c r="G802" s="70"/>
    </row>
    <row r="803" spans="2:7" x14ac:dyDescent="0.25">
      <c r="B803" s="37"/>
      <c r="C803" s="37"/>
      <c r="D803" s="37"/>
      <c r="E803" s="37"/>
      <c r="F803" s="37"/>
      <c r="G803" s="70"/>
    </row>
    <row r="804" spans="2:7" x14ac:dyDescent="0.25">
      <c r="B804" s="37"/>
      <c r="C804" s="37"/>
      <c r="D804" s="37"/>
      <c r="E804" s="37"/>
      <c r="F804" s="37"/>
      <c r="G804" s="70"/>
    </row>
    <row r="805" spans="2:7" x14ac:dyDescent="0.25">
      <c r="B805" s="37"/>
      <c r="C805" s="37"/>
      <c r="D805" s="37"/>
      <c r="E805" s="37"/>
      <c r="F805" s="37"/>
      <c r="G805" s="70"/>
    </row>
    <row r="806" spans="2:7" x14ac:dyDescent="0.25">
      <c r="B806" s="37"/>
      <c r="C806" s="37"/>
      <c r="D806" s="37"/>
      <c r="E806" s="37"/>
      <c r="F806" s="37"/>
      <c r="G806" s="70"/>
    </row>
    <row r="807" spans="2:7" x14ac:dyDescent="0.25">
      <c r="B807" s="37"/>
      <c r="C807" s="37"/>
      <c r="D807" s="37"/>
      <c r="E807" s="37"/>
      <c r="F807" s="37"/>
      <c r="G807" s="70"/>
    </row>
    <row r="808" spans="2:7" x14ac:dyDescent="0.25">
      <c r="B808" s="37"/>
      <c r="C808" s="37"/>
      <c r="D808" s="37"/>
      <c r="E808" s="37"/>
      <c r="F808" s="37"/>
      <c r="G808" s="70"/>
    </row>
    <row r="809" spans="2:7" x14ac:dyDescent="0.25">
      <c r="B809" s="37"/>
      <c r="C809" s="37"/>
      <c r="D809" s="37"/>
      <c r="E809" s="37"/>
      <c r="F809" s="37"/>
      <c r="G809" s="70"/>
    </row>
    <row r="810" spans="2:7" x14ac:dyDescent="0.25">
      <c r="B810" s="37"/>
      <c r="C810" s="37"/>
      <c r="D810" s="37"/>
      <c r="E810" s="37"/>
      <c r="F810" s="37"/>
      <c r="G810" s="70"/>
    </row>
    <row r="811" spans="2:7" x14ac:dyDescent="0.25">
      <c r="B811" s="37"/>
      <c r="C811" s="37"/>
      <c r="D811" s="37"/>
      <c r="E811" s="37"/>
      <c r="F811" s="37"/>
      <c r="G811" s="70"/>
    </row>
    <row r="812" spans="2:7" x14ac:dyDescent="0.25">
      <c r="B812" s="37"/>
      <c r="C812" s="37"/>
      <c r="D812" s="37"/>
      <c r="E812" s="37"/>
      <c r="F812" s="37"/>
      <c r="G812" s="70"/>
    </row>
    <row r="813" spans="2:7" x14ac:dyDescent="0.25">
      <c r="B813" s="37"/>
      <c r="C813" s="37"/>
      <c r="D813" s="37"/>
      <c r="E813" s="37"/>
      <c r="F813" s="37"/>
      <c r="G813" s="70"/>
    </row>
    <row r="814" spans="2:7" x14ac:dyDescent="0.25">
      <c r="B814" s="37"/>
      <c r="C814" s="37"/>
      <c r="D814" s="37"/>
      <c r="E814" s="37"/>
      <c r="F814" s="37"/>
      <c r="G814" s="70"/>
    </row>
    <row r="815" spans="2:7" x14ac:dyDescent="0.25">
      <c r="B815" s="37"/>
      <c r="C815" s="37"/>
      <c r="D815" s="37"/>
      <c r="E815" s="37"/>
      <c r="F815" s="37"/>
      <c r="G815" s="70"/>
    </row>
    <row r="816" spans="2:7" x14ac:dyDescent="0.25">
      <c r="B816" s="37"/>
      <c r="C816" s="37"/>
      <c r="D816" s="37"/>
      <c r="E816" s="37"/>
      <c r="F816" s="37"/>
      <c r="G816" s="70"/>
    </row>
    <row r="817" spans="2:7" x14ac:dyDescent="0.25">
      <c r="B817" s="37"/>
      <c r="C817" s="37"/>
      <c r="D817" s="37"/>
      <c r="E817" s="37"/>
      <c r="F817" s="37"/>
      <c r="G817" s="70"/>
    </row>
    <row r="818" spans="2:7" x14ac:dyDescent="0.25">
      <c r="B818" s="37"/>
      <c r="C818" s="37"/>
      <c r="D818" s="37"/>
      <c r="E818" s="37"/>
      <c r="F818" s="37"/>
      <c r="G818" s="70"/>
    </row>
    <row r="819" spans="2:7" x14ac:dyDescent="0.25">
      <c r="B819" s="37"/>
      <c r="C819" s="37"/>
      <c r="D819" s="37"/>
      <c r="E819" s="37"/>
      <c r="F819" s="37"/>
      <c r="G819" s="70"/>
    </row>
    <row r="820" spans="2:7" x14ac:dyDescent="0.25">
      <c r="B820" s="37"/>
      <c r="C820" s="37"/>
      <c r="D820" s="37"/>
      <c r="E820" s="37"/>
      <c r="F820" s="37"/>
      <c r="G820" s="70"/>
    </row>
    <row r="821" spans="2:7" x14ac:dyDescent="0.25">
      <c r="B821" s="37"/>
      <c r="C821" s="37"/>
      <c r="D821" s="37"/>
      <c r="E821" s="37"/>
      <c r="F821" s="37"/>
      <c r="G821" s="70"/>
    </row>
    <row r="822" spans="2:7" x14ac:dyDescent="0.25">
      <c r="B822" s="37"/>
      <c r="C822" s="37"/>
      <c r="D822" s="37"/>
      <c r="E822" s="37"/>
      <c r="F822" s="37"/>
      <c r="G822" s="70"/>
    </row>
    <row r="823" spans="2:7" x14ac:dyDescent="0.25">
      <c r="B823" s="37"/>
      <c r="C823" s="37"/>
      <c r="D823" s="37"/>
      <c r="E823" s="37"/>
      <c r="F823" s="37"/>
      <c r="G823" s="70"/>
    </row>
    <row r="824" spans="2:7" x14ac:dyDescent="0.25">
      <c r="B824" s="37"/>
      <c r="C824" s="37"/>
      <c r="D824" s="37"/>
      <c r="E824" s="37"/>
      <c r="F824" s="37"/>
      <c r="G824" s="70"/>
    </row>
    <row r="825" spans="2:7" x14ac:dyDescent="0.25">
      <c r="B825" s="37"/>
      <c r="C825" s="37"/>
      <c r="D825" s="37"/>
      <c r="E825" s="37"/>
      <c r="F825" s="37"/>
      <c r="G825" s="70"/>
    </row>
    <row r="826" spans="2:7" x14ac:dyDescent="0.25">
      <c r="B826" s="37"/>
      <c r="C826" s="37"/>
      <c r="D826" s="37"/>
      <c r="E826" s="37"/>
      <c r="F826" s="37"/>
      <c r="G826" s="70"/>
    </row>
    <row r="827" spans="2:7" x14ac:dyDescent="0.25">
      <c r="B827" s="37"/>
      <c r="C827" s="37"/>
      <c r="D827" s="37"/>
      <c r="E827" s="37"/>
      <c r="F827" s="37"/>
      <c r="G827" s="70"/>
    </row>
    <row r="828" spans="2:7" x14ac:dyDescent="0.25">
      <c r="B828" s="37"/>
      <c r="C828" s="37"/>
      <c r="D828" s="37"/>
      <c r="E828" s="37"/>
      <c r="F828" s="37"/>
      <c r="G828" s="70"/>
    </row>
    <row r="829" spans="2:7" x14ac:dyDescent="0.25">
      <c r="B829" s="37"/>
      <c r="C829" s="37"/>
      <c r="D829" s="37"/>
      <c r="E829" s="37"/>
      <c r="F829" s="37"/>
      <c r="G829" s="70"/>
    </row>
    <row r="830" spans="2:7" x14ac:dyDescent="0.25">
      <c r="B830" s="37"/>
      <c r="C830" s="37"/>
      <c r="D830" s="37"/>
      <c r="E830" s="37"/>
      <c r="F830" s="37"/>
      <c r="G830" s="70"/>
    </row>
    <row r="831" spans="2:7" x14ac:dyDescent="0.25">
      <c r="B831" s="37"/>
      <c r="C831" s="37"/>
      <c r="D831" s="37"/>
      <c r="E831" s="37"/>
      <c r="F831" s="37"/>
      <c r="G831" s="70"/>
    </row>
    <row r="832" spans="2:7" x14ac:dyDescent="0.25">
      <c r="B832" s="37"/>
      <c r="C832" s="37"/>
      <c r="D832" s="37"/>
      <c r="E832" s="37"/>
      <c r="F832" s="37"/>
      <c r="G832" s="70"/>
    </row>
    <row r="833" spans="2:7" x14ac:dyDescent="0.25">
      <c r="B833" s="37"/>
      <c r="C833" s="37"/>
      <c r="D833" s="37"/>
      <c r="E833" s="37"/>
      <c r="F833" s="37"/>
      <c r="G833" s="70"/>
    </row>
    <row r="834" spans="2:7" x14ac:dyDescent="0.25">
      <c r="B834" s="37"/>
      <c r="C834" s="37"/>
      <c r="D834" s="37"/>
      <c r="E834" s="37"/>
      <c r="F834" s="37"/>
      <c r="G834" s="70"/>
    </row>
    <row r="835" spans="2:7" x14ac:dyDescent="0.25">
      <c r="B835" s="37"/>
      <c r="C835" s="37"/>
      <c r="D835" s="37"/>
      <c r="E835" s="37"/>
      <c r="F835" s="37"/>
      <c r="G835" s="70"/>
    </row>
    <row r="836" spans="2:7" x14ac:dyDescent="0.25">
      <c r="B836" s="37"/>
      <c r="C836" s="37"/>
      <c r="D836" s="37"/>
      <c r="E836" s="37"/>
      <c r="F836" s="37"/>
      <c r="G836" s="70"/>
    </row>
    <row r="837" spans="2:7" x14ac:dyDescent="0.25">
      <c r="B837" s="37"/>
      <c r="C837" s="37"/>
      <c r="D837" s="37"/>
      <c r="E837" s="37"/>
      <c r="F837" s="37"/>
      <c r="G837" s="70"/>
    </row>
    <row r="838" spans="2:7" x14ac:dyDescent="0.25">
      <c r="B838" s="37"/>
      <c r="C838" s="37"/>
      <c r="D838" s="37"/>
      <c r="E838" s="37"/>
      <c r="F838" s="37"/>
      <c r="G838" s="70"/>
    </row>
    <row r="839" spans="2:7" x14ac:dyDescent="0.25">
      <c r="B839" s="37"/>
      <c r="C839" s="37"/>
      <c r="D839" s="37"/>
      <c r="E839" s="37"/>
      <c r="F839" s="37"/>
      <c r="G839" s="70"/>
    </row>
    <row r="840" spans="2:7" x14ac:dyDescent="0.25">
      <c r="B840" s="37"/>
      <c r="C840" s="37"/>
      <c r="D840" s="37"/>
      <c r="E840" s="37"/>
      <c r="F840" s="37"/>
      <c r="G840" s="70"/>
    </row>
    <row r="841" spans="2:7" x14ac:dyDescent="0.25">
      <c r="B841" s="37"/>
      <c r="C841" s="37"/>
      <c r="D841" s="37"/>
      <c r="E841" s="37"/>
      <c r="F841" s="37"/>
      <c r="G841" s="70"/>
    </row>
    <row r="842" spans="2:7" x14ac:dyDescent="0.25">
      <c r="B842" s="37"/>
      <c r="C842" s="37"/>
      <c r="D842" s="37"/>
      <c r="E842" s="37"/>
      <c r="F842" s="37"/>
      <c r="G842" s="70"/>
    </row>
    <row r="843" spans="2:7" x14ac:dyDescent="0.25">
      <c r="B843" s="37"/>
      <c r="C843" s="37"/>
      <c r="D843" s="37"/>
      <c r="E843" s="37"/>
      <c r="F843" s="37"/>
      <c r="G843" s="70"/>
    </row>
    <row r="844" spans="2:7" x14ac:dyDescent="0.25">
      <c r="B844" s="37"/>
      <c r="C844" s="37"/>
      <c r="D844" s="37"/>
      <c r="E844" s="37"/>
      <c r="F844" s="37"/>
      <c r="G844" s="70"/>
    </row>
    <row r="845" spans="2:7" x14ac:dyDescent="0.25">
      <c r="B845" s="37"/>
      <c r="C845" s="37"/>
      <c r="D845" s="37"/>
      <c r="E845" s="37"/>
      <c r="F845" s="37"/>
      <c r="G845" s="70"/>
    </row>
    <row r="846" spans="2:7" x14ac:dyDescent="0.25">
      <c r="B846" s="37"/>
      <c r="C846" s="37"/>
      <c r="D846" s="37"/>
      <c r="E846" s="37"/>
      <c r="F846" s="37"/>
      <c r="G846" s="70"/>
    </row>
    <row r="847" spans="2:7" x14ac:dyDescent="0.25">
      <c r="B847" s="37"/>
      <c r="C847" s="37"/>
      <c r="D847" s="37"/>
      <c r="E847" s="37"/>
      <c r="F847" s="37"/>
      <c r="G847" s="70"/>
    </row>
    <row r="848" spans="2:7" x14ac:dyDescent="0.25">
      <c r="B848" s="37"/>
      <c r="C848" s="37"/>
      <c r="D848" s="37"/>
      <c r="E848" s="37"/>
      <c r="F848" s="37"/>
      <c r="G848" s="70"/>
    </row>
    <row r="849" spans="2:7" x14ac:dyDescent="0.25">
      <c r="B849" s="37"/>
      <c r="C849" s="37"/>
      <c r="D849" s="37"/>
      <c r="E849" s="37"/>
      <c r="F849" s="37"/>
      <c r="G849" s="70"/>
    </row>
    <row r="850" spans="2:7" x14ac:dyDescent="0.25">
      <c r="B850" s="37"/>
      <c r="C850" s="37"/>
      <c r="D850" s="37"/>
      <c r="E850" s="37"/>
      <c r="F850" s="37"/>
      <c r="G850" s="70"/>
    </row>
    <row r="851" spans="2:7" x14ac:dyDescent="0.25">
      <c r="B851" s="37"/>
      <c r="C851" s="37"/>
      <c r="D851" s="37"/>
      <c r="E851" s="37"/>
      <c r="F851" s="37"/>
      <c r="G851" s="70"/>
    </row>
    <row r="852" spans="2:7" x14ac:dyDescent="0.25">
      <c r="B852" s="37"/>
      <c r="C852" s="37"/>
      <c r="D852" s="37"/>
      <c r="E852" s="37"/>
      <c r="F852" s="37"/>
      <c r="G852" s="70"/>
    </row>
    <row r="853" spans="2:7" x14ac:dyDescent="0.25">
      <c r="B853" s="37"/>
      <c r="C853" s="37"/>
      <c r="D853" s="37"/>
      <c r="E853" s="37"/>
      <c r="F853" s="37"/>
      <c r="G853" s="70"/>
    </row>
    <row r="854" spans="2:7" x14ac:dyDescent="0.25">
      <c r="B854" s="37"/>
      <c r="C854" s="37"/>
      <c r="D854" s="37"/>
      <c r="E854" s="37"/>
      <c r="F854" s="37"/>
      <c r="G854" s="70"/>
    </row>
    <row r="855" spans="2:7" x14ac:dyDescent="0.25">
      <c r="B855" s="37"/>
      <c r="C855" s="37"/>
      <c r="D855" s="37"/>
      <c r="E855" s="37"/>
      <c r="F855" s="37"/>
      <c r="G855" s="70"/>
    </row>
    <row r="856" spans="2:7" x14ac:dyDescent="0.25">
      <c r="B856" s="37"/>
      <c r="C856" s="37"/>
      <c r="D856" s="37"/>
      <c r="E856" s="37"/>
      <c r="F856" s="37"/>
      <c r="G856" s="70"/>
    </row>
    <row r="857" spans="2:7" x14ac:dyDescent="0.25">
      <c r="B857" s="37"/>
      <c r="C857" s="37"/>
      <c r="D857" s="37"/>
      <c r="E857" s="37"/>
      <c r="F857" s="37"/>
      <c r="G857" s="70"/>
    </row>
    <row r="858" spans="2:7" x14ac:dyDescent="0.25">
      <c r="B858" s="37"/>
      <c r="C858" s="37"/>
      <c r="D858" s="37"/>
      <c r="E858" s="37"/>
      <c r="F858" s="37"/>
      <c r="G858" s="70"/>
    </row>
    <row r="859" spans="2:7" x14ac:dyDescent="0.25">
      <c r="B859" s="37"/>
      <c r="C859" s="37"/>
      <c r="D859" s="37"/>
      <c r="E859" s="37"/>
      <c r="F859" s="37"/>
      <c r="G859" s="70"/>
    </row>
    <row r="860" spans="2:7" x14ac:dyDescent="0.25">
      <c r="B860" s="37"/>
      <c r="C860" s="37"/>
      <c r="D860" s="37"/>
      <c r="E860" s="37"/>
      <c r="F860" s="37"/>
      <c r="G860" s="70"/>
    </row>
    <row r="861" spans="2:7" x14ac:dyDescent="0.25">
      <c r="B861" s="37"/>
      <c r="C861" s="37"/>
      <c r="D861" s="37"/>
      <c r="E861" s="37"/>
      <c r="F861" s="37"/>
      <c r="G861" s="70"/>
    </row>
    <row r="862" spans="2:7" x14ac:dyDescent="0.25">
      <c r="B862" s="37"/>
      <c r="C862" s="37"/>
      <c r="D862" s="37"/>
      <c r="E862" s="37"/>
      <c r="F862" s="37"/>
      <c r="G862" s="70"/>
    </row>
    <row r="863" spans="2:7" x14ac:dyDescent="0.25">
      <c r="B863" s="37"/>
      <c r="C863" s="37"/>
      <c r="D863" s="37"/>
      <c r="E863" s="37"/>
      <c r="F863" s="37"/>
      <c r="G863" s="70"/>
    </row>
    <row r="864" spans="2:7" x14ac:dyDescent="0.25">
      <c r="B864" s="37"/>
      <c r="C864" s="37"/>
      <c r="D864" s="37"/>
      <c r="E864" s="37"/>
      <c r="F864" s="37"/>
      <c r="G864" s="70"/>
    </row>
    <row r="865" spans="2:7" x14ac:dyDescent="0.25">
      <c r="B865" s="37"/>
      <c r="C865" s="37"/>
      <c r="D865" s="37"/>
      <c r="E865" s="37"/>
      <c r="F865" s="37"/>
      <c r="G865" s="70"/>
    </row>
    <row r="866" spans="2:7" x14ac:dyDescent="0.25">
      <c r="B866" s="37"/>
      <c r="C866" s="37"/>
      <c r="D866" s="37"/>
      <c r="E866" s="37"/>
      <c r="F866" s="37"/>
      <c r="G866" s="70"/>
    </row>
    <row r="867" spans="2:7" x14ac:dyDescent="0.25">
      <c r="B867" s="37"/>
      <c r="C867" s="37"/>
      <c r="D867" s="37"/>
      <c r="E867" s="37"/>
      <c r="F867" s="37"/>
      <c r="G867" s="70"/>
    </row>
    <row r="868" spans="2:7" x14ac:dyDescent="0.25">
      <c r="B868" s="37"/>
      <c r="C868" s="37"/>
      <c r="D868" s="37"/>
      <c r="E868" s="37"/>
      <c r="F868" s="37"/>
      <c r="G868" s="70"/>
    </row>
    <row r="869" spans="2:7" x14ac:dyDescent="0.25">
      <c r="B869" s="37"/>
      <c r="C869" s="37"/>
      <c r="D869" s="37"/>
      <c r="E869" s="37"/>
      <c r="F869" s="37"/>
      <c r="G869" s="70"/>
    </row>
    <row r="870" spans="2:7" x14ac:dyDescent="0.25">
      <c r="B870" s="37"/>
      <c r="C870" s="37"/>
      <c r="D870" s="37"/>
      <c r="E870" s="37"/>
      <c r="F870" s="37"/>
      <c r="G870" s="70"/>
    </row>
    <row r="871" spans="2:7" x14ac:dyDescent="0.25">
      <c r="B871" s="37"/>
      <c r="C871" s="37"/>
      <c r="D871" s="37"/>
      <c r="E871" s="37"/>
      <c r="F871" s="37"/>
      <c r="G871" s="70"/>
    </row>
    <row r="872" spans="2:7" x14ac:dyDescent="0.25">
      <c r="B872" s="37"/>
      <c r="C872" s="37"/>
      <c r="D872" s="37"/>
      <c r="E872" s="37"/>
      <c r="F872" s="37"/>
      <c r="G872" s="70"/>
    </row>
    <row r="873" spans="2:7" x14ac:dyDescent="0.25">
      <c r="B873" s="37"/>
      <c r="C873" s="37"/>
      <c r="D873" s="37"/>
      <c r="E873" s="37"/>
      <c r="F873" s="37"/>
      <c r="G873" s="70"/>
    </row>
    <row r="874" spans="2:7" x14ac:dyDescent="0.25">
      <c r="B874" s="37"/>
      <c r="C874" s="37"/>
      <c r="D874" s="37"/>
      <c r="E874" s="37"/>
      <c r="F874" s="37"/>
      <c r="G874" s="70"/>
    </row>
    <row r="875" spans="2:7" x14ac:dyDescent="0.25">
      <c r="B875" s="37"/>
      <c r="C875" s="37"/>
      <c r="D875" s="37"/>
      <c r="E875" s="37"/>
      <c r="F875" s="37"/>
      <c r="G875" s="70"/>
    </row>
    <row r="876" spans="2:7" x14ac:dyDescent="0.25">
      <c r="B876" s="37"/>
      <c r="C876" s="37"/>
      <c r="D876" s="37"/>
      <c r="E876" s="37"/>
      <c r="F876" s="37"/>
      <c r="G876" s="70"/>
    </row>
    <row r="877" spans="2:7" x14ac:dyDescent="0.25">
      <c r="B877" s="37"/>
      <c r="C877" s="37"/>
      <c r="D877" s="37"/>
      <c r="E877" s="37"/>
      <c r="F877" s="37"/>
      <c r="G877" s="70"/>
    </row>
    <row r="878" spans="2:7" x14ac:dyDescent="0.25">
      <c r="B878" s="37"/>
      <c r="C878" s="37"/>
      <c r="D878" s="37"/>
      <c r="E878" s="37"/>
      <c r="F878" s="37"/>
      <c r="G878" s="70"/>
    </row>
    <row r="879" spans="2:7" x14ac:dyDescent="0.25">
      <c r="B879" s="37"/>
      <c r="C879" s="37"/>
      <c r="D879" s="37"/>
      <c r="E879" s="37"/>
      <c r="F879" s="37"/>
      <c r="G879" s="70"/>
    </row>
    <row r="880" spans="2:7" x14ac:dyDescent="0.25">
      <c r="B880" s="37"/>
      <c r="C880" s="37"/>
      <c r="D880" s="37"/>
      <c r="E880" s="37"/>
      <c r="F880" s="37"/>
      <c r="G880" s="70"/>
    </row>
    <row r="881" spans="2:7" x14ac:dyDescent="0.25">
      <c r="B881" s="37"/>
      <c r="C881" s="37"/>
      <c r="D881" s="37"/>
      <c r="E881" s="37"/>
      <c r="F881" s="37"/>
      <c r="G881" s="70"/>
    </row>
    <row r="882" spans="2:7" x14ac:dyDescent="0.25">
      <c r="B882" s="37"/>
      <c r="C882" s="37"/>
      <c r="D882" s="37"/>
      <c r="E882" s="37"/>
      <c r="F882" s="37"/>
      <c r="G882" s="70"/>
    </row>
    <row r="883" spans="2:7" x14ac:dyDescent="0.25">
      <c r="B883" s="37"/>
      <c r="C883" s="37"/>
      <c r="D883" s="37"/>
      <c r="E883" s="37"/>
      <c r="F883" s="37"/>
      <c r="G883" s="70"/>
    </row>
    <row r="884" spans="2:7" x14ac:dyDescent="0.25">
      <c r="B884" s="37"/>
      <c r="C884" s="37"/>
      <c r="D884" s="37"/>
      <c r="E884" s="37"/>
      <c r="F884" s="37"/>
      <c r="G884" s="70"/>
    </row>
    <row r="885" spans="2:7" x14ac:dyDescent="0.25">
      <c r="B885" s="37"/>
      <c r="C885" s="37"/>
      <c r="D885" s="37"/>
      <c r="E885" s="37"/>
      <c r="F885" s="37"/>
      <c r="G885" s="70"/>
    </row>
    <row r="886" spans="2:7" x14ac:dyDescent="0.25">
      <c r="B886" s="37"/>
      <c r="C886" s="37"/>
      <c r="D886" s="37"/>
      <c r="E886" s="37"/>
      <c r="F886" s="37"/>
      <c r="G886" s="70"/>
    </row>
    <row r="887" spans="2:7" x14ac:dyDescent="0.25">
      <c r="B887" s="37"/>
      <c r="C887" s="37"/>
      <c r="D887" s="37"/>
      <c r="E887" s="37"/>
      <c r="F887" s="37"/>
      <c r="G887" s="70"/>
    </row>
    <row r="888" spans="2:7" x14ac:dyDescent="0.25">
      <c r="B888" s="37"/>
      <c r="C888" s="37"/>
      <c r="D888" s="37"/>
      <c r="E888" s="37"/>
      <c r="F888" s="37"/>
      <c r="G888" s="70"/>
    </row>
    <row r="889" spans="2:7" x14ac:dyDescent="0.25">
      <c r="B889" s="37"/>
      <c r="C889" s="37"/>
      <c r="D889" s="37"/>
      <c r="E889" s="37"/>
      <c r="F889" s="37"/>
      <c r="G889" s="70"/>
    </row>
    <row r="890" spans="2:7" x14ac:dyDescent="0.25">
      <c r="B890" s="37"/>
      <c r="C890" s="37"/>
      <c r="D890" s="37"/>
      <c r="E890" s="37"/>
      <c r="F890" s="37"/>
      <c r="G890" s="70"/>
    </row>
    <row r="891" spans="2:7" x14ac:dyDescent="0.25">
      <c r="B891" s="37"/>
      <c r="C891" s="37"/>
      <c r="D891" s="37"/>
      <c r="E891" s="37"/>
      <c r="F891" s="37"/>
      <c r="G891" s="70"/>
    </row>
    <row r="892" spans="2:7" x14ac:dyDescent="0.25">
      <c r="B892" s="37"/>
      <c r="C892" s="37"/>
      <c r="D892" s="37"/>
      <c r="E892" s="37"/>
      <c r="F892" s="37"/>
      <c r="G892" s="70"/>
    </row>
    <row r="893" spans="2:7" x14ac:dyDescent="0.25">
      <c r="B893" s="37"/>
      <c r="C893" s="37"/>
      <c r="D893" s="37"/>
      <c r="E893" s="37"/>
      <c r="F893" s="37"/>
      <c r="G893" s="70"/>
    </row>
    <row r="894" spans="2:7" x14ac:dyDescent="0.25">
      <c r="B894" s="37"/>
      <c r="C894" s="37"/>
      <c r="D894" s="37"/>
      <c r="E894" s="37"/>
      <c r="F894" s="37"/>
      <c r="G894" s="70"/>
    </row>
    <row r="895" spans="2:7" x14ac:dyDescent="0.25">
      <c r="B895" s="37"/>
      <c r="C895" s="37"/>
      <c r="D895" s="37"/>
      <c r="E895" s="37"/>
      <c r="F895" s="37"/>
      <c r="G895" s="70"/>
    </row>
    <row r="896" spans="2:7" x14ac:dyDescent="0.25">
      <c r="B896" s="37"/>
      <c r="C896" s="37"/>
      <c r="D896" s="37"/>
      <c r="E896" s="37"/>
      <c r="F896" s="37"/>
      <c r="G896" s="70"/>
    </row>
    <row r="897" spans="2:7" x14ac:dyDescent="0.25">
      <c r="B897" s="37"/>
      <c r="C897" s="37"/>
      <c r="D897" s="37"/>
      <c r="E897" s="37"/>
      <c r="F897" s="37"/>
      <c r="G897" s="70"/>
    </row>
    <row r="898" spans="2:7" x14ac:dyDescent="0.25">
      <c r="B898" s="37"/>
      <c r="C898" s="37"/>
      <c r="D898" s="37"/>
      <c r="E898" s="37"/>
      <c r="F898" s="37"/>
      <c r="G898" s="70"/>
    </row>
    <row r="899" spans="2:7" x14ac:dyDescent="0.25">
      <c r="B899" s="37"/>
      <c r="C899" s="37"/>
      <c r="D899" s="37"/>
      <c r="E899" s="37"/>
      <c r="F899" s="37"/>
      <c r="G899" s="70"/>
    </row>
    <row r="900" spans="2:7" x14ac:dyDescent="0.25">
      <c r="B900" s="37"/>
      <c r="C900" s="37"/>
      <c r="D900" s="37"/>
      <c r="E900" s="37"/>
      <c r="F900" s="37"/>
      <c r="G900" s="70"/>
    </row>
    <row r="901" spans="2:7" x14ac:dyDescent="0.25">
      <c r="B901" s="37"/>
      <c r="C901" s="37"/>
      <c r="D901" s="37"/>
      <c r="E901" s="37"/>
      <c r="F901" s="37"/>
      <c r="G901" s="70"/>
    </row>
    <row r="902" spans="2:7" x14ac:dyDescent="0.25">
      <c r="B902" s="37"/>
      <c r="C902" s="37"/>
      <c r="D902" s="37"/>
      <c r="E902" s="37"/>
      <c r="F902" s="37"/>
      <c r="G902" s="70"/>
    </row>
    <row r="903" spans="2:7" x14ac:dyDescent="0.25">
      <c r="B903" s="37"/>
      <c r="C903" s="37"/>
      <c r="D903" s="37"/>
      <c r="E903" s="37"/>
      <c r="F903" s="37"/>
      <c r="G903" s="70"/>
    </row>
    <row r="904" spans="2:7" x14ac:dyDescent="0.25">
      <c r="B904" s="37"/>
      <c r="C904" s="37"/>
      <c r="D904" s="37"/>
      <c r="E904" s="37"/>
      <c r="F904" s="37"/>
      <c r="G904" s="70"/>
    </row>
    <row r="905" spans="2:7" x14ac:dyDescent="0.25">
      <c r="B905" s="37"/>
      <c r="C905" s="37"/>
      <c r="D905" s="37"/>
      <c r="E905" s="37"/>
      <c r="F905" s="37"/>
      <c r="G905" s="70"/>
    </row>
    <row r="906" spans="2:7" x14ac:dyDescent="0.25">
      <c r="B906" s="37"/>
      <c r="C906" s="37"/>
      <c r="D906" s="37"/>
      <c r="E906" s="37"/>
      <c r="F906" s="37"/>
      <c r="G906" s="70"/>
    </row>
    <row r="907" spans="2:7" x14ac:dyDescent="0.25">
      <c r="B907" s="37"/>
      <c r="C907" s="37"/>
      <c r="D907" s="37"/>
      <c r="E907" s="37"/>
      <c r="F907" s="37"/>
      <c r="G907" s="70"/>
    </row>
    <row r="908" spans="2:7" x14ac:dyDescent="0.25">
      <c r="B908" s="37"/>
      <c r="C908" s="37"/>
      <c r="D908" s="37"/>
      <c r="E908" s="37"/>
      <c r="F908" s="37"/>
      <c r="G908" s="70"/>
    </row>
    <row r="909" spans="2:7" x14ac:dyDescent="0.25">
      <c r="B909" s="37"/>
      <c r="C909" s="37"/>
      <c r="D909" s="37"/>
      <c r="E909" s="37"/>
      <c r="F909" s="37"/>
      <c r="G909" s="70"/>
    </row>
    <row r="910" spans="2:7" x14ac:dyDescent="0.25">
      <c r="B910" s="37"/>
      <c r="C910" s="37"/>
      <c r="D910" s="37"/>
      <c r="E910" s="37"/>
      <c r="F910" s="37"/>
      <c r="G910" s="70"/>
    </row>
    <row r="911" spans="2:7" x14ac:dyDescent="0.25">
      <c r="B911" s="37"/>
      <c r="C911" s="37"/>
      <c r="D911" s="37"/>
      <c r="E911" s="37"/>
      <c r="F911" s="37"/>
      <c r="G911" s="70"/>
    </row>
    <row r="912" spans="2:7" x14ac:dyDescent="0.25">
      <c r="B912" s="37"/>
      <c r="C912" s="37"/>
      <c r="D912" s="37"/>
      <c r="E912" s="37"/>
      <c r="F912" s="37"/>
      <c r="G912" s="70"/>
    </row>
    <row r="913" spans="2:7" x14ac:dyDescent="0.25">
      <c r="B913" s="37"/>
      <c r="C913" s="37"/>
      <c r="D913" s="37"/>
      <c r="E913" s="37"/>
      <c r="F913" s="37"/>
      <c r="G913" s="70"/>
    </row>
    <row r="914" spans="2:7" x14ac:dyDescent="0.25">
      <c r="B914" s="37"/>
      <c r="C914" s="37"/>
      <c r="D914" s="37"/>
      <c r="E914" s="37"/>
      <c r="F914" s="37"/>
      <c r="G914" s="70"/>
    </row>
    <row r="915" spans="2:7" x14ac:dyDescent="0.25">
      <c r="B915" s="37"/>
      <c r="C915" s="37"/>
      <c r="D915" s="37"/>
      <c r="E915" s="37"/>
      <c r="F915" s="37"/>
      <c r="G915" s="70"/>
    </row>
    <row r="916" spans="2:7" x14ac:dyDescent="0.25">
      <c r="B916" s="37"/>
      <c r="C916" s="37"/>
      <c r="D916" s="37"/>
      <c r="E916" s="37"/>
      <c r="F916" s="37"/>
      <c r="G916" s="70"/>
    </row>
    <row r="917" spans="2:7" x14ac:dyDescent="0.25">
      <c r="B917" s="37"/>
      <c r="C917" s="37"/>
      <c r="D917" s="37"/>
      <c r="E917" s="37"/>
      <c r="F917" s="37"/>
      <c r="G917" s="70"/>
    </row>
    <row r="918" spans="2:7" x14ac:dyDescent="0.25">
      <c r="B918" s="37"/>
      <c r="C918" s="37"/>
      <c r="D918" s="37"/>
      <c r="E918" s="37"/>
      <c r="F918" s="37"/>
      <c r="G918" s="70"/>
    </row>
    <row r="919" spans="2:7" x14ac:dyDescent="0.25">
      <c r="B919" s="37"/>
      <c r="C919" s="37"/>
      <c r="D919" s="37"/>
      <c r="E919" s="37"/>
      <c r="F919" s="37"/>
      <c r="G919" s="70"/>
    </row>
    <row r="920" spans="2:7" x14ac:dyDescent="0.25">
      <c r="B920" s="37"/>
      <c r="C920" s="37"/>
      <c r="D920" s="37"/>
      <c r="E920" s="37"/>
      <c r="F920" s="37"/>
      <c r="G920" s="70"/>
    </row>
    <row r="921" spans="2:7" x14ac:dyDescent="0.25">
      <c r="B921" s="37"/>
      <c r="C921" s="37"/>
      <c r="D921" s="37"/>
      <c r="E921" s="37"/>
      <c r="F921" s="37"/>
      <c r="G921" s="70"/>
    </row>
    <row r="922" spans="2:7" x14ac:dyDescent="0.25">
      <c r="B922" s="37"/>
      <c r="C922" s="37"/>
      <c r="D922" s="37"/>
      <c r="E922" s="37"/>
      <c r="F922" s="37"/>
      <c r="G922" s="70"/>
    </row>
    <row r="923" spans="2:7" x14ac:dyDescent="0.25">
      <c r="B923" s="37"/>
      <c r="C923" s="37"/>
      <c r="D923" s="37"/>
      <c r="E923" s="37"/>
      <c r="F923" s="37"/>
      <c r="G923" s="70"/>
    </row>
    <row r="924" spans="2:7" x14ac:dyDescent="0.25">
      <c r="B924" s="37"/>
      <c r="C924" s="37"/>
      <c r="D924" s="37"/>
      <c r="E924" s="37"/>
      <c r="F924" s="37"/>
      <c r="G924" s="70"/>
    </row>
    <row r="925" spans="2:7" x14ac:dyDescent="0.25">
      <c r="B925" s="37"/>
      <c r="C925" s="37"/>
      <c r="D925" s="37"/>
      <c r="E925" s="37"/>
      <c r="F925" s="37"/>
      <c r="G925" s="70"/>
    </row>
    <row r="926" spans="2:7" x14ac:dyDescent="0.25">
      <c r="B926" s="37"/>
      <c r="C926" s="37"/>
      <c r="D926" s="37"/>
      <c r="E926" s="37"/>
      <c r="F926" s="37"/>
      <c r="G926" s="70"/>
    </row>
    <row r="927" spans="2:7" x14ac:dyDescent="0.25">
      <c r="B927" s="37"/>
      <c r="C927" s="37"/>
      <c r="D927" s="37"/>
      <c r="E927" s="37"/>
      <c r="F927" s="37"/>
      <c r="G927" s="70"/>
    </row>
    <row r="928" spans="2:7" x14ac:dyDescent="0.25">
      <c r="B928" s="37"/>
      <c r="C928" s="37"/>
      <c r="D928" s="37"/>
      <c r="E928" s="37"/>
      <c r="F928" s="37"/>
      <c r="G928" s="70"/>
    </row>
    <row r="929" spans="2:7" x14ac:dyDescent="0.25">
      <c r="B929" s="37"/>
      <c r="C929" s="37"/>
      <c r="D929" s="37"/>
      <c r="E929" s="37"/>
      <c r="F929" s="37"/>
      <c r="G929" s="70"/>
    </row>
    <row r="930" spans="2:7" x14ac:dyDescent="0.25">
      <c r="B930" s="37"/>
      <c r="C930" s="37"/>
      <c r="D930" s="37"/>
      <c r="E930" s="37"/>
      <c r="F930" s="37"/>
      <c r="G930" s="70"/>
    </row>
    <row r="931" spans="2:7" x14ac:dyDescent="0.25">
      <c r="B931" s="37"/>
      <c r="C931" s="37"/>
      <c r="D931" s="37"/>
      <c r="E931" s="37"/>
      <c r="F931" s="37"/>
      <c r="G931" s="70"/>
    </row>
    <row r="932" spans="2:7" x14ac:dyDescent="0.25">
      <c r="B932" s="37"/>
      <c r="C932" s="37"/>
      <c r="D932" s="37"/>
      <c r="E932" s="37"/>
      <c r="F932" s="37"/>
      <c r="G932" s="70"/>
    </row>
    <row r="933" spans="2:7" x14ac:dyDescent="0.25">
      <c r="B933" s="37"/>
      <c r="C933" s="37"/>
      <c r="D933" s="37"/>
      <c r="E933" s="37"/>
      <c r="F933" s="37"/>
      <c r="G933" s="70"/>
    </row>
    <row r="934" spans="2:7" x14ac:dyDescent="0.25">
      <c r="B934" s="37"/>
      <c r="C934" s="37"/>
      <c r="D934" s="37"/>
      <c r="E934" s="37"/>
      <c r="F934" s="37"/>
      <c r="G934" s="70"/>
    </row>
    <row r="935" spans="2:7" x14ac:dyDescent="0.25">
      <c r="B935" s="37"/>
      <c r="C935" s="37"/>
      <c r="D935" s="37"/>
      <c r="E935" s="37"/>
      <c r="F935" s="37"/>
      <c r="G935" s="70"/>
    </row>
    <row r="936" spans="2:7" x14ac:dyDescent="0.25">
      <c r="B936" s="37"/>
      <c r="C936" s="37"/>
      <c r="D936" s="37"/>
      <c r="E936" s="37"/>
      <c r="F936" s="37"/>
      <c r="G936" s="70"/>
    </row>
    <row r="937" spans="2:7" x14ac:dyDescent="0.25">
      <c r="B937" s="37"/>
      <c r="C937" s="37"/>
      <c r="D937" s="37"/>
      <c r="E937" s="37"/>
      <c r="F937" s="37"/>
      <c r="G937" s="70"/>
    </row>
    <row r="938" spans="2:7" x14ac:dyDescent="0.25">
      <c r="B938" s="37"/>
      <c r="C938" s="37"/>
      <c r="D938" s="37"/>
      <c r="E938" s="37"/>
      <c r="F938" s="37"/>
      <c r="G938" s="70"/>
    </row>
    <row r="939" spans="2:7" x14ac:dyDescent="0.25">
      <c r="B939" s="37"/>
      <c r="C939" s="37"/>
      <c r="D939" s="37"/>
      <c r="E939" s="37"/>
      <c r="F939" s="37"/>
      <c r="G939" s="70"/>
    </row>
    <row r="940" spans="2:7" x14ac:dyDescent="0.25">
      <c r="B940" s="37"/>
      <c r="C940" s="37"/>
      <c r="D940" s="37"/>
      <c r="E940" s="37"/>
      <c r="F940" s="37"/>
      <c r="G940" s="70"/>
    </row>
    <row r="941" spans="2:7" x14ac:dyDescent="0.25">
      <c r="B941" s="37"/>
      <c r="C941" s="37"/>
      <c r="D941" s="37"/>
      <c r="E941" s="37"/>
      <c r="F941" s="37"/>
      <c r="G941" s="70"/>
    </row>
    <row r="942" spans="2:7" x14ac:dyDescent="0.25">
      <c r="B942" s="37"/>
      <c r="C942" s="37"/>
      <c r="D942" s="37"/>
      <c r="E942" s="37"/>
      <c r="F942" s="37"/>
      <c r="G942" s="70"/>
    </row>
    <row r="943" spans="2:7" x14ac:dyDescent="0.25">
      <c r="B943" s="37"/>
      <c r="C943" s="37"/>
      <c r="D943" s="37"/>
      <c r="E943" s="37"/>
      <c r="F943" s="37"/>
      <c r="G943" s="70"/>
    </row>
    <row r="944" spans="2:7" x14ac:dyDescent="0.25">
      <c r="B944" s="37"/>
      <c r="C944" s="37"/>
      <c r="D944" s="37"/>
      <c r="E944" s="37"/>
      <c r="F944" s="37"/>
      <c r="G944" s="70"/>
    </row>
    <row r="945" spans="2:7" x14ac:dyDescent="0.25">
      <c r="B945" s="37"/>
      <c r="C945" s="37"/>
      <c r="D945" s="37"/>
      <c r="E945" s="37"/>
      <c r="F945" s="37"/>
      <c r="G945" s="70"/>
    </row>
    <row r="946" spans="2:7" x14ac:dyDescent="0.25">
      <c r="B946" s="37"/>
      <c r="C946" s="37"/>
      <c r="D946" s="37"/>
      <c r="E946" s="37"/>
      <c r="F946" s="37"/>
      <c r="G946" s="70"/>
    </row>
    <row r="947" spans="2:7" x14ac:dyDescent="0.25">
      <c r="B947" s="37"/>
      <c r="C947" s="37"/>
      <c r="D947" s="37"/>
      <c r="E947" s="37"/>
      <c r="F947" s="37"/>
      <c r="G947" s="70"/>
    </row>
    <row r="948" spans="2:7" x14ac:dyDescent="0.25">
      <c r="B948" s="37"/>
      <c r="C948" s="37"/>
      <c r="D948" s="37"/>
      <c r="E948" s="37"/>
      <c r="F948" s="37"/>
      <c r="G948" s="70"/>
    </row>
    <row r="949" spans="2:7" x14ac:dyDescent="0.25">
      <c r="B949" s="37"/>
      <c r="C949" s="37"/>
      <c r="D949" s="37"/>
      <c r="E949" s="37"/>
      <c r="F949" s="37"/>
      <c r="G949" s="70"/>
    </row>
    <row r="950" spans="2:7" x14ac:dyDescent="0.25">
      <c r="B950" s="37"/>
      <c r="C950" s="37"/>
      <c r="D950" s="37"/>
      <c r="E950" s="37"/>
      <c r="F950" s="37"/>
      <c r="G950" s="70"/>
    </row>
    <row r="951" spans="2:7" x14ac:dyDescent="0.25">
      <c r="B951" s="37"/>
      <c r="C951" s="37"/>
      <c r="D951" s="37"/>
      <c r="E951" s="37"/>
      <c r="F951" s="37"/>
      <c r="G951" s="70"/>
    </row>
    <row r="952" spans="2:7" x14ac:dyDescent="0.25">
      <c r="B952" s="37"/>
      <c r="C952" s="37"/>
      <c r="D952" s="37"/>
      <c r="E952" s="37"/>
      <c r="F952" s="37"/>
      <c r="G952" s="70"/>
    </row>
    <row r="953" spans="2:7" x14ac:dyDescent="0.25">
      <c r="B953" s="37"/>
      <c r="C953" s="37"/>
      <c r="D953" s="37"/>
      <c r="E953" s="37"/>
      <c r="F953" s="37"/>
      <c r="G953" s="70"/>
    </row>
    <row r="954" spans="2:7" x14ac:dyDescent="0.25">
      <c r="B954" s="37"/>
      <c r="C954" s="37"/>
      <c r="D954" s="37"/>
      <c r="E954" s="37"/>
      <c r="F954" s="37"/>
      <c r="G954" s="70"/>
    </row>
    <row r="955" spans="2:7" x14ac:dyDescent="0.25">
      <c r="B955" s="37"/>
      <c r="C955" s="37"/>
      <c r="D955" s="37"/>
      <c r="E955" s="37"/>
      <c r="F955" s="37"/>
      <c r="G955" s="70"/>
    </row>
    <row r="956" spans="2:7" x14ac:dyDescent="0.25">
      <c r="B956" s="37"/>
      <c r="C956" s="37"/>
      <c r="D956" s="37"/>
      <c r="E956" s="37"/>
      <c r="F956" s="37"/>
      <c r="G956" s="70"/>
    </row>
    <row r="957" spans="2:7" x14ac:dyDescent="0.25">
      <c r="B957" s="37"/>
      <c r="C957" s="37"/>
      <c r="D957" s="37"/>
      <c r="E957" s="37"/>
      <c r="F957" s="37"/>
      <c r="G957" s="70"/>
    </row>
    <row r="958" spans="2:7" x14ac:dyDescent="0.25">
      <c r="B958" s="37"/>
      <c r="C958" s="37"/>
      <c r="D958" s="37"/>
      <c r="E958" s="37"/>
      <c r="F958" s="37"/>
      <c r="G958" s="70"/>
    </row>
    <row r="959" spans="2:7" x14ac:dyDescent="0.25">
      <c r="B959" s="37"/>
      <c r="C959" s="37"/>
      <c r="D959" s="37"/>
      <c r="E959" s="37"/>
      <c r="F959" s="37"/>
      <c r="G959" s="70"/>
    </row>
    <row r="960" spans="2:7" x14ac:dyDescent="0.25">
      <c r="B960" s="37"/>
      <c r="C960" s="37"/>
      <c r="D960" s="37"/>
      <c r="E960" s="37"/>
      <c r="F960" s="37"/>
      <c r="G960" s="70"/>
    </row>
    <row r="961" spans="2:7" x14ac:dyDescent="0.25">
      <c r="B961" s="37"/>
      <c r="C961" s="37"/>
      <c r="D961" s="37"/>
      <c r="E961" s="37"/>
      <c r="F961" s="37"/>
      <c r="G961" s="70"/>
    </row>
    <row r="962" spans="2:7" x14ac:dyDescent="0.25">
      <c r="B962" s="37"/>
      <c r="C962" s="37"/>
      <c r="D962" s="37"/>
      <c r="E962" s="37"/>
      <c r="F962" s="37"/>
      <c r="G962" s="70"/>
    </row>
    <row r="963" spans="2:7" x14ac:dyDescent="0.25">
      <c r="B963" s="37"/>
      <c r="C963" s="37"/>
      <c r="D963" s="37"/>
      <c r="E963" s="37"/>
      <c r="F963" s="37"/>
      <c r="G963" s="70"/>
    </row>
    <row r="964" spans="2:7" x14ac:dyDescent="0.25">
      <c r="B964" s="37"/>
      <c r="C964" s="37"/>
      <c r="D964" s="37"/>
      <c r="E964" s="37"/>
      <c r="F964" s="37"/>
      <c r="G964" s="70"/>
    </row>
    <row r="965" spans="2:7" x14ac:dyDescent="0.25">
      <c r="B965" s="37"/>
      <c r="C965" s="37"/>
      <c r="D965" s="37"/>
      <c r="E965" s="37"/>
      <c r="F965" s="37"/>
      <c r="G965" s="70"/>
    </row>
    <row r="966" spans="2:7" x14ac:dyDescent="0.25">
      <c r="B966" s="37"/>
      <c r="C966" s="37"/>
      <c r="D966" s="37"/>
      <c r="E966" s="37"/>
      <c r="F966" s="37"/>
      <c r="G966" s="70"/>
    </row>
    <row r="967" spans="2:7" x14ac:dyDescent="0.25">
      <c r="B967" s="37"/>
      <c r="C967" s="37"/>
      <c r="D967" s="37"/>
      <c r="E967" s="37"/>
      <c r="F967" s="37"/>
      <c r="G967" s="70"/>
    </row>
    <row r="968" spans="2:7" x14ac:dyDescent="0.25">
      <c r="B968" s="37"/>
      <c r="C968" s="37"/>
      <c r="D968" s="37"/>
      <c r="E968" s="37"/>
      <c r="F968" s="37"/>
      <c r="G968" s="70"/>
    </row>
    <row r="969" spans="2:7" x14ac:dyDescent="0.25">
      <c r="B969" s="37"/>
      <c r="C969" s="37"/>
      <c r="D969" s="37"/>
      <c r="E969" s="37"/>
      <c r="F969" s="37"/>
      <c r="G969" s="70"/>
    </row>
    <row r="970" spans="2:7" x14ac:dyDescent="0.25">
      <c r="B970" s="37"/>
      <c r="C970" s="37"/>
      <c r="D970" s="37"/>
      <c r="E970" s="37"/>
      <c r="F970" s="37"/>
      <c r="G970" s="70"/>
    </row>
    <row r="971" spans="2:7" x14ac:dyDescent="0.25">
      <c r="B971" s="37"/>
      <c r="C971" s="37"/>
      <c r="D971" s="37"/>
      <c r="E971" s="37"/>
      <c r="F971" s="37"/>
      <c r="G971" s="70"/>
    </row>
    <row r="972" spans="2:7" x14ac:dyDescent="0.25">
      <c r="B972" s="37"/>
      <c r="C972" s="37"/>
      <c r="D972" s="37"/>
      <c r="E972" s="37"/>
      <c r="F972" s="37"/>
      <c r="G972" s="70"/>
    </row>
    <row r="973" spans="2:7" x14ac:dyDescent="0.25">
      <c r="B973" s="37"/>
      <c r="C973" s="37"/>
      <c r="D973" s="37"/>
      <c r="E973" s="37"/>
      <c r="F973" s="37"/>
      <c r="G973" s="70"/>
    </row>
    <row r="974" spans="2:7" x14ac:dyDescent="0.25">
      <c r="B974" s="37"/>
      <c r="C974" s="37"/>
      <c r="D974" s="37"/>
      <c r="E974" s="37"/>
      <c r="F974" s="37"/>
      <c r="G974" s="70"/>
    </row>
    <row r="975" spans="2:7" x14ac:dyDescent="0.25">
      <c r="B975" s="37"/>
      <c r="C975" s="37"/>
      <c r="D975" s="37"/>
      <c r="E975" s="37"/>
      <c r="F975" s="37"/>
      <c r="G975" s="70"/>
    </row>
    <row r="976" spans="2:7" x14ac:dyDescent="0.25">
      <c r="B976" s="37"/>
      <c r="C976" s="37"/>
      <c r="D976" s="37"/>
      <c r="E976" s="37"/>
      <c r="F976" s="37"/>
      <c r="G976" s="70"/>
    </row>
    <row r="977" spans="2:7" x14ac:dyDescent="0.25">
      <c r="B977" s="37"/>
      <c r="C977" s="37"/>
      <c r="D977" s="37"/>
      <c r="E977" s="37"/>
      <c r="F977" s="37"/>
      <c r="G977" s="70"/>
    </row>
    <row r="978" spans="2:7" x14ac:dyDescent="0.25">
      <c r="B978" s="37"/>
      <c r="C978" s="37"/>
      <c r="D978" s="37"/>
      <c r="E978" s="37"/>
      <c r="F978" s="37"/>
      <c r="G978" s="70"/>
    </row>
    <row r="979" spans="2:7" x14ac:dyDescent="0.25">
      <c r="B979" s="37"/>
      <c r="C979" s="37"/>
      <c r="D979" s="37"/>
      <c r="E979" s="37"/>
      <c r="F979" s="37"/>
      <c r="G979" s="70"/>
    </row>
    <row r="980" spans="2:7" x14ac:dyDescent="0.25">
      <c r="B980" s="37"/>
      <c r="C980" s="37"/>
      <c r="D980" s="37"/>
      <c r="E980" s="37"/>
      <c r="F980" s="37"/>
      <c r="G980" s="70"/>
    </row>
    <row r="981" spans="2:7" x14ac:dyDescent="0.25">
      <c r="B981" s="37"/>
      <c r="C981" s="37"/>
      <c r="D981" s="37"/>
      <c r="E981" s="37"/>
      <c r="F981" s="37"/>
      <c r="G981" s="70"/>
    </row>
    <row r="982" spans="2:7" x14ac:dyDescent="0.25">
      <c r="B982" s="37"/>
      <c r="C982" s="37"/>
      <c r="D982" s="37"/>
      <c r="E982" s="37"/>
      <c r="F982" s="37"/>
      <c r="G982" s="70"/>
    </row>
    <row r="983" spans="2:7" x14ac:dyDescent="0.25">
      <c r="B983" s="37"/>
      <c r="C983" s="37"/>
      <c r="D983" s="37"/>
      <c r="E983" s="37"/>
      <c r="F983" s="37"/>
      <c r="G983" s="70"/>
    </row>
    <row r="984" spans="2:7" x14ac:dyDescent="0.25">
      <c r="B984" s="37"/>
      <c r="C984" s="37"/>
      <c r="D984" s="37"/>
      <c r="E984" s="37"/>
      <c r="F984" s="37"/>
      <c r="G984" s="70"/>
    </row>
    <row r="985" spans="2:7" x14ac:dyDescent="0.25">
      <c r="B985" s="37"/>
      <c r="C985" s="37"/>
      <c r="D985" s="37"/>
      <c r="E985" s="37"/>
      <c r="F985" s="37"/>
      <c r="G985" s="70"/>
    </row>
    <row r="986" spans="2:7" x14ac:dyDescent="0.25">
      <c r="B986" s="37"/>
      <c r="C986" s="37"/>
      <c r="D986" s="37"/>
      <c r="E986" s="37"/>
      <c r="F986" s="37"/>
      <c r="G986" s="70"/>
    </row>
    <row r="987" spans="2:7" x14ac:dyDescent="0.25">
      <c r="B987" s="37"/>
      <c r="C987" s="37"/>
      <c r="D987" s="37"/>
      <c r="E987" s="37"/>
      <c r="F987" s="37"/>
      <c r="G987" s="70"/>
    </row>
    <row r="988" spans="2:7" x14ac:dyDescent="0.25">
      <c r="B988" s="37"/>
      <c r="C988" s="37"/>
      <c r="D988" s="37"/>
      <c r="E988" s="37"/>
      <c r="F988" s="37"/>
      <c r="G988" s="70"/>
    </row>
    <row r="989" spans="2:7" x14ac:dyDescent="0.25">
      <c r="B989" s="37"/>
      <c r="C989" s="37"/>
      <c r="D989" s="37"/>
      <c r="E989" s="37"/>
      <c r="F989" s="37"/>
      <c r="G989" s="70"/>
    </row>
    <row r="990" spans="2:7" x14ac:dyDescent="0.25">
      <c r="B990" s="37"/>
      <c r="C990" s="37"/>
      <c r="D990" s="37"/>
      <c r="E990" s="37"/>
      <c r="F990" s="37"/>
      <c r="G990" s="70"/>
    </row>
    <row r="991" spans="2:7" x14ac:dyDescent="0.25">
      <c r="B991" s="37"/>
      <c r="C991" s="37"/>
      <c r="D991" s="37"/>
      <c r="E991" s="37"/>
      <c r="F991" s="37"/>
      <c r="G991" s="70"/>
    </row>
    <row r="992" spans="2:7" x14ac:dyDescent="0.25">
      <c r="B992" s="37"/>
      <c r="C992" s="37"/>
      <c r="D992" s="37"/>
      <c r="E992" s="37"/>
      <c r="F992" s="37"/>
      <c r="G992" s="70"/>
    </row>
    <row r="993" spans="2:7" x14ac:dyDescent="0.25">
      <c r="B993" s="37"/>
      <c r="C993" s="37"/>
      <c r="D993" s="37"/>
      <c r="E993" s="37"/>
      <c r="F993" s="37"/>
      <c r="G993" s="70"/>
    </row>
    <row r="994" spans="2:7" x14ac:dyDescent="0.25">
      <c r="B994" s="37"/>
      <c r="C994" s="37"/>
      <c r="D994" s="37"/>
      <c r="E994" s="37"/>
      <c r="F994" s="37"/>
      <c r="G994" s="70"/>
    </row>
    <row r="995" spans="2:7" x14ac:dyDescent="0.25">
      <c r="B995" s="37"/>
      <c r="C995" s="37"/>
      <c r="D995" s="37"/>
      <c r="E995" s="37"/>
      <c r="F995" s="37"/>
      <c r="G995" s="70"/>
    </row>
    <row r="996" spans="2:7" x14ac:dyDescent="0.25">
      <c r="B996" s="37"/>
      <c r="C996" s="37"/>
      <c r="D996" s="37"/>
      <c r="E996" s="37"/>
      <c r="F996" s="37"/>
      <c r="G996" s="70"/>
    </row>
    <row r="997" spans="2:7" x14ac:dyDescent="0.25">
      <c r="B997" s="37"/>
      <c r="C997" s="37"/>
      <c r="D997" s="37"/>
      <c r="E997" s="37"/>
      <c r="F997" s="37"/>
      <c r="G997" s="70"/>
    </row>
    <row r="998" spans="2:7" x14ac:dyDescent="0.25">
      <c r="B998" s="37"/>
      <c r="C998" s="37"/>
      <c r="D998" s="37"/>
      <c r="E998" s="37"/>
      <c r="F998" s="37"/>
      <c r="G998" s="70"/>
    </row>
    <row r="999" spans="2:7" x14ac:dyDescent="0.25">
      <c r="B999" s="37"/>
      <c r="C999" s="37"/>
      <c r="D999" s="37"/>
      <c r="E999" s="37"/>
      <c r="F999" s="37"/>
      <c r="G999" s="70"/>
    </row>
    <row r="1000" spans="2:7" x14ac:dyDescent="0.25">
      <c r="B1000" s="37"/>
      <c r="C1000" s="37"/>
      <c r="D1000" s="37"/>
      <c r="E1000" s="37"/>
      <c r="F1000" s="37"/>
      <c r="G1000" s="70"/>
    </row>
    <row r="1001" spans="2:7" x14ac:dyDescent="0.25">
      <c r="B1001" s="37"/>
      <c r="C1001" s="37"/>
      <c r="D1001" s="37"/>
      <c r="E1001" s="37"/>
      <c r="F1001" s="37"/>
      <c r="G1001" s="70"/>
    </row>
    <row r="1002" spans="2:7" x14ac:dyDescent="0.25">
      <c r="B1002" s="37"/>
      <c r="C1002" s="37"/>
      <c r="D1002" s="37"/>
      <c r="E1002" s="37"/>
      <c r="F1002" s="37"/>
      <c r="G1002" s="70"/>
    </row>
    <row r="1003" spans="2:7" x14ac:dyDescent="0.25">
      <c r="B1003" s="37"/>
      <c r="C1003" s="37"/>
      <c r="D1003" s="37"/>
      <c r="E1003" s="37"/>
      <c r="F1003" s="37"/>
      <c r="G1003" s="70"/>
    </row>
    <row r="1004" spans="2:7" x14ac:dyDescent="0.25">
      <c r="B1004" s="37"/>
      <c r="C1004" s="37"/>
      <c r="D1004" s="37"/>
      <c r="E1004" s="37"/>
      <c r="F1004" s="37"/>
      <c r="G1004" s="70"/>
    </row>
    <row r="1005" spans="2:7" x14ac:dyDescent="0.25">
      <c r="B1005" s="37"/>
      <c r="C1005" s="37"/>
      <c r="D1005" s="37"/>
      <c r="E1005" s="37"/>
      <c r="F1005" s="37"/>
      <c r="G1005" s="70"/>
    </row>
    <row r="1006" spans="2:7" x14ac:dyDescent="0.25">
      <c r="B1006" s="37"/>
      <c r="C1006" s="37"/>
      <c r="D1006" s="37"/>
      <c r="E1006" s="37"/>
      <c r="F1006" s="37"/>
      <c r="G1006" s="70"/>
    </row>
    <row r="1007" spans="2:7" x14ac:dyDescent="0.25">
      <c r="B1007" s="37"/>
      <c r="C1007" s="37"/>
      <c r="D1007" s="37"/>
      <c r="E1007" s="37"/>
      <c r="F1007" s="37"/>
      <c r="G1007" s="70"/>
    </row>
    <row r="1008" spans="2:7" x14ac:dyDescent="0.25">
      <c r="B1008" s="37"/>
      <c r="C1008" s="37"/>
      <c r="D1008" s="37"/>
      <c r="E1008" s="37"/>
      <c r="F1008" s="37"/>
      <c r="G1008" s="70"/>
    </row>
    <row r="1009" spans="2:7" x14ac:dyDescent="0.25">
      <c r="B1009" s="37"/>
      <c r="C1009" s="37"/>
      <c r="D1009" s="37"/>
      <c r="E1009" s="37"/>
      <c r="F1009" s="37"/>
      <c r="G1009" s="70"/>
    </row>
    <row r="1010" spans="2:7" x14ac:dyDescent="0.25">
      <c r="B1010" s="37"/>
      <c r="C1010" s="37"/>
      <c r="D1010" s="37"/>
      <c r="E1010" s="37"/>
      <c r="F1010" s="37"/>
      <c r="G1010" s="70"/>
    </row>
    <row r="1011" spans="2:7" x14ac:dyDescent="0.25">
      <c r="B1011" s="37"/>
      <c r="C1011" s="37"/>
      <c r="D1011" s="37"/>
      <c r="E1011" s="37"/>
      <c r="F1011" s="37"/>
      <c r="G1011" s="70"/>
    </row>
    <row r="1012" spans="2:7" x14ac:dyDescent="0.25">
      <c r="B1012" s="37"/>
      <c r="C1012" s="37"/>
      <c r="D1012" s="37"/>
      <c r="E1012" s="37"/>
      <c r="F1012" s="37"/>
      <c r="G1012" s="70"/>
    </row>
    <row r="1013" spans="2:7" x14ac:dyDescent="0.25">
      <c r="B1013" s="37"/>
      <c r="C1013" s="37"/>
      <c r="D1013" s="37"/>
      <c r="E1013" s="37"/>
      <c r="F1013" s="37"/>
      <c r="G1013" s="70"/>
    </row>
    <row r="1014" spans="2:7" x14ac:dyDescent="0.25">
      <c r="B1014" s="37"/>
      <c r="C1014" s="37"/>
      <c r="D1014" s="37"/>
      <c r="E1014" s="37"/>
      <c r="F1014" s="37"/>
      <c r="G1014" s="70"/>
    </row>
    <row r="1015" spans="2:7" x14ac:dyDescent="0.25">
      <c r="B1015" s="37"/>
      <c r="C1015" s="37"/>
      <c r="D1015" s="37"/>
      <c r="E1015" s="37"/>
      <c r="F1015" s="37"/>
      <c r="G1015" s="70"/>
    </row>
    <row r="1016" spans="2:7" x14ac:dyDescent="0.25">
      <c r="B1016" s="37"/>
      <c r="C1016" s="37"/>
      <c r="D1016" s="37"/>
      <c r="E1016" s="37"/>
      <c r="F1016" s="37"/>
      <c r="G1016" s="70"/>
    </row>
    <row r="1017" spans="2:7" x14ac:dyDescent="0.25">
      <c r="B1017" s="37"/>
      <c r="C1017" s="37"/>
      <c r="D1017" s="37"/>
      <c r="E1017" s="37"/>
      <c r="F1017" s="37"/>
      <c r="G1017" s="70"/>
    </row>
    <row r="1018" spans="2:7" x14ac:dyDescent="0.25">
      <c r="B1018" s="37"/>
      <c r="C1018" s="37"/>
      <c r="D1018" s="37"/>
      <c r="E1018" s="37"/>
      <c r="F1018" s="37"/>
      <c r="G1018" s="70"/>
    </row>
    <row r="1019" spans="2:7" x14ac:dyDescent="0.25">
      <c r="B1019" s="37"/>
      <c r="C1019" s="37"/>
      <c r="D1019" s="37"/>
      <c r="E1019" s="37"/>
      <c r="F1019" s="37"/>
      <c r="G1019" s="70"/>
    </row>
    <row r="1020" spans="2:7" x14ac:dyDescent="0.25">
      <c r="B1020" s="37"/>
      <c r="C1020" s="37"/>
      <c r="D1020" s="37"/>
      <c r="E1020" s="37"/>
      <c r="F1020" s="37"/>
      <c r="G1020" s="70"/>
    </row>
    <row r="1021" spans="2:7" x14ac:dyDescent="0.25">
      <c r="B1021" s="37"/>
      <c r="C1021" s="37"/>
      <c r="D1021" s="37"/>
      <c r="E1021" s="37"/>
      <c r="F1021" s="37"/>
      <c r="G1021" s="70"/>
    </row>
    <row r="1022" spans="2:7" x14ac:dyDescent="0.25">
      <c r="B1022" s="37"/>
      <c r="C1022" s="37"/>
      <c r="D1022" s="37"/>
      <c r="E1022" s="37"/>
      <c r="F1022" s="37"/>
      <c r="G1022" s="70"/>
    </row>
    <row r="1023" spans="2:7" x14ac:dyDescent="0.25">
      <c r="B1023" s="37"/>
      <c r="C1023" s="37"/>
      <c r="D1023" s="37"/>
      <c r="E1023" s="37"/>
      <c r="F1023" s="37"/>
      <c r="G1023" s="70"/>
    </row>
    <row r="1024" spans="2:7" x14ac:dyDescent="0.25">
      <c r="B1024" s="37"/>
      <c r="C1024" s="37"/>
      <c r="D1024" s="37"/>
      <c r="E1024" s="37"/>
      <c r="F1024" s="37"/>
      <c r="G1024" s="70"/>
    </row>
    <row r="1025" spans="2:7" x14ac:dyDescent="0.25">
      <c r="B1025" s="37"/>
      <c r="C1025" s="37"/>
      <c r="D1025" s="37"/>
      <c r="E1025" s="37"/>
      <c r="F1025" s="37"/>
      <c r="G1025" s="70"/>
    </row>
    <row r="1026" spans="2:7" x14ac:dyDescent="0.25">
      <c r="B1026" s="37"/>
      <c r="C1026" s="37"/>
      <c r="D1026" s="37"/>
      <c r="E1026" s="37"/>
      <c r="F1026" s="37"/>
      <c r="G1026" s="70"/>
    </row>
    <row r="1027" spans="2:7" x14ac:dyDescent="0.25">
      <c r="B1027" s="37"/>
      <c r="C1027" s="37"/>
      <c r="D1027" s="37"/>
      <c r="E1027" s="37"/>
      <c r="F1027" s="37"/>
      <c r="G1027" s="70"/>
    </row>
    <row r="1028" spans="2:7" x14ac:dyDescent="0.25">
      <c r="B1028" s="37"/>
      <c r="C1028" s="37"/>
      <c r="D1028" s="37"/>
      <c r="E1028" s="37"/>
      <c r="F1028" s="37"/>
      <c r="G1028" s="70"/>
    </row>
    <row r="1029" spans="2:7" x14ac:dyDescent="0.25">
      <c r="B1029" s="37"/>
      <c r="C1029" s="37"/>
      <c r="D1029" s="37"/>
      <c r="E1029" s="37"/>
      <c r="F1029" s="37"/>
      <c r="G1029" s="70"/>
    </row>
    <row r="1030" spans="2:7" x14ac:dyDescent="0.25">
      <c r="B1030" s="37"/>
      <c r="C1030" s="37"/>
      <c r="D1030" s="37"/>
      <c r="E1030" s="37"/>
      <c r="F1030" s="37"/>
      <c r="G1030" s="70"/>
    </row>
    <row r="1031" spans="2:7" x14ac:dyDescent="0.25">
      <c r="B1031" s="37"/>
      <c r="C1031" s="37"/>
      <c r="D1031" s="37"/>
      <c r="E1031" s="37"/>
      <c r="F1031" s="37"/>
      <c r="G1031" s="70"/>
    </row>
    <row r="1032" spans="2:7" x14ac:dyDescent="0.25">
      <c r="B1032" s="37"/>
      <c r="C1032" s="37"/>
      <c r="D1032" s="37"/>
      <c r="E1032" s="37"/>
      <c r="F1032" s="37"/>
      <c r="G1032" s="70"/>
    </row>
    <row r="1033" spans="2:7" x14ac:dyDescent="0.25">
      <c r="B1033" s="37"/>
      <c r="C1033" s="37"/>
      <c r="D1033" s="37"/>
      <c r="E1033" s="37"/>
      <c r="F1033" s="37"/>
      <c r="G1033" s="70"/>
    </row>
    <row r="1034" spans="2:7" x14ac:dyDescent="0.25">
      <c r="B1034" s="37"/>
      <c r="C1034" s="37"/>
      <c r="D1034" s="37"/>
      <c r="E1034" s="37"/>
      <c r="F1034" s="37"/>
      <c r="G1034" s="70"/>
    </row>
    <row r="1035" spans="2:7" x14ac:dyDescent="0.25">
      <c r="B1035" s="37"/>
      <c r="C1035" s="37"/>
      <c r="D1035" s="37"/>
      <c r="E1035" s="37"/>
      <c r="F1035" s="37"/>
      <c r="G1035" s="70"/>
    </row>
    <row r="1036" spans="2:7" x14ac:dyDescent="0.25">
      <c r="B1036" s="37"/>
      <c r="C1036" s="37"/>
      <c r="D1036" s="37"/>
      <c r="E1036" s="37"/>
      <c r="F1036" s="37"/>
      <c r="G1036" s="70"/>
    </row>
    <row r="1037" spans="2:7" x14ac:dyDescent="0.25">
      <c r="B1037" s="37"/>
      <c r="C1037" s="37"/>
      <c r="D1037" s="37"/>
      <c r="E1037" s="37"/>
      <c r="F1037" s="37"/>
      <c r="G1037" s="70"/>
    </row>
    <row r="1038" spans="2:7" x14ac:dyDescent="0.25">
      <c r="B1038" s="37"/>
      <c r="C1038" s="37"/>
      <c r="D1038" s="37"/>
      <c r="E1038" s="37"/>
      <c r="F1038" s="37"/>
      <c r="G1038" s="70"/>
    </row>
    <row r="1039" spans="2:7" x14ac:dyDescent="0.25">
      <c r="B1039" s="37"/>
      <c r="C1039" s="37"/>
      <c r="D1039" s="37"/>
      <c r="E1039" s="37"/>
      <c r="F1039" s="37"/>
      <c r="G1039" s="70"/>
    </row>
    <row r="1040" spans="2:7" x14ac:dyDescent="0.25">
      <c r="B1040" s="37"/>
      <c r="C1040" s="37"/>
      <c r="D1040" s="37"/>
      <c r="E1040" s="37"/>
      <c r="F1040" s="37"/>
      <c r="G1040" s="70"/>
    </row>
    <row r="1041" spans="2:7" x14ac:dyDescent="0.25">
      <c r="B1041" s="37"/>
      <c r="C1041" s="37"/>
      <c r="D1041" s="37"/>
      <c r="E1041" s="37"/>
      <c r="F1041" s="37"/>
      <c r="G1041" s="70"/>
    </row>
    <row r="1042" spans="2:7" x14ac:dyDescent="0.25">
      <c r="B1042" s="37"/>
      <c r="C1042" s="37"/>
      <c r="D1042" s="37"/>
      <c r="E1042" s="37"/>
      <c r="F1042" s="37"/>
      <c r="G1042" s="70"/>
    </row>
    <row r="1043" spans="2:7" x14ac:dyDescent="0.25">
      <c r="B1043" s="37"/>
      <c r="C1043" s="37"/>
      <c r="D1043" s="37"/>
      <c r="E1043" s="37"/>
      <c r="F1043" s="37"/>
      <c r="G1043" s="70"/>
    </row>
    <row r="1044" spans="2:7" x14ac:dyDescent="0.25">
      <c r="B1044" s="37"/>
      <c r="C1044" s="37"/>
      <c r="D1044" s="37"/>
      <c r="E1044" s="37"/>
      <c r="F1044" s="37"/>
      <c r="G1044" s="70"/>
    </row>
    <row r="1045" spans="2:7" x14ac:dyDescent="0.25">
      <c r="B1045" s="37"/>
      <c r="C1045" s="37"/>
      <c r="D1045" s="37"/>
      <c r="E1045" s="37"/>
      <c r="F1045" s="37"/>
      <c r="G1045" s="70"/>
    </row>
    <row r="1046" spans="2:7" x14ac:dyDescent="0.25">
      <c r="B1046" s="37"/>
      <c r="C1046" s="37"/>
      <c r="D1046" s="37"/>
      <c r="E1046" s="37"/>
      <c r="F1046" s="37"/>
      <c r="G1046" s="70"/>
    </row>
    <row r="1047" spans="2:7" x14ac:dyDescent="0.25">
      <c r="B1047" s="37"/>
      <c r="C1047" s="37"/>
      <c r="D1047" s="37"/>
      <c r="E1047" s="37"/>
      <c r="F1047" s="37"/>
      <c r="G1047" s="70"/>
    </row>
    <row r="1048" spans="2:7" x14ac:dyDescent="0.25">
      <c r="B1048" s="37"/>
      <c r="C1048" s="37"/>
      <c r="D1048" s="37"/>
      <c r="E1048" s="37"/>
      <c r="F1048" s="37"/>
      <c r="G1048" s="70"/>
    </row>
    <row r="1049" spans="2:7" x14ac:dyDescent="0.25">
      <c r="B1049" s="37"/>
      <c r="C1049" s="37"/>
      <c r="D1049" s="37"/>
      <c r="E1049" s="37"/>
      <c r="F1049" s="37"/>
      <c r="G1049" s="70"/>
    </row>
    <row r="1050" spans="2:7" x14ac:dyDescent="0.25">
      <c r="B1050" s="37"/>
      <c r="C1050" s="37"/>
      <c r="D1050" s="37"/>
      <c r="E1050" s="37"/>
      <c r="F1050" s="37"/>
      <c r="G1050" s="70"/>
    </row>
    <row r="1051" spans="2:7" x14ac:dyDescent="0.25">
      <c r="B1051" s="37"/>
      <c r="C1051" s="37"/>
      <c r="D1051" s="37"/>
      <c r="E1051" s="37"/>
      <c r="F1051" s="37"/>
      <c r="G1051" s="70"/>
    </row>
    <row r="1052" spans="2:7" x14ac:dyDescent="0.25">
      <c r="B1052" s="37"/>
      <c r="C1052" s="37"/>
      <c r="D1052" s="37"/>
      <c r="E1052" s="37"/>
      <c r="F1052" s="37"/>
      <c r="G1052" s="70"/>
    </row>
    <row r="1053" spans="2:7" x14ac:dyDescent="0.25">
      <c r="B1053" s="37"/>
      <c r="C1053" s="37"/>
      <c r="D1053" s="37"/>
      <c r="E1053" s="37"/>
      <c r="F1053" s="37"/>
      <c r="G1053" s="70"/>
    </row>
    <row r="1054" spans="2:7" x14ac:dyDescent="0.25">
      <c r="B1054" s="37"/>
      <c r="C1054" s="37"/>
      <c r="D1054" s="37"/>
      <c r="E1054" s="37"/>
      <c r="F1054" s="37"/>
      <c r="G1054" s="70"/>
    </row>
    <row r="1055" spans="2:7" x14ac:dyDescent="0.25">
      <c r="B1055" s="37"/>
      <c r="C1055" s="37"/>
      <c r="D1055" s="37"/>
      <c r="E1055" s="37"/>
      <c r="F1055" s="37"/>
      <c r="G1055" s="70"/>
    </row>
    <row r="1056" spans="2:7" x14ac:dyDescent="0.25">
      <c r="B1056" s="37"/>
      <c r="C1056" s="37"/>
      <c r="D1056" s="37"/>
      <c r="E1056" s="37"/>
      <c r="F1056" s="37"/>
      <c r="G1056" s="70"/>
    </row>
    <row r="1057" spans="2:7" x14ac:dyDescent="0.25">
      <c r="B1057" s="37"/>
      <c r="C1057" s="37"/>
      <c r="D1057" s="37"/>
      <c r="E1057" s="37"/>
      <c r="F1057" s="37"/>
      <c r="G1057" s="70"/>
    </row>
    <row r="1058" spans="2:7" x14ac:dyDescent="0.25">
      <c r="B1058" s="37"/>
      <c r="C1058" s="37"/>
      <c r="D1058" s="37"/>
      <c r="E1058" s="37"/>
      <c r="F1058" s="37"/>
      <c r="G1058" s="70"/>
    </row>
    <row r="1059" spans="2:7" x14ac:dyDescent="0.25">
      <c r="B1059" s="37"/>
      <c r="C1059" s="37"/>
      <c r="D1059" s="37"/>
      <c r="E1059" s="37"/>
      <c r="F1059" s="37"/>
      <c r="G1059" s="70"/>
    </row>
    <row r="1060" spans="2:7" x14ac:dyDescent="0.25">
      <c r="B1060" s="37"/>
      <c r="C1060" s="37"/>
      <c r="D1060" s="37"/>
      <c r="E1060" s="37"/>
      <c r="F1060" s="37"/>
      <c r="G1060" s="70"/>
    </row>
    <row r="1061" spans="2:7" x14ac:dyDescent="0.25">
      <c r="B1061" s="37"/>
      <c r="C1061" s="37"/>
      <c r="D1061" s="37"/>
      <c r="E1061" s="37"/>
      <c r="F1061" s="37"/>
      <c r="G1061" s="70"/>
    </row>
    <row r="1062" spans="2:7" x14ac:dyDescent="0.25">
      <c r="B1062" s="37"/>
      <c r="C1062" s="37"/>
      <c r="D1062" s="37"/>
      <c r="E1062" s="37"/>
      <c r="F1062" s="37"/>
      <c r="G1062" s="70"/>
    </row>
    <row r="1063" spans="2:7" x14ac:dyDescent="0.25">
      <c r="B1063" s="37"/>
      <c r="C1063" s="37"/>
      <c r="D1063" s="37"/>
      <c r="E1063" s="37"/>
      <c r="F1063" s="37"/>
      <c r="G1063" s="70"/>
    </row>
    <row r="1064" spans="2:7" x14ac:dyDescent="0.25">
      <c r="B1064" s="37"/>
      <c r="C1064" s="37"/>
      <c r="D1064" s="37"/>
      <c r="E1064" s="37"/>
      <c r="F1064" s="37"/>
      <c r="G1064" s="70"/>
    </row>
    <row r="1065" spans="2:7" x14ac:dyDescent="0.25">
      <c r="B1065" s="37"/>
      <c r="C1065" s="37"/>
      <c r="D1065" s="37"/>
      <c r="E1065" s="37"/>
      <c r="F1065" s="37"/>
      <c r="G1065" s="70"/>
    </row>
    <row r="1066" spans="2:7" x14ac:dyDescent="0.25">
      <c r="B1066" s="37"/>
      <c r="C1066" s="37"/>
      <c r="D1066" s="37"/>
      <c r="E1066" s="37"/>
      <c r="F1066" s="37"/>
      <c r="G1066" s="70"/>
    </row>
    <row r="1067" spans="2:7" x14ac:dyDescent="0.25">
      <c r="B1067" s="37"/>
      <c r="C1067" s="37"/>
      <c r="D1067" s="37"/>
      <c r="E1067" s="37"/>
      <c r="F1067" s="37"/>
      <c r="G1067" s="70"/>
    </row>
    <row r="1068" spans="2:7" x14ac:dyDescent="0.25">
      <c r="B1068" s="37"/>
      <c r="C1068" s="37"/>
      <c r="D1068" s="37"/>
      <c r="E1068" s="37"/>
      <c r="F1068" s="37"/>
      <c r="G1068" s="70"/>
    </row>
    <row r="1069" spans="2:7" x14ac:dyDescent="0.25">
      <c r="B1069" s="37"/>
      <c r="C1069" s="37"/>
      <c r="D1069" s="37"/>
      <c r="E1069" s="37"/>
      <c r="F1069" s="37"/>
      <c r="G1069" s="70"/>
    </row>
    <row r="1070" spans="2:7" x14ac:dyDescent="0.25">
      <c r="B1070" s="37"/>
      <c r="C1070" s="37"/>
      <c r="D1070" s="37"/>
      <c r="E1070" s="37"/>
      <c r="F1070" s="37"/>
      <c r="G1070" s="70"/>
    </row>
    <row r="1071" spans="2:7" x14ac:dyDescent="0.25">
      <c r="B1071" s="37"/>
      <c r="C1071" s="37"/>
      <c r="D1071" s="37"/>
      <c r="E1071" s="37"/>
      <c r="F1071" s="37"/>
      <c r="G1071" s="70"/>
    </row>
    <row r="1072" spans="2:7" x14ac:dyDescent="0.25">
      <c r="B1072" s="37"/>
      <c r="C1072" s="37"/>
      <c r="D1072" s="37"/>
      <c r="E1072" s="37"/>
      <c r="F1072" s="37"/>
      <c r="G1072" s="70"/>
    </row>
    <row r="1073" spans="2:7" x14ac:dyDescent="0.25">
      <c r="B1073" s="37"/>
      <c r="C1073" s="37"/>
      <c r="D1073" s="37"/>
      <c r="E1073" s="37"/>
      <c r="F1073" s="37"/>
      <c r="G1073" s="70"/>
    </row>
    <row r="1074" spans="2:7" x14ac:dyDescent="0.25">
      <c r="B1074" s="37"/>
      <c r="C1074" s="37"/>
      <c r="D1074" s="37"/>
      <c r="E1074" s="37"/>
      <c r="F1074" s="37"/>
      <c r="G1074" s="70"/>
    </row>
    <row r="1075" spans="2:7" x14ac:dyDescent="0.25">
      <c r="B1075" s="37"/>
      <c r="C1075" s="37"/>
      <c r="D1075" s="37"/>
      <c r="E1075" s="37"/>
      <c r="F1075" s="37"/>
      <c r="G1075" s="70"/>
    </row>
    <row r="1076" spans="2:7" x14ac:dyDescent="0.25">
      <c r="B1076" s="37"/>
      <c r="C1076" s="37"/>
      <c r="D1076" s="37"/>
      <c r="E1076" s="37"/>
      <c r="F1076" s="37"/>
      <c r="G1076" s="70"/>
    </row>
    <row r="1077" spans="2:7" x14ac:dyDescent="0.25">
      <c r="B1077" s="37"/>
      <c r="C1077" s="37"/>
      <c r="D1077" s="37"/>
      <c r="E1077" s="37"/>
      <c r="F1077" s="37"/>
      <c r="G1077" s="70"/>
    </row>
    <row r="1078" spans="2:7" x14ac:dyDescent="0.25">
      <c r="B1078" s="37"/>
      <c r="C1078" s="37"/>
      <c r="D1078" s="37"/>
      <c r="E1078" s="37"/>
      <c r="F1078" s="37"/>
      <c r="G1078" s="70"/>
    </row>
    <row r="1079" spans="2:7" x14ac:dyDescent="0.25">
      <c r="B1079" s="37"/>
      <c r="C1079" s="37"/>
      <c r="D1079" s="37"/>
      <c r="E1079" s="37"/>
      <c r="F1079" s="37"/>
      <c r="G1079" s="70"/>
    </row>
    <row r="1080" spans="2:7" x14ac:dyDescent="0.25">
      <c r="B1080" s="37"/>
      <c r="C1080" s="37"/>
      <c r="D1080" s="37"/>
      <c r="E1080" s="37"/>
      <c r="F1080" s="37"/>
      <c r="G1080" s="70"/>
    </row>
    <row r="1081" spans="2:7" x14ac:dyDescent="0.25">
      <c r="B1081" s="37"/>
      <c r="C1081" s="37"/>
      <c r="D1081" s="37"/>
      <c r="E1081" s="37"/>
      <c r="F1081" s="37"/>
      <c r="G1081" s="70"/>
    </row>
    <row r="1082" spans="2:7" x14ac:dyDescent="0.25">
      <c r="B1082" s="37"/>
      <c r="C1082" s="37"/>
      <c r="D1082" s="37"/>
      <c r="E1082" s="37"/>
      <c r="F1082" s="37"/>
      <c r="G1082" s="70"/>
    </row>
    <row r="1083" spans="2:7" x14ac:dyDescent="0.25">
      <c r="B1083" s="37"/>
      <c r="C1083" s="37"/>
      <c r="D1083" s="37"/>
      <c r="E1083" s="37"/>
      <c r="F1083" s="37"/>
      <c r="G1083" s="70"/>
    </row>
    <row r="1084" spans="2:7" x14ac:dyDescent="0.25">
      <c r="B1084" s="37"/>
      <c r="C1084" s="37"/>
      <c r="D1084" s="37"/>
      <c r="E1084" s="37"/>
      <c r="F1084" s="37"/>
      <c r="G1084" s="70"/>
    </row>
    <row r="1085" spans="2:7" x14ac:dyDescent="0.25">
      <c r="B1085" s="37"/>
      <c r="C1085" s="37"/>
      <c r="D1085" s="37"/>
      <c r="E1085" s="37"/>
      <c r="F1085" s="37"/>
      <c r="G1085" s="70"/>
    </row>
    <row r="1086" spans="2:7" x14ac:dyDescent="0.25">
      <c r="B1086" s="37"/>
      <c r="C1086" s="37"/>
      <c r="D1086" s="37"/>
      <c r="E1086" s="37"/>
      <c r="F1086" s="37"/>
      <c r="G1086" s="70"/>
    </row>
    <row r="1087" spans="2:7" x14ac:dyDescent="0.25">
      <c r="B1087" s="37"/>
      <c r="C1087" s="37"/>
      <c r="D1087" s="37"/>
      <c r="E1087" s="37"/>
      <c r="F1087" s="37"/>
      <c r="G1087" s="70"/>
    </row>
    <row r="1088" spans="2:7" x14ac:dyDescent="0.25">
      <c r="B1088" s="37"/>
      <c r="C1088" s="37"/>
      <c r="D1088" s="37"/>
      <c r="E1088" s="37"/>
      <c r="F1088" s="37"/>
      <c r="G1088" s="70"/>
    </row>
    <row r="1089" spans="2:7" x14ac:dyDescent="0.25">
      <c r="B1089" s="37"/>
      <c r="C1089" s="37"/>
      <c r="D1089" s="37"/>
      <c r="E1089" s="37"/>
      <c r="F1089" s="37"/>
      <c r="G1089" s="70"/>
    </row>
    <row r="1090" spans="2:7" x14ac:dyDescent="0.25">
      <c r="B1090" s="37"/>
      <c r="C1090" s="37"/>
      <c r="D1090" s="37"/>
      <c r="E1090" s="37"/>
      <c r="F1090" s="37"/>
      <c r="G1090" s="70"/>
    </row>
    <row r="1091" spans="2:7" x14ac:dyDescent="0.25">
      <c r="B1091" s="37"/>
      <c r="C1091" s="37"/>
      <c r="D1091" s="37"/>
      <c r="E1091" s="37"/>
      <c r="F1091" s="37"/>
      <c r="G1091" s="70"/>
    </row>
    <row r="1092" spans="2:7" x14ac:dyDescent="0.25">
      <c r="B1092" s="37"/>
      <c r="C1092" s="37"/>
      <c r="D1092" s="37"/>
      <c r="E1092" s="37"/>
      <c r="F1092" s="37"/>
      <c r="G1092" s="70"/>
    </row>
    <row r="1093" spans="2:7" x14ac:dyDescent="0.25">
      <c r="B1093" s="37"/>
      <c r="C1093" s="37"/>
      <c r="D1093" s="37"/>
      <c r="E1093" s="37"/>
      <c r="F1093" s="37"/>
      <c r="G1093" s="70"/>
    </row>
    <row r="1094" spans="2:7" x14ac:dyDescent="0.25">
      <c r="B1094" s="37"/>
      <c r="C1094" s="37"/>
      <c r="D1094" s="37"/>
      <c r="E1094" s="37"/>
      <c r="F1094" s="37"/>
      <c r="G1094" s="70"/>
    </row>
    <row r="1095" spans="2:7" x14ac:dyDescent="0.25">
      <c r="B1095" s="37"/>
      <c r="C1095" s="37"/>
      <c r="D1095" s="37"/>
      <c r="E1095" s="37"/>
      <c r="F1095" s="37"/>
      <c r="G1095" s="70"/>
    </row>
    <row r="1096" spans="2:7" x14ac:dyDescent="0.25">
      <c r="B1096" s="37"/>
      <c r="C1096" s="37"/>
      <c r="D1096" s="37"/>
      <c r="E1096" s="37"/>
      <c r="F1096" s="37"/>
      <c r="G1096" s="70"/>
    </row>
    <row r="1097" spans="2:7" x14ac:dyDescent="0.25">
      <c r="B1097" s="37"/>
      <c r="C1097" s="37"/>
      <c r="D1097" s="37"/>
      <c r="E1097" s="37"/>
      <c r="F1097" s="37"/>
      <c r="G1097" s="70"/>
    </row>
    <row r="1098" spans="2:7" x14ac:dyDescent="0.25">
      <c r="B1098" s="37"/>
      <c r="C1098" s="37"/>
      <c r="D1098" s="37"/>
      <c r="E1098" s="37"/>
      <c r="F1098" s="37"/>
      <c r="G1098" s="70"/>
    </row>
    <row r="1099" spans="2:7" x14ac:dyDescent="0.25">
      <c r="B1099" s="37"/>
      <c r="C1099" s="37"/>
      <c r="D1099" s="37"/>
      <c r="E1099" s="37"/>
      <c r="F1099" s="37"/>
      <c r="G1099" s="70"/>
    </row>
    <row r="1100" spans="2:7" x14ac:dyDescent="0.25">
      <c r="B1100" s="37"/>
      <c r="C1100" s="37"/>
      <c r="D1100" s="37"/>
      <c r="E1100" s="37"/>
      <c r="F1100" s="37"/>
      <c r="G1100" s="70"/>
    </row>
    <row r="1101" spans="2:7" x14ac:dyDescent="0.25">
      <c r="B1101" s="37"/>
      <c r="C1101" s="37"/>
      <c r="D1101" s="37"/>
      <c r="E1101" s="37"/>
      <c r="F1101" s="37"/>
      <c r="G1101" s="70"/>
    </row>
    <row r="1102" spans="2:7" x14ac:dyDescent="0.25">
      <c r="B1102" s="37"/>
      <c r="C1102" s="37"/>
      <c r="D1102" s="37"/>
      <c r="E1102" s="37"/>
      <c r="F1102" s="37"/>
      <c r="G1102" s="70"/>
    </row>
    <row r="1103" spans="2:7" x14ac:dyDescent="0.25">
      <c r="B1103" s="37"/>
      <c r="C1103" s="37"/>
      <c r="D1103" s="37"/>
      <c r="E1103" s="37"/>
      <c r="F1103" s="37"/>
      <c r="G1103" s="70"/>
    </row>
    <row r="1104" spans="2:7" x14ac:dyDescent="0.25">
      <c r="B1104" s="37"/>
      <c r="C1104" s="37"/>
      <c r="D1104" s="37"/>
      <c r="E1104" s="37"/>
      <c r="F1104" s="37"/>
      <c r="G1104" s="70"/>
    </row>
    <row r="1105" spans="2:7" x14ac:dyDescent="0.25">
      <c r="B1105" s="37"/>
      <c r="C1105" s="37"/>
      <c r="D1105" s="37"/>
      <c r="E1105" s="37"/>
      <c r="F1105" s="37"/>
      <c r="G1105" s="70"/>
    </row>
    <row r="1106" spans="2:7" x14ac:dyDescent="0.25">
      <c r="B1106" s="37"/>
      <c r="C1106" s="37"/>
      <c r="D1106" s="37"/>
      <c r="E1106" s="37"/>
      <c r="F1106" s="37"/>
      <c r="G1106" s="70"/>
    </row>
    <row r="1107" spans="2:7" x14ac:dyDescent="0.25">
      <c r="B1107" s="37"/>
      <c r="C1107" s="37"/>
      <c r="D1107" s="37"/>
      <c r="E1107" s="37"/>
      <c r="F1107" s="37"/>
      <c r="G1107" s="70"/>
    </row>
    <row r="1108" spans="2:7" x14ac:dyDescent="0.25">
      <c r="B1108" s="37"/>
      <c r="C1108" s="37"/>
      <c r="D1108" s="37"/>
      <c r="E1108" s="37"/>
      <c r="F1108" s="37"/>
      <c r="G1108" s="70"/>
    </row>
    <row r="1109" spans="2:7" x14ac:dyDescent="0.25">
      <c r="B1109" s="37"/>
      <c r="C1109" s="37"/>
      <c r="D1109" s="37"/>
      <c r="E1109" s="37"/>
      <c r="F1109" s="37"/>
      <c r="G1109" s="70"/>
    </row>
    <row r="1110" spans="2:7" x14ac:dyDescent="0.25">
      <c r="B1110" s="37"/>
      <c r="C1110" s="37"/>
      <c r="D1110" s="37"/>
      <c r="E1110" s="37"/>
      <c r="F1110" s="37"/>
      <c r="G1110" s="70"/>
    </row>
    <row r="1111" spans="2:7" x14ac:dyDescent="0.25">
      <c r="B1111" s="37"/>
      <c r="C1111" s="37"/>
      <c r="D1111" s="37"/>
      <c r="E1111" s="37"/>
      <c r="F1111" s="37"/>
      <c r="G1111" s="70"/>
    </row>
    <row r="1112" spans="2:7" x14ac:dyDescent="0.25">
      <c r="B1112" s="37"/>
      <c r="C1112" s="37"/>
      <c r="D1112" s="37"/>
      <c r="E1112" s="37"/>
      <c r="F1112" s="37"/>
      <c r="G1112" s="70"/>
    </row>
    <row r="1113" spans="2:7" x14ac:dyDescent="0.25">
      <c r="B1113" s="37"/>
      <c r="C1113" s="37"/>
      <c r="D1113" s="37"/>
      <c r="E1113" s="37"/>
      <c r="F1113" s="37"/>
      <c r="G1113" s="70"/>
    </row>
    <row r="1114" spans="2:7" x14ac:dyDescent="0.25">
      <c r="B1114" s="37"/>
      <c r="C1114" s="37"/>
      <c r="D1114" s="37"/>
      <c r="E1114" s="37"/>
      <c r="F1114" s="37"/>
      <c r="G1114" s="70"/>
    </row>
    <row r="1115" spans="2:7" x14ac:dyDescent="0.25">
      <c r="B1115" s="37"/>
      <c r="C1115" s="37"/>
      <c r="D1115" s="37"/>
      <c r="E1115" s="37"/>
      <c r="F1115" s="37"/>
      <c r="G1115" s="70"/>
    </row>
    <row r="1116" spans="2:7" x14ac:dyDescent="0.25">
      <c r="B1116" s="37"/>
      <c r="C1116" s="37"/>
      <c r="D1116" s="37"/>
      <c r="E1116" s="37"/>
      <c r="F1116" s="37"/>
      <c r="G1116" s="70"/>
    </row>
    <row r="1117" spans="2:7" x14ac:dyDescent="0.25">
      <c r="B1117" s="37"/>
      <c r="C1117" s="37"/>
      <c r="D1117" s="37"/>
      <c r="E1117" s="37"/>
      <c r="F1117" s="37"/>
      <c r="G1117" s="70"/>
    </row>
    <row r="1118" spans="2:7" x14ac:dyDescent="0.25">
      <c r="B1118" s="37"/>
      <c r="C1118" s="37"/>
      <c r="D1118" s="37"/>
      <c r="E1118" s="37"/>
      <c r="F1118" s="37"/>
      <c r="G1118" s="70"/>
    </row>
    <row r="1119" spans="2:7" x14ac:dyDescent="0.25">
      <c r="B1119" s="37"/>
      <c r="C1119" s="37"/>
      <c r="D1119" s="37"/>
      <c r="E1119" s="37"/>
      <c r="F1119" s="37"/>
      <c r="G1119" s="70"/>
    </row>
    <row r="1120" spans="2:7" x14ac:dyDescent="0.25">
      <c r="B1120" s="37"/>
      <c r="C1120" s="37"/>
      <c r="D1120" s="37"/>
      <c r="E1120" s="37"/>
      <c r="F1120" s="37"/>
      <c r="G1120" s="70"/>
    </row>
    <row r="1121" spans="2:7" x14ac:dyDescent="0.25">
      <c r="B1121" s="37"/>
      <c r="C1121" s="37"/>
      <c r="D1121" s="37"/>
      <c r="E1121" s="37"/>
      <c r="F1121" s="37"/>
      <c r="G1121" s="70"/>
    </row>
    <row r="1122" spans="2:7" x14ac:dyDescent="0.25">
      <c r="B1122" s="37"/>
      <c r="C1122" s="37"/>
      <c r="D1122" s="37"/>
      <c r="E1122" s="37"/>
      <c r="F1122" s="37"/>
      <c r="G1122" s="70"/>
    </row>
    <row r="1123" spans="2:7" x14ac:dyDescent="0.25">
      <c r="B1123" s="37"/>
      <c r="C1123" s="37"/>
      <c r="D1123" s="37"/>
      <c r="E1123" s="37"/>
      <c r="F1123" s="37"/>
      <c r="G1123" s="70"/>
    </row>
    <row r="1124" spans="2:7" x14ac:dyDescent="0.25">
      <c r="B1124" s="37"/>
      <c r="C1124" s="37"/>
      <c r="D1124" s="37"/>
      <c r="E1124" s="37"/>
      <c r="F1124" s="37"/>
      <c r="G1124" s="70"/>
    </row>
    <row r="1125" spans="2:7" x14ac:dyDescent="0.25">
      <c r="B1125" s="37"/>
      <c r="C1125" s="37"/>
      <c r="D1125" s="37"/>
      <c r="E1125" s="37"/>
      <c r="F1125" s="37"/>
      <c r="G1125" s="70"/>
    </row>
    <row r="1126" spans="2:7" x14ac:dyDescent="0.25">
      <c r="B1126" s="37"/>
      <c r="C1126" s="37"/>
      <c r="D1126" s="37"/>
      <c r="E1126" s="37"/>
      <c r="F1126" s="37"/>
      <c r="G1126" s="70"/>
    </row>
    <row r="1127" spans="2:7" x14ac:dyDescent="0.25">
      <c r="B1127" s="37"/>
      <c r="C1127" s="37"/>
      <c r="D1127" s="37"/>
      <c r="E1127" s="37"/>
      <c r="F1127" s="37"/>
      <c r="G1127" s="70"/>
    </row>
    <row r="1128" spans="2:7" x14ac:dyDescent="0.25">
      <c r="B1128" s="37"/>
      <c r="C1128" s="37"/>
      <c r="D1128" s="37"/>
      <c r="E1128" s="37"/>
      <c r="F1128" s="37"/>
      <c r="G1128" s="70"/>
    </row>
    <row r="1129" spans="2:7" x14ac:dyDescent="0.25">
      <c r="B1129" s="37"/>
      <c r="C1129" s="37"/>
      <c r="D1129" s="37"/>
      <c r="E1129" s="37"/>
      <c r="F1129" s="37"/>
      <c r="G1129" s="70"/>
    </row>
    <row r="1130" spans="2:7" x14ac:dyDescent="0.25">
      <c r="B1130" s="37"/>
      <c r="C1130" s="37"/>
      <c r="D1130" s="37"/>
      <c r="E1130" s="37"/>
      <c r="F1130" s="37"/>
      <c r="G1130" s="70"/>
    </row>
    <row r="1131" spans="2:7" x14ac:dyDescent="0.25">
      <c r="B1131" s="37"/>
      <c r="C1131" s="37"/>
      <c r="D1131" s="37"/>
      <c r="E1131" s="37"/>
      <c r="F1131" s="37"/>
      <c r="G1131" s="70"/>
    </row>
    <row r="1132" spans="2:7" x14ac:dyDescent="0.25">
      <c r="B1132" s="37"/>
      <c r="C1132" s="37"/>
      <c r="D1132" s="37"/>
      <c r="E1132" s="37"/>
      <c r="F1132" s="37"/>
      <c r="G1132" s="70"/>
    </row>
    <row r="1133" spans="2:7" x14ac:dyDescent="0.25">
      <c r="B1133" s="37"/>
      <c r="C1133" s="37"/>
      <c r="D1133" s="37"/>
      <c r="E1133" s="37"/>
      <c r="F1133" s="37"/>
      <c r="G1133" s="70"/>
    </row>
    <row r="1134" spans="2:7" x14ac:dyDescent="0.25">
      <c r="B1134" s="37"/>
      <c r="C1134" s="37"/>
      <c r="D1134" s="37"/>
      <c r="E1134" s="37"/>
      <c r="F1134" s="37"/>
      <c r="G1134" s="70"/>
    </row>
    <row r="1135" spans="2:7" x14ac:dyDescent="0.25">
      <c r="B1135" s="37"/>
      <c r="C1135" s="37"/>
      <c r="D1135" s="37"/>
      <c r="E1135" s="37"/>
      <c r="F1135" s="37"/>
      <c r="G1135" s="70"/>
    </row>
    <row r="1136" spans="2:7" x14ac:dyDescent="0.25">
      <c r="B1136" s="37"/>
      <c r="C1136" s="37"/>
      <c r="D1136" s="37"/>
      <c r="E1136" s="37"/>
      <c r="F1136" s="37"/>
      <c r="G1136" s="70"/>
    </row>
    <row r="1137" spans="2:7" x14ac:dyDescent="0.25">
      <c r="B1137" s="37"/>
      <c r="C1137" s="37"/>
      <c r="D1137" s="37"/>
      <c r="E1137" s="37"/>
      <c r="F1137" s="37"/>
      <c r="G1137" s="70"/>
    </row>
    <row r="1138" spans="2:7" x14ac:dyDescent="0.25">
      <c r="B1138" s="37"/>
      <c r="C1138" s="37"/>
      <c r="D1138" s="37"/>
      <c r="E1138" s="37"/>
      <c r="F1138" s="37"/>
      <c r="G1138" s="70"/>
    </row>
    <row r="1139" spans="2:7" x14ac:dyDescent="0.25">
      <c r="B1139" s="37"/>
      <c r="C1139" s="37"/>
      <c r="D1139" s="37"/>
      <c r="E1139" s="37"/>
      <c r="F1139" s="37"/>
      <c r="G1139" s="70"/>
    </row>
    <row r="1140" spans="2:7" x14ac:dyDescent="0.25">
      <c r="B1140" s="37"/>
      <c r="C1140" s="37"/>
      <c r="D1140" s="37"/>
      <c r="E1140" s="37"/>
      <c r="F1140" s="37"/>
      <c r="G1140" s="70"/>
    </row>
    <row r="1141" spans="2:7" x14ac:dyDescent="0.25">
      <c r="B1141" s="37"/>
      <c r="C1141" s="37"/>
      <c r="D1141" s="37"/>
      <c r="E1141" s="37"/>
      <c r="F1141" s="37"/>
      <c r="G1141" s="70"/>
    </row>
    <row r="1142" spans="2:7" x14ac:dyDescent="0.25">
      <c r="B1142" s="37"/>
      <c r="C1142" s="37"/>
      <c r="D1142" s="37"/>
      <c r="E1142" s="37"/>
      <c r="F1142" s="37"/>
      <c r="G1142" s="70"/>
    </row>
    <row r="1143" spans="2:7" x14ac:dyDescent="0.25">
      <c r="B1143" s="37"/>
      <c r="C1143" s="37"/>
      <c r="D1143" s="37"/>
      <c r="E1143" s="37"/>
      <c r="F1143" s="37"/>
      <c r="G1143" s="70"/>
    </row>
    <row r="1144" spans="2:7" x14ac:dyDescent="0.25">
      <c r="B1144" s="37"/>
      <c r="C1144" s="37"/>
      <c r="D1144" s="37"/>
      <c r="E1144" s="37"/>
      <c r="F1144" s="37"/>
      <c r="G1144" s="70"/>
    </row>
    <row r="1145" spans="2:7" x14ac:dyDescent="0.25">
      <c r="B1145" s="37"/>
      <c r="C1145" s="37"/>
      <c r="D1145" s="37"/>
      <c r="E1145" s="37"/>
      <c r="F1145" s="37"/>
      <c r="G1145" s="70"/>
    </row>
    <row r="1146" spans="2:7" x14ac:dyDescent="0.25">
      <c r="B1146" s="37"/>
      <c r="C1146" s="37"/>
      <c r="D1146" s="37"/>
      <c r="E1146" s="37"/>
      <c r="F1146" s="37"/>
      <c r="G1146" s="70"/>
    </row>
    <row r="1147" spans="2:7" x14ac:dyDescent="0.25">
      <c r="B1147" s="37"/>
      <c r="C1147" s="37"/>
      <c r="D1147" s="37"/>
      <c r="E1147" s="37"/>
      <c r="F1147" s="37"/>
      <c r="G1147" s="70"/>
    </row>
    <row r="1148" spans="2:7" x14ac:dyDescent="0.25">
      <c r="B1148" s="37"/>
      <c r="C1148" s="37"/>
      <c r="D1148" s="37"/>
      <c r="E1148" s="37"/>
      <c r="F1148" s="37"/>
      <c r="G1148" s="70"/>
    </row>
    <row r="1149" spans="2:7" x14ac:dyDescent="0.25">
      <c r="B1149" s="37"/>
      <c r="C1149" s="37"/>
      <c r="D1149" s="37"/>
      <c r="E1149" s="37"/>
      <c r="F1149" s="37"/>
      <c r="G1149" s="70"/>
    </row>
    <row r="1150" spans="2:7" x14ac:dyDescent="0.25">
      <c r="B1150" s="37"/>
      <c r="C1150" s="37"/>
      <c r="D1150" s="37"/>
      <c r="E1150" s="37"/>
      <c r="F1150" s="37"/>
      <c r="G1150" s="70"/>
    </row>
    <row r="1151" spans="2:7" x14ac:dyDescent="0.25">
      <c r="B1151" s="37"/>
      <c r="C1151" s="37"/>
      <c r="D1151" s="37"/>
      <c r="E1151" s="37"/>
      <c r="F1151" s="37"/>
      <c r="G1151" s="70"/>
    </row>
    <row r="1152" spans="2:7" x14ac:dyDescent="0.25">
      <c r="B1152" s="37"/>
      <c r="C1152" s="37"/>
      <c r="D1152" s="37"/>
      <c r="E1152" s="37"/>
      <c r="F1152" s="37"/>
      <c r="G1152" s="70"/>
    </row>
    <row r="1153" spans="2:7" x14ac:dyDescent="0.25">
      <c r="B1153" s="37"/>
      <c r="C1153" s="37"/>
      <c r="D1153" s="37"/>
      <c r="E1153" s="37"/>
      <c r="F1153" s="37"/>
      <c r="G1153" s="70"/>
    </row>
    <row r="1154" spans="2:7" x14ac:dyDescent="0.25">
      <c r="B1154" s="37"/>
      <c r="C1154" s="37"/>
      <c r="D1154" s="37"/>
      <c r="E1154" s="37"/>
      <c r="F1154" s="37"/>
      <c r="G1154" s="70"/>
    </row>
    <row r="1155" spans="2:7" x14ac:dyDescent="0.25">
      <c r="B1155" s="37"/>
      <c r="C1155" s="37"/>
      <c r="D1155" s="37"/>
      <c r="E1155" s="37"/>
      <c r="F1155" s="37"/>
      <c r="G1155" s="70"/>
    </row>
    <row r="1156" spans="2:7" x14ac:dyDescent="0.25">
      <c r="B1156" s="37"/>
      <c r="C1156" s="37"/>
      <c r="D1156" s="37"/>
      <c r="E1156" s="37"/>
      <c r="F1156" s="37"/>
      <c r="G1156" s="70"/>
    </row>
    <row r="1157" spans="2:7" x14ac:dyDescent="0.25">
      <c r="B1157" s="37"/>
      <c r="C1157" s="37"/>
      <c r="D1157" s="37"/>
      <c r="E1157" s="37"/>
      <c r="F1157" s="37"/>
      <c r="G1157" s="70"/>
    </row>
    <row r="1158" spans="2:7" x14ac:dyDescent="0.25">
      <c r="B1158" s="37"/>
      <c r="C1158" s="37"/>
      <c r="D1158" s="37"/>
      <c r="E1158" s="37"/>
      <c r="F1158" s="37"/>
      <c r="G1158" s="70"/>
    </row>
    <row r="1159" spans="2:7" x14ac:dyDescent="0.25">
      <c r="B1159" s="37"/>
      <c r="C1159" s="37"/>
      <c r="D1159" s="37"/>
      <c r="E1159" s="37"/>
      <c r="F1159" s="37"/>
      <c r="G1159" s="70"/>
    </row>
    <row r="1160" spans="2:7" x14ac:dyDescent="0.25">
      <c r="B1160" s="37"/>
      <c r="C1160" s="37"/>
      <c r="D1160" s="37"/>
      <c r="E1160" s="37"/>
      <c r="F1160" s="37"/>
      <c r="G1160" s="70"/>
    </row>
    <row r="1161" spans="2:7" x14ac:dyDescent="0.25">
      <c r="B1161" s="37"/>
      <c r="C1161" s="37"/>
      <c r="D1161" s="37"/>
      <c r="E1161" s="37"/>
      <c r="F1161" s="37"/>
      <c r="G1161" s="70"/>
    </row>
    <row r="1162" spans="2:7" x14ac:dyDescent="0.25">
      <c r="B1162" s="37"/>
      <c r="C1162" s="37"/>
      <c r="D1162" s="37"/>
      <c r="E1162" s="37"/>
      <c r="F1162" s="37"/>
      <c r="G1162" s="70"/>
    </row>
    <row r="1163" spans="2:7" x14ac:dyDescent="0.25">
      <c r="B1163" s="37"/>
      <c r="C1163" s="37"/>
      <c r="D1163" s="37"/>
      <c r="E1163" s="37"/>
      <c r="F1163" s="37"/>
      <c r="G1163" s="70"/>
    </row>
    <row r="1164" spans="2:7" x14ac:dyDescent="0.25">
      <c r="B1164" s="37"/>
      <c r="C1164" s="37"/>
      <c r="D1164" s="37"/>
      <c r="E1164" s="37"/>
      <c r="F1164" s="37"/>
      <c r="G1164" s="70"/>
    </row>
    <row r="1165" spans="2:7" x14ac:dyDescent="0.25">
      <c r="B1165" s="37"/>
      <c r="C1165" s="37"/>
      <c r="D1165" s="37"/>
      <c r="E1165" s="37"/>
      <c r="F1165" s="37"/>
      <c r="G1165" s="70"/>
    </row>
    <row r="1166" spans="2:7" x14ac:dyDescent="0.25">
      <c r="B1166" s="37"/>
      <c r="C1166" s="37"/>
      <c r="D1166" s="37"/>
      <c r="E1166" s="37"/>
      <c r="F1166" s="37"/>
      <c r="G1166" s="70"/>
    </row>
    <row r="1167" spans="2:7" x14ac:dyDescent="0.25">
      <c r="B1167" s="37"/>
      <c r="C1167" s="37"/>
      <c r="D1167" s="37"/>
      <c r="E1167" s="37"/>
      <c r="F1167" s="37"/>
      <c r="G1167" s="70"/>
    </row>
    <row r="1168" spans="2:7" x14ac:dyDescent="0.25">
      <c r="B1168" s="37"/>
      <c r="C1168" s="37"/>
      <c r="D1168" s="37"/>
      <c r="E1168" s="37"/>
      <c r="F1168" s="37"/>
      <c r="G1168" s="70"/>
    </row>
    <row r="1169" spans="2:7" x14ac:dyDescent="0.25">
      <c r="B1169" s="37"/>
      <c r="C1169" s="37"/>
      <c r="D1169" s="37"/>
      <c r="E1169" s="37"/>
      <c r="F1169" s="37"/>
      <c r="G1169" s="70"/>
    </row>
    <row r="1170" spans="2:7" x14ac:dyDescent="0.25">
      <c r="B1170" s="37"/>
      <c r="C1170" s="37"/>
      <c r="D1170" s="37"/>
      <c r="E1170" s="37"/>
      <c r="F1170" s="37"/>
      <c r="G1170" s="70"/>
    </row>
    <row r="1171" spans="2:7" x14ac:dyDescent="0.25">
      <c r="B1171" s="37"/>
      <c r="C1171" s="37"/>
      <c r="D1171" s="37"/>
      <c r="E1171" s="37"/>
      <c r="F1171" s="37"/>
      <c r="G1171" s="70"/>
    </row>
    <row r="1172" spans="2:7" x14ac:dyDescent="0.25">
      <c r="B1172" s="37"/>
      <c r="C1172" s="37"/>
      <c r="D1172" s="37"/>
      <c r="E1172" s="37"/>
      <c r="F1172" s="37"/>
      <c r="G1172" s="70"/>
    </row>
    <row r="1173" spans="2:7" x14ac:dyDescent="0.25">
      <c r="B1173" s="37"/>
      <c r="C1173" s="37"/>
      <c r="D1173" s="37"/>
      <c r="E1173" s="37"/>
      <c r="F1173" s="37"/>
      <c r="G1173" s="70"/>
    </row>
    <row r="1174" spans="2:7" x14ac:dyDescent="0.25">
      <c r="B1174" s="37"/>
      <c r="C1174" s="37"/>
      <c r="D1174" s="37"/>
      <c r="E1174" s="37"/>
      <c r="F1174" s="37"/>
      <c r="G1174" s="70"/>
    </row>
    <row r="1175" spans="2:7" x14ac:dyDescent="0.25">
      <c r="B1175" s="37"/>
      <c r="C1175" s="37"/>
      <c r="D1175" s="37"/>
      <c r="E1175" s="37"/>
      <c r="F1175" s="37"/>
      <c r="G1175" s="70"/>
    </row>
    <row r="1176" spans="2:7" x14ac:dyDescent="0.25">
      <c r="B1176" s="37"/>
      <c r="C1176" s="37"/>
      <c r="D1176" s="37"/>
      <c r="E1176" s="37"/>
      <c r="F1176" s="37"/>
      <c r="G1176" s="70"/>
    </row>
    <row r="1177" spans="2:7" x14ac:dyDescent="0.25">
      <c r="B1177" s="37"/>
      <c r="C1177" s="37"/>
      <c r="D1177" s="37"/>
      <c r="E1177" s="37"/>
      <c r="F1177" s="37"/>
      <c r="G1177" s="70"/>
    </row>
    <row r="1178" spans="2:7" x14ac:dyDescent="0.25">
      <c r="B1178" s="37"/>
      <c r="C1178" s="37"/>
      <c r="D1178" s="37"/>
      <c r="E1178" s="37"/>
      <c r="F1178" s="37"/>
      <c r="G1178" s="70"/>
    </row>
    <row r="1179" spans="2:7" x14ac:dyDescent="0.25">
      <c r="B1179" s="37"/>
      <c r="C1179" s="37"/>
      <c r="D1179" s="37"/>
      <c r="E1179" s="37"/>
      <c r="F1179" s="37"/>
      <c r="G1179" s="70"/>
    </row>
    <row r="1180" spans="2:7" x14ac:dyDescent="0.25">
      <c r="B1180" s="37"/>
      <c r="C1180" s="37"/>
      <c r="D1180" s="37"/>
      <c r="E1180" s="37"/>
      <c r="F1180" s="37"/>
      <c r="G1180" s="70"/>
    </row>
    <row r="1181" spans="2:7" x14ac:dyDescent="0.25">
      <c r="B1181" s="37"/>
      <c r="C1181" s="37"/>
      <c r="D1181" s="37"/>
      <c r="E1181" s="37"/>
      <c r="F1181" s="37"/>
      <c r="G1181" s="70"/>
    </row>
    <row r="1182" spans="2:7" x14ac:dyDescent="0.25">
      <c r="B1182" s="37"/>
      <c r="C1182" s="37"/>
      <c r="D1182" s="37"/>
      <c r="E1182" s="37"/>
      <c r="F1182" s="37"/>
      <c r="G1182" s="70"/>
    </row>
    <row r="1183" spans="2:7" x14ac:dyDescent="0.25">
      <c r="B1183" s="37"/>
      <c r="C1183" s="37"/>
      <c r="D1183" s="37"/>
      <c r="E1183" s="37"/>
      <c r="F1183" s="37"/>
      <c r="G1183" s="70"/>
    </row>
    <row r="1184" spans="2:7" x14ac:dyDescent="0.25">
      <c r="B1184" s="37"/>
      <c r="C1184" s="37"/>
      <c r="D1184" s="37"/>
      <c r="E1184" s="37"/>
      <c r="F1184" s="37"/>
      <c r="G1184" s="70"/>
    </row>
    <row r="1185" spans="2:7" x14ac:dyDescent="0.25">
      <c r="B1185" s="37"/>
      <c r="C1185" s="37"/>
      <c r="D1185" s="37"/>
      <c r="E1185" s="37"/>
      <c r="F1185" s="37"/>
      <c r="G1185" s="70"/>
    </row>
    <row r="1186" spans="2:7" x14ac:dyDescent="0.25">
      <c r="B1186" s="37"/>
      <c r="C1186" s="37"/>
      <c r="D1186" s="37"/>
      <c r="E1186" s="37"/>
      <c r="F1186" s="37"/>
      <c r="G1186" s="70"/>
    </row>
    <row r="1187" spans="2:7" x14ac:dyDescent="0.25">
      <c r="B1187" s="37"/>
      <c r="C1187" s="37"/>
      <c r="D1187" s="37"/>
      <c r="E1187" s="37"/>
      <c r="F1187" s="37"/>
      <c r="G1187" s="70"/>
    </row>
    <row r="1188" spans="2:7" x14ac:dyDescent="0.25">
      <c r="B1188" s="37"/>
      <c r="C1188" s="37"/>
      <c r="D1188" s="37"/>
      <c r="E1188" s="37"/>
      <c r="F1188" s="37"/>
      <c r="G1188" s="70"/>
    </row>
    <row r="1189" spans="2:7" x14ac:dyDescent="0.25">
      <c r="B1189" s="37"/>
      <c r="C1189" s="37"/>
      <c r="D1189" s="37"/>
      <c r="E1189" s="37"/>
      <c r="F1189" s="37"/>
      <c r="G1189" s="70"/>
    </row>
    <row r="1190" spans="2:7" x14ac:dyDescent="0.25">
      <c r="B1190" s="37"/>
      <c r="C1190" s="37"/>
      <c r="D1190" s="37"/>
      <c r="E1190" s="37"/>
      <c r="F1190" s="37"/>
      <c r="G1190" s="70"/>
    </row>
    <row r="1191" spans="2:7" x14ac:dyDescent="0.25">
      <c r="B1191" s="37"/>
      <c r="C1191" s="37"/>
      <c r="D1191" s="37"/>
      <c r="E1191" s="37"/>
      <c r="F1191" s="37"/>
      <c r="G1191" s="70"/>
    </row>
    <row r="1192" spans="2:7" x14ac:dyDescent="0.25">
      <c r="B1192" s="37"/>
      <c r="C1192" s="37"/>
      <c r="D1192" s="37"/>
      <c r="E1192" s="37"/>
      <c r="F1192" s="37"/>
      <c r="G1192" s="70"/>
    </row>
    <row r="1193" spans="2:7" x14ac:dyDescent="0.25">
      <c r="B1193" s="37"/>
      <c r="C1193" s="37"/>
      <c r="D1193" s="37"/>
      <c r="E1193" s="37"/>
      <c r="F1193" s="37"/>
      <c r="G1193" s="70"/>
    </row>
    <row r="1194" spans="2:7" x14ac:dyDescent="0.25">
      <c r="B1194" s="37"/>
      <c r="C1194" s="37"/>
      <c r="D1194" s="37"/>
      <c r="E1194" s="37"/>
      <c r="F1194" s="37"/>
      <c r="G1194" s="70"/>
    </row>
    <row r="1195" spans="2:7" x14ac:dyDescent="0.25">
      <c r="B1195" s="37"/>
      <c r="C1195" s="37"/>
      <c r="D1195" s="37"/>
      <c r="E1195" s="37"/>
      <c r="F1195" s="37"/>
      <c r="G1195" s="70"/>
    </row>
    <row r="1196" spans="2:7" x14ac:dyDescent="0.25">
      <c r="B1196" s="37"/>
      <c r="C1196" s="37"/>
      <c r="D1196" s="37"/>
      <c r="E1196" s="37"/>
      <c r="F1196" s="37"/>
      <c r="G1196" s="70"/>
    </row>
    <row r="1197" spans="2:7" x14ac:dyDescent="0.25">
      <c r="B1197" s="37"/>
      <c r="C1197" s="37"/>
      <c r="D1197" s="37"/>
      <c r="E1197" s="37"/>
      <c r="F1197" s="37"/>
      <c r="G1197" s="70"/>
    </row>
    <row r="1198" spans="2:7" x14ac:dyDescent="0.25">
      <c r="B1198" s="37"/>
      <c r="C1198" s="37"/>
      <c r="D1198" s="37"/>
      <c r="E1198" s="37"/>
      <c r="F1198" s="37"/>
      <c r="G1198" s="70"/>
    </row>
    <row r="1199" spans="2:7" x14ac:dyDescent="0.25">
      <c r="B1199" s="37"/>
      <c r="C1199" s="37"/>
      <c r="D1199" s="37"/>
      <c r="E1199" s="37"/>
      <c r="F1199" s="37"/>
      <c r="G1199" s="70"/>
    </row>
    <row r="1200" spans="2:7" x14ac:dyDescent="0.25">
      <c r="B1200" s="37"/>
      <c r="C1200" s="37"/>
      <c r="D1200" s="37"/>
      <c r="E1200" s="37"/>
      <c r="F1200" s="37"/>
      <c r="G1200" s="70"/>
    </row>
    <row r="1201" spans="2:7" x14ac:dyDescent="0.25">
      <c r="B1201" s="37"/>
      <c r="C1201" s="37"/>
      <c r="D1201" s="37"/>
      <c r="E1201" s="37"/>
      <c r="F1201" s="37"/>
      <c r="G1201" s="70"/>
    </row>
    <row r="1202" spans="2:7" x14ac:dyDescent="0.25">
      <c r="B1202" s="37"/>
      <c r="C1202" s="37"/>
      <c r="D1202" s="37"/>
      <c r="E1202" s="37"/>
      <c r="F1202" s="37"/>
      <c r="G1202" s="70"/>
    </row>
    <row r="1203" spans="2:7" x14ac:dyDescent="0.25">
      <c r="B1203" s="37"/>
      <c r="C1203" s="37"/>
      <c r="D1203" s="37"/>
      <c r="E1203" s="37"/>
      <c r="F1203" s="37"/>
      <c r="G1203" s="70"/>
    </row>
    <row r="1204" spans="2:7" x14ac:dyDescent="0.25">
      <c r="B1204" s="37"/>
      <c r="C1204" s="37"/>
      <c r="D1204" s="37"/>
      <c r="E1204" s="37"/>
      <c r="F1204" s="37"/>
      <c r="G1204" s="70"/>
    </row>
    <row r="1205" spans="2:7" x14ac:dyDescent="0.25">
      <c r="B1205" s="37"/>
      <c r="C1205" s="37"/>
      <c r="D1205" s="37"/>
      <c r="E1205" s="37"/>
      <c r="F1205" s="37"/>
      <c r="G1205" s="70"/>
    </row>
    <row r="1206" spans="2:7" x14ac:dyDescent="0.25">
      <c r="B1206" s="37"/>
      <c r="C1206" s="37"/>
      <c r="D1206" s="37"/>
      <c r="E1206" s="37"/>
      <c r="F1206" s="37"/>
      <c r="G1206" s="70"/>
    </row>
    <row r="1207" spans="2:7" x14ac:dyDescent="0.25">
      <c r="B1207" s="37"/>
      <c r="C1207" s="37"/>
      <c r="D1207" s="37"/>
      <c r="E1207" s="37"/>
      <c r="F1207" s="37"/>
      <c r="G1207" s="70"/>
    </row>
    <row r="1208" spans="2:7" x14ac:dyDescent="0.25">
      <c r="B1208" s="37"/>
      <c r="C1208" s="37"/>
      <c r="D1208" s="37"/>
      <c r="E1208" s="37"/>
      <c r="F1208" s="37"/>
      <c r="G1208" s="70"/>
    </row>
    <row r="1209" spans="2:7" x14ac:dyDescent="0.25">
      <c r="B1209" s="37"/>
      <c r="C1209" s="37"/>
      <c r="D1209" s="37"/>
      <c r="E1209" s="37"/>
      <c r="F1209" s="37"/>
      <c r="G1209" s="70"/>
    </row>
    <row r="1210" spans="2:7" x14ac:dyDescent="0.25">
      <c r="B1210" s="37"/>
      <c r="C1210" s="37"/>
      <c r="D1210" s="37"/>
      <c r="E1210" s="37"/>
      <c r="F1210" s="37"/>
      <c r="G1210" s="70"/>
    </row>
    <row r="1211" spans="2:7" x14ac:dyDescent="0.25">
      <c r="B1211" s="37"/>
      <c r="C1211" s="37"/>
      <c r="D1211" s="37"/>
      <c r="E1211" s="37"/>
      <c r="F1211" s="37"/>
      <c r="G1211" s="70"/>
    </row>
    <row r="1212" spans="2:7" x14ac:dyDescent="0.25">
      <c r="B1212" s="37"/>
      <c r="C1212" s="37"/>
      <c r="D1212" s="37"/>
      <c r="E1212" s="37"/>
      <c r="F1212" s="37"/>
      <c r="G1212" s="70"/>
    </row>
    <row r="1213" spans="2:7" x14ac:dyDescent="0.25">
      <c r="B1213" s="37"/>
      <c r="C1213" s="37"/>
      <c r="D1213" s="37"/>
      <c r="E1213" s="37"/>
      <c r="F1213" s="37"/>
      <c r="G1213" s="70"/>
    </row>
    <row r="1214" spans="2:7" x14ac:dyDescent="0.25">
      <c r="B1214" s="37"/>
      <c r="C1214" s="37"/>
      <c r="D1214" s="37"/>
      <c r="E1214" s="37"/>
      <c r="F1214" s="37"/>
      <c r="G1214" s="70"/>
    </row>
    <row r="1215" spans="2:7" x14ac:dyDescent="0.25">
      <c r="B1215" s="37"/>
      <c r="C1215" s="37"/>
      <c r="D1215" s="37"/>
      <c r="E1215" s="37"/>
      <c r="F1215" s="37"/>
      <c r="G1215" s="70"/>
    </row>
    <row r="1216" spans="2:7" x14ac:dyDescent="0.25">
      <c r="B1216" s="37"/>
      <c r="C1216" s="37"/>
      <c r="D1216" s="37"/>
      <c r="E1216" s="37"/>
      <c r="F1216" s="37"/>
      <c r="G1216" s="70"/>
    </row>
    <row r="1217" spans="2:7" x14ac:dyDescent="0.25">
      <c r="B1217" s="37"/>
      <c r="C1217" s="37"/>
      <c r="D1217" s="37"/>
      <c r="E1217" s="37"/>
      <c r="F1217" s="37"/>
      <c r="G1217" s="70"/>
    </row>
    <row r="1218" spans="2:7" x14ac:dyDescent="0.25">
      <c r="B1218" s="37"/>
      <c r="C1218" s="37"/>
      <c r="D1218" s="37"/>
      <c r="E1218" s="37"/>
      <c r="F1218" s="37"/>
      <c r="G1218" s="70"/>
    </row>
    <row r="1219" spans="2:7" x14ac:dyDescent="0.25">
      <c r="B1219" s="37"/>
      <c r="C1219" s="37"/>
      <c r="D1219" s="37"/>
      <c r="E1219" s="37"/>
      <c r="F1219" s="37"/>
      <c r="G1219" s="70"/>
    </row>
    <row r="1220" spans="2:7" x14ac:dyDescent="0.25">
      <c r="B1220" s="37"/>
      <c r="C1220" s="37"/>
      <c r="D1220" s="37"/>
      <c r="E1220" s="37"/>
      <c r="F1220" s="37"/>
      <c r="G1220" s="70"/>
    </row>
    <row r="1221" spans="2:7" x14ac:dyDescent="0.25">
      <c r="B1221" s="37"/>
      <c r="C1221" s="37"/>
      <c r="D1221" s="37"/>
      <c r="E1221" s="37"/>
      <c r="F1221" s="37"/>
      <c r="G1221" s="70"/>
    </row>
    <row r="1222" spans="2:7" x14ac:dyDescent="0.25">
      <c r="B1222" s="37"/>
      <c r="C1222" s="37"/>
      <c r="D1222" s="37"/>
      <c r="E1222" s="37"/>
      <c r="F1222" s="37"/>
      <c r="G1222" s="70"/>
    </row>
    <row r="1223" spans="2:7" x14ac:dyDescent="0.25">
      <c r="B1223" s="37"/>
      <c r="C1223" s="37"/>
      <c r="D1223" s="37"/>
      <c r="E1223" s="37"/>
      <c r="F1223" s="37"/>
      <c r="G1223" s="70"/>
    </row>
    <row r="1224" spans="2:7" x14ac:dyDescent="0.25">
      <c r="B1224" s="37"/>
      <c r="C1224" s="37"/>
      <c r="D1224" s="37"/>
      <c r="E1224" s="37"/>
      <c r="F1224" s="37"/>
      <c r="G1224" s="70"/>
    </row>
    <row r="1225" spans="2:7" x14ac:dyDescent="0.25">
      <c r="B1225" s="37"/>
      <c r="C1225" s="37"/>
      <c r="D1225" s="37"/>
      <c r="E1225" s="37"/>
      <c r="F1225" s="37"/>
      <c r="G1225" s="70"/>
    </row>
    <row r="1226" spans="2:7" x14ac:dyDescent="0.25">
      <c r="B1226" s="37"/>
      <c r="C1226" s="37"/>
      <c r="D1226" s="37"/>
      <c r="E1226" s="37"/>
      <c r="F1226" s="37"/>
      <c r="G1226" s="70"/>
    </row>
    <row r="1227" spans="2:7" x14ac:dyDescent="0.25">
      <c r="B1227" s="37"/>
      <c r="C1227" s="37"/>
      <c r="D1227" s="37"/>
      <c r="E1227" s="37"/>
      <c r="F1227" s="37"/>
      <c r="G1227" s="70"/>
    </row>
    <row r="1228" spans="2:7" x14ac:dyDescent="0.25">
      <c r="B1228" s="37"/>
      <c r="C1228" s="37"/>
      <c r="D1228" s="37"/>
      <c r="E1228" s="37"/>
      <c r="F1228" s="37"/>
      <c r="G1228" s="70"/>
    </row>
    <row r="1229" spans="2:7" x14ac:dyDescent="0.25">
      <c r="B1229" s="37"/>
      <c r="C1229" s="37"/>
      <c r="D1229" s="37"/>
      <c r="E1229" s="37"/>
      <c r="F1229" s="37"/>
      <c r="G1229" s="70"/>
    </row>
    <row r="1230" spans="2:7" x14ac:dyDescent="0.25">
      <c r="B1230" s="37"/>
      <c r="C1230" s="37"/>
      <c r="D1230" s="37"/>
      <c r="E1230" s="37"/>
      <c r="F1230" s="37"/>
      <c r="G1230" s="70"/>
    </row>
    <row r="1231" spans="2:7" x14ac:dyDescent="0.25">
      <c r="B1231" s="37"/>
      <c r="C1231" s="37"/>
      <c r="D1231" s="37"/>
      <c r="E1231" s="37"/>
      <c r="F1231" s="37"/>
      <c r="G1231" s="70"/>
    </row>
    <row r="1232" spans="2:7" x14ac:dyDescent="0.25">
      <c r="B1232" s="37"/>
      <c r="C1232" s="37"/>
      <c r="D1232" s="37"/>
      <c r="E1232" s="37"/>
      <c r="F1232" s="37"/>
      <c r="G1232" s="70"/>
    </row>
    <row r="1233" spans="2:7" x14ac:dyDescent="0.25">
      <c r="B1233" s="37"/>
      <c r="C1233" s="37"/>
      <c r="D1233" s="37"/>
      <c r="E1233" s="37"/>
      <c r="F1233" s="37"/>
      <c r="G1233" s="70"/>
    </row>
    <row r="1234" spans="2:7" x14ac:dyDescent="0.25">
      <c r="B1234" s="37"/>
      <c r="C1234" s="37"/>
      <c r="D1234" s="37"/>
      <c r="E1234" s="37"/>
      <c r="F1234" s="37"/>
      <c r="G1234" s="70"/>
    </row>
    <row r="1235" spans="2:7" x14ac:dyDescent="0.25">
      <c r="B1235" s="37"/>
      <c r="C1235" s="37"/>
      <c r="D1235" s="37"/>
      <c r="E1235" s="37"/>
      <c r="F1235" s="37"/>
      <c r="G1235" s="70"/>
    </row>
    <row r="1236" spans="2:7" x14ac:dyDescent="0.25">
      <c r="B1236" s="37"/>
      <c r="C1236" s="37"/>
      <c r="D1236" s="37"/>
      <c r="E1236" s="37"/>
      <c r="F1236" s="37"/>
      <c r="G1236" s="70"/>
    </row>
    <row r="1237" spans="2:7" x14ac:dyDescent="0.25">
      <c r="B1237" s="37"/>
      <c r="C1237" s="37"/>
      <c r="D1237" s="37"/>
      <c r="E1237" s="37"/>
      <c r="F1237" s="37"/>
      <c r="G1237" s="70"/>
    </row>
    <row r="1238" spans="2:7" x14ac:dyDescent="0.25">
      <c r="B1238" s="37"/>
      <c r="C1238" s="37"/>
      <c r="D1238" s="37"/>
      <c r="E1238" s="37"/>
      <c r="F1238" s="37"/>
      <c r="G1238" s="70"/>
    </row>
    <row r="1239" spans="2:7" x14ac:dyDescent="0.25">
      <c r="B1239" s="37"/>
      <c r="C1239" s="37"/>
      <c r="D1239" s="37"/>
      <c r="E1239" s="37"/>
      <c r="F1239" s="37"/>
      <c r="G1239" s="70"/>
    </row>
    <row r="1240" spans="2:7" x14ac:dyDescent="0.25">
      <c r="B1240" s="37"/>
      <c r="C1240" s="37"/>
      <c r="D1240" s="37"/>
      <c r="E1240" s="37"/>
      <c r="F1240" s="37"/>
      <c r="G1240" s="70"/>
    </row>
    <row r="1241" spans="2:7" x14ac:dyDescent="0.25">
      <c r="B1241" s="37"/>
      <c r="C1241" s="37"/>
      <c r="D1241" s="37"/>
      <c r="E1241" s="37"/>
      <c r="F1241" s="37"/>
      <c r="G1241" s="70"/>
    </row>
    <row r="1242" spans="2:7" x14ac:dyDescent="0.25">
      <c r="B1242" s="37"/>
      <c r="C1242" s="37"/>
      <c r="D1242" s="37"/>
      <c r="E1242" s="37"/>
      <c r="F1242" s="37"/>
      <c r="G1242" s="70"/>
    </row>
    <row r="1243" spans="2:7" x14ac:dyDescent="0.25">
      <c r="B1243" s="37"/>
      <c r="C1243" s="37"/>
      <c r="D1243" s="37"/>
      <c r="E1243" s="37"/>
      <c r="F1243" s="37"/>
      <c r="G1243" s="70"/>
    </row>
    <row r="1244" spans="2:7" x14ac:dyDescent="0.25">
      <c r="B1244" s="37"/>
      <c r="C1244" s="37"/>
      <c r="D1244" s="37"/>
      <c r="E1244" s="37"/>
      <c r="F1244" s="37"/>
      <c r="G1244" s="70"/>
    </row>
    <row r="1245" spans="2:7" x14ac:dyDescent="0.25">
      <c r="B1245" s="37"/>
      <c r="C1245" s="37"/>
      <c r="D1245" s="37"/>
      <c r="E1245" s="37"/>
      <c r="F1245" s="37"/>
      <c r="G1245" s="70"/>
    </row>
    <row r="1246" spans="2:7" x14ac:dyDescent="0.25">
      <c r="B1246" s="37"/>
      <c r="C1246" s="37"/>
      <c r="D1246" s="37"/>
      <c r="E1246" s="37"/>
      <c r="F1246" s="37"/>
      <c r="G1246" s="70"/>
    </row>
    <row r="1247" spans="2:7" x14ac:dyDescent="0.25">
      <c r="B1247" s="37"/>
      <c r="C1247" s="37"/>
      <c r="D1247" s="37"/>
      <c r="E1247" s="37"/>
      <c r="F1247" s="37"/>
      <c r="G1247" s="70"/>
    </row>
    <row r="1248" spans="2:7" x14ac:dyDescent="0.25">
      <c r="B1248" s="37"/>
      <c r="C1248" s="37"/>
      <c r="D1248" s="37"/>
      <c r="E1248" s="37"/>
      <c r="F1248" s="37"/>
      <c r="G1248" s="70"/>
    </row>
    <row r="1249" spans="2:7" x14ac:dyDescent="0.25">
      <c r="B1249" s="37"/>
      <c r="C1249" s="37"/>
      <c r="D1249" s="37"/>
      <c r="E1249" s="37"/>
      <c r="F1249" s="37"/>
      <c r="G1249" s="70"/>
    </row>
    <row r="1250" spans="2:7" x14ac:dyDescent="0.25">
      <c r="B1250" s="37"/>
      <c r="C1250" s="37"/>
      <c r="D1250" s="37"/>
      <c r="E1250" s="37"/>
      <c r="F1250" s="37"/>
      <c r="G1250" s="70"/>
    </row>
    <row r="1251" spans="2:7" x14ac:dyDescent="0.25">
      <c r="B1251" s="37"/>
      <c r="C1251" s="37"/>
      <c r="D1251" s="37"/>
      <c r="E1251" s="37"/>
      <c r="F1251" s="37"/>
      <c r="G1251" s="70"/>
    </row>
    <row r="1252" spans="2:7" x14ac:dyDescent="0.25">
      <c r="B1252" s="37"/>
      <c r="C1252" s="37"/>
      <c r="D1252" s="37"/>
      <c r="E1252" s="37"/>
      <c r="F1252" s="37"/>
      <c r="G1252" s="70"/>
    </row>
    <row r="1253" spans="2:7" x14ac:dyDescent="0.25">
      <c r="B1253" s="37"/>
      <c r="C1253" s="37"/>
      <c r="D1253" s="37"/>
      <c r="E1253" s="37"/>
      <c r="F1253" s="37"/>
      <c r="G1253" s="70"/>
    </row>
    <row r="1254" spans="2:7" x14ac:dyDescent="0.25">
      <c r="B1254" s="37"/>
      <c r="C1254" s="37"/>
      <c r="D1254" s="37"/>
      <c r="E1254" s="37"/>
      <c r="F1254" s="37"/>
      <c r="G1254" s="70"/>
    </row>
    <row r="1255" spans="2:7" x14ac:dyDescent="0.25">
      <c r="B1255" s="37"/>
      <c r="C1255" s="37"/>
      <c r="D1255" s="37"/>
      <c r="E1255" s="37"/>
      <c r="F1255" s="37"/>
      <c r="G1255" s="70"/>
    </row>
    <row r="1256" spans="2:7" x14ac:dyDescent="0.25">
      <c r="B1256" s="37"/>
      <c r="C1256" s="37"/>
      <c r="D1256" s="37"/>
      <c r="E1256" s="37"/>
      <c r="F1256" s="37"/>
      <c r="G1256" s="70"/>
    </row>
    <row r="1257" spans="2:7" x14ac:dyDescent="0.25">
      <c r="B1257" s="37"/>
      <c r="C1257" s="37"/>
      <c r="D1257" s="37"/>
      <c r="E1257" s="37"/>
      <c r="F1257" s="37"/>
      <c r="G1257" s="70"/>
    </row>
    <row r="1258" spans="2:7" x14ac:dyDescent="0.25">
      <c r="B1258" s="37"/>
      <c r="C1258" s="37"/>
      <c r="D1258" s="37"/>
      <c r="E1258" s="37"/>
      <c r="F1258" s="37"/>
      <c r="G1258" s="70"/>
    </row>
    <row r="1259" spans="2:7" x14ac:dyDescent="0.25">
      <c r="B1259" s="37"/>
      <c r="C1259" s="37"/>
      <c r="D1259" s="37"/>
      <c r="E1259" s="37"/>
      <c r="F1259" s="37"/>
      <c r="G1259" s="70"/>
    </row>
    <row r="1260" spans="2:7" x14ac:dyDescent="0.25">
      <c r="B1260" s="37"/>
      <c r="C1260" s="37"/>
      <c r="D1260" s="37"/>
      <c r="E1260" s="37"/>
      <c r="F1260" s="37"/>
      <c r="G1260" s="70"/>
    </row>
    <row r="1261" spans="2:7" x14ac:dyDescent="0.25">
      <c r="B1261" s="37"/>
      <c r="C1261" s="37"/>
      <c r="D1261" s="37"/>
      <c r="E1261" s="37"/>
      <c r="F1261" s="37"/>
      <c r="G1261" s="70"/>
    </row>
    <row r="1262" spans="2:7" x14ac:dyDescent="0.25">
      <c r="B1262" s="37"/>
      <c r="C1262" s="37"/>
      <c r="D1262" s="37"/>
      <c r="E1262" s="37"/>
      <c r="F1262" s="37"/>
      <c r="G1262" s="70"/>
    </row>
    <row r="1263" spans="2:7" x14ac:dyDescent="0.25">
      <c r="B1263" s="37"/>
      <c r="C1263" s="37"/>
      <c r="D1263" s="37"/>
      <c r="E1263" s="37"/>
      <c r="F1263" s="37"/>
      <c r="G1263" s="70"/>
    </row>
    <row r="1264" spans="2:7" x14ac:dyDescent="0.25">
      <c r="B1264" s="37"/>
      <c r="C1264" s="37"/>
      <c r="D1264" s="37"/>
      <c r="E1264" s="37"/>
      <c r="F1264" s="37"/>
      <c r="G1264" s="70"/>
    </row>
    <row r="1265" spans="2:7" x14ac:dyDescent="0.25">
      <c r="B1265" s="37"/>
      <c r="C1265" s="37"/>
      <c r="D1265" s="37"/>
      <c r="E1265" s="37"/>
      <c r="F1265" s="37"/>
      <c r="G1265" s="70"/>
    </row>
    <row r="1266" spans="2:7" x14ac:dyDescent="0.25">
      <c r="B1266" s="37"/>
      <c r="C1266" s="37"/>
      <c r="D1266" s="37"/>
      <c r="E1266" s="37"/>
      <c r="F1266" s="37"/>
      <c r="G1266" s="70"/>
    </row>
    <row r="1267" spans="2:7" x14ac:dyDescent="0.25">
      <c r="B1267" s="37"/>
      <c r="C1267" s="37"/>
      <c r="D1267" s="37"/>
      <c r="E1267" s="37"/>
      <c r="F1267" s="37"/>
      <c r="G1267" s="70"/>
    </row>
    <row r="1268" spans="2:7" x14ac:dyDescent="0.25">
      <c r="B1268" s="37"/>
      <c r="C1268" s="37"/>
      <c r="D1268" s="37"/>
      <c r="E1268" s="37"/>
      <c r="F1268" s="37"/>
      <c r="G1268" s="70"/>
    </row>
    <row r="1269" spans="2:7" x14ac:dyDescent="0.25">
      <c r="B1269" s="37"/>
      <c r="C1269" s="37"/>
      <c r="D1269" s="37"/>
      <c r="E1269" s="37"/>
      <c r="F1269" s="37"/>
      <c r="G1269" s="70"/>
    </row>
    <row r="1270" spans="2:7" x14ac:dyDescent="0.25">
      <c r="B1270" s="37"/>
      <c r="C1270" s="37"/>
      <c r="D1270" s="37"/>
      <c r="E1270" s="37"/>
      <c r="F1270" s="37"/>
      <c r="G1270" s="70"/>
    </row>
    <row r="1271" spans="2:7" x14ac:dyDescent="0.25">
      <c r="B1271" s="37"/>
      <c r="C1271" s="37"/>
      <c r="D1271" s="37"/>
      <c r="E1271" s="37"/>
      <c r="F1271" s="37"/>
      <c r="G1271" s="70"/>
    </row>
    <row r="1272" spans="2:7" x14ac:dyDescent="0.25">
      <c r="B1272" s="37"/>
      <c r="C1272" s="37"/>
      <c r="D1272" s="37"/>
      <c r="E1272" s="37"/>
      <c r="F1272" s="37"/>
      <c r="G1272" s="70"/>
    </row>
    <row r="1273" spans="2:7" x14ac:dyDescent="0.25">
      <c r="B1273" s="37"/>
      <c r="C1273" s="37"/>
      <c r="D1273" s="37"/>
      <c r="E1273" s="37"/>
      <c r="F1273" s="37"/>
      <c r="G1273" s="70"/>
    </row>
    <row r="1274" spans="2:7" x14ac:dyDescent="0.25">
      <c r="B1274" s="37"/>
      <c r="C1274" s="37"/>
      <c r="D1274" s="37"/>
      <c r="E1274" s="37"/>
      <c r="F1274" s="37"/>
      <c r="G1274" s="70"/>
    </row>
    <row r="1275" spans="2:7" x14ac:dyDescent="0.25">
      <c r="B1275" s="37"/>
      <c r="C1275" s="37"/>
      <c r="D1275" s="37"/>
      <c r="E1275" s="37"/>
      <c r="F1275" s="37"/>
      <c r="G1275" s="70"/>
    </row>
    <row r="1276" spans="2:7" x14ac:dyDescent="0.25">
      <c r="B1276" s="37"/>
      <c r="C1276" s="37"/>
      <c r="D1276" s="37"/>
      <c r="E1276" s="37"/>
      <c r="F1276" s="37"/>
      <c r="G1276" s="70"/>
    </row>
    <row r="1277" spans="2:7" x14ac:dyDescent="0.25">
      <c r="B1277" s="37"/>
      <c r="C1277" s="37"/>
      <c r="D1277" s="37"/>
      <c r="E1277" s="37"/>
      <c r="F1277" s="37"/>
      <c r="G1277" s="70"/>
    </row>
    <row r="1278" spans="2:7" x14ac:dyDescent="0.25">
      <c r="B1278" s="37"/>
      <c r="C1278" s="37"/>
      <c r="D1278" s="37"/>
      <c r="E1278" s="37"/>
      <c r="F1278" s="37"/>
      <c r="G1278" s="70"/>
    </row>
    <row r="1279" spans="2:7" x14ac:dyDescent="0.25">
      <c r="B1279" s="37"/>
      <c r="C1279" s="37"/>
      <c r="D1279" s="37"/>
      <c r="E1279" s="37"/>
      <c r="F1279" s="37"/>
      <c r="G1279" s="70"/>
    </row>
    <row r="1280" spans="2:7" x14ac:dyDescent="0.25">
      <c r="B1280" s="37"/>
      <c r="C1280" s="37"/>
      <c r="D1280" s="37"/>
      <c r="E1280" s="37"/>
      <c r="F1280" s="37"/>
      <c r="G1280" s="70"/>
    </row>
    <row r="1281" spans="2:7" x14ac:dyDescent="0.25">
      <c r="B1281" s="37"/>
      <c r="C1281" s="37"/>
      <c r="D1281" s="37"/>
      <c r="E1281" s="37"/>
      <c r="F1281" s="37"/>
      <c r="G1281" s="70"/>
    </row>
    <row r="1282" spans="2:7" x14ac:dyDescent="0.25">
      <c r="B1282" s="37"/>
      <c r="C1282" s="37"/>
      <c r="D1282" s="37"/>
      <c r="E1282" s="37"/>
      <c r="F1282" s="37"/>
      <c r="G1282" s="70"/>
    </row>
    <row r="1283" spans="2:7" x14ac:dyDescent="0.25">
      <c r="B1283" s="37"/>
      <c r="C1283" s="37"/>
      <c r="D1283" s="37"/>
      <c r="E1283" s="37"/>
      <c r="F1283" s="37"/>
      <c r="G1283" s="70"/>
    </row>
    <row r="1284" spans="2:7" x14ac:dyDescent="0.25">
      <c r="B1284" s="37"/>
      <c r="C1284" s="37"/>
      <c r="D1284" s="37"/>
      <c r="E1284" s="37"/>
      <c r="F1284" s="37"/>
      <c r="G1284" s="70"/>
    </row>
    <row r="1285" spans="2:7" x14ac:dyDescent="0.25">
      <c r="B1285" s="37"/>
      <c r="C1285" s="37"/>
      <c r="D1285" s="37"/>
      <c r="E1285" s="37"/>
      <c r="F1285" s="37"/>
      <c r="G1285" s="70"/>
    </row>
    <row r="1286" spans="2:7" x14ac:dyDescent="0.25">
      <c r="B1286" s="37"/>
      <c r="C1286" s="37"/>
      <c r="D1286" s="37"/>
      <c r="E1286" s="37"/>
      <c r="F1286" s="37"/>
      <c r="G1286" s="70"/>
    </row>
    <row r="1287" spans="2:7" x14ac:dyDescent="0.25">
      <c r="B1287" s="37"/>
      <c r="C1287" s="37"/>
      <c r="D1287" s="37"/>
      <c r="E1287" s="37"/>
      <c r="F1287" s="37"/>
      <c r="G1287" s="70"/>
    </row>
    <row r="1288" spans="2:7" x14ac:dyDescent="0.25">
      <c r="B1288" s="37"/>
      <c r="C1288" s="37"/>
      <c r="D1288" s="37"/>
      <c r="E1288" s="37"/>
      <c r="F1288" s="37"/>
      <c r="G1288" s="70"/>
    </row>
    <row r="1289" spans="2:7" x14ac:dyDescent="0.25">
      <c r="B1289" s="37"/>
      <c r="C1289" s="37"/>
      <c r="D1289" s="37"/>
      <c r="E1289" s="37"/>
      <c r="F1289" s="37"/>
      <c r="G1289" s="70"/>
    </row>
    <row r="1290" spans="2:7" x14ac:dyDescent="0.25">
      <c r="B1290" s="37"/>
      <c r="C1290" s="37"/>
      <c r="D1290" s="37"/>
      <c r="E1290" s="37"/>
      <c r="F1290" s="37"/>
      <c r="G1290" s="70"/>
    </row>
    <row r="1291" spans="2:7" x14ac:dyDescent="0.25">
      <c r="B1291" s="37"/>
      <c r="C1291" s="37"/>
      <c r="D1291" s="37"/>
      <c r="E1291" s="37"/>
      <c r="F1291" s="37"/>
      <c r="G1291" s="70"/>
    </row>
    <row r="1292" spans="2:7" x14ac:dyDescent="0.25">
      <c r="B1292" s="37"/>
      <c r="C1292" s="37"/>
      <c r="D1292" s="37"/>
      <c r="E1292" s="37"/>
      <c r="F1292" s="37"/>
      <c r="G1292" s="70"/>
    </row>
    <row r="1293" spans="2:7" x14ac:dyDescent="0.25">
      <c r="B1293" s="37"/>
      <c r="C1293" s="37"/>
      <c r="D1293" s="37"/>
      <c r="E1293" s="37"/>
      <c r="F1293" s="37"/>
      <c r="G1293" s="70"/>
    </row>
    <row r="1294" spans="2:7" x14ac:dyDescent="0.25">
      <c r="B1294" s="37"/>
      <c r="C1294" s="37"/>
      <c r="D1294" s="37"/>
      <c r="E1294" s="37"/>
      <c r="F1294" s="37"/>
      <c r="G1294" s="70"/>
    </row>
    <row r="1295" spans="2:7" x14ac:dyDescent="0.25">
      <c r="B1295" s="37"/>
      <c r="C1295" s="37"/>
      <c r="D1295" s="37"/>
      <c r="E1295" s="37"/>
      <c r="F1295" s="37"/>
      <c r="G1295" s="70"/>
    </row>
    <row r="1296" spans="2:7" x14ac:dyDescent="0.25">
      <c r="B1296" s="37"/>
      <c r="C1296" s="37"/>
      <c r="D1296" s="37"/>
      <c r="E1296" s="37"/>
      <c r="F1296" s="37"/>
      <c r="G1296" s="70"/>
    </row>
    <row r="1297" spans="2:7" x14ac:dyDescent="0.25">
      <c r="B1297" s="37"/>
      <c r="C1297" s="37"/>
      <c r="D1297" s="37"/>
      <c r="E1297" s="37"/>
      <c r="F1297" s="37"/>
      <c r="G1297" s="70"/>
    </row>
    <row r="1298" spans="2:7" x14ac:dyDescent="0.25">
      <c r="B1298" s="37"/>
      <c r="C1298" s="37"/>
      <c r="D1298" s="37"/>
      <c r="E1298" s="37"/>
      <c r="F1298" s="37"/>
      <c r="G1298" s="70"/>
    </row>
    <row r="1299" spans="2:7" x14ac:dyDescent="0.25">
      <c r="B1299" s="37"/>
      <c r="C1299" s="37"/>
      <c r="D1299" s="37"/>
      <c r="E1299" s="37"/>
      <c r="F1299" s="37"/>
      <c r="G1299" s="70"/>
    </row>
    <row r="1300" spans="2:7" x14ac:dyDescent="0.25">
      <c r="B1300" s="37"/>
      <c r="C1300" s="37"/>
      <c r="D1300" s="37"/>
      <c r="E1300" s="37"/>
      <c r="F1300" s="37"/>
      <c r="G1300" s="70"/>
    </row>
    <row r="1301" spans="2:7" x14ac:dyDescent="0.25">
      <c r="B1301" s="37"/>
      <c r="C1301" s="37"/>
      <c r="D1301" s="37"/>
      <c r="E1301" s="37"/>
      <c r="F1301" s="37"/>
      <c r="G1301" s="70"/>
    </row>
    <row r="1302" spans="2:7" x14ac:dyDescent="0.25">
      <c r="B1302" s="37"/>
      <c r="C1302" s="37"/>
      <c r="D1302" s="37"/>
      <c r="E1302" s="37"/>
      <c r="F1302" s="37"/>
      <c r="G1302" s="70"/>
    </row>
    <row r="1303" spans="2:7" x14ac:dyDescent="0.25">
      <c r="B1303" s="37"/>
      <c r="C1303" s="37"/>
      <c r="D1303" s="37"/>
      <c r="E1303" s="37"/>
      <c r="F1303" s="37"/>
      <c r="G1303" s="70"/>
    </row>
    <row r="1304" spans="2:7" x14ac:dyDescent="0.25">
      <c r="B1304" s="37"/>
      <c r="C1304" s="37"/>
      <c r="D1304" s="37"/>
      <c r="E1304" s="37"/>
      <c r="F1304" s="37"/>
      <c r="G1304" s="70"/>
    </row>
    <row r="1305" spans="2:7" x14ac:dyDescent="0.25">
      <c r="B1305" s="37"/>
      <c r="C1305" s="37"/>
      <c r="D1305" s="37"/>
      <c r="E1305" s="37"/>
      <c r="F1305" s="37"/>
      <c r="G1305" s="70"/>
    </row>
    <row r="1306" spans="2:7" x14ac:dyDescent="0.25">
      <c r="B1306" s="37"/>
      <c r="C1306" s="37"/>
      <c r="D1306" s="37"/>
      <c r="E1306" s="37"/>
      <c r="F1306" s="37"/>
      <c r="G1306" s="70"/>
    </row>
    <row r="1307" spans="2:7" x14ac:dyDescent="0.25">
      <c r="B1307" s="37"/>
      <c r="C1307" s="37"/>
      <c r="D1307" s="37"/>
      <c r="E1307" s="37"/>
      <c r="F1307" s="37"/>
      <c r="G1307" s="70"/>
    </row>
    <row r="1308" spans="2:7" x14ac:dyDescent="0.25">
      <c r="B1308" s="37"/>
      <c r="C1308" s="37"/>
      <c r="D1308" s="37"/>
      <c r="E1308" s="37"/>
      <c r="F1308" s="37"/>
      <c r="G1308" s="70"/>
    </row>
    <row r="1309" spans="2:7" x14ac:dyDescent="0.25">
      <c r="B1309" s="37"/>
      <c r="C1309" s="37"/>
      <c r="D1309" s="37"/>
      <c r="E1309" s="37"/>
      <c r="F1309" s="37"/>
      <c r="G1309" s="70"/>
    </row>
    <row r="1310" spans="2:7" x14ac:dyDescent="0.25">
      <c r="B1310" s="37"/>
      <c r="C1310" s="37"/>
      <c r="D1310" s="37"/>
      <c r="E1310" s="37"/>
      <c r="F1310" s="37"/>
      <c r="G1310" s="70"/>
    </row>
    <row r="1311" spans="2:7" x14ac:dyDescent="0.25">
      <c r="B1311" s="37"/>
      <c r="C1311" s="37"/>
      <c r="D1311" s="37"/>
      <c r="E1311" s="37"/>
      <c r="F1311" s="37"/>
      <c r="G1311" s="70"/>
    </row>
    <row r="1312" spans="2:7" x14ac:dyDescent="0.25">
      <c r="B1312" s="37"/>
      <c r="C1312" s="37"/>
      <c r="D1312" s="37"/>
      <c r="E1312" s="37"/>
      <c r="F1312" s="37"/>
      <c r="G1312" s="70"/>
    </row>
    <row r="1313" spans="2:7" x14ac:dyDescent="0.25">
      <c r="B1313" s="37"/>
      <c r="C1313" s="37"/>
      <c r="D1313" s="37"/>
      <c r="E1313" s="37"/>
      <c r="F1313" s="37"/>
      <c r="G1313" s="70"/>
    </row>
    <row r="1314" spans="2:7" x14ac:dyDescent="0.25">
      <c r="B1314" s="37"/>
      <c r="C1314" s="37"/>
      <c r="D1314" s="37"/>
      <c r="E1314" s="37"/>
      <c r="F1314" s="37"/>
      <c r="G1314" s="70"/>
    </row>
    <row r="1315" spans="2:7" x14ac:dyDescent="0.25">
      <c r="B1315" s="37"/>
      <c r="C1315" s="37"/>
      <c r="D1315" s="37"/>
      <c r="E1315" s="37"/>
      <c r="F1315" s="37"/>
      <c r="G1315" s="70"/>
    </row>
    <row r="1316" spans="2:7" x14ac:dyDescent="0.25">
      <c r="B1316" s="37"/>
      <c r="C1316" s="37"/>
      <c r="D1316" s="37"/>
      <c r="E1316" s="37"/>
      <c r="F1316" s="37"/>
      <c r="G1316" s="70"/>
    </row>
    <row r="1317" spans="2:7" x14ac:dyDescent="0.25">
      <c r="B1317" s="37"/>
      <c r="C1317" s="37"/>
      <c r="D1317" s="37"/>
      <c r="E1317" s="37"/>
      <c r="F1317" s="37"/>
      <c r="G1317" s="70"/>
    </row>
    <row r="1318" spans="2:7" x14ac:dyDescent="0.25">
      <c r="B1318" s="37"/>
      <c r="C1318" s="37"/>
      <c r="D1318" s="37"/>
      <c r="E1318" s="37"/>
      <c r="F1318" s="37"/>
      <c r="G1318" s="70"/>
    </row>
    <row r="1319" spans="2:7" x14ac:dyDescent="0.25">
      <c r="B1319" s="37"/>
      <c r="C1319" s="37"/>
      <c r="D1319" s="37"/>
      <c r="E1319" s="37"/>
      <c r="F1319" s="37"/>
      <c r="G1319" s="70"/>
    </row>
    <row r="1320" spans="2:7" x14ac:dyDescent="0.25">
      <c r="B1320" s="37"/>
      <c r="C1320" s="37"/>
      <c r="D1320" s="37"/>
      <c r="E1320" s="37"/>
      <c r="F1320" s="37"/>
      <c r="G1320" s="70"/>
    </row>
    <row r="1321" spans="2:7" x14ac:dyDescent="0.25">
      <c r="B1321" s="37"/>
      <c r="C1321" s="37"/>
      <c r="D1321" s="37"/>
      <c r="E1321" s="37"/>
      <c r="F1321" s="37"/>
      <c r="G1321" s="70"/>
    </row>
    <row r="1322" spans="2:7" x14ac:dyDescent="0.25">
      <c r="B1322" s="37"/>
      <c r="C1322" s="37"/>
      <c r="D1322" s="37"/>
      <c r="E1322" s="37"/>
      <c r="F1322" s="37"/>
      <c r="G1322" s="70"/>
    </row>
    <row r="1323" spans="2:7" x14ac:dyDescent="0.25">
      <c r="B1323" s="37"/>
      <c r="C1323" s="37"/>
      <c r="D1323" s="37"/>
      <c r="E1323" s="37"/>
      <c r="F1323" s="37"/>
      <c r="G1323" s="70"/>
    </row>
    <row r="1324" spans="2:7" x14ac:dyDescent="0.25">
      <c r="B1324" s="37"/>
      <c r="C1324" s="37"/>
      <c r="D1324" s="37"/>
      <c r="E1324" s="37"/>
      <c r="F1324" s="37"/>
      <c r="G1324" s="70"/>
    </row>
    <row r="1325" spans="2:7" x14ac:dyDescent="0.25">
      <c r="B1325" s="37"/>
      <c r="C1325" s="37"/>
      <c r="D1325" s="37"/>
      <c r="E1325" s="37"/>
      <c r="F1325" s="37"/>
      <c r="G1325" s="70"/>
    </row>
    <row r="1326" spans="2:7" x14ac:dyDescent="0.25">
      <c r="B1326" s="37"/>
      <c r="C1326" s="37"/>
      <c r="D1326" s="37"/>
      <c r="E1326" s="37"/>
      <c r="F1326" s="37"/>
      <c r="G1326" s="70"/>
    </row>
    <row r="1327" spans="2:7" x14ac:dyDescent="0.25">
      <c r="B1327" s="37"/>
      <c r="C1327" s="37"/>
      <c r="D1327" s="37"/>
      <c r="E1327" s="37"/>
      <c r="F1327" s="37"/>
      <c r="G1327" s="70"/>
    </row>
    <row r="1328" spans="2:7" x14ac:dyDescent="0.25">
      <c r="B1328" s="37"/>
      <c r="C1328" s="37"/>
      <c r="D1328" s="37"/>
      <c r="E1328" s="37"/>
      <c r="F1328" s="37"/>
      <c r="G1328" s="70"/>
    </row>
    <row r="1329" spans="2:7" x14ac:dyDescent="0.25">
      <c r="B1329" s="37"/>
      <c r="C1329" s="37"/>
      <c r="D1329" s="37"/>
      <c r="E1329" s="37"/>
      <c r="F1329" s="37"/>
      <c r="G1329" s="70"/>
    </row>
    <row r="1330" spans="2:7" x14ac:dyDescent="0.25">
      <c r="B1330" s="37"/>
      <c r="C1330" s="37"/>
      <c r="D1330" s="37"/>
      <c r="E1330" s="37"/>
      <c r="F1330" s="37"/>
      <c r="G1330" s="70"/>
    </row>
    <row r="1331" spans="2:7" x14ac:dyDescent="0.25">
      <c r="B1331" s="37"/>
      <c r="C1331" s="37"/>
      <c r="D1331" s="37"/>
      <c r="E1331" s="37"/>
      <c r="F1331" s="37"/>
      <c r="G1331" s="70"/>
    </row>
    <row r="1332" spans="2:7" x14ac:dyDescent="0.25">
      <c r="B1332" s="37"/>
      <c r="C1332" s="37"/>
      <c r="D1332" s="37"/>
      <c r="E1332" s="37"/>
      <c r="F1332" s="37"/>
      <c r="G1332" s="70"/>
    </row>
    <row r="1333" spans="2:7" x14ac:dyDescent="0.25">
      <c r="B1333" s="37"/>
      <c r="C1333" s="37"/>
      <c r="D1333" s="37"/>
      <c r="E1333" s="37"/>
      <c r="F1333" s="37"/>
      <c r="G1333" s="70"/>
    </row>
    <row r="1334" spans="2:7" x14ac:dyDescent="0.25">
      <c r="B1334" s="37"/>
      <c r="C1334" s="37"/>
      <c r="D1334" s="37"/>
      <c r="E1334" s="37"/>
      <c r="F1334" s="37"/>
      <c r="G1334" s="70"/>
    </row>
    <row r="1335" spans="2:7" x14ac:dyDescent="0.25">
      <c r="B1335" s="37"/>
      <c r="C1335" s="37"/>
      <c r="D1335" s="37"/>
      <c r="E1335" s="37"/>
      <c r="F1335" s="37"/>
      <c r="G1335" s="70"/>
    </row>
    <row r="1336" spans="2:7" x14ac:dyDescent="0.25">
      <c r="B1336" s="37"/>
      <c r="C1336" s="37"/>
      <c r="D1336" s="37"/>
      <c r="E1336" s="37"/>
      <c r="F1336" s="37"/>
      <c r="G1336" s="70"/>
    </row>
    <row r="1337" spans="2:7" x14ac:dyDescent="0.25">
      <c r="B1337" s="37"/>
      <c r="C1337" s="37"/>
      <c r="D1337" s="37"/>
      <c r="E1337" s="37"/>
      <c r="F1337" s="37"/>
      <c r="G1337" s="70"/>
    </row>
    <row r="1338" spans="2:7" x14ac:dyDescent="0.25">
      <c r="B1338" s="37"/>
      <c r="C1338" s="37"/>
      <c r="D1338" s="37"/>
      <c r="E1338" s="37"/>
      <c r="F1338" s="37"/>
      <c r="G1338" s="70"/>
    </row>
    <row r="1339" spans="2:7" x14ac:dyDescent="0.25">
      <c r="B1339" s="37"/>
      <c r="C1339" s="37"/>
      <c r="D1339" s="37"/>
      <c r="E1339" s="37"/>
      <c r="F1339" s="37"/>
      <c r="G1339" s="70"/>
    </row>
    <row r="1340" spans="2:7" x14ac:dyDescent="0.25">
      <c r="B1340" s="37"/>
      <c r="C1340" s="37"/>
      <c r="D1340" s="37"/>
      <c r="E1340" s="37"/>
      <c r="F1340" s="37"/>
      <c r="G1340" s="70"/>
    </row>
    <row r="1341" spans="2:7" x14ac:dyDescent="0.25">
      <c r="B1341" s="37"/>
      <c r="C1341" s="37"/>
      <c r="D1341" s="37"/>
      <c r="E1341" s="37"/>
      <c r="F1341" s="37"/>
      <c r="G1341" s="70"/>
    </row>
    <row r="1342" spans="2:7" x14ac:dyDescent="0.25">
      <c r="B1342" s="37"/>
      <c r="C1342" s="37"/>
      <c r="D1342" s="37"/>
      <c r="E1342" s="37"/>
      <c r="F1342" s="37"/>
      <c r="G1342" s="70"/>
    </row>
    <row r="1343" spans="2:7" x14ac:dyDescent="0.25">
      <c r="B1343" s="37"/>
      <c r="C1343" s="37"/>
      <c r="D1343" s="37"/>
      <c r="E1343" s="37"/>
      <c r="F1343" s="37"/>
      <c r="G1343" s="70"/>
    </row>
    <row r="1344" spans="2:7" x14ac:dyDescent="0.25">
      <c r="B1344" s="37"/>
      <c r="C1344" s="37"/>
      <c r="D1344" s="37"/>
      <c r="E1344" s="37"/>
      <c r="F1344" s="37"/>
      <c r="G1344" s="70"/>
    </row>
    <row r="1345" spans="2:7" x14ac:dyDescent="0.25">
      <c r="B1345" s="37"/>
      <c r="C1345" s="37"/>
      <c r="D1345" s="37"/>
      <c r="E1345" s="37"/>
      <c r="F1345" s="37"/>
      <c r="G1345" s="70"/>
    </row>
    <row r="1346" spans="2:7" x14ac:dyDescent="0.25">
      <c r="B1346" s="37"/>
      <c r="C1346" s="37"/>
      <c r="D1346" s="37"/>
      <c r="E1346" s="37"/>
      <c r="F1346" s="37"/>
      <c r="G1346" s="70"/>
    </row>
    <row r="1347" spans="2:7" x14ac:dyDescent="0.25">
      <c r="B1347" s="37"/>
      <c r="C1347" s="37"/>
      <c r="D1347" s="37"/>
      <c r="E1347" s="37"/>
      <c r="F1347" s="37"/>
      <c r="G1347" s="70"/>
    </row>
    <row r="1348" spans="2:7" x14ac:dyDescent="0.25">
      <c r="B1348" s="37"/>
      <c r="C1348" s="37"/>
      <c r="D1348" s="37"/>
      <c r="E1348" s="37"/>
      <c r="F1348" s="37"/>
      <c r="G1348" s="70"/>
    </row>
    <row r="1349" spans="2:7" x14ac:dyDescent="0.25">
      <c r="B1349" s="37"/>
      <c r="C1349" s="37"/>
      <c r="D1349" s="37"/>
      <c r="E1349" s="37"/>
      <c r="F1349" s="37"/>
      <c r="G1349" s="70"/>
    </row>
    <row r="1350" spans="2:7" x14ac:dyDescent="0.25">
      <c r="B1350" s="37"/>
      <c r="C1350" s="37"/>
      <c r="D1350" s="37"/>
      <c r="E1350" s="37"/>
      <c r="F1350" s="37"/>
      <c r="G1350" s="70"/>
    </row>
    <row r="1351" spans="2:7" x14ac:dyDescent="0.25">
      <c r="B1351" s="37"/>
      <c r="C1351" s="37"/>
      <c r="D1351" s="37"/>
      <c r="E1351" s="37"/>
      <c r="F1351" s="37"/>
      <c r="G1351" s="70"/>
    </row>
    <row r="1352" spans="2:7" x14ac:dyDescent="0.25">
      <c r="B1352" s="37"/>
      <c r="C1352" s="37"/>
      <c r="D1352" s="37"/>
      <c r="E1352" s="37"/>
      <c r="F1352" s="37"/>
      <c r="G1352" s="70"/>
    </row>
    <row r="1353" spans="2:7" x14ac:dyDescent="0.25">
      <c r="B1353" s="37"/>
      <c r="C1353" s="37"/>
      <c r="D1353" s="37"/>
      <c r="E1353" s="37"/>
      <c r="F1353" s="37"/>
      <c r="G1353" s="70"/>
    </row>
    <row r="1354" spans="2:7" x14ac:dyDescent="0.25">
      <c r="B1354" s="37"/>
      <c r="C1354" s="37"/>
      <c r="D1354" s="37"/>
      <c r="E1354" s="37"/>
      <c r="F1354" s="37"/>
      <c r="G1354" s="70"/>
    </row>
    <row r="1355" spans="2:7" x14ac:dyDescent="0.25">
      <c r="B1355" s="37"/>
      <c r="C1355" s="37"/>
      <c r="D1355" s="37"/>
      <c r="E1355" s="37"/>
      <c r="F1355" s="37"/>
      <c r="G1355" s="70"/>
    </row>
    <row r="1356" spans="2:7" x14ac:dyDescent="0.25">
      <c r="B1356" s="37"/>
      <c r="C1356" s="37"/>
      <c r="D1356" s="37"/>
      <c r="E1356" s="37"/>
      <c r="F1356" s="37"/>
      <c r="G1356" s="70"/>
    </row>
    <row r="1357" spans="2:7" x14ac:dyDescent="0.25">
      <c r="B1357" s="37"/>
      <c r="C1357" s="37"/>
      <c r="D1357" s="37"/>
      <c r="E1357" s="37"/>
      <c r="F1357" s="37"/>
      <c r="G1357" s="70"/>
    </row>
    <row r="1358" spans="2:7" x14ac:dyDescent="0.25">
      <c r="B1358" s="37"/>
      <c r="C1358" s="37"/>
      <c r="D1358" s="37"/>
      <c r="E1358" s="37"/>
      <c r="F1358" s="37"/>
      <c r="G1358" s="70"/>
    </row>
    <row r="1359" spans="2:7" x14ac:dyDescent="0.25">
      <c r="B1359" s="37"/>
      <c r="C1359" s="37"/>
      <c r="D1359" s="37"/>
      <c r="E1359" s="37"/>
      <c r="F1359" s="37"/>
      <c r="G1359" s="70"/>
    </row>
    <row r="1360" spans="2:7" x14ac:dyDescent="0.25">
      <c r="B1360" s="37"/>
      <c r="C1360" s="37"/>
      <c r="D1360" s="37"/>
      <c r="E1360" s="37"/>
      <c r="F1360" s="37"/>
      <c r="G1360" s="70"/>
    </row>
    <row r="1361" spans="2:7" x14ac:dyDescent="0.25">
      <c r="B1361" s="37"/>
      <c r="C1361" s="37"/>
      <c r="D1361" s="37"/>
      <c r="E1361" s="37"/>
      <c r="F1361" s="37"/>
      <c r="G1361" s="70"/>
    </row>
    <row r="1362" spans="2:7" x14ac:dyDescent="0.25">
      <c r="B1362" s="37"/>
      <c r="C1362" s="37"/>
      <c r="D1362" s="37"/>
      <c r="E1362" s="37"/>
      <c r="F1362" s="37"/>
      <c r="G1362" s="70"/>
    </row>
    <row r="1363" spans="2:7" x14ac:dyDescent="0.25">
      <c r="B1363" s="37"/>
      <c r="C1363" s="37"/>
      <c r="D1363" s="37"/>
      <c r="E1363" s="37"/>
      <c r="F1363" s="37"/>
      <c r="G1363" s="70"/>
    </row>
    <row r="1364" spans="2:7" x14ac:dyDescent="0.25">
      <c r="B1364" s="37"/>
      <c r="C1364" s="37"/>
      <c r="D1364" s="37"/>
      <c r="E1364" s="37"/>
      <c r="F1364" s="37"/>
      <c r="G1364" s="70"/>
    </row>
    <row r="1365" spans="2:7" x14ac:dyDescent="0.25">
      <c r="B1365" s="37"/>
      <c r="C1365" s="37"/>
      <c r="D1365" s="37"/>
      <c r="E1365" s="37"/>
      <c r="F1365" s="37"/>
      <c r="G1365" s="70"/>
    </row>
    <row r="1366" spans="2:7" x14ac:dyDescent="0.25">
      <c r="B1366" s="37"/>
      <c r="C1366" s="37"/>
      <c r="D1366" s="37"/>
      <c r="E1366" s="37"/>
      <c r="F1366" s="37"/>
      <c r="G1366" s="70"/>
    </row>
    <row r="1367" spans="2:7" x14ac:dyDescent="0.25">
      <c r="B1367" s="37"/>
      <c r="C1367" s="37"/>
      <c r="D1367" s="37"/>
      <c r="E1367" s="37"/>
      <c r="F1367" s="37"/>
      <c r="G1367" s="70"/>
    </row>
    <row r="1368" spans="2:7" x14ac:dyDescent="0.25">
      <c r="B1368" s="37"/>
      <c r="C1368" s="37"/>
      <c r="D1368" s="37"/>
      <c r="E1368" s="37"/>
      <c r="F1368" s="37"/>
      <c r="G1368" s="70"/>
    </row>
    <row r="1369" spans="2:7" x14ac:dyDescent="0.25">
      <c r="B1369" s="37"/>
      <c r="C1369" s="37"/>
      <c r="D1369" s="37"/>
      <c r="E1369" s="37"/>
      <c r="F1369" s="37"/>
      <c r="G1369" s="70"/>
    </row>
    <row r="1370" spans="2:7" x14ac:dyDescent="0.25">
      <c r="B1370" s="37"/>
      <c r="C1370" s="37"/>
      <c r="D1370" s="37"/>
      <c r="E1370" s="37"/>
      <c r="F1370" s="37"/>
      <c r="G1370" s="70"/>
    </row>
    <row r="1371" spans="2:7" x14ac:dyDescent="0.25">
      <c r="B1371" s="37"/>
      <c r="C1371" s="37"/>
      <c r="D1371" s="37"/>
      <c r="E1371" s="37"/>
      <c r="F1371" s="37"/>
      <c r="G1371" s="70"/>
    </row>
    <row r="1372" spans="2:7" x14ac:dyDescent="0.25">
      <c r="B1372" s="37"/>
      <c r="C1372" s="37"/>
      <c r="D1372" s="37"/>
      <c r="E1372" s="37"/>
      <c r="F1372" s="37"/>
      <c r="G1372" s="70"/>
    </row>
    <row r="1373" spans="2:7" x14ac:dyDescent="0.25">
      <c r="B1373" s="37"/>
      <c r="C1373" s="37"/>
      <c r="D1373" s="37"/>
      <c r="E1373" s="37"/>
      <c r="F1373" s="37"/>
      <c r="G1373" s="70"/>
    </row>
    <row r="1374" spans="2:7" x14ac:dyDescent="0.25">
      <c r="B1374" s="37"/>
      <c r="C1374" s="37"/>
      <c r="D1374" s="37"/>
      <c r="E1374" s="37"/>
      <c r="F1374" s="37"/>
      <c r="G1374" s="70"/>
    </row>
    <row r="1375" spans="2:7" x14ac:dyDescent="0.25">
      <c r="B1375" s="37"/>
      <c r="C1375" s="37"/>
      <c r="D1375" s="37"/>
      <c r="E1375" s="37"/>
      <c r="F1375" s="37"/>
      <c r="G1375" s="70"/>
    </row>
    <row r="1376" spans="2:7" x14ac:dyDescent="0.25">
      <c r="B1376" s="37"/>
      <c r="C1376" s="37"/>
      <c r="D1376" s="37"/>
      <c r="E1376" s="37"/>
      <c r="F1376" s="37"/>
      <c r="G1376" s="70"/>
    </row>
    <row r="1377" spans="2:7" x14ac:dyDescent="0.25">
      <c r="B1377" s="37"/>
      <c r="C1377" s="37"/>
      <c r="D1377" s="37"/>
      <c r="E1377" s="37"/>
      <c r="F1377" s="37"/>
      <c r="G1377" s="70"/>
    </row>
    <row r="1378" spans="2:7" x14ac:dyDescent="0.25">
      <c r="B1378" s="37"/>
      <c r="C1378" s="37"/>
      <c r="D1378" s="37"/>
      <c r="E1378" s="37"/>
      <c r="F1378" s="37"/>
      <c r="G1378" s="70"/>
    </row>
    <row r="1379" spans="2:7" x14ac:dyDescent="0.25">
      <c r="B1379" s="37"/>
      <c r="C1379" s="37"/>
      <c r="D1379" s="37"/>
      <c r="E1379" s="37"/>
      <c r="F1379" s="37"/>
      <c r="G1379" s="70"/>
    </row>
    <row r="1380" spans="2:7" x14ac:dyDescent="0.25">
      <c r="B1380" s="37"/>
      <c r="C1380" s="37"/>
      <c r="D1380" s="37"/>
      <c r="E1380" s="37"/>
      <c r="F1380" s="37"/>
      <c r="G1380" s="70"/>
    </row>
    <row r="1381" spans="2:7" x14ac:dyDescent="0.25">
      <c r="B1381" s="37"/>
      <c r="C1381" s="37"/>
      <c r="D1381" s="37"/>
      <c r="E1381" s="37"/>
      <c r="F1381" s="37"/>
      <c r="G1381" s="70"/>
    </row>
    <row r="1382" spans="2:7" x14ac:dyDescent="0.25">
      <c r="B1382" s="37"/>
      <c r="C1382" s="37"/>
      <c r="D1382" s="37"/>
      <c r="E1382" s="37"/>
      <c r="F1382" s="37"/>
      <c r="G1382" s="70"/>
    </row>
    <row r="1383" spans="2:7" x14ac:dyDescent="0.25">
      <c r="B1383" s="37"/>
      <c r="C1383" s="37"/>
      <c r="D1383" s="37"/>
      <c r="E1383" s="37"/>
      <c r="F1383" s="37"/>
      <c r="G1383" s="70"/>
    </row>
    <row r="1384" spans="2:7" x14ac:dyDescent="0.25">
      <c r="B1384" s="37"/>
      <c r="C1384" s="37"/>
      <c r="D1384" s="37"/>
      <c r="E1384" s="37"/>
      <c r="F1384" s="37"/>
      <c r="G1384" s="70"/>
    </row>
    <row r="1385" spans="2:7" x14ac:dyDescent="0.25">
      <c r="B1385" s="37"/>
      <c r="C1385" s="37"/>
      <c r="D1385" s="37"/>
      <c r="E1385" s="37"/>
      <c r="F1385" s="37"/>
      <c r="G1385" s="70"/>
    </row>
    <row r="1386" spans="2:7" x14ac:dyDescent="0.25">
      <c r="B1386" s="37"/>
      <c r="C1386" s="37"/>
      <c r="D1386" s="37"/>
      <c r="E1386" s="37"/>
      <c r="F1386" s="37"/>
      <c r="G1386" s="70"/>
    </row>
    <row r="1387" spans="2:7" x14ac:dyDescent="0.25">
      <c r="B1387" s="37"/>
      <c r="C1387" s="37"/>
      <c r="D1387" s="37"/>
      <c r="E1387" s="37"/>
      <c r="F1387" s="37"/>
      <c r="G1387" s="70"/>
    </row>
    <row r="1388" spans="2:7" x14ac:dyDescent="0.25">
      <c r="B1388" s="37"/>
      <c r="C1388" s="37"/>
      <c r="D1388" s="37"/>
      <c r="E1388" s="37"/>
      <c r="F1388" s="37"/>
      <c r="G1388" s="70"/>
    </row>
    <row r="1389" spans="2:7" x14ac:dyDescent="0.25">
      <c r="B1389" s="37"/>
      <c r="C1389" s="37"/>
      <c r="D1389" s="37"/>
      <c r="E1389" s="37"/>
      <c r="F1389" s="37"/>
      <c r="G1389" s="70"/>
    </row>
    <row r="1390" spans="2:7" x14ac:dyDescent="0.25">
      <c r="B1390" s="37"/>
      <c r="C1390" s="37"/>
      <c r="D1390" s="37"/>
      <c r="E1390" s="37"/>
      <c r="F1390" s="37"/>
      <c r="G1390" s="70"/>
    </row>
    <row r="1391" spans="2:7" x14ac:dyDescent="0.25">
      <c r="B1391" s="37"/>
      <c r="C1391" s="37"/>
      <c r="D1391" s="37"/>
      <c r="E1391" s="37"/>
      <c r="F1391" s="37"/>
      <c r="G1391" s="70"/>
    </row>
    <row r="1392" spans="2:7" x14ac:dyDescent="0.25">
      <c r="B1392" s="37"/>
      <c r="C1392" s="37"/>
      <c r="D1392" s="37"/>
      <c r="E1392" s="37"/>
      <c r="F1392" s="37"/>
      <c r="G1392" s="70"/>
    </row>
    <row r="1393" spans="2:7" x14ac:dyDescent="0.25">
      <c r="B1393" s="37"/>
      <c r="C1393" s="37"/>
      <c r="D1393" s="37"/>
      <c r="E1393" s="37"/>
      <c r="F1393" s="37"/>
      <c r="G1393" s="70"/>
    </row>
    <row r="1394" spans="2:7" x14ac:dyDescent="0.25">
      <c r="B1394" s="37"/>
      <c r="C1394" s="37"/>
      <c r="D1394" s="37"/>
      <c r="E1394" s="37"/>
      <c r="F1394" s="37"/>
      <c r="G1394" s="70"/>
    </row>
    <row r="1395" spans="2:7" x14ac:dyDescent="0.25">
      <c r="B1395" s="37"/>
      <c r="C1395" s="37"/>
      <c r="D1395" s="37"/>
      <c r="E1395" s="37"/>
      <c r="F1395" s="37"/>
      <c r="G1395" s="70"/>
    </row>
    <row r="1396" spans="2:7" x14ac:dyDescent="0.25">
      <c r="B1396" s="37"/>
      <c r="C1396" s="37"/>
      <c r="D1396" s="37"/>
      <c r="E1396" s="37"/>
      <c r="F1396" s="37"/>
      <c r="G1396" s="70"/>
    </row>
    <row r="1397" spans="2:7" x14ac:dyDescent="0.25">
      <c r="B1397" s="37"/>
      <c r="C1397" s="37"/>
      <c r="D1397" s="37"/>
      <c r="E1397" s="37"/>
      <c r="F1397" s="37"/>
      <c r="G1397" s="70"/>
    </row>
    <row r="1398" spans="2:7" x14ac:dyDescent="0.25">
      <c r="B1398" s="37"/>
      <c r="C1398" s="37"/>
      <c r="D1398" s="37"/>
      <c r="E1398" s="37"/>
      <c r="F1398" s="37"/>
      <c r="G1398" s="70"/>
    </row>
    <row r="1399" spans="2:7" x14ac:dyDescent="0.25">
      <c r="B1399" s="37"/>
      <c r="C1399" s="37"/>
      <c r="D1399" s="37"/>
      <c r="E1399" s="37"/>
      <c r="F1399" s="37"/>
      <c r="G1399" s="70"/>
    </row>
    <row r="1400" spans="2:7" x14ac:dyDescent="0.25">
      <c r="B1400" s="37"/>
      <c r="C1400" s="37"/>
      <c r="D1400" s="37"/>
      <c r="E1400" s="37"/>
      <c r="F1400" s="37"/>
      <c r="G1400" s="70"/>
    </row>
    <row r="1401" spans="2:7" x14ac:dyDescent="0.25">
      <c r="B1401" s="37"/>
      <c r="C1401" s="37"/>
      <c r="D1401" s="37"/>
      <c r="E1401" s="37"/>
      <c r="F1401" s="37"/>
      <c r="G1401" s="70"/>
    </row>
    <row r="1402" spans="2:7" x14ac:dyDescent="0.25">
      <c r="B1402" s="37"/>
      <c r="C1402" s="37"/>
      <c r="D1402" s="37"/>
      <c r="E1402" s="37"/>
      <c r="F1402" s="37"/>
      <c r="G1402" s="70"/>
    </row>
    <row r="1403" spans="2:7" x14ac:dyDescent="0.25">
      <c r="B1403" s="37"/>
      <c r="C1403" s="37"/>
      <c r="D1403" s="37"/>
      <c r="E1403" s="37"/>
      <c r="F1403" s="37"/>
      <c r="G1403" s="70"/>
    </row>
    <row r="1404" spans="2:7" x14ac:dyDescent="0.25">
      <c r="B1404" s="37"/>
      <c r="C1404" s="37"/>
      <c r="D1404" s="37"/>
      <c r="E1404" s="37"/>
      <c r="F1404" s="37"/>
      <c r="G1404" s="70"/>
    </row>
    <row r="1405" spans="2:7" x14ac:dyDescent="0.25">
      <c r="B1405" s="37"/>
      <c r="C1405" s="37"/>
      <c r="D1405" s="37"/>
      <c r="E1405" s="37"/>
      <c r="F1405" s="37"/>
      <c r="G1405" s="70"/>
    </row>
    <row r="1406" spans="2:7" x14ac:dyDescent="0.25">
      <c r="B1406" s="37"/>
      <c r="C1406" s="37"/>
      <c r="D1406" s="37"/>
      <c r="E1406" s="37"/>
      <c r="F1406" s="37"/>
      <c r="G1406" s="70"/>
    </row>
    <row r="1407" spans="2:7" x14ac:dyDescent="0.25">
      <c r="B1407" s="37"/>
      <c r="C1407" s="37"/>
      <c r="D1407" s="37"/>
      <c r="E1407" s="37"/>
      <c r="F1407" s="37"/>
      <c r="G1407" s="70"/>
    </row>
    <row r="1408" spans="2:7" x14ac:dyDescent="0.25">
      <c r="B1408" s="37"/>
      <c r="C1408" s="37"/>
      <c r="D1408" s="37"/>
      <c r="E1408" s="37"/>
      <c r="F1408" s="37"/>
      <c r="G1408" s="70"/>
    </row>
    <row r="1409" spans="2:7" x14ac:dyDescent="0.25">
      <c r="B1409" s="37"/>
      <c r="C1409" s="37"/>
      <c r="D1409" s="37"/>
      <c r="E1409" s="37"/>
      <c r="F1409" s="37"/>
      <c r="G1409" s="70"/>
    </row>
    <row r="1410" spans="2:7" x14ac:dyDescent="0.25">
      <c r="B1410" s="37"/>
      <c r="C1410" s="37"/>
      <c r="D1410" s="37"/>
      <c r="E1410" s="37"/>
      <c r="F1410" s="37"/>
      <c r="G1410" s="70"/>
    </row>
    <row r="1411" spans="2:7" x14ac:dyDescent="0.25">
      <c r="B1411" s="37"/>
      <c r="C1411" s="37"/>
      <c r="D1411" s="37"/>
      <c r="E1411" s="37"/>
      <c r="F1411" s="37"/>
      <c r="G1411" s="70"/>
    </row>
    <row r="1412" spans="2:7" x14ac:dyDescent="0.25">
      <c r="B1412" s="37"/>
      <c r="C1412" s="37"/>
      <c r="D1412" s="37"/>
      <c r="E1412" s="37"/>
      <c r="F1412" s="37"/>
      <c r="G1412" s="70"/>
    </row>
    <row r="1413" spans="2:7" x14ac:dyDescent="0.25">
      <c r="B1413" s="37"/>
      <c r="C1413" s="37"/>
      <c r="D1413" s="37"/>
      <c r="E1413" s="37"/>
      <c r="F1413" s="37"/>
      <c r="G1413" s="70"/>
    </row>
    <row r="1414" spans="2:7" x14ac:dyDescent="0.25">
      <c r="B1414" s="37"/>
      <c r="C1414" s="37"/>
      <c r="D1414" s="37"/>
      <c r="E1414" s="37"/>
      <c r="F1414" s="37"/>
      <c r="G1414" s="70"/>
    </row>
    <row r="1415" spans="2:7" x14ac:dyDescent="0.25">
      <c r="B1415" s="37"/>
      <c r="C1415" s="37"/>
      <c r="D1415" s="37"/>
      <c r="E1415" s="37"/>
      <c r="F1415" s="37"/>
      <c r="G1415" s="70"/>
    </row>
    <row r="1416" spans="2:7" x14ac:dyDescent="0.25">
      <c r="B1416" s="37"/>
      <c r="C1416" s="37"/>
      <c r="D1416" s="37"/>
      <c r="E1416" s="37"/>
      <c r="F1416" s="37"/>
      <c r="G1416" s="70"/>
    </row>
    <row r="1417" spans="2:7" x14ac:dyDescent="0.25">
      <c r="B1417" s="37"/>
      <c r="C1417" s="37"/>
      <c r="D1417" s="37"/>
      <c r="E1417" s="37"/>
      <c r="F1417" s="37"/>
      <c r="G1417" s="70"/>
    </row>
    <row r="1418" spans="2:7" x14ac:dyDescent="0.25">
      <c r="B1418" s="37"/>
      <c r="C1418" s="37"/>
      <c r="D1418" s="37"/>
      <c r="E1418" s="37"/>
      <c r="F1418" s="37"/>
      <c r="G1418" s="70"/>
    </row>
    <row r="1419" spans="2:7" x14ac:dyDescent="0.25">
      <c r="B1419" s="37"/>
      <c r="C1419" s="37"/>
      <c r="D1419" s="37"/>
      <c r="E1419" s="37"/>
      <c r="F1419" s="37"/>
      <c r="G1419" s="70"/>
    </row>
    <row r="1420" spans="2:7" x14ac:dyDescent="0.25">
      <c r="B1420" s="37"/>
      <c r="C1420" s="37"/>
      <c r="D1420" s="37"/>
      <c r="E1420" s="37"/>
      <c r="F1420" s="37"/>
      <c r="G1420" s="70"/>
    </row>
    <row r="1421" spans="2:7" x14ac:dyDescent="0.25">
      <c r="B1421" s="37"/>
      <c r="C1421" s="37"/>
      <c r="D1421" s="37"/>
      <c r="E1421" s="37"/>
      <c r="F1421" s="37"/>
      <c r="G1421" s="70"/>
    </row>
    <row r="1422" spans="2:7" x14ac:dyDescent="0.25">
      <c r="B1422" s="37"/>
      <c r="C1422" s="37"/>
      <c r="D1422" s="37"/>
      <c r="E1422" s="37"/>
      <c r="F1422" s="37"/>
      <c r="G1422" s="70"/>
    </row>
    <row r="1423" spans="2:7" x14ac:dyDescent="0.25">
      <c r="B1423" s="37"/>
      <c r="C1423" s="37"/>
      <c r="D1423" s="37"/>
      <c r="E1423" s="37"/>
      <c r="F1423" s="37"/>
      <c r="G1423" s="70"/>
    </row>
    <row r="1424" spans="2:7" x14ac:dyDescent="0.25">
      <c r="B1424" s="37"/>
      <c r="C1424" s="37"/>
      <c r="D1424" s="37"/>
      <c r="E1424" s="37"/>
      <c r="F1424" s="37"/>
      <c r="G1424" s="70"/>
    </row>
    <row r="1425" spans="2:7" x14ac:dyDescent="0.25">
      <c r="B1425" s="37"/>
      <c r="C1425" s="37"/>
      <c r="D1425" s="37"/>
      <c r="E1425" s="37"/>
      <c r="F1425" s="37"/>
      <c r="G1425" s="70"/>
    </row>
    <row r="1426" spans="2:7" x14ac:dyDescent="0.25">
      <c r="B1426" s="37"/>
      <c r="C1426" s="37"/>
      <c r="D1426" s="37"/>
      <c r="E1426" s="37"/>
      <c r="F1426" s="37"/>
      <c r="G1426" s="70"/>
    </row>
    <row r="1427" spans="2:7" x14ac:dyDescent="0.25">
      <c r="B1427" s="37"/>
      <c r="C1427" s="37"/>
      <c r="D1427" s="37"/>
      <c r="E1427" s="37"/>
      <c r="F1427" s="37"/>
      <c r="G1427" s="70"/>
    </row>
    <row r="1428" spans="2:7" x14ac:dyDescent="0.25">
      <c r="B1428" s="37"/>
      <c r="C1428" s="37"/>
      <c r="D1428" s="37"/>
      <c r="E1428" s="37"/>
      <c r="F1428" s="37"/>
      <c r="G1428" s="70"/>
    </row>
    <row r="1429" spans="2:7" x14ac:dyDescent="0.25">
      <c r="B1429" s="37"/>
      <c r="C1429" s="37"/>
      <c r="D1429" s="37"/>
      <c r="E1429" s="37"/>
      <c r="F1429" s="37"/>
      <c r="G1429" s="70"/>
    </row>
    <row r="1430" spans="2:7" x14ac:dyDescent="0.25">
      <c r="B1430" s="37"/>
      <c r="C1430" s="37"/>
      <c r="D1430" s="37"/>
      <c r="E1430" s="37"/>
      <c r="F1430" s="37"/>
      <c r="G1430" s="70"/>
    </row>
    <row r="1431" spans="2:7" x14ac:dyDescent="0.25">
      <c r="B1431" s="37"/>
      <c r="C1431" s="37"/>
      <c r="D1431" s="37"/>
      <c r="E1431" s="37"/>
      <c r="F1431" s="37"/>
      <c r="G1431" s="70"/>
    </row>
    <row r="1432" spans="2:7" x14ac:dyDescent="0.25">
      <c r="B1432" s="37"/>
      <c r="C1432" s="37"/>
      <c r="D1432" s="37"/>
      <c r="E1432" s="37"/>
      <c r="F1432" s="37"/>
      <c r="G1432" s="70"/>
    </row>
    <row r="1433" spans="2:7" x14ac:dyDescent="0.25">
      <c r="B1433" s="37"/>
      <c r="C1433" s="37"/>
      <c r="D1433" s="37"/>
      <c r="E1433" s="37"/>
      <c r="F1433" s="37"/>
      <c r="G1433" s="70"/>
    </row>
    <row r="1434" spans="2:7" x14ac:dyDescent="0.25">
      <c r="B1434" s="37"/>
      <c r="C1434" s="37"/>
      <c r="D1434" s="37"/>
      <c r="E1434" s="37"/>
      <c r="F1434" s="37"/>
      <c r="G1434" s="70"/>
    </row>
    <row r="1435" spans="2:7" x14ac:dyDescent="0.25">
      <c r="B1435" s="37"/>
      <c r="C1435" s="37"/>
      <c r="D1435" s="37"/>
      <c r="E1435" s="37"/>
      <c r="F1435" s="37"/>
      <c r="G1435" s="70"/>
    </row>
    <row r="1436" spans="2:7" x14ac:dyDescent="0.25">
      <c r="B1436" s="37"/>
      <c r="C1436" s="37"/>
      <c r="D1436" s="37"/>
      <c r="E1436" s="37"/>
      <c r="F1436" s="37"/>
      <c r="G1436" s="70"/>
    </row>
    <row r="1437" spans="2:7" x14ac:dyDescent="0.25">
      <c r="B1437" s="37"/>
      <c r="C1437" s="37"/>
      <c r="D1437" s="37"/>
      <c r="E1437" s="37"/>
      <c r="F1437" s="37"/>
      <c r="G1437" s="70"/>
    </row>
    <row r="1438" spans="2:7" x14ac:dyDescent="0.25">
      <c r="B1438" s="37"/>
      <c r="C1438" s="37"/>
      <c r="D1438" s="37"/>
      <c r="E1438" s="37"/>
      <c r="F1438" s="37"/>
      <c r="G1438" s="70"/>
    </row>
    <row r="1439" spans="2:7" x14ac:dyDescent="0.25">
      <c r="B1439" s="37"/>
      <c r="C1439" s="37"/>
      <c r="D1439" s="37"/>
      <c r="E1439" s="37"/>
      <c r="F1439" s="37"/>
      <c r="G1439" s="70"/>
    </row>
    <row r="1440" spans="2:7" x14ac:dyDescent="0.25">
      <c r="B1440" s="37"/>
      <c r="C1440" s="37"/>
      <c r="D1440" s="37"/>
      <c r="E1440" s="37"/>
      <c r="F1440" s="37"/>
      <c r="G1440" s="70"/>
    </row>
    <row r="1441" spans="2:7" x14ac:dyDescent="0.25">
      <c r="B1441" s="37"/>
      <c r="C1441" s="37"/>
      <c r="D1441" s="37"/>
      <c r="E1441" s="37"/>
      <c r="F1441" s="37"/>
      <c r="G1441" s="70"/>
    </row>
    <row r="1442" spans="2:7" x14ac:dyDescent="0.25">
      <c r="B1442" s="37"/>
      <c r="C1442" s="37"/>
      <c r="D1442" s="37"/>
      <c r="E1442" s="37"/>
      <c r="F1442" s="37"/>
      <c r="G1442" s="70"/>
    </row>
    <row r="1443" spans="2:7" x14ac:dyDescent="0.25">
      <c r="B1443" s="37"/>
      <c r="C1443" s="37"/>
      <c r="D1443" s="37"/>
      <c r="E1443" s="37"/>
      <c r="F1443" s="37"/>
      <c r="G1443" s="70"/>
    </row>
    <row r="1444" spans="2:7" x14ac:dyDescent="0.25">
      <c r="B1444" s="37"/>
      <c r="C1444" s="37"/>
      <c r="D1444" s="37"/>
      <c r="E1444" s="37"/>
      <c r="F1444" s="37"/>
      <c r="G1444" s="70"/>
    </row>
    <row r="1445" spans="2:7" x14ac:dyDescent="0.25">
      <c r="B1445" s="37"/>
      <c r="C1445" s="37"/>
      <c r="D1445" s="37"/>
      <c r="E1445" s="37"/>
      <c r="F1445" s="37"/>
      <c r="G1445" s="70"/>
    </row>
    <row r="1446" spans="2:7" x14ac:dyDescent="0.25">
      <c r="B1446" s="37"/>
      <c r="C1446" s="37"/>
      <c r="D1446" s="37"/>
      <c r="E1446" s="37"/>
      <c r="F1446" s="37"/>
      <c r="G1446" s="70"/>
    </row>
    <row r="1447" spans="2:7" x14ac:dyDescent="0.25">
      <c r="B1447" s="37"/>
      <c r="C1447" s="37"/>
      <c r="D1447" s="37"/>
      <c r="E1447" s="37"/>
      <c r="F1447" s="37"/>
      <c r="G1447" s="70"/>
    </row>
    <row r="1448" spans="2:7" x14ac:dyDescent="0.25">
      <c r="B1448" s="37"/>
      <c r="C1448" s="37"/>
      <c r="D1448" s="37"/>
      <c r="E1448" s="37"/>
      <c r="F1448" s="37"/>
      <c r="G1448" s="70"/>
    </row>
    <row r="1449" spans="2:7" x14ac:dyDescent="0.25">
      <c r="B1449" s="37"/>
      <c r="C1449" s="37"/>
      <c r="D1449" s="37"/>
      <c r="E1449" s="37"/>
      <c r="F1449" s="37"/>
      <c r="G1449" s="70"/>
    </row>
    <row r="1450" spans="2:7" x14ac:dyDescent="0.25">
      <c r="B1450" s="37"/>
      <c r="C1450" s="37"/>
      <c r="D1450" s="37"/>
      <c r="E1450" s="37"/>
      <c r="F1450" s="37"/>
      <c r="G1450" s="70"/>
    </row>
    <row r="1451" spans="2:7" x14ac:dyDescent="0.25">
      <c r="B1451" s="37"/>
      <c r="C1451" s="37"/>
      <c r="D1451" s="37"/>
      <c r="E1451" s="37"/>
      <c r="F1451" s="37"/>
      <c r="G1451" s="70"/>
    </row>
    <row r="1452" spans="2:7" x14ac:dyDescent="0.25">
      <c r="B1452" s="37"/>
      <c r="C1452" s="37"/>
      <c r="D1452" s="37"/>
      <c r="E1452" s="37"/>
      <c r="F1452" s="37"/>
      <c r="G1452" s="70"/>
    </row>
    <row r="1453" spans="2:7" x14ac:dyDescent="0.25">
      <c r="B1453" s="37"/>
      <c r="C1453" s="37"/>
      <c r="D1453" s="37"/>
      <c r="E1453" s="37"/>
      <c r="F1453" s="37"/>
      <c r="G1453" s="70"/>
    </row>
    <row r="1454" spans="2:7" x14ac:dyDescent="0.25">
      <c r="B1454" s="37"/>
      <c r="C1454" s="37"/>
      <c r="D1454" s="37"/>
      <c r="E1454" s="37"/>
      <c r="F1454" s="37"/>
      <c r="G1454" s="70"/>
    </row>
    <row r="1455" spans="2:7" x14ac:dyDescent="0.25">
      <c r="B1455" s="37"/>
      <c r="C1455" s="37"/>
      <c r="D1455" s="37"/>
      <c r="E1455" s="37"/>
      <c r="F1455" s="37"/>
      <c r="G1455" s="70"/>
    </row>
    <row r="1456" spans="2:7" x14ac:dyDescent="0.25">
      <c r="B1456" s="37"/>
      <c r="C1456" s="37"/>
      <c r="D1456" s="37"/>
      <c r="E1456" s="37"/>
      <c r="F1456" s="37"/>
      <c r="G1456" s="70"/>
    </row>
    <row r="1457" spans="2:7" x14ac:dyDescent="0.25">
      <c r="B1457" s="37"/>
      <c r="C1457" s="37"/>
      <c r="D1457" s="37"/>
      <c r="E1457" s="37"/>
      <c r="F1457" s="37"/>
      <c r="G1457" s="70"/>
    </row>
    <row r="1458" spans="2:7" x14ac:dyDescent="0.25">
      <c r="B1458" s="37"/>
      <c r="C1458" s="37"/>
      <c r="D1458" s="37"/>
      <c r="E1458" s="37"/>
      <c r="F1458" s="37"/>
      <c r="G1458" s="70"/>
    </row>
    <row r="1459" spans="2:7" x14ac:dyDescent="0.25">
      <c r="B1459" s="37"/>
      <c r="C1459" s="37"/>
      <c r="D1459" s="37"/>
      <c r="E1459" s="37"/>
      <c r="F1459" s="37"/>
      <c r="G1459" s="70"/>
    </row>
    <row r="1460" spans="2:7" x14ac:dyDescent="0.25">
      <c r="B1460" s="37"/>
      <c r="C1460" s="37"/>
      <c r="D1460" s="37"/>
      <c r="E1460" s="37"/>
      <c r="F1460" s="37"/>
      <c r="G1460" s="70"/>
    </row>
    <row r="1461" spans="2:7" x14ac:dyDescent="0.25">
      <c r="B1461" s="37"/>
      <c r="C1461" s="37"/>
      <c r="D1461" s="37"/>
      <c r="E1461" s="37"/>
      <c r="F1461" s="37"/>
      <c r="G1461" s="70"/>
    </row>
    <row r="1462" spans="2:7" x14ac:dyDescent="0.25">
      <c r="B1462" s="37"/>
      <c r="C1462" s="37"/>
      <c r="D1462" s="37"/>
      <c r="E1462" s="37"/>
      <c r="F1462" s="37"/>
      <c r="G1462" s="70"/>
    </row>
    <row r="1463" spans="2:7" x14ac:dyDescent="0.25">
      <c r="B1463" s="37"/>
      <c r="C1463" s="37"/>
      <c r="D1463" s="37"/>
      <c r="E1463" s="37"/>
      <c r="F1463" s="37"/>
      <c r="G1463" s="70"/>
    </row>
    <row r="1464" spans="2:7" x14ac:dyDescent="0.25">
      <c r="B1464" s="37"/>
      <c r="C1464" s="37"/>
      <c r="D1464" s="37"/>
      <c r="E1464" s="37"/>
      <c r="F1464" s="37"/>
      <c r="G1464" s="70"/>
    </row>
    <row r="1465" spans="2:7" x14ac:dyDescent="0.25">
      <c r="B1465" s="37"/>
      <c r="C1465" s="37"/>
      <c r="D1465" s="37"/>
      <c r="E1465" s="37"/>
      <c r="F1465" s="37"/>
      <c r="G1465" s="70"/>
    </row>
    <row r="1466" spans="2:7" x14ac:dyDescent="0.25">
      <c r="B1466" s="37"/>
      <c r="C1466" s="37"/>
      <c r="D1466" s="37"/>
      <c r="E1466" s="37"/>
      <c r="F1466" s="37"/>
      <c r="G1466" s="70"/>
    </row>
    <row r="1467" spans="2:7" x14ac:dyDescent="0.25">
      <c r="B1467" s="37"/>
      <c r="C1467" s="37"/>
      <c r="D1467" s="37"/>
      <c r="E1467" s="37"/>
      <c r="F1467" s="37"/>
      <c r="G1467" s="70"/>
    </row>
    <row r="1468" spans="2:7" x14ac:dyDescent="0.25">
      <c r="B1468" s="37"/>
      <c r="C1468" s="37"/>
      <c r="D1468" s="37"/>
      <c r="E1468" s="37"/>
      <c r="F1468" s="37"/>
      <c r="G1468" s="70"/>
    </row>
    <row r="1469" spans="2:7" x14ac:dyDescent="0.25">
      <c r="B1469" s="37"/>
      <c r="C1469" s="37"/>
      <c r="D1469" s="37"/>
      <c r="E1469" s="37"/>
      <c r="F1469" s="37"/>
      <c r="G1469" s="70"/>
    </row>
    <row r="1470" spans="2:7" x14ac:dyDescent="0.25">
      <c r="B1470" s="37"/>
      <c r="C1470" s="37"/>
      <c r="D1470" s="37"/>
      <c r="E1470" s="37"/>
      <c r="F1470" s="37"/>
      <c r="G1470" s="70"/>
    </row>
    <row r="1471" spans="2:7" x14ac:dyDescent="0.25">
      <c r="B1471" s="37"/>
      <c r="C1471" s="37"/>
      <c r="D1471" s="37"/>
      <c r="E1471" s="37"/>
      <c r="F1471" s="37"/>
      <c r="G1471" s="70"/>
    </row>
    <row r="1472" spans="2:7" x14ac:dyDescent="0.25">
      <c r="B1472" s="37"/>
      <c r="C1472" s="37"/>
      <c r="D1472" s="37"/>
      <c r="E1472" s="37"/>
      <c r="F1472" s="37"/>
      <c r="G1472" s="70"/>
    </row>
    <row r="1473" spans="2:7" x14ac:dyDescent="0.25">
      <c r="B1473" s="37"/>
      <c r="C1473" s="37"/>
      <c r="D1473" s="37"/>
      <c r="E1473" s="37"/>
      <c r="F1473" s="37"/>
      <c r="G1473" s="70"/>
    </row>
    <row r="1474" spans="2:7" x14ac:dyDescent="0.25">
      <c r="B1474" s="37"/>
      <c r="C1474" s="37"/>
      <c r="D1474" s="37"/>
      <c r="E1474" s="37"/>
      <c r="F1474" s="37"/>
      <c r="G1474" s="70"/>
    </row>
    <row r="1475" spans="2:7" x14ac:dyDescent="0.25">
      <c r="B1475" s="37"/>
      <c r="C1475" s="37"/>
      <c r="D1475" s="37"/>
      <c r="E1475" s="37"/>
      <c r="F1475" s="37"/>
      <c r="G1475" s="70"/>
    </row>
    <row r="1476" spans="2:7" x14ac:dyDescent="0.25">
      <c r="B1476" s="37"/>
      <c r="C1476" s="37"/>
      <c r="D1476" s="37"/>
      <c r="E1476" s="37"/>
      <c r="F1476" s="37"/>
      <c r="G1476" s="70"/>
    </row>
    <row r="1477" spans="2:7" x14ac:dyDescent="0.25">
      <c r="B1477" s="37"/>
      <c r="C1477" s="37"/>
      <c r="D1477" s="37"/>
      <c r="E1477" s="37"/>
      <c r="F1477" s="37"/>
      <c r="G1477" s="70"/>
    </row>
    <row r="1478" spans="2:7" x14ac:dyDescent="0.25">
      <c r="B1478" s="37"/>
      <c r="C1478" s="37"/>
      <c r="D1478" s="37"/>
      <c r="E1478" s="37"/>
      <c r="F1478" s="37"/>
      <c r="G1478" s="70"/>
    </row>
    <row r="1479" spans="2:7" x14ac:dyDescent="0.25">
      <c r="B1479" s="37"/>
      <c r="C1479" s="37"/>
      <c r="D1479" s="37"/>
      <c r="E1479" s="37"/>
      <c r="F1479" s="37"/>
      <c r="G1479" s="70"/>
    </row>
    <row r="1480" spans="2:7" x14ac:dyDescent="0.25">
      <c r="B1480" s="37"/>
      <c r="C1480" s="37"/>
      <c r="D1480" s="37"/>
      <c r="E1480" s="37"/>
      <c r="F1480" s="37"/>
      <c r="G1480" s="70"/>
    </row>
    <row r="1481" spans="2:7" x14ac:dyDescent="0.25">
      <c r="B1481" s="37"/>
      <c r="C1481" s="37"/>
      <c r="D1481" s="37"/>
      <c r="E1481" s="37"/>
      <c r="F1481" s="37"/>
      <c r="G1481" s="70"/>
    </row>
    <row r="1482" spans="2:7" x14ac:dyDescent="0.25">
      <c r="B1482" s="37"/>
      <c r="C1482" s="37"/>
      <c r="D1482" s="37"/>
      <c r="E1482" s="37"/>
      <c r="F1482" s="37"/>
      <c r="G1482" s="70"/>
    </row>
    <row r="1483" spans="2:7" x14ac:dyDescent="0.25">
      <c r="B1483" s="37"/>
      <c r="C1483" s="37"/>
      <c r="D1483" s="37"/>
      <c r="E1483" s="37"/>
      <c r="F1483" s="37"/>
      <c r="G1483" s="70"/>
    </row>
    <row r="1484" spans="2:7" x14ac:dyDescent="0.25">
      <c r="B1484" s="37"/>
      <c r="C1484" s="37"/>
      <c r="D1484" s="37"/>
      <c r="E1484" s="37"/>
      <c r="F1484" s="37"/>
      <c r="G1484" s="70"/>
    </row>
    <row r="1485" spans="2:7" x14ac:dyDescent="0.25">
      <c r="B1485" s="37"/>
      <c r="C1485" s="37"/>
      <c r="D1485" s="37"/>
      <c r="E1485" s="37"/>
      <c r="F1485" s="37"/>
      <c r="G1485" s="70"/>
    </row>
    <row r="1486" spans="2:7" x14ac:dyDescent="0.25">
      <c r="B1486" s="37"/>
      <c r="C1486" s="37"/>
      <c r="D1486" s="37"/>
      <c r="E1486" s="37"/>
      <c r="F1486" s="37"/>
      <c r="G1486" s="70"/>
    </row>
    <row r="1487" spans="2:7" x14ac:dyDescent="0.25">
      <c r="B1487" s="37"/>
      <c r="C1487" s="37"/>
      <c r="D1487" s="37"/>
      <c r="E1487" s="37"/>
      <c r="F1487" s="37"/>
      <c r="G1487" s="70"/>
    </row>
    <row r="1488" spans="2:7" x14ac:dyDescent="0.25">
      <c r="B1488" s="37"/>
      <c r="C1488" s="37"/>
      <c r="D1488" s="37"/>
      <c r="E1488" s="37"/>
      <c r="F1488" s="37"/>
      <c r="G1488" s="70"/>
    </row>
    <row r="1489" spans="2:7" x14ac:dyDescent="0.25">
      <c r="B1489" s="37"/>
      <c r="C1489" s="37"/>
      <c r="D1489" s="37"/>
      <c r="E1489" s="37"/>
      <c r="F1489" s="37"/>
      <c r="G1489" s="70"/>
    </row>
    <row r="1490" spans="2:7" x14ac:dyDescent="0.25">
      <c r="B1490" s="37"/>
      <c r="C1490" s="37"/>
      <c r="D1490" s="37"/>
      <c r="E1490" s="37"/>
      <c r="F1490" s="37"/>
      <c r="G1490" s="70"/>
    </row>
    <row r="1491" spans="2:7" x14ac:dyDescent="0.25">
      <c r="B1491" s="37"/>
      <c r="C1491" s="37"/>
      <c r="D1491" s="37"/>
      <c r="E1491" s="37"/>
      <c r="F1491" s="37"/>
      <c r="G1491" s="70"/>
    </row>
    <row r="1492" spans="2:7" x14ac:dyDescent="0.25">
      <c r="B1492" s="37"/>
      <c r="C1492" s="37"/>
      <c r="D1492" s="37"/>
      <c r="E1492" s="37"/>
      <c r="F1492" s="37"/>
      <c r="G1492" s="70"/>
    </row>
    <row r="1493" spans="2:7" x14ac:dyDescent="0.25">
      <c r="B1493" s="37"/>
      <c r="C1493" s="37"/>
      <c r="D1493" s="37"/>
      <c r="E1493" s="37"/>
      <c r="F1493" s="37"/>
      <c r="G1493" s="70"/>
    </row>
    <row r="1494" spans="2:7" x14ac:dyDescent="0.25">
      <c r="B1494" s="37"/>
      <c r="C1494" s="37"/>
      <c r="D1494" s="37"/>
      <c r="E1494" s="37"/>
      <c r="F1494" s="37"/>
      <c r="G1494" s="70"/>
    </row>
    <row r="1495" spans="2:7" x14ac:dyDescent="0.25">
      <c r="B1495" s="37"/>
      <c r="C1495" s="37"/>
      <c r="D1495" s="37"/>
      <c r="E1495" s="37"/>
      <c r="F1495" s="37"/>
      <c r="G1495" s="70"/>
    </row>
    <row r="1496" spans="2:7" x14ac:dyDescent="0.25">
      <c r="B1496" s="37"/>
      <c r="C1496" s="37"/>
      <c r="D1496" s="37"/>
      <c r="E1496" s="37"/>
      <c r="F1496" s="37"/>
      <c r="G1496" s="70"/>
    </row>
    <row r="1497" spans="2:7" x14ac:dyDescent="0.25">
      <c r="B1497" s="37"/>
      <c r="C1497" s="37"/>
      <c r="D1497" s="37"/>
      <c r="E1497" s="37"/>
      <c r="F1497" s="37"/>
      <c r="G1497" s="70"/>
    </row>
    <row r="1498" spans="2:7" x14ac:dyDescent="0.25">
      <c r="B1498" s="37"/>
      <c r="C1498" s="37"/>
      <c r="D1498" s="37"/>
      <c r="E1498" s="37"/>
      <c r="F1498" s="37"/>
      <c r="G1498" s="70"/>
    </row>
    <row r="1499" spans="2:7" x14ac:dyDescent="0.25">
      <c r="B1499" s="37"/>
      <c r="C1499" s="37"/>
      <c r="D1499" s="37"/>
      <c r="E1499" s="37"/>
      <c r="F1499" s="37"/>
      <c r="G1499" s="70"/>
    </row>
    <row r="1500" spans="2:7" x14ac:dyDescent="0.25">
      <c r="B1500" s="37"/>
      <c r="C1500" s="37"/>
      <c r="D1500" s="37"/>
      <c r="E1500" s="37"/>
      <c r="F1500" s="37"/>
      <c r="G1500" s="70"/>
    </row>
    <row r="1501" spans="2:7" x14ac:dyDescent="0.25">
      <c r="B1501" s="37"/>
      <c r="C1501" s="37"/>
      <c r="D1501" s="37"/>
      <c r="E1501" s="37"/>
      <c r="F1501" s="37"/>
      <c r="G1501" s="70"/>
    </row>
    <row r="1502" spans="2:7" x14ac:dyDescent="0.25">
      <c r="B1502" s="37"/>
      <c r="C1502" s="37"/>
      <c r="D1502" s="37"/>
      <c r="E1502" s="37"/>
      <c r="F1502" s="37"/>
      <c r="G1502" s="70"/>
    </row>
    <row r="1503" spans="2:7" x14ac:dyDescent="0.25">
      <c r="B1503" s="37"/>
      <c r="C1503" s="37"/>
      <c r="D1503" s="37"/>
      <c r="E1503" s="37"/>
      <c r="F1503" s="37"/>
      <c r="G1503" s="70"/>
    </row>
    <row r="1504" spans="2:7" x14ac:dyDescent="0.25">
      <c r="B1504" s="37"/>
      <c r="C1504" s="37"/>
      <c r="D1504" s="37"/>
      <c r="E1504" s="37"/>
      <c r="F1504" s="37"/>
      <c r="G1504" s="70"/>
    </row>
    <row r="1505" spans="2:7" x14ac:dyDescent="0.25">
      <c r="B1505" s="37"/>
      <c r="C1505" s="37"/>
      <c r="D1505" s="37"/>
      <c r="E1505" s="37"/>
      <c r="F1505" s="37"/>
      <c r="G1505" s="70"/>
    </row>
    <row r="1506" spans="2:7" x14ac:dyDescent="0.25">
      <c r="B1506" s="37"/>
      <c r="C1506" s="37"/>
      <c r="D1506" s="37"/>
      <c r="E1506" s="37"/>
      <c r="F1506" s="37"/>
      <c r="G1506" s="70"/>
    </row>
    <row r="1507" spans="2:7" x14ac:dyDescent="0.25">
      <c r="B1507" s="37"/>
      <c r="C1507" s="37"/>
      <c r="D1507" s="37"/>
      <c r="E1507" s="37"/>
      <c r="F1507" s="37"/>
      <c r="G1507" s="70"/>
    </row>
    <row r="1508" spans="2:7" x14ac:dyDescent="0.25">
      <c r="B1508" s="37"/>
      <c r="C1508" s="37"/>
      <c r="D1508" s="37"/>
      <c r="E1508" s="37"/>
      <c r="F1508" s="37"/>
      <c r="G1508" s="70"/>
    </row>
    <row r="1509" spans="2:7" x14ac:dyDescent="0.25">
      <c r="B1509" s="37"/>
      <c r="C1509" s="37"/>
      <c r="D1509" s="37"/>
      <c r="E1509" s="37"/>
      <c r="F1509" s="37"/>
      <c r="G1509" s="70"/>
    </row>
    <row r="1510" spans="2:7" x14ac:dyDescent="0.25">
      <c r="B1510" s="37"/>
      <c r="C1510" s="37"/>
      <c r="D1510" s="37"/>
      <c r="E1510" s="37"/>
      <c r="F1510" s="37"/>
      <c r="G1510" s="70"/>
    </row>
    <row r="1511" spans="2:7" x14ac:dyDescent="0.25">
      <c r="B1511" s="37"/>
      <c r="C1511" s="37"/>
      <c r="D1511" s="37"/>
      <c r="E1511" s="37"/>
      <c r="F1511" s="37"/>
      <c r="G1511" s="70"/>
    </row>
    <row r="1512" spans="2:7" x14ac:dyDescent="0.25">
      <c r="B1512" s="37"/>
      <c r="C1512" s="37"/>
      <c r="D1512" s="37"/>
      <c r="E1512" s="37"/>
      <c r="F1512" s="37"/>
      <c r="G1512" s="70"/>
    </row>
    <row r="1513" spans="2:7" x14ac:dyDescent="0.25">
      <c r="B1513" s="37"/>
      <c r="C1513" s="37"/>
      <c r="D1513" s="37"/>
      <c r="E1513" s="37"/>
      <c r="F1513" s="37"/>
      <c r="G1513" s="70"/>
    </row>
    <row r="1514" spans="2:7" x14ac:dyDescent="0.25">
      <c r="B1514" s="37"/>
      <c r="C1514" s="37"/>
      <c r="D1514" s="37"/>
      <c r="E1514" s="37"/>
      <c r="F1514" s="37"/>
      <c r="G1514" s="70"/>
    </row>
    <row r="1515" spans="2:7" x14ac:dyDescent="0.25">
      <c r="B1515" s="37"/>
      <c r="C1515" s="37"/>
      <c r="D1515" s="37"/>
      <c r="E1515" s="37"/>
      <c r="F1515" s="37"/>
      <c r="G1515" s="70"/>
    </row>
    <row r="1516" spans="2:7" x14ac:dyDescent="0.25">
      <c r="B1516" s="37"/>
      <c r="C1516" s="37"/>
      <c r="D1516" s="37"/>
      <c r="E1516" s="37"/>
      <c r="F1516" s="37"/>
      <c r="G1516" s="70"/>
    </row>
    <row r="1517" spans="2:7" x14ac:dyDescent="0.25">
      <c r="B1517" s="37"/>
      <c r="C1517" s="37"/>
      <c r="D1517" s="37"/>
      <c r="E1517" s="37"/>
      <c r="F1517" s="37"/>
      <c r="G1517" s="70"/>
    </row>
    <row r="1518" spans="2:7" x14ac:dyDescent="0.25">
      <c r="B1518" s="37"/>
      <c r="C1518" s="37"/>
      <c r="D1518" s="37"/>
      <c r="E1518" s="37"/>
      <c r="F1518" s="37"/>
      <c r="G1518" s="70"/>
    </row>
    <row r="1519" spans="2:7" x14ac:dyDescent="0.25">
      <c r="B1519" s="37"/>
      <c r="C1519" s="37"/>
      <c r="D1519" s="37"/>
      <c r="E1519" s="37"/>
      <c r="F1519" s="37"/>
      <c r="G1519" s="70"/>
    </row>
    <row r="1520" spans="2:7" x14ac:dyDescent="0.25">
      <c r="B1520" s="37"/>
      <c r="C1520" s="37"/>
      <c r="D1520" s="37"/>
      <c r="E1520" s="37"/>
      <c r="F1520" s="37"/>
      <c r="G1520" s="70"/>
    </row>
    <row r="1521" spans="2:7" x14ac:dyDescent="0.25">
      <c r="B1521" s="37"/>
      <c r="C1521" s="37"/>
      <c r="D1521" s="37"/>
      <c r="E1521" s="37"/>
      <c r="F1521" s="37"/>
      <c r="G1521" s="70"/>
    </row>
    <row r="1522" spans="2:7" x14ac:dyDescent="0.25">
      <c r="B1522" s="37"/>
      <c r="C1522" s="37"/>
      <c r="D1522" s="37"/>
      <c r="E1522" s="37"/>
      <c r="F1522" s="37"/>
      <c r="G1522" s="70"/>
    </row>
    <row r="1523" spans="2:7" x14ac:dyDescent="0.25">
      <c r="B1523" s="37"/>
      <c r="C1523" s="37"/>
      <c r="D1523" s="37"/>
      <c r="E1523" s="37"/>
      <c r="F1523" s="37"/>
      <c r="G1523" s="70"/>
    </row>
    <row r="1524" spans="2:7" x14ac:dyDescent="0.25">
      <c r="B1524" s="37"/>
      <c r="C1524" s="37"/>
      <c r="D1524" s="37"/>
      <c r="E1524" s="37"/>
      <c r="F1524" s="37"/>
      <c r="G1524" s="70"/>
    </row>
    <row r="1525" spans="2:7" x14ac:dyDescent="0.25">
      <c r="B1525" s="37"/>
      <c r="C1525" s="37"/>
      <c r="D1525" s="37"/>
      <c r="E1525" s="37"/>
      <c r="F1525" s="37"/>
      <c r="G1525" s="70"/>
    </row>
    <row r="1526" spans="2:7" x14ac:dyDescent="0.25">
      <c r="B1526" s="37"/>
      <c r="C1526" s="37"/>
      <c r="D1526" s="37"/>
      <c r="E1526" s="37"/>
      <c r="F1526" s="37"/>
      <c r="G1526" s="70"/>
    </row>
    <row r="1527" spans="2:7" x14ac:dyDescent="0.25">
      <c r="B1527" s="37"/>
      <c r="C1527" s="37"/>
      <c r="D1527" s="37"/>
      <c r="E1527" s="37"/>
      <c r="F1527" s="37"/>
      <c r="G1527" s="70"/>
    </row>
    <row r="1528" spans="2:7" x14ac:dyDescent="0.25">
      <c r="B1528" s="37"/>
      <c r="C1528" s="37"/>
      <c r="D1528" s="37"/>
      <c r="E1528" s="37"/>
      <c r="F1528" s="37"/>
      <c r="G1528" s="70"/>
    </row>
    <row r="1529" spans="2:7" x14ac:dyDescent="0.25">
      <c r="B1529" s="37"/>
      <c r="C1529" s="37"/>
      <c r="D1529" s="37"/>
      <c r="E1529" s="37"/>
      <c r="F1529" s="37"/>
      <c r="G1529" s="70"/>
    </row>
    <row r="1530" spans="2:7" x14ac:dyDescent="0.25">
      <c r="B1530" s="37"/>
      <c r="C1530" s="37"/>
      <c r="D1530" s="37"/>
      <c r="E1530" s="37"/>
      <c r="F1530" s="37"/>
      <c r="G1530" s="70"/>
    </row>
    <row r="1531" spans="2:7" x14ac:dyDescent="0.25">
      <c r="B1531" s="37"/>
      <c r="C1531" s="37"/>
      <c r="D1531" s="37"/>
      <c r="E1531" s="37"/>
      <c r="F1531" s="37"/>
      <c r="G1531" s="70"/>
    </row>
    <row r="1532" spans="2:7" x14ac:dyDescent="0.25">
      <c r="B1532" s="37"/>
      <c r="C1532" s="37"/>
      <c r="D1532" s="37"/>
      <c r="E1532" s="37"/>
      <c r="F1532" s="37"/>
      <c r="G1532" s="70"/>
    </row>
    <row r="1533" spans="2:7" x14ac:dyDescent="0.25">
      <c r="B1533" s="37"/>
      <c r="C1533" s="37"/>
      <c r="D1533" s="37"/>
      <c r="E1533" s="37"/>
      <c r="F1533" s="37"/>
      <c r="G1533" s="70"/>
    </row>
    <row r="1534" spans="2:7" x14ac:dyDescent="0.25">
      <c r="B1534" s="37"/>
      <c r="C1534" s="37"/>
      <c r="D1534" s="37"/>
      <c r="E1534" s="37"/>
      <c r="F1534" s="37"/>
      <c r="G1534" s="70"/>
    </row>
    <row r="1535" spans="2:7" x14ac:dyDescent="0.25">
      <c r="B1535" s="37"/>
      <c r="C1535" s="37"/>
      <c r="D1535" s="37"/>
      <c r="E1535" s="37"/>
      <c r="F1535" s="37"/>
      <c r="G1535" s="70"/>
    </row>
    <row r="1536" spans="2:7" x14ac:dyDescent="0.25">
      <c r="B1536" s="37"/>
      <c r="C1536" s="37"/>
      <c r="D1536" s="37"/>
      <c r="E1536" s="37"/>
      <c r="F1536" s="37"/>
      <c r="G1536" s="70"/>
    </row>
    <row r="1537" spans="2:7" x14ac:dyDescent="0.25">
      <c r="B1537" s="37"/>
      <c r="C1537" s="37"/>
      <c r="D1537" s="37"/>
      <c r="E1537" s="37"/>
      <c r="F1537" s="37"/>
      <c r="G1537" s="70"/>
    </row>
    <row r="1538" spans="2:7" x14ac:dyDescent="0.25">
      <c r="B1538" s="37"/>
      <c r="C1538" s="37"/>
      <c r="D1538" s="37"/>
      <c r="E1538" s="37"/>
      <c r="F1538" s="37"/>
      <c r="G1538" s="70"/>
    </row>
    <row r="1539" spans="2:7" x14ac:dyDescent="0.25">
      <c r="B1539" s="37"/>
      <c r="C1539" s="37"/>
      <c r="D1539" s="37"/>
      <c r="E1539" s="37"/>
      <c r="F1539" s="37"/>
      <c r="G1539" s="70"/>
    </row>
    <row r="1540" spans="2:7" x14ac:dyDescent="0.25">
      <c r="B1540" s="37"/>
      <c r="C1540" s="37"/>
      <c r="D1540" s="37"/>
      <c r="E1540" s="37"/>
      <c r="F1540" s="37"/>
      <c r="G1540" s="70"/>
    </row>
    <row r="1541" spans="2:7" x14ac:dyDescent="0.25">
      <c r="B1541" s="37"/>
      <c r="C1541" s="37"/>
      <c r="D1541" s="37"/>
      <c r="E1541" s="37"/>
      <c r="F1541" s="37"/>
      <c r="G1541" s="70"/>
    </row>
    <row r="1542" spans="2:7" x14ac:dyDescent="0.25">
      <c r="B1542" s="37"/>
      <c r="C1542" s="37"/>
      <c r="D1542" s="37"/>
      <c r="E1542" s="37"/>
      <c r="F1542" s="37"/>
      <c r="G1542" s="70"/>
    </row>
    <row r="1543" spans="2:7" x14ac:dyDescent="0.25">
      <c r="B1543" s="37"/>
      <c r="C1543" s="37"/>
      <c r="D1543" s="37"/>
      <c r="E1543" s="37"/>
      <c r="F1543" s="37"/>
      <c r="G1543" s="70"/>
    </row>
    <row r="1544" spans="2:7" x14ac:dyDescent="0.25">
      <c r="B1544" s="37"/>
      <c r="C1544" s="37"/>
      <c r="D1544" s="37"/>
      <c r="E1544" s="37"/>
      <c r="F1544" s="37"/>
      <c r="G1544" s="70"/>
    </row>
    <row r="1545" spans="2:7" x14ac:dyDescent="0.25">
      <c r="B1545" s="37"/>
      <c r="C1545" s="37"/>
      <c r="D1545" s="37"/>
      <c r="E1545" s="37"/>
      <c r="F1545" s="37"/>
      <c r="G1545" s="70"/>
    </row>
    <row r="1546" spans="2:7" x14ac:dyDescent="0.25">
      <c r="B1546" s="37"/>
      <c r="C1546" s="37"/>
      <c r="D1546" s="37"/>
      <c r="E1546" s="37"/>
      <c r="F1546" s="37"/>
      <c r="G1546" s="70"/>
    </row>
    <row r="1547" spans="2:7" x14ac:dyDescent="0.25">
      <c r="B1547" s="37"/>
      <c r="C1547" s="37"/>
      <c r="D1547" s="37"/>
      <c r="E1547" s="37"/>
      <c r="F1547" s="37"/>
      <c r="G1547" s="70"/>
    </row>
    <row r="1548" spans="2:7" x14ac:dyDescent="0.25">
      <c r="B1548" s="37"/>
      <c r="C1548" s="37"/>
      <c r="D1548" s="37"/>
      <c r="E1548" s="37"/>
      <c r="F1548" s="37"/>
      <c r="G1548" s="70"/>
    </row>
    <row r="1549" spans="2:7" x14ac:dyDescent="0.25">
      <c r="B1549" s="37"/>
      <c r="C1549" s="37"/>
      <c r="D1549" s="37"/>
      <c r="E1549" s="37"/>
      <c r="F1549" s="37"/>
      <c r="G1549" s="70"/>
    </row>
    <row r="1550" spans="2:7" x14ac:dyDescent="0.25">
      <c r="B1550" s="37"/>
      <c r="C1550" s="37"/>
      <c r="D1550" s="37"/>
      <c r="E1550" s="37"/>
      <c r="F1550" s="37"/>
      <c r="G1550" s="70"/>
    </row>
    <row r="1551" spans="2:7" x14ac:dyDescent="0.25">
      <c r="B1551" s="37"/>
      <c r="C1551" s="37"/>
      <c r="D1551" s="37"/>
      <c r="E1551" s="37"/>
      <c r="F1551" s="37"/>
      <c r="G1551" s="70"/>
    </row>
    <row r="1552" spans="2:7" x14ac:dyDescent="0.25">
      <c r="B1552" s="37"/>
      <c r="C1552" s="37"/>
      <c r="D1552" s="37"/>
      <c r="E1552" s="37"/>
      <c r="F1552" s="37"/>
      <c r="G1552" s="70"/>
    </row>
    <row r="1553" spans="2:7" x14ac:dyDescent="0.25">
      <c r="B1553" s="37"/>
      <c r="C1553" s="37"/>
      <c r="D1553" s="37"/>
      <c r="E1553" s="37"/>
      <c r="F1553" s="37"/>
      <c r="G1553" s="70"/>
    </row>
    <row r="1554" spans="2:7" x14ac:dyDescent="0.25">
      <c r="B1554" s="37"/>
      <c r="C1554" s="37"/>
      <c r="D1554" s="37"/>
      <c r="E1554" s="37"/>
      <c r="F1554" s="37"/>
      <c r="G1554" s="70"/>
    </row>
    <row r="1555" spans="2:7" x14ac:dyDescent="0.25">
      <c r="B1555" s="37"/>
      <c r="C1555" s="37"/>
      <c r="D1555" s="37"/>
      <c r="E1555" s="37"/>
      <c r="F1555" s="37"/>
      <c r="G1555" s="70"/>
    </row>
    <row r="1556" spans="2:7" x14ac:dyDescent="0.25">
      <c r="B1556" s="37"/>
      <c r="C1556" s="37"/>
      <c r="D1556" s="37"/>
      <c r="E1556" s="37"/>
      <c r="F1556" s="37"/>
      <c r="G1556" s="70"/>
    </row>
    <row r="1557" spans="2:7" x14ac:dyDescent="0.25">
      <c r="B1557" s="37"/>
      <c r="C1557" s="37"/>
      <c r="D1557" s="37"/>
      <c r="E1557" s="37"/>
      <c r="F1557" s="37"/>
      <c r="G1557" s="70"/>
    </row>
    <row r="1558" spans="2:7" x14ac:dyDescent="0.25">
      <c r="B1558" s="37"/>
      <c r="C1558" s="37"/>
      <c r="D1558" s="37"/>
      <c r="E1558" s="37"/>
      <c r="F1558" s="37"/>
      <c r="G1558" s="70"/>
    </row>
    <row r="1559" spans="2:7" x14ac:dyDescent="0.25">
      <c r="B1559" s="37"/>
      <c r="C1559" s="37"/>
      <c r="D1559" s="37"/>
      <c r="E1559" s="37"/>
      <c r="F1559" s="37"/>
      <c r="G1559" s="70"/>
    </row>
    <row r="1560" spans="2:7" x14ac:dyDescent="0.25">
      <c r="B1560" s="37"/>
      <c r="C1560" s="37"/>
      <c r="D1560" s="37"/>
      <c r="E1560" s="37"/>
      <c r="F1560" s="37"/>
      <c r="G1560" s="70"/>
    </row>
    <row r="1561" spans="2:7" x14ac:dyDescent="0.25">
      <c r="B1561" s="37"/>
      <c r="C1561" s="37"/>
      <c r="D1561" s="37"/>
      <c r="E1561" s="37"/>
      <c r="F1561" s="37"/>
      <c r="G1561" s="70"/>
    </row>
    <row r="1562" spans="2:7" x14ac:dyDescent="0.25">
      <c r="B1562" s="37"/>
      <c r="C1562" s="37"/>
      <c r="D1562" s="37"/>
      <c r="E1562" s="37"/>
      <c r="F1562" s="37"/>
      <c r="G1562" s="70"/>
    </row>
    <row r="1563" spans="2:7" x14ac:dyDescent="0.25">
      <c r="B1563" s="37"/>
      <c r="C1563" s="37"/>
      <c r="D1563" s="37"/>
      <c r="E1563" s="37"/>
      <c r="F1563" s="37"/>
      <c r="G1563" s="70"/>
    </row>
    <row r="1564" spans="2:7" x14ac:dyDescent="0.25">
      <c r="B1564" s="37"/>
      <c r="C1564" s="37"/>
      <c r="D1564" s="37"/>
      <c r="E1564" s="37"/>
      <c r="F1564" s="37"/>
      <c r="G1564" s="70"/>
    </row>
    <row r="1565" spans="2:7" x14ac:dyDescent="0.25">
      <c r="B1565" s="37"/>
      <c r="C1565" s="37"/>
      <c r="D1565" s="37"/>
      <c r="E1565" s="37"/>
      <c r="F1565" s="37"/>
      <c r="G1565" s="70"/>
    </row>
    <row r="1566" spans="2:7" x14ac:dyDescent="0.25">
      <c r="B1566" s="37"/>
      <c r="C1566" s="37"/>
      <c r="D1566" s="37"/>
      <c r="E1566" s="37"/>
      <c r="F1566" s="37"/>
      <c r="G1566" s="70"/>
    </row>
    <row r="1567" spans="2:7" x14ac:dyDescent="0.25">
      <c r="B1567" s="37"/>
      <c r="C1567" s="37"/>
      <c r="D1567" s="37"/>
      <c r="E1567" s="37"/>
      <c r="F1567" s="37"/>
      <c r="G1567" s="70"/>
    </row>
    <row r="1568" spans="2:7" x14ac:dyDescent="0.25">
      <c r="B1568" s="37"/>
      <c r="C1568" s="37"/>
      <c r="D1568" s="37"/>
      <c r="E1568" s="37"/>
      <c r="F1568" s="37"/>
      <c r="G1568" s="70"/>
    </row>
    <row r="1569" spans="2:7" x14ac:dyDescent="0.25">
      <c r="B1569" s="37"/>
      <c r="C1569" s="37"/>
      <c r="D1569" s="37"/>
      <c r="E1569" s="37"/>
      <c r="F1569" s="37"/>
      <c r="G1569" s="70"/>
    </row>
    <row r="1570" spans="2:7" x14ac:dyDescent="0.25">
      <c r="B1570" s="37"/>
      <c r="C1570" s="37"/>
      <c r="D1570" s="37"/>
      <c r="E1570" s="37"/>
      <c r="F1570" s="37"/>
      <c r="G1570" s="70"/>
    </row>
    <row r="1571" spans="2:7" x14ac:dyDescent="0.25">
      <c r="B1571" s="37"/>
      <c r="C1571" s="37"/>
      <c r="D1571" s="37"/>
      <c r="E1571" s="37"/>
      <c r="F1571" s="37"/>
      <c r="G1571" s="70"/>
    </row>
    <row r="1572" spans="2:7" x14ac:dyDescent="0.25">
      <c r="B1572" s="37"/>
      <c r="C1572" s="37"/>
      <c r="D1572" s="37"/>
      <c r="E1572" s="37"/>
      <c r="F1572" s="37"/>
      <c r="G1572" s="70"/>
    </row>
    <row r="1573" spans="2:7" x14ac:dyDescent="0.25">
      <c r="B1573" s="37"/>
      <c r="C1573" s="37"/>
      <c r="D1573" s="37"/>
      <c r="E1573" s="37"/>
      <c r="F1573" s="37"/>
      <c r="G1573" s="70"/>
    </row>
    <row r="1574" spans="2:7" x14ac:dyDescent="0.25">
      <c r="B1574" s="37"/>
      <c r="C1574" s="37"/>
      <c r="D1574" s="37"/>
      <c r="E1574" s="37"/>
      <c r="F1574" s="37"/>
      <c r="G1574" s="70"/>
    </row>
    <row r="1575" spans="2:7" x14ac:dyDescent="0.25">
      <c r="B1575" s="37"/>
      <c r="C1575" s="37"/>
      <c r="D1575" s="37"/>
      <c r="E1575" s="37"/>
      <c r="F1575" s="37"/>
      <c r="G1575" s="70"/>
    </row>
    <row r="1576" spans="2:7" x14ac:dyDescent="0.25">
      <c r="B1576" s="37"/>
      <c r="C1576" s="37"/>
      <c r="D1576" s="37"/>
      <c r="E1576" s="37"/>
      <c r="F1576" s="37"/>
      <c r="G1576" s="70"/>
    </row>
    <row r="1577" spans="2:7" x14ac:dyDescent="0.25">
      <c r="B1577" s="37"/>
      <c r="C1577" s="37"/>
      <c r="D1577" s="37"/>
      <c r="E1577" s="37"/>
      <c r="F1577" s="37"/>
      <c r="G1577" s="70"/>
    </row>
    <row r="1578" spans="2:7" x14ac:dyDescent="0.25">
      <c r="B1578" s="37"/>
      <c r="C1578" s="37"/>
      <c r="D1578" s="37"/>
      <c r="E1578" s="37"/>
      <c r="F1578" s="37"/>
      <c r="G1578" s="70"/>
    </row>
    <row r="1579" spans="2:7" x14ac:dyDescent="0.25">
      <c r="B1579" s="37"/>
      <c r="C1579" s="37"/>
      <c r="D1579" s="37"/>
      <c r="E1579" s="37"/>
      <c r="F1579" s="37"/>
      <c r="G1579" s="70"/>
    </row>
    <row r="1580" spans="2:7" x14ac:dyDescent="0.25">
      <c r="B1580" s="37"/>
      <c r="C1580" s="37"/>
      <c r="D1580" s="37"/>
      <c r="E1580" s="37"/>
      <c r="F1580" s="37"/>
      <c r="G1580" s="70"/>
    </row>
    <row r="1581" spans="2:7" x14ac:dyDescent="0.25">
      <c r="B1581" s="37"/>
      <c r="C1581" s="37"/>
      <c r="D1581" s="37"/>
      <c r="E1581" s="37"/>
      <c r="F1581" s="37"/>
      <c r="G1581" s="70"/>
    </row>
    <row r="1582" spans="2:7" x14ac:dyDescent="0.25">
      <c r="B1582" s="37"/>
      <c r="C1582" s="37"/>
      <c r="D1582" s="37"/>
      <c r="E1582" s="37"/>
      <c r="F1582" s="37"/>
      <c r="G1582" s="70"/>
    </row>
    <row r="1583" spans="2:7" x14ac:dyDescent="0.25">
      <c r="B1583" s="37"/>
      <c r="C1583" s="37"/>
      <c r="D1583" s="37"/>
      <c r="E1583" s="37"/>
      <c r="F1583" s="37"/>
      <c r="G1583" s="70"/>
    </row>
    <row r="1584" spans="2:7" x14ac:dyDescent="0.25">
      <c r="B1584" s="37"/>
      <c r="C1584" s="37"/>
      <c r="D1584" s="37"/>
      <c r="E1584" s="37"/>
      <c r="F1584" s="37"/>
      <c r="G1584" s="70"/>
    </row>
    <row r="1585" spans="2:7" x14ac:dyDescent="0.25">
      <c r="B1585" s="37"/>
      <c r="C1585" s="37"/>
      <c r="D1585" s="37"/>
      <c r="E1585" s="37"/>
      <c r="F1585" s="37"/>
      <c r="G1585" s="70"/>
    </row>
    <row r="1586" spans="2:7" x14ac:dyDescent="0.25">
      <c r="B1586" s="37"/>
      <c r="C1586" s="37"/>
      <c r="D1586" s="37"/>
      <c r="E1586" s="37"/>
      <c r="F1586" s="37"/>
      <c r="G1586" s="70"/>
    </row>
    <row r="1587" spans="2:7" x14ac:dyDescent="0.25">
      <c r="B1587" s="37"/>
      <c r="C1587" s="37"/>
      <c r="D1587" s="37"/>
      <c r="E1587" s="37"/>
      <c r="F1587" s="37"/>
      <c r="G1587" s="70"/>
    </row>
    <row r="1588" spans="2:7" x14ac:dyDescent="0.25">
      <c r="B1588" s="37"/>
      <c r="C1588" s="37"/>
      <c r="D1588" s="37"/>
      <c r="E1588" s="37"/>
      <c r="F1588" s="37"/>
      <c r="G1588" s="70"/>
    </row>
    <row r="1589" spans="2:7" x14ac:dyDescent="0.25">
      <c r="B1589" s="37"/>
      <c r="C1589" s="37"/>
      <c r="D1589" s="37"/>
      <c r="E1589" s="37"/>
      <c r="F1589" s="37"/>
      <c r="G1589" s="70"/>
    </row>
    <row r="1590" spans="2:7" x14ac:dyDescent="0.25">
      <c r="B1590" s="37"/>
      <c r="C1590" s="37"/>
      <c r="D1590" s="37"/>
      <c r="E1590" s="37"/>
      <c r="F1590" s="37"/>
      <c r="G1590" s="70"/>
    </row>
    <row r="1591" spans="2:7" x14ac:dyDescent="0.25">
      <c r="B1591" s="37"/>
      <c r="C1591" s="37"/>
      <c r="D1591" s="37"/>
      <c r="E1591" s="37"/>
      <c r="F1591" s="37"/>
      <c r="G1591" s="70"/>
    </row>
    <row r="1592" spans="2:7" x14ac:dyDescent="0.25">
      <c r="B1592" s="37"/>
      <c r="C1592" s="37"/>
      <c r="D1592" s="37"/>
      <c r="E1592" s="37"/>
      <c r="F1592" s="37"/>
      <c r="G1592" s="70"/>
    </row>
    <row r="1593" spans="2:7" x14ac:dyDescent="0.25">
      <c r="B1593" s="37"/>
      <c r="C1593" s="37"/>
      <c r="D1593" s="37"/>
      <c r="E1593" s="37"/>
      <c r="F1593" s="37"/>
      <c r="G1593" s="70"/>
    </row>
    <row r="1594" spans="2:7" x14ac:dyDescent="0.25">
      <c r="B1594" s="37"/>
      <c r="C1594" s="37"/>
      <c r="D1594" s="37"/>
      <c r="E1594" s="37"/>
      <c r="F1594" s="37"/>
      <c r="G1594" s="70"/>
    </row>
    <row r="1595" spans="2:7" x14ac:dyDescent="0.25">
      <c r="B1595" s="37"/>
      <c r="C1595" s="37"/>
      <c r="D1595" s="37"/>
      <c r="E1595" s="37"/>
      <c r="F1595" s="37"/>
      <c r="G1595" s="70"/>
    </row>
    <row r="1596" spans="2:7" x14ac:dyDescent="0.25">
      <c r="B1596" s="37"/>
      <c r="C1596" s="37"/>
      <c r="D1596" s="37"/>
      <c r="E1596" s="37"/>
      <c r="F1596" s="37"/>
      <c r="G1596" s="70"/>
    </row>
    <row r="1597" spans="2:7" x14ac:dyDescent="0.25">
      <c r="B1597" s="37"/>
      <c r="C1597" s="37"/>
      <c r="D1597" s="37"/>
      <c r="E1597" s="37"/>
      <c r="F1597" s="37"/>
      <c r="G1597" s="70"/>
    </row>
    <row r="1598" spans="2:7" x14ac:dyDescent="0.25">
      <c r="B1598" s="37"/>
      <c r="C1598" s="37"/>
      <c r="D1598" s="37"/>
      <c r="E1598" s="37"/>
      <c r="F1598" s="37"/>
      <c r="G1598" s="70"/>
    </row>
    <row r="1599" spans="2:7" x14ac:dyDescent="0.25">
      <c r="B1599" s="37"/>
      <c r="C1599" s="37"/>
      <c r="D1599" s="37"/>
      <c r="E1599" s="37"/>
      <c r="F1599" s="37"/>
      <c r="G1599" s="70"/>
    </row>
    <row r="1600" spans="2:7" x14ac:dyDescent="0.25">
      <c r="B1600" s="37"/>
      <c r="C1600" s="37"/>
      <c r="D1600" s="37"/>
      <c r="E1600" s="37"/>
      <c r="F1600" s="37"/>
      <c r="G1600" s="70"/>
    </row>
    <row r="1601" spans="2:7" x14ac:dyDescent="0.25">
      <c r="B1601" s="37"/>
      <c r="C1601" s="37"/>
      <c r="D1601" s="37"/>
      <c r="E1601" s="37"/>
      <c r="F1601" s="37"/>
      <c r="G1601" s="70"/>
    </row>
    <row r="1602" spans="2:7" x14ac:dyDescent="0.25">
      <c r="B1602" s="37"/>
      <c r="C1602" s="37"/>
      <c r="D1602" s="37"/>
      <c r="E1602" s="37"/>
      <c r="F1602" s="37"/>
      <c r="G1602" s="70"/>
    </row>
    <row r="1603" spans="2:7" x14ac:dyDescent="0.25">
      <c r="B1603" s="37"/>
      <c r="C1603" s="37"/>
      <c r="D1603" s="37"/>
      <c r="E1603" s="37"/>
      <c r="F1603" s="37"/>
      <c r="G1603" s="70"/>
    </row>
    <row r="1604" spans="2:7" x14ac:dyDescent="0.25">
      <c r="B1604" s="37"/>
      <c r="C1604" s="37"/>
      <c r="D1604" s="37"/>
      <c r="E1604" s="37"/>
      <c r="F1604" s="37"/>
      <c r="G1604" s="70"/>
    </row>
    <row r="1605" spans="2:7" x14ac:dyDescent="0.25">
      <c r="B1605" s="37"/>
      <c r="C1605" s="37"/>
      <c r="D1605" s="37"/>
      <c r="E1605" s="37"/>
      <c r="F1605" s="37"/>
      <c r="G1605" s="70"/>
    </row>
    <row r="1606" spans="2:7" x14ac:dyDescent="0.25">
      <c r="B1606" s="37"/>
      <c r="C1606" s="37"/>
      <c r="D1606" s="37"/>
      <c r="E1606" s="37"/>
      <c r="F1606" s="37"/>
      <c r="G1606" s="70"/>
    </row>
    <row r="1607" spans="2:7" x14ac:dyDescent="0.25">
      <c r="B1607" s="37"/>
      <c r="C1607" s="37"/>
      <c r="D1607" s="37"/>
      <c r="E1607" s="37"/>
      <c r="F1607" s="37"/>
      <c r="G1607" s="70"/>
    </row>
    <row r="1608" spans="2:7" x14ac:dyDescent="0.25">
      <c r="B1608" s="37"/>
      <c r="C1608" s="37"/>
      <c r="D1608" s="37"/>
      <c r="E1608" s="37"/>
      <c r="F1608" s="37"/>
      <c r="G1608" s="70"/>
    </row>
    <row r="1609" spans="2:7" x14ac:dyDescent="0.25">
      <c r="B1609" s="37"/>
      <c r="C1609" s="37"/>
      <c r="D1609" s="37"/>
      <c r="E1609" s="37"/>
      <c r="F1609" s="37"/>
      <c r="G1609" s="70"/>
    </row>
    <row r="1610" spans="2:7" x14ac:dyDescent="0.25">
      <c r="B1610" s="37"/>
      <c r="C1610" s="37"/>
      <c r="D1610" s="37"/>
      <c r="E1610" s="37"/>
      <c r="F1610" s="37"/>
      <c r="G1610" s="70"/>
    </row>
    <row r="1611" spans="2:7" x14ac:dyDescent="0.25">
      <c r="B1611" s="37"/>
      <c r="C1611" s="37"/>
      <c r="D1611" s="37"/>
      <c r="E1611" s="37"/>
      <c r="F1611" s="37"/>
      <c r="G1611" s="70"/>
    </row>
    <row r="1612" spans="2:7" x14ac:dyDescent="0.25">
      <c r="B1612" s="37"/>
      <c r="C1612" s="37"/>
      <c r="D1612" s="37"/>
      <c r="E1612" s="37"/>
      <c r="F1612" s="37"/>
      <c r="G1612" s="70"/>
    </row>
    <row r="1613" spans="2:7" x14ac:dyDescent="0.25">
      <c r="B1613" s="37"/>
      <c r="C1613" s="37"/>
      <c r="D1613" s="37"/>
      <c r="E1613" s="37"/>
      <c r="F1613" s="37"/>
      <c r="G1613" s="70"/>
    </row>
    <row r="1614" spans="2:7" x14ac:dyDescent="0.25">
      <c r="B1614" s="37"/>
      <c r="C1614" s="37"/>
      <c r="D1614" s="37"/>
      <c r="E1614" s="37"/>
      <c r="F1614" s="37"/>
      <c r="G1614" s="70"/>
    </row>
    <row r="1615" spans="2:7" x14ac:dyDescent="0.25">
      <c r="B1615" s="37"/>
      <c r="C1615" s="37"/>
      <c r="D1615" s="37"/>
      <c r="E1615" s="37"/>
      <c r="F1615" s="37"/>
      <c r="G1615" s="70"/>
    </row>
    <row r="1616" spans="2:7" x14ac:dyDescent="0.25">
      <c r="B1616" s="37"/>
      <c r="C1616" s="37"/>
      <c r="D1616" s="37"/>
      <c r="E1616" s="37"/>
      <c r="F1616" s="37"/>
      <c r="G1616" s="70"/>
    </row>
    <row r="1617" spans="2:7" x14ac:dyDescent="0.25">
      <c r="B1617" s="37"/>
      <c r="C1617" s="37"/>
      <c r="D1617" s="37"/>
      <c r="E1617" s="37"/>
      <c r="F1617" s="37"/>
      <c r="G1617" s="70"/>
    </row>
    <row r="1618" spans="2:7" x14ac:dyDescent="0.25">
      <c r="B1618" s="37"/>
      <c r="C1618" s="37"/>
      <c r="D1618" s="37"/>
      <c r="E1618" s="37"/>
      <c r="F1618" s="37"/>
      <c r="G1618" s="70"/>
    </row>
    <row r="1619" spans="2:7" x14ac:dyDescent="0.25">
      <c r="B1619" s="37"/>
      <c r="C1619" s="37"/>
      <c r="D1619" s="37"/>
      <c r="E1619" s="37"/>
      <c r="F1619" s="37"/>
      <c r="G1619" s="70"/>
    </row>
    <row r="1620" spans="2:7" x14ac:dyDescent="0.25">
      <c r="B1620" s="37"/>
      <c r="C1620" s="37"/>
      <c r="D1620" s="37"/>
      <c r="E1620" s="37"/>
      <c r="F1620" s="37"/>
      <c r="G1620" s="70"/>
    </row>
    <row r="1621" spans="2:7" x14ac:dyDescent="0.25">
      <c r="B1621" s="37"/>
      <c r="C1621" s="37"/>
      <c r="D1621" s="37"/>
      <c r="E1621" s="37"/>
      <c r="F1621" s="37"/>
      <c r="G1621" s="70"/>
    </row>
    <row r="1622" spans="2:7" x14ac:dyDescent="0.25">
      <c r="B1622" s="37"/>
      <c r="C1622" s="37"/>
      <c r="D1622" s="37"/>
      <c r="E1622" s="37"/>
      <c r="F1622" s="37"/>
      <c r="G1622" s="70"/>
    </row>
    <row r="1623" spans="2:7" x14ac:dyDescent="0.25">
      <c r="B1623" s="37"/>
      <c r="C1623" s="37"/>
      <c r="D1623" s="37"/>
      <c r="E1623" s="37"/>
      <c r="F1623" s="37"/>
      <c r="G1623" s="70"/>
    </row>
    <row r="1624" spans="2:7" x14ac:dyDescent="0.25">
      <c r="B1624" s="37"/>
      <c r="C1624" s="37"/>
      <c r="D1624" s="37"/>
      <c r="E1624" s="37"/>
      <c r="F1624" s="37"/>
      <c r="G1624" s="70"/>
    </row>
    <row r="1625" spans="2:7" x14ac:dyDescent="0.25">
      <c r="B1625" s="37"/>
      <c r="C1625" s="37"/>
      <c r="D1625" s="37"/>
      <c r="E1625" s="37"/>
      <c r="F1625" s="37"/>
      <c r="G1625" s="70"/>
    </row>
    <row r="1626" spans="2:7" x14ac:dyDescent="0.25">
      <c r="B1626" s="37"/>
      <c r="C1626" s="37"/>
      <c r="D1626" s="37"/>
      <c r="E1626" s="37"/>
      <c r="F1626" s="37"/>
      <c r="G1626" s="70"/>
    </row>
    <row r="1627" spans="2:7" x14ac:dyDescent="0.25">
      <c r="B1627" s="37"/>
      <c r="C1627" s="37"/>
      <c r="D1627" s="37"/>
      <c r="E1627" s="37"/>
      <c r="F1627" s="37"/>
      <c r="G1627" s="70"/>
    </row>
    <row r="1628" spans="2:7" x14ac:dyDescent="0.25">
      <c r="B1628" s="37"/>
      <c r="C1628" s="37"/>
      <c r="D1628" s="37"/>
      <c r="E1628" s="37"/>
      <c r="F1628" s="37"/>
      <c r="G1628" s="70"/>
    </row>
    <row r="1629" spans="2:7" x14ac:dyDescent="0.25">
      <c r="B1629" s="37"/>
      <c r="C1629" s="37"/>
      <c r="D1629" s="37"/>
      <c r="E1629" s="37"/>
      <c r="F1629" s="37"/>
      <c r="G1629" s="70"/>
    </row>
    <row r="1630" spans="2:7" x14ac:dyDescent="0.25">
      <c r="B1630" s="37"/>
      <c r="C1630" s="37"/>
      <c r="D1630" s="37"/>
      <c r="E1630" s="37"/>
      <c r="F1630" s="37"/>
      <c r="G1630" s="70"/>
    </row>
    <row r="1631" spans="2:7" x14ac:dyDescent="0.25">
      <c r="B1631" s="37"/>
      <c r="C1631" s="37"/>
      <c r="D1631" s="37"/>
      <c r="E1631" s="37"/>
      <c r="F1631" s="37"/>
      <c r="G1631" s="70"/>
    </row>
    <row r="1632" spans="2:7" x14ac:dyDescent="0.25">
      <c r="B1632" s="37"/>
      <c r="C1632" s="37"/>
      <c r="D1632" s="37"/>
      <c r="E1632" s="37"/>
      <c r="F1632" s="37"/>
      <c r="G1632" s="70"/>
    </row>
    <row r="1633" spans="2:7" x14ac:dyDescent="0.25">
      <c r="B1633" s="37"/>
      <c r="C1633" s="37"/>
      <c r="D1633" s="37"/>
      <c r="E1633" s="37"/>
      <c r="F1633" s="37"/>
      <c r="G1633" s="70"/>
    </row>
    <row r="1634" spans="2:7" x14ac:dyDescent="0.25">
      <c r="B1634" s="37"/>
      <c r="C1634" s="37"/>
      <c r="D1634" s="37"/>
      <c r="E1634" s="37"/>
      <c r="F1634" s="37"/>
      <c r="G1634" s="70"/>
    </row>
    <row r="1635" spans="2:7" x14ac:dyDescent="0.25">
      <c r="B1635" s="37"/>
      <c r="C1635" s="37"/>
      <c r="D1635" s="37"/>
      <c r="E1635" s="37"/>
      <c r="F1635" s="37"/>
      <c r="G1635" s="70"/>
    </row>
    <row r="1636" spans="2:7" x14ac:dyDescent="0.25">
      <c r="B1636" s="37"/>
      <c r="C1636" s="37"/>
      <c r="D1636" s="37"/>
      <c r="E1636" s="37"/>
      <c r="F1636" s="37"/>
      <c r="G1636" s="70"/>
    </row>
    <row r="1637" spans="2:7" x14ac:dyDescent="0.25">
      <c r="B1637" s="37"/>
      <c r="C1637" s="37"/>
      <c r="D1637" s="37"/>
      <c r="E1637" s="37"/>
      <c r="F1637" s="37"/>
      <c r="G1637" s="70"/>
    </row>
    <row r="1638" spans="2:7" x14ac:dyDescent="0.25">
      <c r="B1638" s="37"/>
      <c r="C1638" s="37"/>
      <c r="D1638" s="37"/>
      <c r="E1638" s="37"/>
      <c r="F1638" s="37"/>
      <c r="G1638" s="70"/>
    </row>
    <row r="1639" spans="2:7" x14ac:dyDescent="0.25">
      <c r="B1639" s="37"/>
      <c r="C1639" s="37"/>
      <c r="D1639" s="37"/>
      <c r="E1639" s="37"/>
      <c r="F1639" s="37"/>
      <c r="G1639" s="70"/>
    </row>
    <row r="1640" spans="2:7" x14ac:dyDescent="0.25">
      <c r="B1640" s="37"/>
      <c r="C1640" s="37"/>
      <c r="D1640" s="37"/>
      <c r="E1640" s="37"/>
      <c r="F1640" s="37"/>
      <c r="G1640" s="70"/>
    </row>
    <row r="1641" spans="2:7" x14ac:dyDescent="0.25">
      <c r="B1641" s="37"/>
      <c r="C1641" s="37"/>
      <c r="D1641" s="37"/>
      <c r="E1641" s="37"/>
      <c r="F1641" s="37"/>
      <c r="G1641" s="70"/>
    </row>
    <row r="1642" spans="2:7" x14ac:dyDescent="0.25">
      <c r="B1642" s="37"/>
      <c r="C1642" s="37"/>
      <c r="D1642" s="37"/>
      <c r="E1642" s="37"/>
      <c r="F1642" s="37"/>
      <c r="G1642" s="70"/>
    </row>
    <row r="1643" spans="2:7" x14ac:dyDescent="0.25">
      <c r="B1643" s="37"/>
      <c r="C1643" s="37"/>
      <c r="D1643" s="37"/>
      <c r="E1643" s="37"/>
      <c r="F1643" s="37"/>
      <c r="G1643" s="70"/>
    </row>
    <row r="1644" spans="2:7" x14ac:dyDescent="0.25">
      <c r="B1644" s="37"/>
      <c r="C1644" s="37"/>
      <c r="D1644" s="37"/>
      <c r="E1644" s="37"/>
      <c r="F1644" s="37"/>
      <c r="G1644" s="70"/>
    </row>
    <row r="1645" spans="2:7" x14ac:dyDescent="0.25">
      <c r="B1645" s="37"/>
      <c r="C1645" s="37"/>
      <c r="D1645" s="37"/>
      <c r="E1645" s="37"/>
      <c r="F1645" s="37"/>
      <c r="G1645" s="70"/>
    </row>
    <row r="1646" spans="2:7" x14ac:dyDescent="0.25">
      <c r="B1646" s="37"/>
      <c r="C1646" s="37"/>
      <c r="D1646" s="37"/>
      <c r="E1646" s="37"/>
      <c r="F1646" s="37"/>
      <c r="G1646" s="70"/>
    </row>
    <row r="1647" spans="2:7" x14ac:dyDescent="0.25">
      <c r="B1647" s="37"/>
      <c r="C1647" s="37"/>
      <c r="D1647" s="37"/>
      <c r="E1647" s="37"/>
      <c r="F1647" s="37"/>
      <c r="G1647" s="70"/>
    </row>
    <row r="1648" spans="2:7" x14ac:dyDescent="0.25">
      <c r="B1648" s="37"/>
      <c r="C1648" s="37"/>
      <c r="D1648" s="37"/>
      <c r="E1648" s="37"/>
      <c r="F1648" s="37"/>
      <c r="G1648" s="70"/>
    </row>
    <row r="1649" spans="2:7" x14ac:dyDescent="0.25">
      <c r="B1649" s="37"/>
      <c r="C1649" s="37"/>
      <c r="D1649" s="37"/>
      <c r="E1649" s="37"/>
      <c r="F1649" s="37"/>
      <c r="G1649" s="70"/>
    </row>
    <row r="1650" spans="2:7" x14ac:dyDescent="0.25">
      <c r="B1650" s="37"/>
      <c r="C1650" s="37"/>
      <c r="D1650" s="37"/>
      <c r="E1650" s="37"/>
      <c r="F1650" s="37"/>
      <c r="G1650" s="70"/>
    </row>
    <row r="1651" spans="2:7" x14ac:dyDescent="0.25">
      <c r="B1651" s="37"/>
      <c r="C1651" s="37"/>
      <c r="D1651" s="37"/>
      <c r="E1651" s="37"/>
      <c r="F1651" s="37"/>
      <c r="G1651" s="70"/>
    </row>
    <row r="1652" spans="2:7" x14ac:dyDescent="0.25">
      <c r="B1652" s="37"/>
      <c r="C1652" s="37"/>
      <c r="D1652" s="37"/>
      <c r="E1652" s="37"/>
      <c r="F1652" s="37"/>
      <c r="G1652" s="70"/>
    </row>
    <row r="1653" spans="2:7" x14ac:dyDescent="0.25">
      <c r="B1653" s="37"/>
      <c r="C1653" s="37"/>
      <c r="D1653" s="37"/>
      <c r="E1653" s="37"/>
      <c r="F1653" s="37"/>
      <c r="G1653" s="70"/>
    </row>
    <row r="1654" spans="2:7" x14ac:dyDescent="0.25">
      <c r="B1654" s="37"/>
      <c r="C1654" s="37"/>
      <c r="D1654" s="37"/>
      <c r="E1654" s="37"/>
      <c r="F1654" s="37"/>
      <c r="G1654" s="70"/>
    </row>
    <row r="1655" spans="2:7" x14ac:dyDescent="0.25">
      <c r="B1655" s="37"/>
      <c r="C1655" s="37"/>
      <c r="D1655" s="37"/>
      <c r="E1655" s="37"/>
      <c r="F1655" s="37"/>
      <c r="G1655" s="70"/>
    </row>
    <row r="1656" spans="2:7" x14ac:dyDescent="0.25">
      <c r="B1656" s="37"/>
      <c r="C1656" s="37"/>
      <c r="D1656" s="37"/>
      <c r="E1656" s="37"/>
      <c r="F1656" s="37"/>
      <c r="G1656" s="70"/>
    </row>
    <row r="1657" spans="2:7" x14ac:dyDescent="0.25">
      <c r="B1657" s="37"/>
      <c r="C1657" s="37"/>
      <c r="D1657" s="37"/>
      <c r="E1657" s="37"/>
      <c r="F1657" s="37"/>
      <c r="G1657" s="70"/>
    </row>
    <row r="1658" spans="2:7" x14ac:dyDescent="0.25">
      <c r="B1658" s="37"/>
      <c r="C1658" s="37"/>
      <c r="D1658" s="37"/>
      <c r="E1658" s="37"/>
      <c r="F1658" s="37"/>
      <c r="G1658" s="70"/>
    </row>
    <row r="1659" spans="2:7" x14ac:dyDescent="0.25">
      <c r="B1659" s="37"/>
      <c r="C1659" s="37"/>
      <c r="D1659" s="37"/>
      <c r="E1659" s="37"/>
      <c r="F1659" s="37"/>
      <c r="G1659" s="70"/>
    </row>
    <row r="1660" spans="2:7" x14ac:dyDescent="0.25">
      <c r="B1660" s="37"/>
      <c r="C1660" s="37"/>
      <c r="D1660" s="37"/>
      <c r="E1660" s="37"/>
      <c r="F1660" s="37"/>
      <c r="G1660" s="70"/>
    </row>
    <row r="1661" spans="2:7" x14ac:dyDescent="0.25">
      <c r="B1661" s="37"/>
      <c r="C1661" s="37"/>
      <c r="D1661" s="37"/>
      <c r="E1661" s="37"/>
      <c r="F1661" s="37"/>
      <c r="G1661" s="70"/>
    </row>
    <row r="1662" spans="2:7" x14ac:dyDescent="0.25">
      <c r="B1662" s="37"/>
      <c r="C1662" s="37"/>
      <c r="D1662" s="37"/>
      <c r="E1662" s="37"/>
      <c r="F1662" s="37"/>
      <c r="G1662" s="70"/>
    </row>
    <row r="1663" spans="2:7" x14ac:dyDescent="0.25">
      <c r="B1663" s="37"/>
      <c r="C1663" s="37"/>
      <c r="D1663" s="37"/>
      <c r="E1663" s="37"/>
      <c r="F1663" s="37"/>
      <c r="G1663" s="70"/>
    </row>
    <row r="1664" spans="2:7" x14ac:dyDescent="0.25">
      <c r="B1664" s="37"/>
      <c r="C1664" s="37"/>
      <c r="D1664" s="37"/>
      <c r="E1664" s="37"/>
      <c r="F1664" s="37"/>
      <c r="G1664" s="70"/>
    </row>
    <row r="1665" spans="2:7" x14ac:dyDescent="0.25">
      <c r="B1665" s="37"/>
      <c r="C1665" s="37"/>
      <c r="D1665" s="37"/>
      <c r="E1665" s="37"/>
      <c r="F1665" s="37"/>
      <c r="G1665" s="70"/>
    </row>
    <row r="1666" spans="2:7" x14ac:dyDescent="0.25">
      <c r="B1666" s="37"/>
      <c r="C1666" s="37"/>
      <c r="D1666" s="37"/>
      <c r="E1666" s="37"/>
      <c r="F1666" s="37"/>
      <c r="G1666" s="70"/>
    </row>
    <row r="1667" spans="2:7" x14ac:dyDescent="0.25">
      <c r="B1667" s="37"/>
      <c r="C1667" s="37"/>
      <c r="D1667" s="37"/>
      <c r="E1667" s="37"/>
      <c r="F1667" s="37"/>
      <c r="G1667" s="70"/>
    </row>
    <row r="1668" spans="2:7" x14ac:dyDescent="0.25">
      <c r="B1668" s="37"/>
      <c r="C1668" s="37"/>
      <c r="D1668" s="37"/>
      <c r="E1668" s="37"/>
      <c r="F1668" s="37"/>
      <c r="G1668" s="70"/>
    </row>
    <row r="1669" spans="2:7" x14ac:dyDescent="0.25">
      <c r="B1669" s="37"/>
      <c r="C1669" s="37"/>
      <c r="D1669" s="37"/>
      <c r="E1669" s="37"/>
      <c r="F1669" s="37"/>
      <c r="G1669" s="70"/>
    </row>
    <row r="1670" spans="2:7" x14ac:dyDescent="0.25">
      <c r="B1670" s="37"/>
      <c r="C1670" s="37"/>
      <c r="D1670" s="37"/>
      <c r="E1670" s="37"/>
      <c r="F1670" s="37"/>
      <c r="G1670" s="70"/>
    </row>
    <row r="1671" spans="2:7" x14ac:dyDescent="0.25">
      <c r="B1671" s="37"/>
      <c r="C1671" s="37"/>
      <c r="D1671" s="37"/>
      <c r="E1671" s="37"/>
      <c r="F1671" s="37"/>
      <c r="G1671" s="70"/>
    </row>
    <row r="1672" spans="2:7" x14ac:dyDescent="0.25">
      <c r="B1672" s="37"/>
      <c r="C1672" s="37"/>
      <c r="D1672" s="37"/>
      <c r="E1672" s="37"/>
      <c r="F1672" s="37"/>
      <c r="G1672" s="70"/>
    </row>
    <row r="1673" spans="2:7" x14ac:dyDescent="0.25">
      <c r="B1673" s="37"/>
      <c r="C1673" s="37"/>
      <c r="D1673" s="37"/>
      <c r="E1673" s="37"/>
      <c r="F1673" s="37"/>
      <c r="G1673" s="70"/>
    </row>
    <row r="1674" spans="2:7" x14ac:dyDescent="0.25">
      <c r="B1674" s="37"/>
      <c r="C1674" s="37"/>
      <c r="D1674" s="37"/>
      <c r="E1674" s="37"/>
      <c r="F1674" s="37"/>
      <c r="G1674" s="70"/>
    </row>
    <row r="1675" spans="2:7" x14ac:dyDescent="0.25">
      <c r="B1675" s="37"/>
      <c r="C1675" s="37"/>
      <c r="D1675" s="37"/>
      <c r="E1675" s="37"/>
      <c r="F1675" s="37"/>
      <c r="G1675" s="70"/>
    </row>
    <row r="1676" spans="2:7" x14ac:dyDescent="0.25">
      <c r="B1676" s="37"/>
      <c r="C1676" s="37"/>
      <c r="D1676" s="37"/>
      <c r="E1676" s="37"/>
      <c r="F1676" s="37"/>
      <c r="G1676" s="70"/>
    </row>
    <row r="1677" spans="2:7" x14ac:dyDescent="0.25">
      <c r="B1677" s="37"/>
      <c r="C1677" s="37"/>
      <c r="D1677" s="37"/>
      <c r="E1677" s="37"/>
      <c r="F1677" s="37"/>
      <c r="G1677" s="70"/>
    </row>
    <row r="1678" spans="2:7" x14ac:dyDescent="0.25">
      <c r="B1678" s="37"/>
      <c r="C1678" s="37"/>
      <c r="D1678" s="37"/>
      <c r="E1678" s="37"/>
      <c r="F1678" s="37"/>
      <c r="G1678" s="70"/>
    </row>
    <row r="1679" spans="2:7" x14ac:dyDescent="0.25">
      <c r="B1679" s="37"/>
      <c r="C1679" s="37"/>
      <c r="D1679" s="37"/>
      <c r="E1679" s="37"/>
      <c r="F1679" s="37"/>
      <c r="G1679" s="70"/>
    </row>
    <row r="1680" spans="2:7" x14ac:dyDescent="0.25">
      <c r="B1680" s="37"/>
      <c r="C1680" s="37"/>
      <c r="D1680" s="37"/>
      <c r="E1680" s="37"/>
      <c r="F1680" s="37"/>
      <c r="G1680" s="70"/>
    </row>
    <row r="1681" spans="2:7" x14ac:dyDescent="0.25">
      <c r="B1681" s="37"/>
      <c r="C1681" s="37"/>
      <c r="D1681" s="37"/>
      <c r="E1681" s="37"/>
      <c r="F1681" s="37"/>
      <c r="G1681" s="70"/>
    </row>
    <row r="1682" spans="2:7" x14ac:dyDescent="0.25">
      <c r="B1682" s="37"/>
      <c r="C1682" s="37"/>
      <c r="D1682" s="37"/>
      <c r="E1682" s="37"/>
      <c r="F1682" s="37"/>
      <c r="G1682" s="70"/>
    </row>
    <row r="1683" spans="2:7" x14ac:dyDescent="0.25">
      <c r="B1683" s="37"/>
      <c r="C1683" s="37"/>
      <c r="D1683" s="37"/>
      <c r="E1683" s="37"/>
      <c r="F1683" s="37"/>
      <c r="G1683" s="70"/>
    </row>
    <row r="1684" spans="2:7" x14ac:dyDescent="0.25">
      <c r="B1684" s="37"/>
      <c r="C1684" s="37"/>
      <c r="D1684" s="37"/>
      <c r="E1684" s="37"/>
      <c r="F1684" s="37"/>
      <c r="G1684" s="70"/>
    </row>
    <row r="1685" spans="2:7" x14ac:dyDescent="0.25">
      <c r="B1685" s="37"/>
      <c r="C1685" s="37"/>
      <c r="D1685" s="37"/>
      <c r="E1685" s="37"/>
      <c r="F1685" s="37"/>
      <c r="G1685" s="70"/>
    </row>
    <row r="1686" spans="2:7" x14ac:dyDescent="0.25">
      <c r="B1686" s="37"/>
      <c r="C1686" s="37"/>
      <c r="D1686" s="37"/>
      <c r="E1686" s="37"/>
      <c r="F1686" s="37"/>
      <c r="G1686" s="70"/>
    </row>
    <row r="1687" spans="2:7" x14ac:dyDescent="0.25">
      <c r="B1687" s="37"/>
      <c r="C1687" s="37"/>
      <c r="D1687" s="37"/>
      <c r="E1687" s="37"/>
      <c r="F1687" s="37"/>
      <c r="G1687" s="70"/>
    </row>
    <row r="1688" spans="2:7" x14ac:dyDescent="0.25">
      <c r="B1688" s="37"/>
      <c r="C1688" s="37"/>
      <c r="D1688" s="37"/>
      <c r="E1688" s="37"/>
      <c r="F1688" s="37"/>
      <c r="G1688" s="70"/>
    </row>
    <row r="1689" spans="2:7" x14ac:dyDescent="0.25">
      <c r="B1689" s="37"/>
      <c r="C1689" s="37"/>
      <c r="D1689" s="37"/>
      <c r="E1689" s="37"/>
      <c r="F1689" s="37"/>
      <c r="G1689" s="70"/>
    </row>
    <row r="1690" spans="2:7" x14ac:dyDescent="0.25">
      <c r="B1690" s="37"/>
      <c r="C1690" s="37"/>
      <c r="D1690" s="37"/>
      <c r="E1690" s="37"/>
      <c r="F1690" s="37"/>
      <c r="G1690" s="70"/>
    </row>
    <row r="1691" spans="2:7" x14ac:dyDescent="0.25">
      <c r="B1691" s="37"/>
      <c r="C1691" s="37"/>
      <c r="D1691" s="37"/>
      <c r="E1691" s="37"/>
      <c r="F1691" s="37"/>
      <c r="G1691" s="70"/>
    </row>
    <row r="1692" spans="2:7" x14ac:dyDescent="0.25">
      <c r="B1692" s="37"/>
      <c r="C1692" s="37"/>
      <c r="D1692" s="37"/>
      <c r="E1692" s="37"/>
      <c r="F1692" s="37"/>
      <c r="G1692" s="70"/>
    </row>
    <row r="1693" spans="2:7" x14ac:dyDescent="0.25">
      <c r="B1693" s="37"/>
      <c r="C1693" s="37"/>
      <c r="D1693" s="37"/>
      <c r="E1693" s="37"/>
      <c r="F1693" s="37"/>
      <c r="G1693" s="70"/>
    </row>
    <row r="1694" spans="2:7" x14ac:dyDescent="0.25">
      <c r="B1694" s="37"/>
      <c r="C1694" s="37"/>
      <c r="D1694" s="37"/>
      <c r="E1694" s="37"/>
      <c r="F1694" s="37"/>
      <c r="G1694" s="70"/>
    </row>
    <row r="1695" spans="2:7" x14ac:dyDescent="0.25">
      <c r="B1695" s="37"/>
      <c r="C1695" s="37"/>
      <c r="D1695" s="37"/>
      <c r="E1695" s="37"/>
      <c r="F1695" s="37"/>
      <c r="G1695" s="70"/>
    </row>
    <row r="1696" spans="2:7" x14ac:dyDescent="0.25">
      <c r="B1696" s="37"/>
      <c r="C1696" s="37"/>
      <c r="D1696" s="37"/>
      <c r="E1696" s="37"/>
      <c r="F1696" s="37"/>
      <c r="G1696" s="70"/>
    </row>
    <row r="1697" spans="2:7" x14ac:dyDescent="0.25">
      <c r="B1697" s="37"/>
      <c r="C1697" s="37"/>
      <c r="D1697" s="37"/>
      <c r="E1697" s="37"/>
      <c r="F1697" s="37"/>
      <c r="G1697" s="70"/>
    </row>
    <row r="1698" spans="2:7" x14ac:dyDescent="0.25">
      <c r="B1698" s="37"/>
      <c r="C1698" s="37"/>
      <c r="D1698" s="37"/>
      <c r="E1698" s="37"/>
      <c r="F1698" s="37"/>
      <c r="G1698" s="70"/>
    </row>
    <row r="1699" spans="2:7" x14ac:dyDescent="0.25">
      <c r="B1699" s="37"/>
      <c r="C1699" s="37"/>
      <c r="D1699" s="37"/>
      <c r="E1699" s="37"/>
      <c r="F1699" s="37"/>
      <c r="G1699" s="70"/>
    </row>
    <row r="1700" spans="2:7" x14ac:dyDescent="0.25">
      <c r="B1700" s="37"/>
      <c r="C1700" s="37"/>
      <c r="D1700" s="37"/>
      <c r="E1700" s="37"/>
      <c r="F1700" s="37"/>
      <c r="G1700" s="70"/>
    </row>
    <row r="1701" spans="2:7" x14ac:dyDescent="0.25">
      <c r="B1701" s="37"/>
      <c r="C1701" s="37"/>
      <c r="D1701" s="37"/>
      <c r="E1701" s="37"/>
      <c r="F1701" s="37"/>
      <c r="G1701" s="70"/>
    </row>
    <row r="1702" spans="2:7" x14ac:dyDescent="0.25">
      <c r="B1702" s="37"/>
      <c r="C1702" s="37"/>
      <c r="D1702" s="37"/>
      <c r="E1702" s="37"/>
      <c r="F1702" s="37"/>
      <c r="G1702" s="70"/>
    </row>
    <row r="1703" spans="2:7" x14ac:dyDescent="0.25">
      <c r="B1703" s="37"/>
      <c r="C1703" s="37"/>
      <c r="D1703" s="37"/>
      <c r="E1703" s="37"/>
      <c r="F1703" s="37"/>
      <c r="G1703" s="70"/>
    </row>
    <row r="1704" spans="2:7" x14ac:dyDescent="0.25">
      <c r="B1704" s="37"/>
      <c r="C1704" s="37"/>
      <c r="D1704" s="37"/>
      <c r="E1704" s="37"/>
      <c r="F1704" s="37"/>
      <c r="G1704" s="70"/>
    </row>
    <row r="1705" spans="2:7" x14ac:dyDescent="0.25">
      <c r="B1705" s="37"/>
      <c r="C1705" s="37"/>
      <c r="D1705" s="37"/>
      <c r="E1705" s="37"/>
      <c r="F1705" s="37"/>
      <c r="G1705" s="70"/>
    </row>
    <row r="1706" spans="2:7" x14ac:dyDescent="0.25">
      <c r="B1706" s="37"/>
      <c r="C1706" s="37"/>
      <c r="D1706" s="37"/>
      <c r="E1706" s="37"/>
      <c r="F1706" s="37"/>
      <c r="G1706" s="70"/>
    </row>
    <row r="1707" spans="2:7" x14ac:dyDescent="0.25">
      <c r="B1707" s="37"/>
      <c r="C1707" s="37"/>
      <c r="D1707" s="37"/>
      <c r="E1707" s="37"/>
      <c r="F1707" s="37"/>
      <c r="G1707" s="70"/>
    </row>
    <row r="1708" spans="2:7" x14ac:dyDescent="0.25">
      <c r="B1708" s="37"/>
      <c r="C1708" s="37"/>
      <c r="D1708" s="37"/>
      <c r="E1708" s="37"/>
      <c r="F1708" s="37"/>
      <c r="G1708" s="70"/>
    </row>
    <row r="1709" spans="2:7" x14ac:dyDescent="0.25">
      <c r="B1709" s="37"/>
      <c r="C1709" s="37"/>
      <c r="D1709" s="37"/>
      <c r="E1709" s="37"/>
      <c r="F1709" s="37"/>
      <c r="G1709" s="70"/>
    </row>
    <row r="1710" spans="2:7" x14ac:dyDescent="0.25">
      <c r="B1710" s="37"/>
      <c r="C1710" s="37"/>
      <c r="D1710" s="37"/>
      <c r="E1710" s="37"/>
      <c r="F1710" s="37"/>
      <c r="G1710" s="70"/>
    </row>
    <row r="1711" spans="2:7" x14ac:dyDescent="0.25">
      <c r="B1711" s="37"/>
      <c r="C1711" s="37"/>
      <c r="D1711" s="37"/>
      <c r="E1711" s="37"/>
      <c r="F1711" s="37"/>
      <c r="G1711" s="70"/>
    </row>
    <row r="1712" spans="2:7" x14ac:dyDescent="0.25">
      <c r="B1712" s="37"/>
      <c r="C1712" s="37"/>
      <c r="D1712" s="37"/>
      <c r="E1712" s="37"/>
      <c r="F1712" s="37"/>
      <c r="G1712" s="70"/>
    </row>
    <row r="1713" spans="2:7" x14ac:dyDescent="0.25">
      <c r="B1713" s="37"/>
      <c r="C1713" s="37"/>
      <c r="D1713" s="37"/>
      <c r="E1713" s="37"/>
      <c r="F1713" s="37"/>
      <c r="G1713" s="70"/>
    </row>
    <row r="1714" spans="2:7" x14ac:dyDescent="0.25">
      <c r="B1714" s="37"/>
      <c r="C1714" s="37"/>
      <c r="D1714" s="37"/>
      <c r="E1714" s="37"/>
      <c r="F1714" s="37"/>
      <c r="G1714" s="70"/>
    </row>
    <row r="1715" spans="2:7" x14ac:dyDescent="0.25">
      <c r="B1715" s="37"/>
      <c r="C1715" s="37"/>
      <c r="D1715" s="37"/>
      <c r="E1715" s="37"/>
      <c r="F1715" s="37"/>
      <c r="G1715" s="70"/>
    </row>
    <row r="1716" spans="2:7" x14ac:dyDescent="0.25">
      <c r="B1716" s="37"/>
      <c r="C1716" s="37"/>
      <c r="D1716" s="37"/>
      <c r="E1716" s="37"/>
      <c r="F1716" s="37"/>
      <c r="G1716" s="70"/>
    </row>
    <row r="1717" spans="2:7" x14ac:dyDescent="0.25">
      <c r="B1717" s="37"/>
      <c r="C1717" s="37"/>
      <c r="D1717" s="37"/>
      <c r="E1717" s="37"/>
      <c r="F1717" s="37"/>
      <c r="G1717" s="70"/>
    </row>
    <row r="1718" spans="2:7" x14ac:dyDescent="0.25">
      <c r="B1718" s="37"/>
      <c r="C1718" s="37"/>
      <c r="D1718" s="37"/>
      <c r="E1718" s="37"/>
      <c r="F1718" s="37"/>
      <c r="G1718" s="70"/>
    </row>
    <row r="1719" spans="2:7" x14ac:dyDescent="0.25">
      <c r="B1719" s="37"/>
      <c r="C1719" s="37"/>
      <c r="D1719" s="37"/>
      <c r="E1719" s="37"/>
      <c r="F1719" s="37"/>
      <c r="G1719" s="70"/>
    </row>
    <row r="1720" spans="2:7" x14ac:dyDescent="0.25">
      <c r="B1720" s="37"/>
      <c r="C1720" s="37"/>
      <c r="D1720" s="37"/>
      <c r="E1720" s="37"/>
      <c r="F1720" s="37"/>
      <c r="G1720" s="70"/>
    </row>
    <row r="1721" spans="2:7" x14ac:dyDescent="0.25">
      <c r="B1721" s="37"/>
      <c r="C1721" s="37"/>
      <c r="D1721" s="37"/>
      <c r="E1721" s="37"/>
      <c r="F1721" s="37"/>
      <c r="G1721" s="70"/>
    </row>
    <row r="1722" spans="2:7" x14ac:dyDescent="0.25">
      <c r="B1722" s="37"/>
      <c r="C1722" s="37"/>
      <c r="D1722" s="37"/>
      <c r="E1722" s="37"/>
      <c r="F1722" s="37"/>
      <c r="G1722" s="70"/>
    </row>
    <row r="1723" spans="2:7" x14ac:dyDescent="0.25">
      <c r="B1723" s="37"/>
      <c r="C1723" s="37"/>
      <c r="D1723" s="37"/>
      <c r="E1723" s="37"/>
      <c r="F1723" s="37"/>
      <c r="G1723" s="70"/>
    </row>
    <row r="1724" spans="2:7" x14ac:dyDescent="0.25">
      <c r="B1724" s="37"/>
      <c r="C1724" s="37"/>
      <c r="D1724" s="37"/>
      <c r="E1724" s="37"/>
      <c r="F1724" s="37"/>
      <c r="G1724" s="70"/>
    </row>
    <row r="1725" spans="2:7" x14ac:dyDescent="0.25">
      <c r="B1725" s="37"/>
      <c r="C1725" s="37"/>
      <c r="D1725" s="37"/>
      <c r="E1725" s="37"/>
      <c r="F1725" s="37"/>
      <c r="G1725" s="70"/>
    </row>
    <row r="1726" spans="2:7" x14ac:dyDescent="0.25">
      <c r="B1726" s="37"/>
      <c r="C1726" s="37"/>
      <c r="D1726" s="37"/>
      <c r="E1726" s="37"/>
      <c r="F1726" s="37"/>
      <c r="G1726" s="70"/>
    </row>
    <row r="1727" spans="2:7" x14ac:dyDescent="0.25">
      <c r="B1727" s="37"/>
      <c r="C1727" s="37"/>
      <c r="D1727" s="37"/>
      <c r="E1727" s="37"/>
      <c r="F1727" s="37"/>
      <c r="G1727" s="70"/>
    </row>
    <row r="1728" spans="2:7" x14ac:dyDescent="0.25">
      <c r="B1728" s="37"/>
      <c r="C1728" s="37"/>
      <c r="D1728" s="37"/>
      <c r="E1728" s="37"/>
      <c r="F1728" s="37"/>
      <c r="G1728" s="70"/>
    </row>
    <row r="1729" spans="2:7" x14ac:dyDescent="0.25">
      <c r="B1729" s="37"/>
      <c r="C1729" s="37"/>
      <c r="D1729" s="37"/>
      <c r="E1729" s="37"/>
      <c r="F1729" s="37"/>
      <c r="G1729" s="70"/>
    </row>
    <row r="1730" spans="2:7" x14ac:dyDescent="0.25">
      <c r="B1730" s="37"/>
      <c r="C1730" s="37"/>
      <c r="D1730" s="37"/>
      <c r="E1730" s="37"/>
      <c r="F1730" s="37"/>
      <c r="G1730" s="70"/>
    </row>
    <row r="1731" spans="2:7" x14ac:dyDescent="0.25">
      <c r="B1731" s="37"/>
      <c r="C1731" s="37"/>
      <c r="D1731" s="37"/>
      <c r="E1731" s="37"/>
      <c r="F1731" s="37"/>
      <c r="G1731" s="70"/>
    </row>
    <row r="1732" spans="2:7" x14ac:dyDescent="0.25">
      <c r="B1732" s="37"/>
      <c r="C1732" s="37"/>
      <c r="D1732" s="37"/>
      <c r="E1732" s="37"/>
      <c r="F1732" s="37"/>
      <c r="G1732" s="70"/>
    </row>
    <row r="1733" spans="2:7" x14ac:dyDescent="0.25">
      <c r="B1733" s="37"/>
      <c r="C1733" s="37"/>
      <c r="D1733" s="37"/>
      <c r="E1733" s="37"/>
      <c r="F1733" s="37"/>
      <c r="G1733" s="70"/>
    </row>
    <row r="1734" spans="2:7" x14ac:dyDescent="0.25">
      <c r="B1734" s="37"/>
      <c r="C1734" s="37"/>
      <c r="D1734" s="37"/>
      <c r="E1734" s="37"/>
      <c r="F1734" s="37"/>
      <c r="G1734" s="70"/>
    </row>
    <row r="1735" spans="2:7" x14ac:dyDescent="0.25">
      <c r="B1735" s="37"/>
      <c r="C1735" s="37"/>
      <c r="D1735" s="37"/>
      <c r="E1735" s="37"/>
      <c r="F1735" s="37"/>
      <c r="G1735" s="70"/>
    </row>
    <row r="1736" spans="2:7" x14ac:dyDescent="0.25">
      <c r="B1736" s="37"/>
      <c r="C1736" s="37"/>
      <c r="D1736" s="37"/>
      <c r="E1736" s="37"/>
      <c r="F1736" s="37"/>
      <c r="G1736" s="70"/>
    </row>
    <row r="1737" spans="2:7" x14ac:dyDescent="0.25">
      <c r="B1737" s="37"/>
      <c r="C1737" s="37"/>
      <c r="D1737" s="37"/>
      <c r="E1737" s="37"/>
      <c r="F1737" s="37"/>
      <c r="G1737" s="70"/>
    </row>
    <row r="1738" spans="2:7" x14ac:dyDescent="0.25">
      <c r="B1738" s="37"/>
      <c r="C1738" s="37"/>
      <c r="D1738" s="37"/>
      <c r="E1738" s="37"/>
      <c r="F1738" s="37"/>
      <c r="G1738" s="70"/>
    </row>
    <row r="1739" spans="2:7" x14ac:dyDescent="0.25">
      <c r="B1739" s="37"/>
      <c r="C1739" s="37"/>
      <c r="D1739" s="37"/>
      <c r="E1739" s="37"/>
      <c r="F1739" s="37"/>
      <c r="G1739" s="70"/>
    </row>
    <row r="1740" spans="2:7" x14ac:dyDescent="0.25">
      <c r="B1740" s="37"/>
      <c r="C1740" s="37"/>
      <c r="D1740" s="37"/>
      <c r="E1740" s="37"/>
      <c r="F1740" s="37"/>
      <c r="G1740" s="70"/>
    </row>
    <row r="1741" spans="2:7" x14ac:dyDescent="0.25">
      <c r="B1741" s="37"/>
      <c r="C1741" s="37"/>
      <c r="D1741" s="37"/>
      <c r="E1741" s="37"/>
      <c r="F1741" s="37"/>
      <c r="G1741" s="70"/>
    </row>
    <row r="1742" spans="2:7" x14ac:dyDescent="0.25">
      <c r="B1742" s="37"/>
      <c r="C1742" s="37"/>
      <c r="D1742" s="37"/>
      <c r="E1742" s="37"/>
      <c r="F1742" s="37"/>
      <c r="G1742" s="70"/>
    </row>
    <row r="1743" spans="2:7" x14ac:dyDescent="0.25">
      <c r="B1743" s="37"/>
      <c r="C1743" s="37"/>
      <c r="D1743" s="37"/>
      <c r="E1743" s="37"/>
      <c r="F1743" s="37"/>
      <c r="G1743" s="70"/>
    </row>
    <row r="1744" spans="2:7" x14ac:dyDescent="0.25">
      <c r="B1744" s="37"/>
      <c r="C1744" s="37"/>
      <c r="D1744" s="37"/>
      <c r="E1744" s="37"/>
      <c r="F1744" s="37"/>
      <c r="G1744" s="70"/>
    </row>
    <row r="1745" spans="2:7" x14ac:dyDescent="0.25">
      <c r="B1745" s="37"/>
      <c r="C1745" s="37"/>
      <c r="D1745" s="37"/>
      <c r="E1745" s="37"/>
      <c r="F1745" s="37"/>
      <c r="G1745" s="70"/>
    </row>
    <row r="1746" spans="2:7" x14ac:dyDescent="0.25">
      <c r="B1746" s="37"/>
      <c r="C1746" s="37"/>
      <c r="D1746" s="37"/>
      <c r="E1746" s="37"/>
      <c r="F1746" s="37"/>
      <c r="G1746" s="70"/>
    </row>
    <row r="1747" spans="2:7" x14ac:dyDescent="0.25">
      <c r="B1747" s="37"/>
      <c r="C1747" s="37"/>
      <c r="D1747" s="37"/>
      <c r="E1747" s="37"/>
      <c r="F1747" s="37"/>
      <c r="G1747" s="70"/>
    </row>
    <row r="1748" spans="2:7" x14ac:dyDescent="0.25">
      <c r="B1748" s="37"/>
      <c r="C1748" s="37"/>
      <c r="D1748" s="37"/>
      <c r="E1748" s="37"/>
      <c r="F1748" s="37"/>
      <c r="G1748" s="70"/>
    </row>
    <row r="1749" spans="2:7" x14ac:dyDescent="0.25">
      <c r="B1749" s="37"/>
      <c r="C1749" s="37"/>
      <c r="D1749" s="37"/>
      <c r="E1749" s="37"/>
      <c r="F1749" s="37"/>
      <c r="G1749" s="70"/>
    </row>
    <row r="1750" spans="2:7" x14ac:dyDescent="0.25">
      <c r="B1750" s="37"/>
      <c r="C1750" s="37"/>
      <c r="D1750" s="37"/>
      <c r="E1750" s="37"/>
      <c r="F1750" s="37"/>
      <c r="G1750" s="70"/>
    </row>
    <row r="1751" spans="2:7" x14ac:dyDescent="0.25">
      <c r="B1751" s="37"/>
      <c r="C1751" s="37"/>
      <c r="D1751" s="37"/>
      <c r="E1751" s="37"/>
      <c r="F1751" s="37"/>
      <c r="G1751" s="70"/>
    </row>
    <row r="1752" spans="2:7" x14ac:dyDescent="0.25">
      <c r="B1752" s="37"/>
      <c r="C1752" s="37"/>
      <c r="D1752" s="37"/>
      <c r="E1752" s="37"/>
      <c r="F1752" s="37"/>
      <c r="G1752" s="70"/>
    </row>
    <row r="1753" spans="2:7" x14ac:dyDescent="0.25">
      <c r="B1753" s="37"/>
      <c r="C1753" s="37"/>
      <c r="D1753" s="37"/>
      <c r="E1753" s="37"/>
      <c r="F1753" s="37"/>
      <c r="G1753" s="70"/>
    </row>
    <row r="1754" spans="2:7" x14ac:dyDescent="0.25">
      <c r="B1754" s="37"/>
      <c r="C1754" s="37"/>
      <c r="D1754" s="37"/>
      <c r="E1754" s="37"/>
      <c r="F1754" s="37"/>
      <c r="G1754" s="70"/>
    </row>
    <row r="1755" spans="2:7" x14ac:dyDescent="0.25">
      <c r="B1755" s="37"/>
      <c r="C1755" s="37"/>
      <c r="D1755" s="37"/>
      <c r="E1755" s="37"/>
      <c r="F1755" s="37"/>
      <c r="G1755" s="70"/>
    </row>
    <row r="1756" spans="2:7" x14ac:dyDescent="0.25">
      <c r="B1756" s="37"/>
      <c r="C1756" s="37"/>
      <c r="D1756" s="37"/>
      <c r="E1756" s="37"/>
      <c r="F1756" s="37"/>
      <c r="G1756" s="70"/>
    </row>
    <row r="1757" spans="2:7" x14ac:dyDescent="0.25">
      <c r="B1757" s="37"/>
      <c r="C1757" s="37"/>
      <c r="D1757" s="37"/>
      <c r="E1757" s="37"/>
      <c r="F1757" s="37"/>
      <c r="G1757" s="70"/>
    </row>
    <row r="1758" spans="2:7" x14ac:dyDescent="0.25">
      <c r="B1758" s="37"/>
      <c r="C1758" s="37"/>
      <c r="D1758" s="37"/>
      <c r="E1758" s="37"/>
      <c r="F1758" s="37"/>
      <c r="G1758" s="70"/>
    </row>
    <row r="1759" spans="2:7" x14ac:dyDescent="0.25">
      <c r="B1759" s="37"/>
      <c r="C1759" s="37"/>
      <c r="D1759" s="37"/>
      <c r="E1759" s="37"/>
      <c r="F1759" s="37"/>
      <c r="G1759" s="70"/>
    </row>
    <row r="1760" spans="2:7" x14ac:dyDescent="0.25">
      <c r="B1760" s="37"/>
      <c r="C1760" s="37"/>
      <c r="D1760" s="37"/>
      <c r="E1760" s="37"/>
      <c r="F1760" s="37"/>
      <c r="G1760" s="70"/>
    </row>
    <row r="1761" spans="2:7" x14ac:dyDescent="0.25">
      <c r="B1761" s="37"/>
      <c r="C1761" s="37"/>
      <c r="D1761" s="37"/>
      <c r="E1761" s="37"/>
      <c r="F1761" s="37"/>
      <c r="G1761" s="70"/>
    </row>
    <row r="1762" spans="2:7" x14ac:dyDescent="0.25">
      <c r="B1762" s="37"/>
      <c r="C1762" s="37"/>
      <c r="D1762" s="37"/>
      <c r="E1762" s="37"/>
      <c r="F1762" s="37"/>
      <c r="G1762" s="70"/>
    </row>
    <row r="1763" spans="2:7" x14ac:dyDescent="0.25">
      <c r="B1763" s="37"/>
      <c r="C1763" s="37"/>
      <c r="D1763" s="37"/>
      <c r="E1763" s="37"/>
      <c r="F1763" s="37"/>
      <c r="G1763" s="70"/>
    </row>
    <row r="1764" spans="2:7" x14ac:dyDescent="0.25">
      <c r="B1764" s="37"/>
      <c r="C1764" s="37"/>
      <c r="D1764" s="37"/>
      <c r="E1764" s="37"/>
      <c r="F1764" s="37"/>
      <c r="G1764" s="70"/>
    </row>
    <row r="1765" spans="2:7" x14ac:dyDescent="0.25">
      <c r="B1765" s="37"/>
      <c r="C1765" s="37"/>
      <c r="D1765" s="37"/>
      <c r="E1765" s="37"/>
      <c r="F1765" s="37"/>
      <c r="G1765" s="70"/>
    </row>
    <row r="1766" spans="2:7" x14ac:dyDescent="0.25">
      <c r="B1766" s="37"/>
      <c r="C1766" s="37"/>
      <c r="D1766" s="37"/>
      <c r="E1766" s="37"/>
      <c r="F1766" s="37"/>
      <c r="G1766" s="70"/>
    </row>
    <row r="1767" spans="2:7" x14ac:dyDescent="0.25">
      <c r="B1767" s="37"/>
      <c r="C1767" s="37"/>
      <c r="D1767" s="37"/>
      <c r="E1767" s="37"/>
      <c r="F1767" s="37"/>
      <c r="G1767" s="70"/>
    </row>
    <row r="1768" spans="2:7" x14ac:dyDescent="0.25">
      <c r="B1768" s="37"/>
      <c r="C1768" s="37"/>
      <c r="D1768" s="37"/>
      <c r="E1768" s="37"/>
      <c r="F1768" s="37"/>
      <c r="G1768" s="70"/>
    </row>
    <row r="1769" spans="2:7" x14ac:dyDescent="0.25">
      <c r="B1769" s="37"/>
      <c r="C1769" s="37"/>
      <c r="D1769" s="37"/>
      <c r="E1769" s="37"/>
      <c r="F1769" s="37"/>
      <c r="G1769" s="70"/>
    </row>
    <row r="1770" spans="2:7" x14ac:dyDescent="0.25">
      <c r="B1770" s="37"/>
      <c r="C1770" s="37"/>
      <c r="D1770" s="37"/>
      <c r="E1770" s="37"/>
      <c r="F1770" s="37"/>
      <c r="G1770" s="70"/>
    </row>
    <row r="1771" spans="2:7" x14ac:dyDescent="0.25">
      <c r="B1771" s="37"/>
      <c r="C1771" s="37"/>
      <c r="D1771" s="37"/>
      <c r="E1771" s="37"/>
      <c r="F1771" s="37"/>
      <c r="G1771" s="70"/>
    </row>
    <row r="1772" spans="2:7" x14ac:dyDescent="0.25">
      <c r="B1772" s="37"/>
      <c r="C1772" s="37"/>
      <c r="D1772" s="37"/>
      <c r="E1772" s="37"/>
      <c r="F1772" s="37"/>
      <c r="G1772" s="70"/>
    </row>
    <row r="1773" spans="2:7" x14ac:dyDescent="0.25">
      <c r="B1773" s="37"/>
      <c r="C1773" s="37"/>
      <c r="D1773" s="37"/>
      <c r="E1773" s="37"/>
      <c r="F1773" s="37"/>
      <c r="G1773" s="70"/>
    </row>
    <row r="1774" spans="2:7" x14ac:dyDescent="0.25">
      <c r="B1774" s="37"/>
      <c r="C1774" s="37"/>
      <c r="D1774" s="37"/>
      <c r="E1774" s="37"/>
      <c r="F1774" s="37"/>
      <c r="G1774" s="70"/>
    </row>
    <row r="1775" spans="2:7" x14ac:dyDescent="0.25">
      <c r="B1775" s="37"/>
      <c r="C1775" s="37"/>
      <c r="D1775" s="37"/>
      <c r="E1775" s="37"/>
      <c r="F1775" s="37"/>
      <c r="G1775" s="70"/>
    </row>
    <row r="1776" spans="2:7" x14ac:dyDescent="0.25">
      <c r="B1776" s="37"/>
      <c r="C1776" s="37"/>
      <c r="D1776" s="37"/>
      <c r="E1776" s="37"/>
      <c r="F1776" s="37"/>
      <c r="G1776" s="70"/>
    </row>
    <row r="1777" spans="2:7" x14ac:dyDescent="0.25">
      <c r="B1777" s="37"/>
      <c r="C1777" s="37"/>
      <c r="D1777" s="37"/>
      <c r="E1777" s="37"/>
      <c r="F1777" s="37"/>
      <c r="G1777" s="70"/>
    </row>
    <row r="1778" spans="2:7" x14ac:dyDescent="0.25">
      <c r="B1778" s="37"/>
      <c r="C1778" s="37"/>
      <c r="D1778" s="37"/>
      <c r="E1778" s="37"/>
      <c r="F1778" s="37"/>
      <c r="G1778" s="70"/>
    </row>
    <row r="1779" spans="2:7" x14ac:dyDescent="0.25">
      <c r="B1779" s="37"/>
      <c r="C1779" s="37"/>
      <c r="D1779" s="37"/>
      <c r="E1779" s="37"/>
      <c r="F1779" s="37"/>
      <c r="G1779" s="70"/>
    </row>
    <row r="1780" spans="2:7" x14ac:dyDescent="0.25">
      <c r="B1780" s="37"/>
      <c r="C1780" s="37"/>
      <c r="D1780" s="37"/>
      <c r="E1780" s="37"/>
      <c r="F1780" s="37"/>
      <c r="G1780" s="70"/>
    </row>
    <row r="1781" spans="2:7" x14ac:dyDescent="0.25">
      <c r="B1781" s="37"/>
      <c r="C1781" s="37"/>
      <c r="D1781" s="37"/>
      <c r="E1781" s="37"/>
      <c r="F1781" s="37"/>
      <c r="G1781" s="70"/>
    </row>
    <row r="1782" spans="2:7" x14ac:dyDescent="0.25">
      <c r="B1782" s="37"/>
      <c r="C1782" s="37"/>
      <c r="D1782" s="37"/>
      <c r="E1782" s="37"/>
      <c r="F1782" s="37"/>
      <c r="G1782" s="70"/>
    </row>
    <row r="1783" spans="2:7" x14ac:dyDescent="0.25">
      <c r="B1783" s="37"/>
      <c r="C1783" s="37"/>
      <c r="D1783" s="37"/>
      <c r="E1783" s="37"/>
      <c r="F1783" s="37"/>
      <c r="G1783" s="70"/>
    </row>
    <row r="1784" spans="2:7" x14ac:dyDescent="0.25">
      <c r="B1784" s="37"/>
      <c r="C1784" s="37"/>
      <c r="D1784" s="37"/>
      <c r="E1784" s="37"/>
      <c r="F1784" s="37"/>
      <c r="G1784" s="70"/>
    </row>
    <row r="1785" spans="2:7" x14ac:dyDescent="0.25">
      <c r="B1785" s="37"/>
      <c r="C1785" s="37"/>
      <c r="D1785" s="37"/>
      <c r="E1785" s="37"/>
      <c r="F1785" s="37"/>
      <c r="G1785" s="70"/>
    </row>
    <row r="1786" spans="2:7" x14ac:dyDescent="0.25">
      <c r="B1786" s="37"/>
      <c r="C1786" s="37"/>
      <c r="D1786" s="37"/>
      <c r="E1786" s="37"/>
      <c r="F1786" s="37"/>
      <c r="G1786" s="70"/>
    </row>
    <row r="1787" spans="2:7" x14ac:dyDescent="0.25">
      <c r="B1787" s="37"/>
      <c r="C1787" s="37"/>
      <c r="D1787" s="37"/>
      <c r="E1787" s="37"/>
      <c r="F1787" s="37"/>
      <c r="G1787" s="70"/>
    </row>
    <row r="1788" spans="2:7" x14ac:dyDescent="0.25">
      <c r="B1788" s="37"/>
      <c r="C1788" s="37"/>
      <c r="D1788" s="37"/>
      <c r="E1788" s="37"/>
      <c r="F1788" s="37"/>
      <c r="G1788" s="70"/>
    </row>
    <row r="1789" spans="2:7" x14ac:dyDescent="0.25">
      <c r="B1789" s="37"/>
      <c r="C1789" s="37"/>
      <c r="D1789" s="37"/>
      <c r="E1789" s="37"/>
      <c r="F1789" s="37"/>
      <c r="G1789" s="70"/>
    </row>
    <row r="1790" spans="2:7" x14ac:dyDescent="0.25">
      <c r="B1790" s="37"/>
      <c r="C1790" s="37"/>
      <c r="D1790" s="37"/>
      <c r="E1790" s="37"/>
      <c r="F1790" s="37"/>
      <c r="G1790" s="70"/>
    </row>
    <row r="1791" spans="2:7" x14ac:dyDescent="0.25">
      <c r="B1791" s="37"/>
      <c r="C1791" s="37"/>
      <c r="D1791" s="37"/>
      <c r="E1791" s="37"/>
      <c r="F1791" s="37"/>
      <c r="G1791" s="70"/>
    </row>
    <row r="1792" spans="2:7" x14ac:dyDescent="0.25">
      <c r="B1792" s="37"/>
      <c r="C1792" s="37"/>
      <c r="D1792" s="37"/>
      <c r="E1792" s="37"/>
      <c r="F1792" s="37"/>
      <c r="G1792" s="70"/>
    </row>
    <row r="1793" spans="2:7" x14ac:dyDescent="0.25">
      <c r="B1793" s="37"/>
      <c r="C1793" s="37"/>
      <c r="D1793" s="37"/>
      <c r="E1793" s="37"/>
      <c r="F1793" s="37"/>
      <c r="G1793" s="70"/>
    </row>
    <row r="1794" spans="2:7" x14ac:dyDescent="0.25">
      <c r="B1794" s="37"/>
      <c r="C1794" s="37"/>
      <c r="D1794" s="37"/>
      <c r="E1794" s="37"/>
      <c r="F1794" s="37"/>
      <c r="G1794" s="70"/>
    </row>
    <row r="1795" spans="2:7" x14ac:dyDescent="0.25">
      <c r="B1795" s="37"/>
      <c r="C1795" s="37"/>
      <c r="D1795" s="37"/>
      <c r="E1795" s="37"/>
      <c r="F1795" s="37"/>
      <c r="G1795" s="70"/>
    </row>
    <row r="1796" spans="2:7" x14ac:dyDescent="0.25">
      <c r="B1796" s="37"/>
      <c r="C1796" s="37"/>
      <c r="D1796" s="37"/>
      <c r="E1796" s="37"/>
      <c r="F1796" s="37"/>
      <c r="G1796" s="70"/>
    </row>
    <row r="1797" spans="2:7" x14ac:dyDescent="0.25">
      <c r="B1797" s="37"/>
      <c r="C1797" s="37"/>
      <c r="D1797" s="37"/>
      <c r="E1797" s="37"/>
      <c r="F1797" s="37"/>
      <c r="G1797" s="70"/>
    </row>
    <row r="1798" spans="2:7" x14ac:dyDescent="0.25">
      <c r="B1798" s="37"/>
      <c r="C1798" s="37"/>
      <c r="D1798" s="37"/>
      <c r="E1798" s="37"/>
      <c r="F1798" s="37"/>
      <c r="G1798" s="70"/>
    </row>
    <row r="1799" spans="2:7" x14ac:dyDescent="0.25">
      <c r="B1799" s="37"/>
      <c r="C1799" s="37"/>
      <c r="D1799" s="37"/>
      <c r="E1799" s="37"/>
      <c r="F1799" s="37"/>
      <c r="G1799" s="70"/>
    </row>
    <row r="1800" spans="2:7" x14ac:dyDescent="0.25">
      <c r="B1800" s="37"/>
      <c r="C1800" s="37"/>
      <c r="D1800" s="37"/>
      <c r="E1800" s="37"/>
      <c r="F1800" s="37"/>
      <c r="G1800" s="70"/>
    </row>
    <row r="1801" spans="2:7" x14ac:dyDescent="0.25">
      <c r="B1801" s="37"/>
      <c r="C1801" s="37"/>
      <c r="D1801" s="37"/>
      <c r="E1801" s="37"/>
      <c r="F1801" s="37"/>
      <c r="G1801" s="70"/>
    </row>
    <row r="1802" spans="2:7" x14ac:dyDescent="0.25">
      <c r="B1802" s="37"/>
      <c r="C1802" s="37"/>
      <c r="D1802" s="37"/>
      <c r="E1802" s="37"/>
      <c r="F1802" s="37"/>
      <c r="G1802" s="70"/>
    </row>
    <row r="1803" spans="2:7" x14ac:dyDescent="0.25">
      <c r="B1803" s="37"/>
      <c r="C1803" s="37"/>
      <c r="D1803" s="37"/>
      <c r="E1803" s="37"/>
      <c r="F1803" s="37"/>
      <c r="G1803" s="70"/>
    </row>
    <row r="1804" spans="2:7" x14ac:dyDescent="0.25">
      <c r="B1804" s="37"/>
      <c r="C1804" s="37"/>
      <c r="D1804" s="37"/>
      <c r="E1804" s="37"/>
      <c r="F1804" s="37"/>
      <c r="G1804" s="70"/>
    </row>
    <row r="1805" spans="2:7" x14ac:dyDescent="0.25">
      <c r="B1805" s="37"/>
      <c r="C1805" s="37"/>
      <c r="D1805" s="37"/>
      <c r="E1805" s="37"/>
      <c r="F1805" s="37"/>
      <c r="G1805" s="70"/>
    </row>
    <row r="1806" spans="2:7" x14ac:dyDescent="0.25">
      <c r="B1806" s="37"/>
      <c r="C1806" s="37"/>
      <c r="D1806" s="37"/>
      <c r="E1806" s="37"/>
      <c r="F1806" s="37"/>
      <c r="G1806" s="70"/>
    </row>
    <row r="1807" spans="2:7" x14ac:dyDescent="0.25">
      <c r="B1807" s="37"/>
      <c r="C1807" s="37"/>
      <c r="D1807" s="37"/>
      <c r="E1807" s="37"/>
      <c r="F1807" s="37"/>
      <c r="G1807" s="70"/>
    </row>
    <row r="1808" spans="2:7" x14ac:dyDescent="0.25">
      <c r="B1808" s="37"/>
      <c r="C1808" s="37"/>
      <c r="D1808" s="37"/>
      <c r="E1808" s="37"/>
      <c r="F1808" s="37"/>
      <c r="G1808" s="70"/>
    </row>
    <row r="1809" spans="2:7" x14ac:dyDescent="0.25">
      <c r="B1809" s="37"/>
      <c r="C1809" s="37"/>
      <c r="D1809" s="37"/>
      <c r="E1809" s="37"/>
      <c r="F1809" s="37"/>
      <c r="G1809" s="70"/>
    </row>
    <row r="1810" spans="2:7" x14ac:dyDescent="0.25">
      <c r="B1810" s="37"/>
      <c r="C1810" s="37"/>
      <c r="D1810" s="37"/>
      <c r="E1810" s="37"/>
      <c r="F1810" s="37"/>
      <c r="G1810" s="70"/>
    </row>
    <row r="1811" spans="2:7" x14ac:dyDescent="0.25">
      <c r="B1811" s="37"/>
      <c r="C1811" s="37"/>
      <c r="D1811" s="37"/>
      <c r="E1811" s="37"/>
      <c r="F1811" s="37"/>
      <c r="G1811" s="70"/>
    </row>
    <row r="1812" spans="2:7" x14ac:dyDescent="0.25">
      <c r="B1812" s="37"/>
      <c r="C1812" s="37"/>
      <c r="D1812" s="37"/>
      <c r="E1812" s="37"/>
      <c r="F1812" s="37"/>
      <c r="G1812" s="70"/>
    </row>
    <row r="1813" spans="2:7" x14ac:dyDescent="0.25">
      <c r="B1813" s="37"/>
      <c r="C1813" s="37"/>
      <c r="D1813" s="37"/>
      <c r="E1813" s="37"/>
      <c r="F1813" s="37"/>
      <c r="G1813" s="70"/>
    </row>
    <row r="1814" spans="2:7" x14ac:dyDescent="0.25">
      <c r="B1814" s="37"/>
      <c r="C1814" s="37"/>
      <c r="D1814" s="37"/>
      <c r="E1814" s="37"/>
      <c r="F1814" s="37"/>
      <c r="G1814" s="70"/>
    </row>
    <row r="1815" spans="2:7" x14ac:dyDescent="0.25">
      <c r="B1815" s="37"/>
      <c r="C1815" s="37"/>
      <c r="D1815" s="37"/>
      <c r="E1815" s="37"/>
      <c r="F1815" s="37"/>
      <c r="G1815" s="70"/>
    </row>
    <row r="1816" spans="2:7" x14ac:dyDescent="0.25">
      <c r="B1816" s="37"/>
      <c r="C1816" s="37"/>
      <c r="D1816" s="37"/>
      <c r="E1816" s="37"/>
      <c r="F1816" s="37"/>
      <c r="G1816" s="70"/>
    </row>
    <row r="1817" spans="2:7" x14ac:dyDescent="0.25">
      <c r="B1817" s="37"/>
      <c r="C1817" s="37"/>
      <c r="D1817" s="37"/>
      <c r="E1817" s="37"/>
      <c r="F1817" s="37"/>
      <c r="G1817" s="70"/>
    </row>
    <row r="1818" spans="2:7" x14ac:dyDescent="0.25">
      <c r="B1818" s="37"/>
      <c r="C1818" s="37"/>
      <c r="D1818" s="37"/>
      <c r="E1818" s="37"/>
      <c r="F1818" s="37"/>
      <c r="G1818" s="70"/>
    </row>
    <row r="1819" spans="2:7" x14ac:dyDescent="0.25">
      <c r="B1819" s="37"/>
      <c r="C1819" s="37"/>
      <c r="D1819" s="37"/>
      <c r="E1819" s="37"/>
      <c r="F1819" s="37"/>
      <c r="G1819" s="70"/>
    </row>
    <row r="1820" spans="2:7" x14ac:dyDescent="0.25">
      <c r="B1820" s="37"/>
      <c r="C1820" s="37"/>
      <c r="D1820" s="37"/>
      <c r="E1820" s="37"/>
      <c r="F1820" s="37"/>
      <c r="G1820" s="70"/>
    </row>
    <row r="1821" spans="2:7" x14ac:dyDescent="0.25">
      <c r="B1821" s="37"/>
      <c r="C1821" s="37"/>
      <c r="D1821" s="37"/>
      <c r="E1821" s="37"/>
      <c r="F1821" s="37"/>
      <c r="G1821" s="70"/>
    </row>
    <row r="1822" spans="2:7" x14ac:dyDescent="0.25">
      <c r="B1822" s="37"/>
      <c r="C1822" s="37"/>
      <c r="D1822" s="37"/>
      <c r="E1822" s="37"/>
      <c r="F1822" s="37"/>
      <c r="G1822" s="70"/>
    </row>
    <row r="1823" spans="2:7" x14ac:dyDescent="0.25">
      <c r="B1823" s="37"/>
      <c r="C1823" s="37"/>
      <c r="D1823" s="37"/>
      <c r="E1823" s="37"/>
      <c r="F1823" s="37"/>
      <c r="G1823" s="70"/>
    </row>
    <row r="1824" spans="2:7" x14ac:dyDescent="0.25">
      <c r="B1824" s="37"/>
      <c r="C1824" s="37"/>
      <c r="D1824" s="37"/>
      <c r="E1824" s="37"/>
      <c r="F1824" s="37"/>
      <c r="G1824" s="70"/>
    </row>
    <row r="1825" spans="2:7" x14ac:dyDescent="0.25">
      <c r="B1825" s="37"/>
      <c r="C1825" s="37"/>
      <c r="D1825" s="37"/>
      <c r="E1825" s="37"/>
      <c r="F1825" s="37"/>
      <c r="G1825" s="70"/>
    </row>
    <row r="1826" spans="2:7" x14ac:dyDescent="0.25">
      <c r="B1826" s="37"/>
      <c r="C1826" s="37"/>
      <c r="D1826" s="37"/>
      <c r="E1826" s="37"/>
      <c r="F1826" s="37"/>
      <c r="G1826" s="70"/>
    </row>
    <row r="1827" spans="2:7" x14ac:dyDescent="0.25">
      <c r="B1827" s="37"/>
      <c r="C1827" s="37"/>
      <c r="D1827" s="37"/>
      <c r="E1827" s="37"/>
      <c r="F1827" s="37"/>
      <c r="G1827" s="70"/>
    </row>
    <row r="1828" spans="2:7" x14ac:dyDescent="0.25">
      <c r="B1828" s="37"/>
      <c r="C1828" s="37"/>
      <c r="D1828" s="37"/>
      <c r="E1828" s="37"/>
      <c r="F1828" s="37"/>
      <c r="G1828" s="70"/>
    </row>
    <row r="1829" spans="2:7" x14ac:dyDescent="0.25">
      <c r="B1829" s="37"/>
      <c r="C1829" s="37"/>
      <c r="D1829" s="37"/>
      <c r="E1829" s="37"/>
      <c r="F1829" s="37"/>
      <c r="G1829" s="70"/>
    </row>
    <row r="1830" spans="2:7" x14ac:dyDescent="0.25">
      <c r="B1830" s="37"/>
      <c r="C1830" s="37"/>
      <c r="D1830" s="37"/>
      <c r="E1830" s="37"/>
      <c r="F1830" s="37"/>
      <c r="G1830" s="70"/>
    </row>
    <row r="1831" spans="2:7" x14ac:dyDescent="0.25">
      <c r="B1831" s="37"/>
      <c r="C1831" s="37"/>
      <c r="D1831" s="37"/>
      <c r="E1831" s="37"/>
      <c r="F1831" s="37"/>
      <c r="G1831" s="70"/>
    </row>
    <row r="1832" spans="2:7" x14ac:dyDescent="0.25">
      <c r="B1832" s="37"/>
      <c r="C1832" s="37"/>
      <c r="D1832" s="37"/>
      <c r="E1832" s="37"/>
      <c r="F1832" s="37"/>
      <c r="G1832" s="70"/>
    </row>
    <row r="1833" spans="2:7" x14ac:dyDescent="0.25">
      <c r="B1833" s="37"/>
      <c r="C1833" s="37"/>
      <c r="D1833" s="37"/>
      <c r="E1833" s="37"/>
      <c r="F1833" s="37"/>
      <c r="G1833" s="70"/>
    </row>
    <row r="1834" spans="2:7" x14ac:dyDescent="0.25">
      <c r="B1834" s="37"/>
      <c r="C1834" s="37"/>
      <c r="D1834" s="37"/>
      <c r="E1834" s="37"/>
      <c r="F1834" s="37"/>
      <c r="G1834" s="70"/>
    </row>
    <row r="1835" spans="2:7" x14ac:dyDescent="0.25">
      <c r="B1835" s="37"/>
      <c r="C1835" s="37"/>
      <c r="D1835" s="37"/>
      <c r="E1835" s="37"/>
      <c r="F1835" s="37"/>
      <c r="G1835" s="70"/>
    </row>
    <row r="1836" spans="2:7" x14ac:dyDescent="0.25">
      <c r="B1836" s="37"/>
      <c r="C1836" s="37"/>
      <c r="D1836" s="37"/>
      <c r="E1836" s="37"/>
      <c r="F1836" s="37"/>
      <c r="G1836" s="70"/>
    </row>
    <row r="1837" spans="2:7" x14ac:dyDescent="0.25">
      <c r="B1837" s="37"/>
      <c r="C1837" s="37"/>
      <c r="D1837" s="37"/>
      <c r="E1837" s="37"/>
      <c r="F1837" s="37"/>
      <c r="G1837" s="70"/>
    </row>
    <row r="1838" spans="2:7" x14ac:dyDescent="0.25">
      <c r="B1838" s="37"/>
      <c r="C1838" s="37"/>
      <c r="D1838" s="37"/>
      <c r="E1838" s="37"/>
      <c r="F1838" s="37"/>
      <c r="G1838" s="70"/>
    </row>
    <row r="1839" spans="2:7" x14ac:dyDescent="0.25">
      <c r="B1839" s="37"/>
      <c r="C1839" s="37"/>
      <c r="D1839" s="37"/>
      <c r="E1839" s="37"/>
      <c r="F1839" s="37"/>
      <c r="G1839" s="70"/>
    </row>
    <row r="1840" spans="2:7" x14ac:dyDescent="0.25">
      <c r="B1840" s="37"/>
      <c r="C1840" s="37"/>
      <c r="D1840" s="37"/>
      <c r="E1840" s="37"/>
      <c r="F1840" s="37"/>
      <c r="G1840" s="70"/>
    </row>
    <row r="1841" spans="2:7" x14ac:dyDescent="0.25">
      <c r="B1841" s="37"/>
      <c r="C1841" s="37"/>
      <c r="D1841" s="37"/>
      <c r="E1841" s="37"/>
      <c r="F1841" s="37"/>
      <c r="G1841" s="70"/>
    </row>
    <row r="1842" spans="2:7" x14ac:dyDescent="0.25">
      <c r="B1842" s="37"/>
      <c r="C1842" s="37"/>
      <c r="D1842" s="37"/>
      <c r="E1842" s="37"/>
      <c r="F1842" s="37"/>
      <c r="G1842" s="70"/>
    </row>
    <row r="1843" spans="2:7" x14ac:dyDescent="0.25">
      <c r="B1843" s="37"/>
      <c r="C1843" s="37"/>
      <c r="D1843" s="37"/>
      <c r="E1843" s="37"/>
      <c r="F1843" s="37"/>
      <c r="G1843" s="70"/>
    </row>
    <row r="1844" spans="2:7" x14ac:dyDescent="0.25">
      <c r="B1844" s="37"/>
      <c r="C1844" s="37"/>
      <c r="D1844" s="37"/>
      <c r="E1844" s="37"/>
      <c r="F1844" s="37"/>
      <c r="G1844" s="70"/>
    </row>
    <row r="1845" spans="2:7" x14ac:dyDescent="0.25">
      <c r="B1845" s="37"/>
      <c r="C1845" s="37"/>
      <c r="D1845" s="37"/>
      <c r="E1845" s="37"/>
      <c r="F1845" s="37"/>
      <c r="G1845" s="70"/>
    </row>
    <row r="1846" spans="2:7" x14ac:dyDescent="0.25">
      <c r="B1846" s="37"/>
      <c r="C1846" s="37"/>
      <c r="D1846" s="37"/>
      <c r="E1846" s="37"/>
      <c r="F1846" s="37"/>
      <c r="G1846" s="70"/>
    </row>
    <row r="1847" spans="2:7" x14ac:dyDescent="0.25">
      <c r="B1847" s="37"/>
      <c r="C1847" s="37"/>
      <c r="D1847" s="37"/>
      <c r="E1847" s="37"/>
      <c r="F1847" s="37"/>
      <c r="G1847" s="70"/>
    </row>
    <row r="1848" spans="2:7" x14ac:dyDescent="0.25">
      <c r="B1848" s="37"/>
      <c r="C1848" s="37"/>
      <c r="D1848" s="37"/>
      <c r="E1848" s="37"/>
      <c r="F1848" s="37"/>
      <c r="G1848" s="70"/>
    </row>
    <row r="1849" spans="2:7" x14ac:dyDescent="0.25">
      <c r="B1849" s="37"/>
      <c r="C1849" s="37"/>
      <c r="D1849" s="37"/>
      <c r="E1849" s="37"/>
      <c r="F1849" s="37"/>
      <c r="G1849" s="70"/>
    </row>
    <row r="1850" spans="2:7" x14ac:dyDescent="0.25">
      <c r="B1850" s="37"/>
      <c r="C1850" s="37"/>
      <c r="D1850" s="37"/>
      <c r="E1850" s="37"/>
      <c r="F1850" s="37"/>
      <c r="G1850" s="70"/>
    </row>
    <row r="1851" spans="2:7" x14ac:dyDescent="0.25">
      <c r="B1851" s="37"/>
      <c r="C1851" s="37"/>
      <c r="D1851" s="37"/>
      <c r="E1851" s="37"/>
      <c r="F1851" s="37"/>
      <c r="G1851" s="70"/>
    </row>
    <row r="1852" spans="2:7" x14ac:dyDescent="0.25">
      <c r="B1852" s="37"/>
      <c r="C1852" s="37"/>
      <c r="D1852" s="37"/>
      <c r="E1852" s="37"/>
      <c r="F1852" s="37"/>
      <c r="G1852" s="70"/>
    </row>
    <row r="1853" spans="2:7" x14ac:dyDescent="0.25">
      <c r="B1853" s="37"/>
      <c r="C1853" s="37"/>
      <c r="D1853" s="37"/>
      <c r="E1853" s="37"/>
      <c r="F1853" s="37"/>
      <c r="G1853" s="70"/>
    </row>
    <row r="1854" spans="2:7" x14ac:dyDescent="0.25">
      <c r="B1854" s="37"/>
      <c r="C1854" s="37"/>
      <c r="D1854" s="37"/>
      <c r="E1854" s="37"/>
      <c r="F1854" s="37"/>
      <c r="G1854" s="70"/>
    </row>
    <row r="1855" spans="2:7" x14ac:dyDescent="0.25">
      <c r="B1855" s="37"/>
      <c r="C1855" s="37"/>
      <c r="D1855" s="37"/>
      <c r="E1855" s="37"/>
      <c r="F1855" s="37"/>
      <c r="G1855" s="70"/>
    </row>
    <row r="1856" spans="2:7" x14ac:dyDescent="0.25">
      <c r="B1856" s="37"/>
      <c r="C1856" s="37"/>
      <c r="D1856" s="37"/>
      <c r="E1856" s="37"/>
      <c r="F1856" s="37"/>
      <c r="G1856" s="70"/>
    </row>
    <row r="1857" spans="2:7" x14ac:dyDescent="0.25">
      <c r="B1857" s="37"/>
      <c r="C1857" s="37"/>
      <c r="D1857" s="37"/>
      <c r="E1857" s="37"/>
      <c r="F1857" s="37"/>
      <c r="G1857" s="70"/>
    </row>
    <row r="1858" spans="2:7" x14ac:dyDescent="0.25">
      <c r="B1858" s="37"/>
      <c r="C1858" s="37"/>
      <c r="D1858" s="37"/>
      <c r="E1858" s="37"/>
      <c r="F1858" s="37"/>
      <c r="G1858" s="70"/>
    </row>
    <row r="1859" spans="2:7" x14ac:dyDescent="0.25">
      <c r="B1859" s="37"/>
      <c r="C1859" s="37"/>
      <c r="D1859" s="37"/>
      <c r="E1859" s="37"/>
      <c r="F1859" s="37"/>
      <c r="G1859" s="70"/>
    </row>
    <row r="1860" spans="2:7" x14ac:dyDescent="0.25">
      <c r="B1860" s="37"/>
      <c r="C1860" s="37"/>
      <c r="D1860" s="37"/>
      <c r="E1860" s="37"/>
      <c r="F1860" s="37"/>
      <c r="G1860" s="70"/>
    </row>
    <row r="1861" spans="2:7" x14ac:dyDescent="0.25">
      <c r="B1861" s="37"/>
      <c r="C1861" s="37"/>
      <c r="D1861" s="37"/>
      <c r="E1861" s="37"/>
      <c r="F1861" s="37"/>
      <c r="G1861" s="70"/>
    </row>
    <row r="1862" spans="2:7" x14ac:dyDescent="0.25">
      <c r="B1862" s="37"/>
      <c r="C1862" s="37"/>
      <c r="D1862" s="37"/>
      <c r="E1862" s="37"/>
      <c r="F1862" s="37"/>
      <c r="G1862" s="70"/>
    </row>
    <row r="1863" spans="2:7" x14ac:dyDescent="0.25">
      <c r="B1863" s="37"/>
      <c r="C1863" s="37"/>
      <c r="D1863" s="37"/>
      <c r="E1863" s="37"/>
      <c r="F1863" s="37"/>
      <c r="G1863" s="70"/>
    </row>
    <row r="1864" spans="2:7" x14ac:dyDescent="0.25">
      <c r="B1864" s="37"/>
      <c r="C1864" s="37"/>
      <c r="D1864" s="37"/>
      <c r="E1864" s="37"/>
      <c r="F1864" s="37"/>
      <c r="G1864" s="70"/>
    </row>
    <row r="1865" spans="2:7" x14ac:dyDescent="0.25">
      <c r="B1865" s="37"/>
      <c r="C1865" s="37"/>
      <c r="D1865" s="37"/>
      <c r="E1865" s="37"/>
      <c r="F1865" s="37"/>
      <c r="G1865" s="70"/>
    </row>
    <row r="1866" spans="2:7" x14ac:dyDescent="0.25">
      <c r="B1866" s="37"/>
      <c r="C1866" s="37"/>
      <c r="D1866" s="37"/>
      <c r="E1866" s="37"/>
      <c r="F1866" s="37"/>
      <c r="G1866" s="70"/>
    </row>
    <row r="1867" spans="2:7" x14ac:dyDescent="0.25">
      <c r="B1867" s="37"/>
      <c r="C1867" s="37"/>
      <c r="D1867" s="37"/>
      <c r="E1867" s="37"/>
      <c r="F1867" s="37"/>
      <c r="G1867" s="70"/>
    </row>
    <row r="1868" spans="2:7" x14ac:dyDescent="0.25">
      <c r="B1868" s="37"/>
      <c r="C1868" s="37"/>
      <c r="D1868" s="37"/>
      <c r="E1868" s="37"/>
      <c r="F1868" s="37"/>
      <c r="G1868" s="70"/>
    </row>
    <row r="1869" spans="2:7" x14ac:dyDescent="0.25">
      <c r="B1869" s="37"/>
      <c r="C1869" s="37"/>
      <c r="D1869" s="37"/>
      <c r="E1869" s="37"/>
      <c r="F1869" s="37"/>
      <c r="G1869" s="70"/>
    </row>
    <row r="1870" spans="2:7" x14ac:dyDescent="0.25">
      <c r="B1870" s="37"/>
      <c r="C1870" s="37"/>
      <c r="D1870" s="37"/>
      <c r="E1870" s="37"/>
      <c r="F1870" s="37"/>
      <c r="G1870" s="70"/>
    </row>
    <row r="1871" spans="2:7" x14ac:dyDescent="0.25">
      <c r="B1871" s="37"/>
      <c r="C1871" s="37"/>
      <c r="D1871" s="37"/>
      <c r="E1871" s="37"/>
      <c r="F1871" s="37"/>
      <c r="G1871" s="70"/>
    </row>
    <row r="1872" spans="2:7" x14ac:dyDescent="0.25">
      <c r="B1872" s="37"/>
      <c r="C1872" s="37"/>
      <c r="D1872" s="37"/>
      <c r="E1872" s="37"/>
      <c r="F1872" s="37"/>
      <c r="G1872" s="70"/>
    </row>
    <row r="1873" spans="2:7" x14ac:dyDescent="0.25">
      <c r="B1873" s="37"/>
      <c r="C1873" s="37"/>
      <c r="D1873" s="37"/>
      <c r="E1873" s="37"/>
      <c r="F1873" s="37"/>
      <c r="G1873" s="70"/>
    </row>
    <row r="1874" spans="2:7" x14ac:dyDescent="0.25">
      <c r="B1874" s="37"/>
      <c r="C1874" s="37"/>
      <c r="D1874" s="37"/>
      <c r="E1874" s="37"/>
      <c r="F1874" s="37"/>
      <c r="G1874" s="70"/>
    </row>
    <row r="1875" spans="2:7" x14ac:dyDescent="0.25">
      <c r="B1875" s="37"/>
      <c r="C1875" s="37"/>
      <c r="D1875" s="37"/>
      <c r="E1875" s="37"/>
      <c r="F1875" s="37"/>
      <c r="G1875" s="70"/>
    </row>
    <row r="1876" spans="2:7" x14ac:dyDescent="0.25">
      <c r="B1876" s="37"/>
      <c r="C1876" s="37"/>
      <c r="D1876" s="37"/>
      <c r="E1876" s="37"/>
      <c r="F1876" s="37"/>
      <c r="G1876" s="70"/>
    </row>
    <row r="1877" spans="2:7" x14ac:dyDescent="0.25">
      <c r="B1877" s="37"/>
      <c r="C1877" s="37"/>
      <c r="D1877" s="37"/>
      <c r="E1877" s="37"/>
      <c r="F1877" s="37"/>
      <c r="G1877" s="70"/>
    </row>
    <row r="1878" spans="2:7" x14ac:dyDescent="0.25">
      <c r="B1878" s="37"/>
      <c r="C1878" s="37"/>
      <c r="D1878" s="37"/>
      <c r="E1878" s="37"/>
      <c r="F1878" s="37"/>
      <c r="G1878" s="70"/>
    </row>
    <row r="1879" spans="2:7" x14ac:dyDescent="0.25">
      <c r="B1879" s="37"/>
      <c r="C1879" s="37"/>
      <c r="D1879" s="37"/>
      <c r="E1879" s="37"/>
      <c r="F1879" s="37"/>
      <c r="G1879" s="70"/>
    </row>
    <row r="1880" spans="2:7" x14ac:dyDescent="0.25">
      <c r="B1880" s="37"/>
      <c r="C1880" s="37"/>
      <c r="D1880" s="37"/>
      <c r="E1880" s="37"/>
      <c r="F1880" s="37"/>
      <c r="G1880" s="70"/>
    </row>
    <row r="1881" spans="2:7" x14ac:dyDescent="0.25">
      <c r="B1881" s="37"/>
      <c r="C1881" s="37"/>
      <c r="D1881" s="37"/>
      <c r="E1881" s="37"/>
      <c r="F1881" s="37"/>
      <c r="G1881" s="70"/>
    </row>
    <row r="1882" spans="2:7" x14ac:dyDescent="0.25">
      <c r="B1882" s="37"/>
      <c r="C1882" s="37"/>
      <c r="D1882" s="37"/>
      <c r="E1882" s="37"/>
      <c r="F1882" s="37"/>
      <c r="G1882" s="70"/>
    </row>
    <row r="1883" spans="2:7" x14ac:dyDescent="0.25">
      <c r="B1883" s="37"/>
      <c r="C1883" s="37"/>
      <c r="D1883" s="37"/>
      <c r="E1883" s="37"/>
      <c r="F1883" s="37"/>
      <c r="G1883" s="70"/>
    </row>
    <row r="1884" spans="2:7" x14ac:dyDescent="0.25">
      <c r="B1884" s="37"/>
      <c r="C1884" s="37"/>
      <c r="D1884" s="37"/>
      <c r="E1884" s="37"/>
      <c r="F1884" s="37"/>
      <c r="G1884" s="70"/>
    </row>
    <row r="1885" spans="2:7" x14ac:dyDescent="0.25">
      <c r="B1885" s="37"/>
      <c r="C1885" s="37"/>
      <c r="D1885" s="37"/>
      <c r="E1885" s="37"/>
      <c r="F1885" s="37"/>
      <c r="G1885" s="70"/>
    </row>
    <row r="1886" spans="2:7" x14ac:dyDescent="0.25">
      <c r="B1886" s="37"/>
      <c r="C1886" s="37"/>
      <c r="D1886" s="37"/>
      <c r="E1886" s="37"/>
      <c r="F1886" s="37"/>
      <c r="G1886" s="70"/>
    </row>
    <row r="1887" spans="2:7" x14ac:dyDescent="0.25">
      <c r="B1887" s="37"/>
      <c r="C1887" s="37"/>
      <c r="D1887" s="37"/>
      <c r="E1887" s="37"/>
      <c r="F1887" s="37"/>
      <c r="G1887" s="70"/>
    </row>
    <row r="1888" spans="2:7" x14ac:dyDescent="0.25">
      <c r="B1888" s="37"/>
      <c r="C1888" s="37"/>
      <c r="D1888" s="37"/>
      <c r="E1888" s="37"/>
      <c r="F1888" s="37"/>
      <c r="G1888" s="70"/>
    </row>
    <row r="1889" spans="2:7" x14ac:dyDescent="0.25">
      <c r="B1889" s="37"/>
      <c r="C1889" s="37"/>
      <c r="D1889" s="37"/>
      <c r="E1889" s="37"/>
      <c r="F1889" s="37"/>
      <c r="G1889" s="70"/>
    </row>
    <row r="1890" spans="2:7" x14ac:dyDescent="0.25">
      <c r="B1890" s="37"/>
      <c r="C1890" s="37"/>
      <c r="D1890" s="37"/>
      <c r="E1890" s="37"/>
      <c r="F1890" s="37"/>
      <c r="G1890" s="70"/>
    </row>
    <row r="1891" spans="2:7" x14ac:dyDescent="0.25">
      <c r="B1891" s="37"/>
      <c r="C1891" s="37"/>
      <c r="D1891" s="37"/>
      <c r="E1891" s="37"/>
      <c r="F1891" s="37"/>
      <c r="G1891" s="70"/>
    </row>
    <row r="1892" spans="2:7" x14ac:dyDescent="0.25">
      <c r="B1892" s="37"/>
      <c r="C1892" s="37"/>
      <c r="D1892" s="37"/>
      <c r="E1892" s="37"/>
      <c r="F1892" s="37"/>
      <c r="G1892" s="70"/>
    </row>
    <row r="1893" spans="2:7" x14ac:dyDescent="0.25">
      <c r="B1893" s="37"/>
      <c r="C1893" s="37"/>
      <c r="D1893" s="37"/>
      <c r="E1893" s="37"/>
      <c r="F1893" s="37"/>
      <c r="G1893" s="70"/>
    </row>
    <row r="1894" spans="2:7" x14ac:dyDescent="0.25">
      <c r="B1894" s="37"/>
      <c r="C1894" s="37"/>
      <c r="D1894" s="37"/>
      <c r="E1894" s="37"/>
      <c r="F1894" s="37"/>
      <c r="G1894" s="70"/>
    </row>
    <row r="1895" spans="2:7" x14ac:dyDescent="0.25">
      <c r="B1895" s="37"/>
      <c r="C1895" s="37"/>
      <c r="D1895" s="37"/>
      <c r="E1895" s="37"/>
      <c r="F1895" s="37"/>
      <c r="G1895" s="70"/>
    </row>
    <row r="1896" spans="2:7" x14ac:dyDescent="0.25">
      <c r="B1896" s="37"/>
      <c r="C1896" s="37"/>
      <c r="D1896" s="37"/>
      <c r="E1896" s="37"/>
      <c r="F1896" s="37"/>
      <c r="G1896" s="70"/>
    </row>
    <row r="1897" spans="2:7" x14ac:dyDescent="0.25">
      <c r="B1897" s="37"/>
      <c r="C1897" s="37"/>
      <c r="D1897" s="37"/>
      <c r="E1897" s="37"/>
      <c r="F1897" s="37"/>
      <c r="G1897" s="70"/>
    </row>
    <row r="1898" spans="2:7" x14ac:dyDescent="0.25">
      <c r="B1898" s="37"/>
      <c r="C1898" s="37"/>
      <c r="D1898" s="37"/>
      <c r="E1898" s="37"/>
      <c r="F1898" s="37"/>
      <c r="G1898" s="70"/>
    </row>
    <row r="1899" spans="2:7" x14ac:dyDescent="0.25">
      <c r="B1899" s="37"/>
      <c r="C1899" s="37"/>
      <c r="D1899" s="37"/>
      <c r="E1899" s="37"/>
      <c r="F1899" s="37"/>
      <c r="G1899" s="70"/>
    </row>
    <row r="1900" spans="2:7" x14ac:dyDescent="0.25">
      <c r="B1900" s="37"/>
      <c r="C1900" s="37"/>
      <c r="D1900" s="37"/>
      <c r="E1900" s="37"/>
      <c r="F1900" s="37"/>
      <c r="G1900" s="70"/>
    </row>
    <row r="1901" spans="2:7" x14ac:dyDescent="0.25">
      <c r="B1901" s="37"/>
      <c r="C1901" s="37"/>
      <c r="D1901" s="37"/>
      <c r="E1901" s="37"/>
      <c r="F1901" s="37"/>
      <c r="G1901" s="70"/>
    </row>
    <row r="1902" spans="2:7" x14ac:dyDescent="0.25">
      <c r="B1902" s="37"/>
      <c r="C1902" s="37"/>
      <c r="D1902" s="37"/>
      <c r="E1902" s="37"/>
      <c r="F1902" s="37"/>
      <c r="G1902" s="70"/>
    </row>
    <row r="1903" spans="2:7" x14ac:dyDescent="0.25">
      <c r="B1903" s="37"/>
      <c r="C1903" s="37"/>
      <c r="D1903" s="37"/>
      <c r="E1903" s="37"/>
      <c r="F1903" s="37"/>
      <c r="G1903" s="70"/>
    </row>
    <row r="1904" spans="2:7" x14ac:dyDescent="0.25">
      <c r="B1904" s="37"/>
      <c r="C1904" s="37"/>
      <c r="D1904" s="37"/>
      <c r="E1904" s="37"/>
      <c r="F1904" s="37"/>
      <c r="G1904" s="70"/>
    </row>
    <row r="1905" spans="2:7" x14ac:dyDescent="0.25">
      <c r="B1905" s="37"/>
      <c r="C1905" s="37"/>
      <c r="D1905" s="37"/>
      <c r="E1905" s="37"/>
      <c r="F1905" s="37"/>
      <c r="G1905" s="70"/>
    </row>
    <row r="1906" spans="2:7" x14ac:dyDescent="0.25">
      <c r="B1906" s="37"/>
      <c r="C1906" s="37"/>
      <c r="D1906" s="37"/>
      <c r="E1906" s="37"/>
      <c r="F1906" s="37"/>
      <c r="G1906" s="70"/>
    </row>
    <row r="1907" spans="2:7" x14ac:dyDescent="0.25">
      <c r="B1907" s="37"/>
      <c r="C1907" s="37"/>
      <c r="D1907" s="37"/>
      <c r="E1907" s="37"/>
      <c r="F1907" s="37"/>
      <c r="G1907" s="70"/>
    </row>
    <row r="1908" spans="2:7" x14ac:dyDescent="0.25">
      <c r="B1908" s="37"/>
      <c r="C1908" s="37"/>
      <c r="D1908" s="37"/>
      <c r="E1908" s="37"/>
      <c r="F1908" s="37"/>
      <c r="G1908" s="70"/>
    </row>
    <row r="1909" spans="2:7" x14ac:dyDescent="0.25">
      <c r="B1909" s="37"/>
      <c r="C1909" s="37"/>
      <c r="D1909" s="37"/>
      <c r="E1909" s="37"/>
      <c r="F1909" s="37"/>
      <c r="G1909" s="70"/>
    </row>
    <row r="1910" spans="2:7" x14ac:dyDescent="0.25">
      <c r="B1910" s="37"/>
      <c r="C1910" s="37"/>
      <c r="D1910" s="37"/>
      <c r="E1910" s="37"/>
      <c r="F1910" s="37"/>
      <c r="G1910" s="70"/>
    </row>
    <row r="1911" spans="2:7" x14ac:dyDescent="0.25">
      <c r="B1911" s="37"/>
      <c r="C1911" s="37"/>
      <c r="D1911" s="37"/>
      <c r="E1911" s="37"/>
      <c r="F1911" s="37"/>
      <c r="G1911" s="70"/>
    </row>
    <row r="1912" spans="2:7" x14ac:dyDescent="0.25">
      <c r="B1912" s="37"/>
      <c r="C1912" s="37"/>
      <c r="D1912" s="37"/>
      <c r="E1912" s="37"/>
      <c r="F1912" s="37"/>
      <c r="G1912" s="70"/>
    </row>
    <row r="1913" spans="2:7" x14ac:dyDescent="0.25">
      <c r="B1913" s="37"/>
      <c r="C1913" s="37"/>
      <c r="D1913" s="37"/>
      <c r="E1913" s="37"/>
      <c r="F1913" s="37"/>
      <c r="G1913" s="70"/>
    </row>
    <row r="1914" spans="2:7" x14ac:dyDescent="0.25">
      <c r="B1914" s="37"/>
      <c r="C1914" s="37"/>
      <c r="D1914" s="37"/>
      <c r="E1914" s="37"/>
      <c r="F1914" s="37"/>
      <c r="G1914" s="70"/>
    </row>
    <row r="1915" spans="2:7" x14ac:dyDescent="0.25">
      <c r="B1915" s="37"/>
      <c r="C1915" s="37"/>
      <c r="D1915" s="37"/>
      <c r="E1915" s="37"/>
      <c r="F1915" s="37"/>
      <c r="G1915" s="70"/>
    </row>
    <row r="1916" spans="2:7" x14ac:dyDescent="0.25">
      <c r="B1916" s="37"/>
      <c r="C1916" s="37"/>
      <c r="D1916" s="37"/>
      <c r="E1916" s="37"/>
      <c r="F1916" s="37"/>
      <c r="G1916" s="70"/>
    </row>
    <row r="1917" spans="2:7" x14ac:dyDescent="0.25">
      <c r="B1917" s="37"/>
      <c r="C1917" s="37"/>
      <c r="D1917" s="37"/>
      <c r="E1917" s="37"/>
      <c r="F1917" s="37"/>
      <c r="G1917" s="70"/>
    </row>
    <row r="1918" spans="2:7" x14ac:dyDescent="0.25">
      <c r="B1918" s="37"/>
      <c r="C1918" s="37"/>
      <c r="D1918" s="37"/>
      <c r="E1918" s="37"/>
      <c r="F1918" s="37"/>
      <c r="G1918" s="70"/>
    </row>
    <row r="1919" spans="2:7" x14ac:dyDescent="0.25">
      <c r="B1919" s="37"/>
      <c r="C1919" s="37"/>
      <c r="D1919" s="37"/>
      <c r="E1919" s="37"/>
      <c r="F1919" s="37"/>
      <c r="G1919" s="70"/>
    </row>
    <row r="1920" spans="2:7" x14ac:dyDescent="0.25">
      <c r="B1920" s="37"/>
      <c r="C1920" s="37"/>
      <c r="D1920" s="37"/>
      <c r="E1920" s="37"/>
      <c r="F1920" s="37"/>
      <c r="G1920" s="70"/>
    </row>
    <row r="1921" spans="2:7" x14ac:dyDescent="0.25">
      <c r="B1921" s="37"/>
      <c r="C1921" s="37"/>
      <c r="D1921" s="37"/>
      <c r="E1921" s="37"/>
      <c r="F1921" s="37"/>
      <c r="G1921" s="70"/>
    </row>
    <row r="1922" spans="2:7" x14ac:dyDescent="0.25">
      <c r="B1922" s="37"/>
      <c r="C1922" s="37"/>
      <c r="D1922" s="37"/>
      <c r="E1922" s="37"/>
      <c r="F1922" s="37"/>
      <c r="G1922" s="70"/>
    </row>
    <row r="1923" spans="2:7" x14ac:dyDescent="0.25">
      <c r="B1923" s="37"/>
      <c r="C1923" s="37"/>
      <c r="D1923" s="37"/>
      <c r="E1923" s="37"/>
      <c r="F1923" s="37"/>
      <c r="G1923" s="70"/>
    </row>
    <row r="1924" spans="2:7" x14ac:dyDescent="0.25">
      <c r="B1924" s="37"/>
      <c r="C1924" s="37"/>
      <c r="D1924" s="37"/>
      <c r="E1924" s="37"/>
      <c r="F1924" s="37"/>
      <c r="G1924" s="70"/>
    </row>
    <row r="1925" spans="2:7" x14ac:dyDescent="0.25">
      <c r="B1925" s="37"/>
      <c r="C1925" s="37"/>
      <c r="D1925" s="37"/>
      <c r="E1925" s="37"/>
      <c r="F1925" s="37"/>
      <c r="G1925" s="70"/>
    </row>
    <row r="1926" spans="2:7" x14ac:dyDescent="0.25">
      <c r="B1926" s="37"/>
      <c r="C1926" s="37"/>
      <c r="D1926" s="37"/>
      <c r="E1926" s="37"/>
      <c r="F1926" s="37"/>
      <c r="G1926" s="70"/>
    </row>
    <row r="1927" spans="2:7" x14ac:dyDescent="0.25">
      <c r="B1927" s="37"/>
      <c r="C1927" s="37"/>
      <c r="D1927" s="37"/>
      <c r="E1927" s="37"/>
      <c r="F1927" s="37"/>
      <c r="G1927" s="70"/>
    </row>
    <row r="1928" spans="2:7" x14ac:dyDescent="0.25">
      <c r="B1928" s="37"/>
      <c r="C1928" s="37"/>
      <c r="D1928" s="37"/>
      <c r="E1928" s="37"/>
      <c r="F1928" s="37"/>
      <c r="G1928" s="70"/>
    </row>
    <row r="1929" spans="2:7" x14ac:dyDescent="0.25">
      <c r="B1929" s="37"/>
      <c r="C1929" s="37"/>
      <c r="D1929" s="37"/>
      <c r="E1929" s="37"/>
      <c r="F1929" s="37"/>
      <c r="G1929" s="70"/>
    </row>
    <row r="1930" spans="2:7" x14ac:dyDescent="0.25">
      <c r="B1930" s="37"/>
      <c r="C1930" s="37"/>
      <c r="D1930" s="37"/>
      <c r="E1930" s="37"/>
      <c r="F1930" s="37"/>
      <c r="G1930" s="70"/>
    </row>
    <row r="1931" spans="2:7" x14ac:dyDescent="0.25">
      <c r="B1931" s="37"/>
      <c r="C1931" s="37"/>
      <c r="D1931" s="37"/>
      <c r="E1931" s="37"/>
      <c r="F1931" s="37"/>
      <c r="G1931" s="70"/>
    </row>
    <row r="1932" spans="2:7" x14ac:dyDescent="0.25">
      <c r="B1932" s="37"/>
      <c r="C1932" s="37"/>
      <c r="D1932" s="37"/>
      <c r="E1932" s="37"/>
      <c r="F1932" s="37"/>
      <c r="G1932" s="70"/>
    </row>
    <row r="1933" spans="2:7" x14ac:dyDescent="0.25">
      <c r="B1933" s="37"/>
      <c r="C1933" s="37"/>
      <c r="D1933" s="37"/>
      <c r="E1933" s="37"/>
      <c r="F1933" s="37"/>
      <c r="G1933" s="70"/>
    </row>
    <row r="1934" spans="2:7" x14ac:dyDescent="0.25">
      <c r="B1934" s="37"/>
      <c r="C1934" s="37"/>
      <c r="D1934" s="37"/>
      <c r="E1934" s="37"/>
      <c r="F1934" s="37"/>
      <c r="G1934" s="70"/>
    </row>
    <row r="1935" spans="2:7" x14ac:dyDescent="0.25">
      <c r="B1935" s="37"/>
      <c r="C1935" s="37"/>
      <c r="D1935" s="37"/>
      <c r="E1935" s="37"/>
      <c r="F1935" s="37"/>
      <c r="G1935" s="70"/>
    </row>
    <row r="1936" spans="2:7" x14ac:dyDescent="0.25">
      <c r="B1936" s="37"/>
      <c r="C1936" s="37"/>
      <c r="D1936" s="37"/>
      <c r="E1936" s="37"/>
      <c r="F1936" s="37"/>
      <c r="G1936" s="70"/>
    </row>
    <row r="1937" spans="2:7" x14ac:dyDescent="0.25">
      <c r="B1937" s="37"/>
      <c r="C1937" s="37"/>
      <c r="D1937" s="37"/>
      <c r="E1937" s="37"/>
      <c r="F1937" s="37"/>
      <c r="G1937" s="70"/>
    </row>
    <row r="1938" spans="2:7" x14ac:dyDescent="0.25">
      <c r="B1938" s="37"/>
      <c r="C1938" s="37"/>
      <c r="D1938" s="37"/>
      <c r="E1938" s="37"/>
      <c r="F1938" s="37"/>
      <c r="G1938" s="70"/>
    </row>
    <row r="1939" spans="2:7" x14ac:dyDescent="0.25">
      <c r="B1939" s="37"/>
      <c r="C1939" s="37"/>
      <c r="D1939" s="37"/>
      <c r="E1939" s="37"/>
      <c r="F1939" s="37"/>
      <c r="G1939" s="70"/>
    </row>
    <row r="1940" spans="2:7" x14ac:dyDescent="0.25">
      <c r="B1940" s="37"/>
      <c r="C1940" s="37"/>
      <c r="D1940" s="37"/>
      <c r="E1940" s="37"/>
      <c r="F1940" s="37"/>
      <c r="G1940" s="70"/>
    </row>
    <row r="1941" spans="2:7" x14ac:dyDescent="0.25">
      <c r="B1941" s="37"/>
      <c r="C1941" s="37"/>
      <c r="D1941" s="37"/>
      <c r="E1941" s="37"/>
      <c r="F1941" s="37"/>
      <c r="G1941" s="70"/>
    </row>
    <row r="1942" spans="2:7" x14ac:dyDescent="0.25">
      <c r="B1942" s="37"/>
      <c r="C1942" s="37"/>
      <c r="D1942" s="37"/>
      <c r="E1942" s="37"/>
      <c r="F1942" s="37"/>
      <c r="G1942" s="70"/>
    </row>
    <row r="1943" spans="2:7" x14ac:dyDescent="0.25">
      <c r="B1943" s="37"/>
      <c r="C1943" s="37"/>
      <c r="D1943" s="37"/>
      <c r="E1943" s="37"/>
      <c r="F1943" s="37"/>
      <c r="G1943" s="70"/>
    </row>
    <row r="1944" spans="2:7" x14ac:dyDescent="0.25">
      <c r="B1944" s="37"/>
      <c r="C1944" s="37"/>
      <c r="D1944" s="37"/>
      <c r="E1944" s="37"/>
      <c r="F1944" s="37"/>
      <c r="G1944" s="70"/>
    </row>
    <row r="1945" spans="2:7" x14ac:dyDescent="0.25">
      <c r="B1945" s="37"/>
      <c r="C1945" s="37"/>
      <c r="D1945" s="37"/>
      <c r="E1945" s="37"/>
      <c r="F1945" s="37"/>
      <c r="G1945" s="70"/>
    </row>
    <row r="1946" spans="2:7" x14ac:dyDescent="0.25">
      <c r="B1946" s="37"/>
      <c r="C1946" s="37"/>
      <c r="D1946" s="37"/>
      <c r="E1946" s="37"/>
      <c r="F1946" s="37"/>
      <c r="G1946" s="70"/>
    </row>
    <row r="1947" spans="2:7" x14ac:dyDescent="0.25">
      <c r="B1947" s="37"/>
      <c r="C1947" s="37"/>
      <c r="D1947" s="37"/>
      <c r="E1947" s="37"/>
      <c r="F1947" s="37"/>
      <c r="G1947" s="70"/>
    </row>
    <row r="1948" spans="2:7" x14ac:dyDescent="0.25">
      <c r="B1948" s="37"/>
      <c r="C1948" s="37"/>
      <c r="D1948" s="37"/>
      <c r="E1948" s="37"/>
      <c r="F1948" s="37"/>
      <c r="G1948" s="70"/>
    </row>
    <row r="1949" spans="2:7" x14ac:dyDescent="0.25">
      <c r="B1949" s="37"/>
      <c r="C1949" s="37"/>
      <c r="D1949" s="37"/>
      <c r="E1949" s="37"/>
      <c r="F1949" s="37"/>
      <c r="G1949" s="70"/>
    </row>
    <row r="1950" spans="2:7" x14ac:dyDescent="0.25">
      <c r="B1950" s="37"/>
      <c r="C1950" s="37"/>
      <c r="D1950" s="37"/>
      <c r="E1950" s="37"/>
      <c r="F1950" s="37"/>
      <c r="G1950" s="70"/>
    </row>
    <row r="1951" spans="2:7" x14ac:dyDescent="0.25">
      <c r="B1951" s="37"/>
      <c r="C1951" s="37"/>
      <c r="D1951" s="37"/>
      <c r="E1951" s="37"/>
      <c r="F1951" s="37"/>
      <c r="G1951" s="70"/>
    </row>
    <row r="1952" spans="2:7" x14ac:dyDescent="0.25">
      <c r="B1952" s="37"/>
      <c r="C1952" s="37"/>
      <c r="D1952" s="37"/>
      <c r="E1952" s="37"/>
      <c r="F1952" s="37"/>
      <c r="G1952" s="70"/>
    </row>
    <row r="1953" spans="2:7" x14ac:dyDescent="0.25">
      <c r="B1953" s="37"/>
      <c r="C1953" s="37"/>
      <c r="D1953" s="37"/>
      <c r="E1953" s="37"/>
      <c r="F1953" s="37"/>
      <c r="G1953" s="70"/>
    </row>
    <row r="1954" spans="2:7" x14ac:dyDescent="0.25">
      <c r="B1954" s="37"/>
      <c r="C1954" s="37"/>
      <c r="D1954" s="37"/>
      <c r="E1954" s="37"/>
      <c r="F1954" s="37"/>
      <c r="G1954" s="70"/>
    </row>
    <row r="1955" spans="2:7" x14ac:dyDescent="0.25">
      <c r="B1955" s="37"/>
      <c r="C1955" s="37"/>
      <c r="D1955" s="37"/>
      <c r="E1955" s="37"/>
      <c r="F1955" s="37"/>
      <c r="G1955" s="70"/>
    </row>
    <row r="1956" spans="2:7" x14ac:dyDescent="0.25">
      <c r="B1956" s="37"/>
      <c r="C1956" s="37"/>
      <c r="D1956" s="37"/>
      <c r="E1956" s="37"/>
      <c r="F1956" s="37"/>
      <c r="G1956" s="70"/>
    </row>
    <row r="1957" spans="2:7" x14ac:dyDescent="0.25">
      <c r="B1957" s="37"/>
      <c r="C1957" s="37"/>
      <c r="D1957" s="37"/>
      <c r="E1957" s="37"/>
      <c r="F1957" s="37"/>
      <c r="G1957" s="70"/>
    </row>
    <row r="1958" spans="2:7" x14ac:dyDescent="0.25">
      <c r="B1958" s="37"/>
      <c r="C1958" s="37"/>
      <c r="D1958" s="37"/>
      <c r="E1958" s="37"/>
      <c r="F1958" s="37"/>
      <c r="G1958" s="70"/>
    </row>
    <row r="1959" spans="2:7" x14ac:dyDescent="0.25">
      <c r="B1959" s="37"/>
      <c r="C1959" s="37"/>
      <c r="D1959" s="37"/>
      <c r="E1959" s="37"/>
      <c r="F1959" s="37"/>
      <c r="G1959" s="70"/>
    </row>
    <row r="1960" spans="2:7" x14ac:dyDescent="0.25">
      <c r="B1960" s="37"/>
      <c r="C1960" s="37"/>
      <c r="D1960" s="37"/>
      <c r="E1960" s="37"/>
      <c r="F1960" s="37"/>
      <c r="G1960" s="70"/>
    </row>
    <row r="1961" spans="2:7" x14ac:dyDescent="0.25">
      <c r="B1961" s="37"/>
      <c r="C1961" s="37"/>
      <c r="D1961" s="37"/>
      <c r="E1961" s="37"/>
      <c r="F1961" s="37"/>
      <c r="G1961" s="70"/>
    </row>
    <row r="1962" spans="2:7" x14ac:dyDescent="0.25">
      <c r="B1962" s="37"/>
      <c r="C1962" s="37"/>
      <c r="D1962" s="37"/>
      <c r="E1962" s="37"/>
      <c r="F1962" s="37"/>
      <c r="G1962" s="70"/>
    </row>
    <row r="1963" spans="2:7" x14ac:dyDescent="0.25">
      <c r="B1963" s="37"/>
      <c r="C1963" s="37"/>
      <c r="D1963" s="37"/>
      <c r="E1963" s="37"/>
      <c r="F1963" s="37"/>
      <c r="G1963" s="70"/>
    </row>
    <row r="1964" spans="2:7" x14ac:dyDescent="0.25">
      <c r="B1964" s="37"/>
      <c r="C1964" s="37"/>
      <c r="D1964" s="37"/>
      <c r="E1964" s="37"/>
      <c r="F1964" s="37"/>
      <c r="G1964" s="70"/>
    </row>
    <row r="1965" spans="2:7" x14ac:dyDescent="0.25">
      <c r="B1965" s="37"/>
      <c r="C1965" s="37"/>
      <c r="D1965" s="37"/>
      <c r="E1965" s="37"/>
      <c r="F1965" s="37"/>
      <c r="G1965" s="70"/>
    </row>
    <row r="1966" spans="2:7" x14ac:dyDescent="0.25">
      <c r="B1966" s="37"/>
      <c r="C1966" s="37"/>
      <c r="D1966" s="37"/>
      <c r="E1966" s="37"/>
      <c r="F1966" s="37"/>
      <c r="G1966" s="70"/>
    </row>
    <row r="1967" spans="2:7" x14ac:dyDescent="0.25">
      <c r="B1967" s="37"/>
      <c r="C1967" s="37"/>
      <c r="D1967" s="37"/>
      <c r="E1967" s="37"/>
      <c r="F1967" s="37"/>
      <c r="G1967" s="70"/>
    </row>
    <row r="1968" spans="2:7" x14ac:dyDescent="0.25">
      <c r="B1968" s="37"/>
      <c r="C1968" s="37"/>
      <c r="D1968" s="37"/>
      <c r="E1968" s="37"/>
      <c r="F1968" s="37"/>
      <c r="G1968" s="70"/>
    </row>
    <row r="1969" spans="2:7" x14ac:dyDescent="0.25">
      <c r="B1969" s="37"/>
      <c r="C1969" s="37"/>
      <c r="D1969" s="37"/>
      <c r="E1969" s="37"/>
      <c r="F1969" s="37"/>
      <c r="G1969" s="70"/>
    </row>
    <row r="1970" spans="2:7" x14ac:dyDescent="0.25">
      <c r="B1970" s="37"/>
      <c r="C1970" s="37"/>
      <c r="D1970" s="37"/>
      <c r="E1970" s="37"/>
      <c r="F1970" s="37"/>
      <c r="G1970" s="70"/>
    </row>
    <row r="1971" spans="2:7" x14ac:dyDescent="0.25">
      <c r="B1971" s="37"/>
      <c r="C1971" s="37"/>
      <c r="D1971" s="37"/>
      <c r="E1971" s="37"/>
      <c r="F1971" s="37"/>
      <c r="G1971" s="70"/>
    </row>
    <row r="1972" spans="2:7" x14ac:dyDescent="0.25">
      <c r="B1972" s="37"/>
      <c r="C1972" s="37"/>
      <c r="D1972" s="37"/>
      <c r="E1972" s="37"/>
      <c r="F1972" s="37"/>
      <c r="G1972" s="70"/>
    </row>
    <row r="1973" spans="2:7" x14ac:dyDescent="0.25">
      <c r="B1973" s="37"/>
      <c r="C1973" s="37"/>
      <c r="D1973" s="37"/>
      <c r="E1973" s="37"/>
      <c r="F1973" s="37"/>
      <c r="G1973" s="70"/>
    </row>
    <row r="1974" spans="2:7" x14ac:dyDescent="0.25">
      <c r="B1974" s="37"/>
      <c r="C1974" s="37"/>
      <c r="D1974" s="37"/>
      <c r="E1974" s="37"/>
      <c r="F1974" s="37"/>
      <c r="G1974" s="70"/>
    </row>
    <row r="1975" spans="2:7" x14ac:dyDescent="0.25">
      <c r="B1975" s="37"/>
      <c r="C1975" s="37"/>
      <c r="D1975" s="37"/>
      <c r="E1975" s="37"/>
      <c r="F1975" s="37"/>
      <c r="G1975" s="70"/>
    </row>
    <row r="1976" spans="2:7" x14ac:dyDescent="0.25">
      <c r="B1976" s="37"/>
      <c r="C1976" s="37"/>
      <c r="D1976" s="37"/>
      <c r="E1976" s="37"/>
      <c r="F1976" s="37"/>
      <c r="G1976" s="70"/>
    </row>
    <row r="1977" spans="2:7" x14ac:dyDescent="0.25">
      <c r="B1977" s="37"/>
      <c r="C1977" s="37"/>
      <c r="D1977" s="37"/>
      <c r="E1977" s="37"/>
      <c r="F1977" s="37"/>
      <c r="G1977" s="70"/>
    </row>
    <row r="1978" spans="2:7" x14ac:dyDescent="0.25">
      <c r="B1978" s="37"/>
      <c r="C1978" s="37"/>
      <c r="D1978" s="37"/>
      <c r="E1978" s="37"/>
      <c r="F1978" s="37"/>
      <c r="G1978" s="70"/>
    </row>
    <row r="1979" spans="2:7" x14ac:dyDescent="0.25">
      <c r="B1979" s="37"/>
      <c r="C1979" s="37"/>
      <c r="D1979" s="37"/>
      <c r="E1979" s="37"/>
      <c r="F1979" s="37"/>
      <c r="G1979" s="70"/>
    </row>
    <row r="1980" spans="2:7" x14ac:dyDescent="0.25">
      <c r="B1980" s="37"/>
      <c r="C1980" s="37"/>
      <c r="D1980" s="37"/>
      <c r="E1980" s="37"/>
      <c r="F1980" s="37"/>
      <c r="G1980" s="70"/>
    </row>
    <row r="1981" spans="2:7" x14ac:dyDescent="0.25">
      <c r="B1981" s="37"/>
      <c r="C1981" s="37"/>
      <c r="D1981" s="37"/>
      <c r="E1981" s="37"/>
      <c r="F1981" s="37"/>
      <c r="G1981" s="70"/>
    </row>
    <row r="1982" spans="2:7" x14ac:dyDescent="0.25">
      <c r="B1982" s="37"/>
      <c r="C1982" s="37"/>
      <c r="D1982" s="37"/>
      <c r="E1982" s="37"/>
      <c r="F1982" s="37"/>
      <c r="G1982" s="70"/>
    </row>
    <row r="1983" spans="2:7" x14ac:dyDescent="0.25">
      <c r="B1983" s="37"/>
      <c r="C1983" s="37"/>
      <c r="D1983" s="37"/>
      <c r="E1983" s="37"/>
      <c r="F1983" s="37"/>
      <c r="G1983" s="70"/>
    </row>
    <row r="1984" spans="2:7" x14ac:dyDescent="0.25">
      <c r="B1984" s="37"/>
      <c r="C1984" s="37"/>
      <c r="D1984" s="37"/>
      <c r="E1984" s="37"/>
      <c r="F1984" s="37"/>
      <c r="G1984" s="70"/>
    </row>
    <row r="1985" spans="2:7" x14ac:dyDescent="0.25">
      <c r="B1985" s="37"/>
      <c r="C1985" s="37"/>
      <c r="D1985" s="37"/>
      <c r="E1985" s="37"/>
      <c r="F1985" s="37"/>
      <c r="G1985" s="70"/>
    </row>
    <row r="1986" spans="2:7" x14ac:dyDescent="0.25">
      <c r="B1986" s="37"/>
      <c r="C1986" s="37"/>
      <c r="D1986" s="37"/>
      <c r="E1986" s="37"/>
      <c r="F1986" s="37"/>
      <c r="G1986" s="70"/>
    </row>
    <row r="1987" spans="2:7" x14ac:dyDescent="0.25">
      <c r="B1987" s="37"/>
      <c r="C1987" s="37"/>
      <c r="D1987" s="37"/>
      <c r="E1987" s="37"/>
      <c r="F1987" s="37"/>
      <c r="G1987" s="70"/>
    </row>
    <row r="1988" spans="2:7" x14ac:dyDescent="0.25">
      <c r="B1988" s="37"/>
      <c r="C1988" s="37"/>
      <c r="D1988" s="37"/>
      <c r="E1988" s="37"/>
      <c r="F1988" s="37"/>
      <c r="G1988" s="70"/>
    </row>
    <row r="1989" spans="2:7" x14ac:dyDescent="0.25">
      <c r="B1989" s="37"/>
      <c r="C1989" s="37"/>
      <c r="D1989" s="37"/>
      <c r="E1989" s="37"/>
      <c r="F1989" s="37"/>
      <c r="G1989" s="70"/>
    </row>
    <row r="1990" spans="2:7" x14ac:dyDescent="0.25">
      <c r="B1990" s="37"/>
      <c r="C1990" s="37"/>
      <c r="D1990" s="37"/>
      <c r="E1990" s="37"/>
      <c r="F1990" s="37"/>
      <c r="G1990" s="70"/>
    </row>
    <row r="1991" spans="2:7" x14ac:dyDescent="0.25">
      <c r="B1991" s="37"/>
      <c r="C1991" s="37"/>
      <c r="D1991" s="37"/>
      <c r="E1991" s="37"/>
      <c r="F1991" s="37"/>
      <c r="G1991" s="70"/>
    </row>
    <row r="1992" spans="2:7" x14ac:dyDescent="0.25">
      <c r="B1992" s="37"/>
      <c r="C1992" s="37"/>
      <c r="D1992" s="37"/>
      <c r="E1992" s="37"/>
      <c r="F1992" s="37"/>
      <c r="G1992" s="70"/>
    </row>
    <row r="1993" spans="2:7" x14ac:dyDescent="0.25">
      <c r="B1993" s="37"/>
      <c r="C1993" s="37"/>
      <c r="D1993" s="37"/>
      <c r="E1993" s="37"/>
      <c r="F1993" s="37"/>
      <c r="G1993" s="70"/>
    </row>
    <row r="1994" spans="2:7" x14ac:dyDescent="0.25">
      <c r="B1994" s="37"/>
      <c r="C1994" s="37"/>
      <c r="D1994" s="37"/>
      <c r="E1994" s="37"/>
      <c r="F1994" s="37"/>
      <c r="G1994" s="70"/>
    </row>
    <row r="1995" spans="2:7" x14ac:dyDescent="0.25">
      <c r="B1995" s="37"/>
      <c r="C1995" s="37"/>
      <c r="D1995" s="37"/>
      <c r="E1995" s="37"/>
      <c r="F1995" s="37"/>
      <c r="G1995" s="70"/>
    </row>
    <row r="1996" spans="2:7" x14ac:dyDescent="0.25">
      <c r="B1996" s="37"/>
      <c r="C1996" s="37"/>
      <c r="D1996" s="37"/>
      <c r="E1996" s="37"/>
      <c r="F1996" s="37"/>
      <c r="G1996" s="70"/>
    </row>
    <row r="1997" spans="2:7" x14ac:dyDescent="0.25">
      <c r="B1997" s="37"/>
      <c r="C1997" s="37"/>
      <c r="D1997" s="37"/>
      <c r="E1997" s="37"/>
      <c r="F1997" s="37"/>
      <c r="G1997" s="70"/>
    </row>
    <row r="1998" spans="2:7" x14ac:dyDescent="0.25">
      <c r="B1998" s="37"/>
      <c r="C1998" s="37"/>
      <c r="D1998" s="37"/>
      <c r="E1998" s="37"/>
      <c r="F1998" s="37"/>
      <c r="G1998" s="70"/>
    </row>
    <row r="1999" spans="2:7" x14ac:dyDescent="0.25">
      <c r="B1999" s="37"/>
      <c r="C1999" s="37"/>
      <c r="D1999" s="37"/>
      <c r="E1999" s="37"/>
      <c r="F1999" s="37"/>
      <c r="G1999" s="70"/>
    </row>
    <row r="2000" spans="2:7" x14ac:dyDescent="0.25">
      <c r="B2000" s="37"/>
      <c r="C2000" s="37"/>
      <c r="D2000" s="37"/>
      <c r="E2000" s="37"/>
      <c r="F2000" s="37"/>
      <c r="G2000" s="70"/>
    </row>
    <row r="2001" spans="2:7" x14ac:dyDescent="0.25">
      <c r="B2001" s="37"/>
      <c r="C2001" s="37"/>
      <c r="D2001" s="37"/>
      <c r="E2001" s="37"/>
      <c r="F2001" s="37"/>
      <c r="G2001" s="70"/>
    </row>
    <row r="2002" spans="2:7" x14ac:dyDescent="0.25">
      <c r="B2002" s="37"/>
      <c r="C2002" s="37"/>
      <c r="D2002" s="37"/>
      <c r="E2002" s="37"/>
      <c r="F2002" s="37"/>
      <c r="G2002" s="70"/>
    </row>
    <row r="2003" spans="2:7" x14ac:dyDescent="0.25">
      <c r="B2003" s="37"/>
      <c r="C2003" s="37"/>
      <c r="D2003" s="37"/>
      <c r="E2003" s="37"/>
      <c r="F2003" s="37"/>
      <c r="G2003" s="70"/>
    </row>
    <row r="2004" spans="2:7" x14ac:dyDescent="0.25">
      <c r="B2004" s="37"/>
      <c r="C2004" s="37"/>
      <c r="D2004" s="37"/>
      <c r="E2004" s="37"/>
      <c r="F2004" s="37"/>
      <c r="G2004" s="70"/>
    </row>
    <row r="2005" spans="2:7" x14ac:dyDescent="0.25">
      <c r="B2005" s="37"/>
      <c r="C2005" s="37"/>
      <c r="D2005" s="37"/>
      <c r="E2005" s="37"/>
      <c r="F2005" s="37"/>
      <c r="G2005" s="70"/>
    </row>
    <row r="2006" spans="2:7" x14ac:dyDescent="0.25">
      <c r="B2006" s="37"/>
      <c r="C2006" s="37"/>
      <c r="D2006" s="37"/>
      <c r="E2006" s="37"/>
      <c r="F2006" s="37"/>
      <c r="G2006" s="70"/>
    </row>
    <row r="2007" spans="2:7" x14ac:dyDescent="0.25">
      <c r="B2007" s="37"/>
      <c r="C2007" s="37"/>
      <c r="D2007" s="37"/>
      <c r="E2007" s="37"/>
      <c r="F2007" s="37"/>
      <c r="G2007" s="70"/>
    </row>
    <row r="2008" spans="2:7" x14ac:dyDescent="0.25">
      <c r="B2008" s="37"/>
      <c r="C2008" s="37"/>
      <c r="D2008" s="37"/>
      <c r="E2008" s="37"/>
      <c r="F2008" s="37"/>
      <c r="G2008" s="70"/>
    </row>
    <row r="2009" spans="2:7" x14ac:dyDescent="0.25">
      <c r="B2009" s="37"/>
      <c r="C2009" s="37"/>
      <c r="D2009" s="37"/>
      <c r="E2009" s="37"/>
      <c r="F2009" s="37"/>
      <c r="G2009" s="70"/>
    </row>
    <row r="2010" spans="2:7" x14ac:dyDescent="0.25">
      <c r="B2010" s="37"/>
      <c r="C2010" s="37"/>
      <c r="D2010" s="37"/>
      <c r="E2010" s="37"/>
      <c r="F2010" s="37"/>
      <c r="G2010" s="70"/>
    </row>
    <row r="2011" spans="2:7" x14ac:dyDescent="0.25">
      <c r="B2011" s="37"/>
      <c r="C2011" s="37"/>
      <c r="D2011" s="37"/>
      <c r="E2011" s="37"/>
      <c r="F2011" s="37"/>
      <c r="G2011" s="70"/>
    </row>
    <row r="2012" spans="2:7" x14ac:dyDescent="0.25">
      <c r="B2012" s="37"/>
      <c r="C2012" s="37"/>
      <c r="D2012" s="37"/>
      <c r="E2012" s="37"/>
      <c r="F2012" s="37"/>
      <c r="G2012" s="70"/>
    </row>
    <row r="2013" spans="2:7" x14ac:dyDescent="0.25">
      <c r="B2013" s="37"/>
      <c r="C2013" s="37"/>
      <c r="D2013" s="37"/>
      <c r="E2013" s="37"/>
      <c r="F2013" s="37"/>
      <c r="G2013" s="70"/>
    </row>
    <row r="2014" spans="2:7" x14ac:dyDescent="0.25">
      <c r="B2014" s="37"/>
      <c r="C2014" s="37"/>
      <c r="D2014" s="37"/>
      <c r="E2014" s="37"/>
      <c r="F2014" s="37"/>
      <c r="G2014" s="70"/>
    </row>
    <row r="2015" spans="2:7" x14ac:dyDescent="0.25">
      <c r="B2015" s="37"/>
      <c r="C2015" s="37"/>
      <c r="D2015" s="37"/>
      <c r="E2015" s="37"/>
      <c r="F2015" s="37"/>
      <c r="G2015" s="70"/>
    </row>
    <row r="2016" spans="2:7" x14ac:dyDescent="0.25">
      <c r="B2016" s="37"/>
      <c r="C2016" s="37"/>
      <c r="D2016" s="37"/>
      <c r="E2016" s="37"/>
      <c r="F2016" s="37"/>
      <c r="G2016" s="70"/>
    </row>
    <row r="2017" spans="2:7" x14ac:dyDescent="0.25">
      <c r="B2017" s="37"/>
      <c r="C2017" s="37"/>
      <c r="D2017" s="37"/>
      <c r="E2017" s="37"/>
      <c r="F2017" s="37"/>
      <c r="G2017" s="70"/>
    </row>
    <row r="2018" spans="2:7" x14ac:dyDescent="0.25">
      <c r="B2018" s="37"/>
      <c r="C2018" s="37"/>
      <c r="D2018" s="37"/>
      <c r="E2018" s="37"/>
      <c r="F2018" s="37"/>
      <c r="G2018" s="70"/>
    </row>
    <row r="2019" spans="2:7" x14ac:dyDescent="0.25">
      <c r="B2019" s="37"/>
      <c r="C2019" s="37"/>
      <c r="D2019" s="37"/>
      <c r="E2019" s="37"/>
      <c r="F2019" s="37"/>
      <c r="G2019" s="70"/>
    </row>
    <row r="2020" spans="2:7" x14ac:dyDescent="0.25">
      <c r="B2020" s="37"/>
      <c r="C2020" s="37"/>
      <c r="D2020" s="37"/>
      <c r="E2020" s="37"/>
      <c r="F2020" s="37"/>
      <c r="G2020" s="70"/>
    </row>
    <row r="2021" spans="2:7" x14ac:dyDescent="0.25">
      <c r="B2021" s="37"/>
      <c r="C2021" s="37"/>
      <c r="D2021" s="37"/>
      <c r="E2021" s="37"/>
      <c r="F2021" s="37"/>
      <c r="G2021" s="70"/>
    </row>
    <row r="2022" spans="2:7" x14ac:dyDescent="0.25">
      <c r="B2022" s="37"/>
      <c r="C2022" s="37"/>
      <c r="D2022" s="37"/>
      <c r="E2022" s="37"/>
      <c r="F2022" s="37"/>
      <c r="G2022" s="70"/>
    </row>
    <row r="2023" spans="2:7" x14ac:dyDescent="0.25">
      <c r="B2023" s="37"/>
      <c r="C2023" s="37"/>
      <c r="D2023" s="37"/>
      <c r="E2023" s="37"/>
      <c r="F2023" s="37"/>
      <c r="G2023" s="70"/>
    </row>
    <row r="2024" spans="2:7" x14ac:dyDescent="0.25">
      <c r="B2024" s="37"/>
      <c r="C2024" s="37"/>
      <c r="D2024" s="37"/>
      <c r="E2024" s="37"/>
      <c r="F2024" s="37"/>
      <c r="G2024" s="70"/>
    </row>
    <row r="2025" spans="2:7" x14ac:dyDescent="0.25">
      <c r="B2025" s="37"/>
      <c r="C2025" s="37"/>
      <c r="D2025" s="37"/>
      <c r="E2025" s="37"/>
      <c r="F2025" s="37"/>
      <c r="G2025" s="70"/>
    </row>
    <row r="2026" spans="2:7" x14ac:dyDescent="0.25">
      <c r="B2026" s="37"/>
      <c r="C2026" s="37"/>
      <c r="D2026" s="37"/>
      <c r="E2026" s="37"/>
      <c r="F2026" s="37"/>
      <c r="G2026" s="70"/>
    </row>
    <row r="2027" spans="2:7" x14ac:dyDescent="0.25">
      <c r="B2027" s="37"/>
      <c r="C2027" s="37"/>
      <c r="D2027" s="37"/>
      <c r="E2027" s="37"/>
      <c r="F2027" s="37"/>
      <c r="G2027" s="70"/>
    </row>
    <row r="2028" spans="2:7" x14ac:dyDescent="0.25">
      <c r="B2028" s="37"/>
      <c r="C2028" s="37"/>
      <c r="D2028" s="37"/>
      <c r="E2028" s="37"/>
      <c r="F2028" s="37"/>
      <c r="G2028" s="70"/>
    </row>
    <row r="2029" spans="2:7" x14ac:dyDescent="0.25">
      <c r="B2029" s="37"/>
      <c r="C2029" s="37"/>
      <c r="D2029" s="37"/>
      <c r="E2029" s="37"/>
      <c r="F2029" s="37"/>
      <c r="G2029" s="70"/>
    </row>
    <row r="2030" spans="2:7" x14ac:dyDescent="0.25">
      <c r="B2030" s="37"/>
      <c r="C2030" s="37"/>
      <c r="D2030" s="37"/>
      <c r="E2030" s="37"/>
      <c r="F2030" s="37"/>
      <c r="G2030" s="70"/>
    </row>
    <row r="2031" spans="2:7" x14ac:dyDescent="0.25">
      <c r="B2031" s="37"/>
      <c r="C2031" s="37"/>
      <c r="D2031" s="37"/>
      <c r="E2031" s="37"/>
      <c r="F2031" s="37"/>
      <c r="G2031" s="70"/>
    </row>
    <row r="2032" spans="2:7" x14ac:dyDescent="0.25">
      <c r="B2032" s="37"/>
      <c r="C2032" s="37"/>
      <c r="D2032" s="37"/>
      <c r="E2032" s="37"/>
      <c r="F2032" s="37"/>
      <c r="G2032" s="70"/>
    </row>
    <row r="2033" spans="2:7" x14ac:dyDescent="0.25">
      <c r="B2033" s="37"/>
      <c r="C2033" s="37"/>
      <c r="D2033" s="37"/>
      <c r="E2033" s="37"/>
      <c r="F2033" s="37"/>
      <c r="G2033" s="70"/>
    </row>
    <row r="2034" spans="2:7" x14ac:dyDescent="0.25">
      <c r="B2034" s="37"/>
      <c r="C2034" s="37"/>
      <c r="D2034" s="37"/>
      <c r="E2034" s="37"/>
      <c r="F2034" s="37"/>
      <c r="G2034" s="70"/>
    </row>
    <row r="2035" spans="2:7" x14ac:dyDescent="0.25">
      <c r="B2035" s="37"/>
      <c r="C2035" s="37"/>
      <c r="D2035" s="37"/>
      <c r="E2035" s="37"/>
      <c r="F2035" s="37"/>
      <c r="G2035" s="70"/>
    </row>
    <row r="2036" spans="2:7" x14ac:dyDescent="0.25">
      <c r="B2036" s="37"/>
      <c r="C2036" s="37"/>
      <c r="D2036" s="37"/>
      <c r="E2036" s="37"/>
      <c r="F2036" s="37"/>
      <c r="G2036" s="70"/>
    </row>
    <row r="2037" spans="2:7" x14ac:dyDescent="0.25">
      <c r="B2037" s="37"/>
      <c r="C2037" s="37"/>
      <c r="D2037" s="37"/>
      <c r="E2037" s="37"/>
      <c r="F2037" s="37"/>
      <c r="G2037" s="70"/>
    </row>
    <row r="2038" spans="2:7" x14ac:dyDescent="0.25">
      <c r="B2038" s="37"/>
      <c r="C2038" s="37"/>
      <c r="D2038" s="37"/>
      <c r="E2038" s="37"/>
      <c r="F2038" s="37"/>
      <c r="G2038" s="70"/>
    </row>
    <row r="2039" spans="2:7" x14ac:dyDescent="0.25">
      <c r="B2039" s="37"/>
      <c r="C2039" s="37"/>
      <c r="D2039" s="37"/>
      <c r="E2039" s="37"/>
      <c r="F2039" s="37"/>
      <c r="G2039" s="70"/>
    </row>
    <row r="2040" spans="2:7" x14ac:dyDescent="0.25">
      <c r="B2040" s="37"/>
      <c r="C2040" s="37"/>
      <c r="D2040" s="37"/>
      <c r="E2040" s="37"/>
      <c r="F2040" s="37"/>
      <c r="G2040" s="70"/>
    </row>
    <row r="2041" spans="2:7" x14ac:dyDescent="0.25">
      <c r="B2041" s="37"/>
      <c r="C2041" s="37"/>
      <c r="D2041" s="37"/>
      <c r="E2041" s="37"/>
      <c r="F2041" s="37"/>
      <c r="G2041" s="70"/>
    </row>
    <row r="2042" spans="2:7" x14ac:dyDescent="0.25">
      <c r="B2042" s="37"/>
      <c r="C2042" s="37"/>
      <c r="D2042" s="37"/>
      <c r="E2042" s="37"/>
      <c r="F2042" s="37"/>
      <c r="G2042" s="70"/>
    </row>
    <row r="2043" spans="2:7" x14ac:dyDescent="0.25">
      <c r="B2043" s="37"/>
      <c r="C2043" s="37"/>
      <c r="D2043" s="37"/>
      <c r="E2043" s="37"/>
      <c r="F2043" s="37"/>
      <c r="G2043" s="70"/>
    </row>
    <row r="2044" spans="2:7" x14ac:dyDescent="0.25">
      <c r="B2044" s="37"/>
      <c r="C2044" s="37"/>
      <c r="D2044" s="37"/>
      <c r="E2044" s="37"/>
      <c r="F2044" s="37"/>
      <c r="G2044" s="70"/>
    </row>
    <row r="2045" spans="2:7" x14ac:dyDescent="0.25">
      <c r="B2045" s="37"/>
      <c r="C2045" s="37"/>
      <c r="D2045" s="37"/>
      <c r="E2045" s="37"/>
      <c r="F2045" s="37"/>
      <c r="G2045" s="70"/>
    </row>
    <row r="2046" spans="2:7" x14ac:dyDescent="0.25">
      <c r="B2046" s="37"/>
      <c r="C2046" s="37"/>
      <c r="D2046" s="37"/>
      <c r="E2046" s="37"/>
      <c r="F2046" s="37"/>
      <c r="G2046" s="70"/>
    </row>
    <row r="2047" spans="2:7" x14ac:dyDescent="0.25">
      <c r="B2047" s="37"/>
      <c r="C2047" s="37"/>
      <c r="D2047" s="37"/>
      <c r="E2047" s="37"/>
      <c r="F2047" s="37"/>
      <c r="G2047" s="70"/>
    </row>
    <row r="2048" spans="2:7" x14ac:dyDescent="0.25">
      <c r="B2048" s="37"/>
      <c r="C2048" s="37"/>
      <c r="D2048" s="37"/>
      <c r="E2048" s="37"/>
      <c r="F2048" s="37"/>
      <c r="G2048" s="70"/>
    </row>
    <row r="2049" spans="2:7" x14ac:dyDescent="0.25">
      <c r="B2049" s="37"/>
      <c r="C2049" s="37"/>
      <c r="D2049" s="37"/>
      <c r="E2049" s="37"/>
      <c r="F2049" s="37"/>
      <c r="G2049" s="70"/>
    </row>
    <row r="2050" spans="2:7" x14ac:dyDescent="0.25">
      <c r="B2050" s="37"/>
      <c r="C2050" s="37"/>
      <c r="D2050" s="37"/>
      <c r="E2050" s="37"/>
      <c r="F2050" s="37"/>
      <c r="G2050" s="70"/>
    </row>
    <row r="2051" spans="2:7" x14ac:dyDescent="0.25">
      <c r="B2051" s="37"/>
      <c r="C2051" s="37"/>
      <c r="D2051" s="37"/>
      <c r="E2051" s="37"/>
      <c r="F2051" s="37"/>
      <c r="G2051" s="70"/>
    </row>
    <row r="2052" spans="2:7" x14ac:dyDescent="0.25">
      <c r="B2052" s="37"/>
      <c r="C2052" s="37"/>
      <c r="D2052" s="37"/>
      <c r="E2052" s="37"/>
      <c r="F2052" s="37"/>
      <c r="G2052" s="70"/>
    </row>
    <row r="2053" spans="2:7" x14ac:dyDescent="0.25">
      <c r="B2053" s="37"/>
      <c r="C2053" s="37"/>
      <c r="D2053" s="37"/>
      <c r="E2053" s="37"/>
      <c r="F2053" s="37"/>
      <c r="G2053" s="70"/>
    </row>
    <row r="2054" spans="2:7" x14ac:dyDescent="0.25">
      <c r="B2054" s="37"/>
      <c r="C2054" s="37"/>
      <c r="D2054" s="37"/>
      <c r="E2054" s="37"/>
      <c r="F2054" s="37"/>
      <c r="G2054" s="70"/>
    </row>
    <row r="2055" spans="2:7" x14ac:dyDescent="0.25">
      <c r="B2055" s="37"/>
      <c r="C2055" s="37"/>
      <c r="D2055" s="37"/>
      <c r="E2055" s="37"/>
      <c r="F2055" s="37"/>
      <c r="G2055" s="70"/>
    </row>
    <row r="2056" spans="2:7" x14ac:dyDescent="0.25">
      <c r="B2056" s="37"/>
      <c r="C2056" s="37"/>
      <c r="D2056" s="37"/>
      <c r="E2056" s="37"/>
      <c r="F2056" s="37"/>
      <c r="G2056" s="70"/>
    </row>
    <row r="2057" spans="2:7" x14ac:dyDescent="0.25">
      <c r="B2057" s="37"/>
      <c r="C2057" s="37"/>
      <c r="D2057" s="37"/>
      <c r="E2057" s="37"/>
      <c r="F2057" s="37"/>
      <c r="G2057" s="70"/>
    </row>
    <row r="2058" spans="2:7" x14ac:dyDescent="0.25">
      <c r="B2058" s="37"/>
      <c r="C2058" s="37"/>
      <c r="D2058" s="37"/>
      <c r="E2058" s="37"/>
      <c r="F2058" s="37"/>
      <c r="G2058" s="70"/>
    </row>
    <row r="2059" spans="2:7" x14ac:dyDescent="0.25">
      <c r="B2059" s="37"/>
      <c r="C2059" s="37"/>
      <c r="D2059" s="37"/>
      <c r="E2059" s="37"/>
      <c r="F2059" s="37"/>
      <c r="G2059" s="70"/>
    </row>
    <row r="2060" spans="2:7" x14ac:dyDescent="0.25">
      <c r="B2060" s="37"/>
      <c r="C2060" s="37"/>
      <c r="D2060" s="37"/>
      <c r="E2060" s="37"/>
      <c r="F2060" s="37"/>
      <c r="G2060" s="70"/>
    </row>
    <row r="2061" spans="2:7" x14ac:dyDescent="0.25">
      <c r="B2061" s="37"/>
      <c r="C2061" s="37"/>
      <c r="D2061" s="37"/>
      <c r="E2061" s="37"/>
      <c r="F2061" s="37"/>
      <c r="G2061" s="70"/>
    </row>
    <row r="2062" spans="2:7" x14ac:dyDescent="0.25">
      <c r="B2062" s="37"/>
      <c r="C2062" s="37"/>
      <c r="D2062" s="37"/>
      <c r="E2062" s="37"/>
      <c r="F2062" s="37"/>
      <c r="G2062" s="70"/>
    </row>
    <row r="2063" spans="2:7" x14ac:dyDescent="0.25">
      <c r="B2063" s="37"/>
      <c r="C2063" s="37"/>
      <c r="D2063" s="37"/>
      <c r="E2063" s="37"/>
      <c r="F2063" s="37"/>
      <c r="G2063" s="70"/>
    </row>
    <row r="2064" spans="2:7" x14ac:dyDescent="0.25">
      <c r="B2064" s="37"/>
      <c r="C2064" s="37"/>
      <c r="D2064" s="37"/>
      <c r="E2064" s="37"/>
      <c r="F2064" s="37"/>
      <c r="G2064" s="70"/>
    </row>
    <row r="2065" spans="2:7" x14ac:dyDescent="0.25">
      <c r="B2065" s="37"/>
      <c r="C2065" s="37"/>
      <c r="D2065" s="37"/>
      <c r="E2065" s="37"/>
      <c r="F2065" s="37"/>
      <c r="G2065" s="70"/>
    </row>
    <row r="2066" spans="2:7" x14ac:dyDescent="0.25">
      <c r="B2066" s="37"/>
      <c r="C2066" s="37"/>
      <c r="D2066" s="37"/>
      <c r="E2066" s="37"/>
      <c r="F2066" s="37"/>
      <c r="G2066" s="70"/>
    </row>
    <row r="2067" spans="2:7" x14ac:dyDescent="0.25">
      <c r="B2067" s="37"/>
      <c r="C2067" s="37"/>
      <c r="D2067" s="37"/>
      <c r="E2067" s="37"/>
      <c r="F2067" s="37"/>
      <c r="G2067" s="70"/>
    </row>
    <row r="2068" spans="2:7" x14ac:dyDescent="0.25">
      <c r="B2068" s="37"/>
      <c r="C2068" s="37"/>
      <c r="D2068" s="37"/>
      <c r="E2068" s="37"/>
      <c r="F2068" s="37"/>
      <c r="G2068" s="70"/>
    </row>
    <row r="2069" spans="2:7" x14ac:dyDescent="0.25">
      <c r="B2069" s="37"/>
      <c r="C2069" s="37"/>
      <c r="D2069" s="37"/>
      <c r="E2069" s="37"/>
      <c r="F2069" s="37"/>
      <c r="G2069" s="70"/>
    </row>
    <row r="2070" spans="2:7" x14ac:dyDescent="0.25">
      <c r="B2070" s="37"/>
      <c r="C2070" s="37"/>
      <c r="D2070" s="37"/>
      <c r="E2070" s="37"/>
      <c r="F2070" s="37"/>
      <c r="G2070" s="70"/>
    </row>
    <row r="2071" spans="2:7" x14ac:dyDescent="0.25">
      <c r="B2071" s="37"/>
      <c r="C2071" s="37"/>
      <c r="D2071" s="37"/>
      <c r="E2071" s="37"/>
      <c r="F2071" s="37"/>
      <c r="G2071" s="70"/>
    </row>
    <row r="2072" spans="2:7" x14ac:dyDescent="0.25">
      <c r="B2072" s="37"/>
      <c r="C2072" s="37"/>
      <c r="D2072" s="37"/>
      <c r="E2072" s="37"/>
      <c r="F2072" s="37"/>
      <c r="G2072" s="70"/>
    </row>
    <row r="2073" spans="2:7" x14ac:dyDescent="0.25">
      <c r="B2073" s="37"/>
      <c r="C2073" s="37"/>
      <c r="D2073" s="37"/>
      <c r="E2073" s="37"/>
      <c r="F2073" s="37"/>
      <c r="G2073" s="70"/>
    </row>
    <row r="2074" spans="2:7" x14ac:dyDescent="0.25">
      <c r="B2074" s="37"/>
      <c r="C2074" s="37"/>
      <c r="D2074" s="37"/>
      <c r="E2074" s="37"/>
      <c r="F2074" s="37"/>
      <c r="G2074" s="70"/>
    </row>
    <row r="2075" spans="2:7" x14ac:dyDescent="0.25">
      <c r="B2075" s="37"/>
      <c r="C2075" s="37"/>
      <c r="D2075" s="37"/>
      <c r="E2075" s="37"/>
      <c r="F2075" s="37"/>
      <c r="G2075" s="70"/>
    </row>
    <row r="2076" spans="2:7" x14ac:dyDescent="0.25">
      <c r="B2076" s="37"/>
      <c r="C2076" s="37"/>
      <c r="D2076" s="37"/>
      <c r="E2076" s="37"/>
      <c r="F2076" s="37"/>
      <c r="G2076" s="70"/>
    </row>
    <row r="2077" spans="2:7" x14ac:dyDescent="0.25">
      <c r="B2077" s="37"/>
      <c r="C2077" s="37"/>
      <c r="D2077" s="37"/>
      <c r="E2077" s="37"/>
      <c r="F2077" s="37"/>
      <c r="G2077" s="70"/>
    </row>
    <row r="2078" spans="2:7" x14ac:dyDescent="0.25">
      <c r="B2078" s="37"/>
      <c r="C2078" s="37"/>
      <c r="D2078" s="37"/>
      <c r="E2078" s="37"/>
      <c r="F2078" s="37"/>
      <c r="G2078" s="70"/>
    </row>
    <row r="2079" spans="2:7" x14ac:dyDescent="0.25">
      <c r="B2079" s="37"/>
      <c r="C2079" s="37"/>
      <c r="D2079" s="37"/>
      <c r="E2079" s="37"/>
      <c r="F2079" s="37"/>
      <c r="G2079" s="70"/>
    </row>
    <row r="2080" spans="2:7" x14ac:dyDescent="0.25">
      <c r="B2080" s="37"/>
      <c r="C2080" s="37"/>
      <c r="D2080" s="37"/>
      <c r="E2080" s="37"/>
      <c r="F2080" s="37"/>
      <c r="G2080" s="70"/>
    </row>
    <row r="2081" spans="2:7" x14ac:dyDescent="0.25">
      <c r="B2081" s="37"/>
      <c r="C2081" s="37"/>
      <c r="D2081" s="37"/>
      <c r="E2081" s="37"/>
      <c r="F2081" s="37"/>
      <c r="G2081" s="70"/>
    </row>
    <row r="2082" spans="2:7" x14ac:dyDescent="0.25">
      <c r="B2082" s="37"/>
      <c r="C2082" s="37"/>
      <c r="D2082" s="37"/>
      <c r="E2082" s="37"/>
      <c r="F2082" s="37"/>
      <c r="G2082" s="70"/>
    </row>
    <row r="2083" spans="2:7" x14ac:dyDescent="0.25">
      <c r="B2083" s="37"/>
      <c r="C2083" s="37"/>
      <c r="D2083" s="37"/>
      <c r="E2083" s="37"/>
      <c r="F2083" s="37"/>
      <c r="G2083" s="70"/>
    </row>
    <row r="2084" spans="2:7" x14ac:dyDescent="0.25">
      <c r="B2084" s="37"/>
      <c r="C2084" s="37"/>
      <c r="D2084" s="37"/>
      <c r="E2084" s="37"/>
      <c r="F2084" s="37"/>
      <c r="G2084" s="70"/>
    </row>
    <row r="2085" spans="2:7" x14ac:dyDescent="0.25">
      <c r="B2085" s="37"/>
      <c r="C2085" s="37"/>
      <c r="D2085" s="37"/>
      <c r="E2085" s="37"/>
      <c r="F2085" s="37"/>
      <c r="G2085" s="70"/>
    </row>
    <row r="2086" spans="2:7" x14ac:dyDescent="0.25">
      <c r="B2086" s="37"/>
      <c r="C2086" s="37"/>
      <c r="D2086" s="37"/>
      <c r="E2086" s="37"/>
      <c r="F2086" s="37"/>
      <c r="G2086" s="70"/>
    </row>
    <row r="2087" spans="2:7" x14ac:dyDescent="0.25">
      <c r="B2087" s="37"/>
      <c r="C2087" s="37"/>
      <c r="D2087" s="37"/>
      <c r="E2087" s="37"/>
      <c r="F2087" s="37"/>
      <c r="G2087" s="70"/>
    </row>
    <row r="2088" spans="2:7" x14ac:dyDescent="0.25">
      <c r="B2088" s="37"/>
      <c r="C2088" s="37"/>
      <c r="D2088" s="37"/>
      <c r="E2088" s="37"/>
      <c r="F2088" s="37"/>
      <c r="G2088" s="70"/>
    </row>
    <row r="2089" spans="2:7" x14ac:dyDescent="0.25">
      <c r="B2089" s="37"/>
      <c r="C2089" s="37"/>
      <c r="D2089" s="37"/>
      <c r="E2089" s="37"/>
      <c r="F2089" s="37"/>
      <c r="G2089" s="70"/>
    </row>
    <row r="2090" spans="2:7" x14ac:dyDescent="0.25">
      <c r="B2090" s="37"/>
      <c r="C2090" s="37"/>
      <c r="D2090" s="37"/>
      <c r="E2090" s="37"/>
      <c r="F2090" s="37"/>
      <c r="G2090" s="70"/>
    </row>
    <row r="2091" spans="2:7" x14ac:dyDescent="0.25">
      <c r="B2091" s="37"/>
      <c r="C2091" s="37"/>
      <c r="D2091" s="37"/>
      <c r="E2091" s="37"/>
      <c r="F2091" s="37"/>
      <c r="G2091" s="70"/>
    </row>
    <row r="2092" spans="2:7" x14ac:dyDescent="0.25">
      <c r="B2092" s="37"/>
      <c r="C2092" s="37"/>
      <c r="D2092" s="37"/>
      <c r="E2092" s="37"/>
      <c r="F2092" s="37"/>
      <c r="G2092" s="70"/>
    </row>
    <row r="2093" spans="2:7" x14ac:dyDescent="0.25">
      <c r="B2093" s="37"/>
      <c r="C2093" s="37"/>
      <c r="D2093" s="37"/>
      <c r="E2093" s="37"/>
      <c r="F2093" s="37"/>
      <c r="G2093" s="70"/>
    </row>
    <row r="2094" spans="2:7" x14ac:dyDescent="0.25">
      <c r="B2094" s="37"/>
      <c r="C2094" s="37"/>
      <c r="D2094" s="37"/>
      <c r="E2094" s="37"/>
      <c r="F2094" s="37"/>
      <c r="G2094" s="70"/>
    </row>
    <row r="2095" spans="2:7" x14ac:dyDescent="0.25">
      <c r="B2095" s="37"/>
      <c r="C2095" s="37"/>
      <c r="D2095" s="37"/>
      <c r="E2095" s="37"/>
      <c r="F2095" s="37"/>
      <c r="G2095" s="70"/>
    </row>
    <row r="2096" spans="2:7" x14ac:dyDescent="0.25">
      <c r="B2096" s="37"/>
      <c r="C2096" s="37"/>
      <c r="D2096" s="37"/>
      <c r="E2096" s="37"/>
      <c r="F2096" s="37"/>
      <c r="G2096" s="70"/>
    </row>
    <row r="2097" spans="2:7" x14ac:dyDescent="0.25">
      <c r="B2097" s="37"/>
      <c r="C2097" s="37"/>
      <c r="D2097" s="37"/>
      <c r="E2097" s="37"/>
      <c r="F2097" s="37"/>
      <c r="G2097" s="70"/>
    </row>
    <row r="2098" spans="2:7" x14ac:dyDescent="0.25">
      <c r="B2098" s="37"/>
      <c r="C2098" s="37"/>
      <c r="D2098" s="37"/>
      <c r="E2098" s="37"/>
      <c r="F2098" s="37"/>
      <c r="G2098" s="70"/>
    </row>
    <row r="2099" spans="2:7" x14ac:dyDescent="0.25">
      <c r="B2099" s="37"/>
      <c r="C2099" s="37"/>
      <c r="D2099" s="37"/>
      <c r="E2099" s="37"/>
      <c r="F2099" s="37"/>
      <c r="G2099" s="70"/>
    </row>
    <row r="2100" spans="2:7" x14ac:dyDescent="0.25">
      <c r="B2100" s="37"/>
      <c r="C2100" s="37"/>
      <c r="D2100" s="37"/>
      <c r="E2100" s="37"/>
      <c r="F2100" s="37"/>
      <c r="G2100" s="70"/>
    </row>
    <row r="2101" spans="2:7" x14ac:dyDescent="0.25">
      <c r="B2101" s="37"/>
      <c r="C2101" s="37"/>
      <c r="D2101" s="37"/>
      <c r="E2101" s="37"/>
      <c r="F2101" s="37"/>
      <c r="G2101" s="70"/>
    </row>
    <row r="2102" spans="2:7" x14ac:dyDescent="0.25">
      <c r="B2102" s="37"/>
      <c r="C2102" s="37"/>
      <c r="D2102" s="37"/>
      <c r="E2102" s="37"/>
      <c r="F2102" s="37"/>
      <c r="G2102" s="70"/>
    </row>
    <row r="2103" spans="2:7" x14ac:dyDescent="0.25">
      <c r="B2103" s="37"/>
      <c r="C2103" s="37"/>
      <c r="D2103" s="37"/>
      <c r="E2103" s="37"/>
      <c r="F2103" s="37"/>
      <c r="G2103" s="70"/>
    </row>
    <row r="2104" spans="2:7" x14ac:dyDescent="0.25">
      <c r="B2104" s="37"/>
      <c r="C2104" s="37"/>
      <c r="D2104" s="37"/>
      <c r="E2104" s="37"/>
      <c r="F2104" s="37"/>
      <c r="G2104" s="70"/>
    </row>
    <row r="2105" spans="2:7" x14ac:dyDescent="0.25">
      <c r="B2105" s="37"/>
      <c r="C2105" s="37"/>
      <c r="D2105" s="37"/>
      <c r="E2105" s="37"/>
      <c r="F2105" s="37"/>
      <c r="G2105" s="70"/>
    </row>
    <row r="2106" spans="2:7" x14ac:dyDescent="0.25">
      <c r="B2106" s="37"/>
      <c r="C2106" s="37"/>
      <c r="D2106" s="37"/>
      <c r="E2106" s="37"/>
      <c r="F2106" s="37"/>
      <c r="G2106" s="70"/>
    </row>
    <row r="2107" spans="2:7" x14ac:dyDescent="0.25">
      <c r="B2107" s="37"/>
      <c r="C2107" s="37"/>
      <c r="D2107" s="37"/>
      <c r="E2107" s="37"/>
      <c r="F2107" s="37"/>
      <c r="G2107" s="70"/>
    </row>
    <row r="2108" spans="2:7" x14ac:dyDescent="0.25">
      <c r="B2108" s="37"/>
      <c r="C2108" s="37"/>
      <c r="D2108" s="37"/>
      <c r="E2108" s="37"/>
      <c r="F2108" s="37"/>
      <c r="G2108" s="70"/>
    </row>
    <row r="2109" spans="2:7" x14ac:dyDescent="0.25">
      <c r="B2109" s="37"/>
      <c r="C2109" s="37"/>
      <c r="D2109" s="37"/>
      <c r="E2109" s="37"/>
      <c r="F2109" s="37"/>
      <c r="G2109" s="70"/>
    </row>
    <row r="2110" spans="2:7" x14ac:dyDescent="0.25">
      <c r="B2110" s="37"/>
      <c r="C2110" s="37"/>
      <c r="D2110" s="37"/>
      <c r="E2110" s="37"/>
      <c r="F2110" s="37"/>
      <c r="G2110" s="70"/>
    </row>
    <row r="2111" spans="2:7" x14ac:dyDescent="0.25">
      <c r="B2111" s="37"/>
      <c r="C2111" s="37"/>
      <c r="D2111" s="37"/>
      <c r="E2111" s="37"/>
      <c r="F2111" s="37"/>
      <c r="G2111" s="70"/>
    </row>
    <row r="2112" spans="2:7" x14ac:dyDescent="0.25">
      <c r="B2112" s="37"/>
      <c r="C2112" s="37"/>
      <c r="D2112" s="37"/>
      <c r="E2112" s="37"/>
      <c r="F2112" s="37"/>
      <c r="G2112" s="70"/>
    </row>
    <row r="2113" spans="2:7" x14ac:dyDescent="0.25">
      <c r="B2113" s="37"/>
      <c r="C2113" s="37"/>
      <c r="D2113" s="37"/>
      <c r="E2113" s="37"/>
      <c r="F2113" s="37"/>
      <c r="G2113" s="70"/>
    </row>
    <row r="2114" spans="2:7" x14ac:dyDescent="0.25">
      <c r="B2114" s="37"/>
      <c r="C2114" s="37"/>
      <c r="D2114" s="37"/>
      <c r="E2114" s="37"/>
      <c r="F2114" s="37"/>
      <c r="G2114" s="70"/>
    </row>
    <row r="2115" spans="2:7" x14ac:dyDescent="0.25">
      <c r="B2115" s="37"/>
      <c r="C2115" s="37"/>
      <c r="D2115" s="37"/>
      <c r="E2115" s="37"/>
      <c r="F2115" s="37"/>
      <c r="G2115" s="70"/>
    </row>
    <row r="2116" spans="2:7" x14ac:dyDescent="0.25">
      <c r="B2116" s="37"/>
      <c r="C2116" s="37"/>
      <c r="D2116" s="37"/>
      <c r="E2116" s="37"/>
      <c r="F2116" s="37"/>
      <c r="G2116" s="70"/>
    </row>
    <row r="2117" spans="2:7" x14ac:dyDescent="0.25">
      <c r="B2117" s="37"/>
      <c r="C2117" s="37"/>
      <c r="D2117" s="37"/>
      <c r="E2117" s="37"/>
      <c r="F2117" s="37"/>
      <c r="G2117" s="70"/>
    </row>
    <row r="2118" spans="2:7" x14ac:dyDescent="0.25">
      <c r="B2118" s="37"/>
      <c r="C2118" s="37"/>
      <c r="D2118" s="37"/>
      <c r="E2118" s="37"/>
      <c r="F2118" s="37"/>
      <c r="G2118" s="70"/>
    </row>
    <row r="2119" spans="2:7" x14ac:dyDescent="0.25">
      <c r="B2119" s="37"/>
      <c r="C2119" s="37"/>
      <c r="D2119" s="37"/>
      <c r="E2119" s="37"/>
      <c r="F2119" s="37"/>
      <c r="G2119" s="70"/>
    </row>
    <row r="2120" spans="2:7" x14ac:dyDescent="0.25">
      <c r="B2120" s="37"/>
      <c r="C2120" s="37"/>
      <c r="D2120" s="37"/>
      <c r="E2120" s="37"/>
      <c r="F2120" s="37"/>
      <c r="G2120" s="70"/>
    </row>
    <row r="2121" spans="2:7" x14ac:dyDescent="0.25">
      <c r="B2121" s="37"/>
      <c r="C2121" s="37"/>
      <c r="D2121" s="37"/>
      <c r="E2121" s="37"/>
      <c r="F2121" s="37"/>
      <c r="G2121" s="70"/>
    </row>
    <row r="2122" spans="2:7" x14ac:dyDescent="0.25">
      <c r="B2122" s="37"/>
      <c r="C2122" s="37"/>
      <c r="D2122" s="37"/>
      <c r="E2122" s="37"/>
      <c r="F2122" s="37"/>
      <c r="G2122" s="70"/>
    </row>
    <row r="2123" spans="2:7" x14ac:dyDescent="0.25">
      <c r="B2123" s="37"/>
      <c r="C2123" s="37"/>
      <c r="D2123" s="37"/>
      <c r="E2123" s="37"/>
      <c r="F2123" s="37"/>
      <c r="G2123" s="70"/>
    </row>
    <row r="2124" spans="2:7" x14ac:dyDescent="0.25">
      <c r="B2124" s="37"/>
      <c r="C2124" s="37"/>
      <c r="D2124" s="37"/>
      <c r="E2124" s="37"/>
      <c r="F2124" s="37"/>
      <c r="G2124" s="70"/>
    </row>
    <row r="2125" spans="2:7" x14ac:dyDescent="0.25">
      <c r="B2125" s="37"/>
      <c r="C2125" s="37"/>
      <c r="D2125" s="37"/>
      <c r="E2125" s="37"/>
      <c r="F2125" s="37"/>
      <c r="G2125" s="70"/>
    </row>
    <row r="2126" spans="2:7" x14ac:dyDescent="0.25">
      <c r="B2126" s="37"/>
      <c r="C2126" s="37"/>
      <c r="D2126" s="37"/>
      <c r="E2126" s="37"/>
      <c r="F2126" s="37"/>
      <c r="G2126" s="70"/>
    </row>
    <row r="2127" spans="2:7" x14ac:dyDescent="0.25">
      <c r="B2127" s="37"/>
      <c r="C2127" s="37"/>
      <c r="D2127" s="37"/>
      <c r="E2127" s="37"/>
      <c r="F2127" s="37"/>
      <c r="G2127" s="70"/>
    </row>
    <row r="2128" spans="2:7" x14ac:dyDescent="0.25">
      <c r="B2128" s="37"/>
      <c r="C2128" s="37"/>
      <c r="D2128" s="37"/>
      <c r="E2128" s="37"/>
      <c r="F2128" s="37"/>
      <c r="G2128" s="70"/>
    </row>
    <row r="2129" spans="2:7" x14ac:dyDescent="0.25">
      <c r="B2129" s="37"/>
      <c r="C2129" s="37"/>
      <c r="D2129" s="37"/>
      <c r="E2129" s="37"/>
      <c r="F2129" s="37"/>
      <c r="G2129" s="70"/>
    </row>
    <row r="2130" spans="2:7" x14ac:dyDescent="0.25">
      <c r="B2130" s="37"/>
      <c r="C2130" s="37"/>
      <c r="D2130" s="37"/>
      <c r="E2130" s="37"/>
      <c r="F2130" s="37"/>
      <c r="G2130" s="70"/>
    </row>
    <row r="2131" spans="2:7" x14ac:dyDescent="0.25">
      <c r="B2131" s="37"/>
      <c r="C2131" s="37"/>
      <c r="D2131" s="37"/>
      <c r="E2131" s="37"/>
      <c r="F2131" s="37"/>
      <c r="G2131" s="70"/>
    </row>
    <row r="2132" spans="2:7" x14ac:dyDescent="0.25">
      <c r="B2132" s="37"/>
      <c r="C2132" s="37"/>
      <c r="D2132" s="37"/>
      <c r="E2132" s="37"/>
      <c r="F2132" s="37"/>
      <c r="G2132" s="70"/>
    </row>
    <row r="2133" spans="2:7" x14ac:dyDescent="0.25">
      <c r="B2133" s="37"/>
      <c r="C2133" s="37"/>
      <c r="D2133" s="37"/>
      <c r="E2133" s="37"/>
      <c r="F2133" s="37"/>
      <c r="G2133" s="70"/>
    </row>
    <row r="2134" spans="2:7" x14ac:dyDescent="0.25">
      <c r="B2134" s="37"/>
      <c r="C2134" s="37"/>
      <c r="D2134" s="37"/>
      <c r="E2134" s="37"/>
      <c r="F2134" s="37"/>
      <c r="G2134" s="70"/>
    </row>
    <row r="2135" spans="2:7" x14ac:dyDescent="0.25">
      <c r="B2135" s="37"/>
      <c r="C2135" s="37"/>
      <c r="D2135" s="37"/>
      <c r="E2135" s="37"/>
      <c r="F2135" s="37"/>
      <c r="G2135" s="70"/>
    </row>
    <row r="2136" spans="2:7" x14ac:dyDescent="0.25">
      <c r="B2136" s="37"/>
      <c r="C2136" s="37"/>
      <c r="D2136" s="37"/>
      <c r="E2136" s="37"/>
      <c r="F2136" s="37"/>
      <c r="G2136" s="70"/>
    </row>
    <row r="2137" spans="2:7" x14ac:dyDescent="0.25">
      <c r="B2137" s="37"/>
      <c r="C2137" s="37"/>
      <c r="D2137" s="37"/>
      <c r="E2137" s="37"/>
      <c r="F2137" s="37"/>
      <c r="G2137" s="70"/>
    </row>
    <row r="2138" spans="2:7" x14ac:dyDescent="0.25">
      <c r="B2138" s="37"/>
      <c r="C2138" s="37"/>
      <c r="D2138" s="37"/>
      <c r="E2138" s="37"/>
      <c r="F2138" s="37"/>
      <c r="G2138" s="70"/>
    </row>
    <row r="2139" spans="2:7" x14ac:dyDescent="0.25">
      <c r="B2139" s="37"/>
      <c r="C2139" s="37"/>
      <c r="D2139" s="37"/>
      <c r="E2139" s="37"/>
      <c r="F2139" s="37"/>
      <c r="G2139" s="70"/>
    </row>
    <row r="2140" spans="2:7" x14ac:dyDescent="0.25">
      <c r="B2140" s="37"/>
      <c r="C2140" s="37"/>
      <c r="D2140" s="37"/>
      <c r="E2140" s="37"/>
      <c r="F2140" s="37"/>
      <c r="G2140" s="70"/>
    </row>
    <row r="2141" spans="2:7" x14ac:dyDescent="0.25">
      <c r="B2141" s="37"/>
      <c r="C2141" s="37"/>
      <c r="D2141" s="37"/>
      <c r="E2141" s="37"/>
      <c r="F2141" s="37"/>
      <c r="G2141" s="70"/>
    </row>
    <row r="2142" spans="2:7" x14ac:dyDescent="0.25">
      <c r="B2142" s="37"/>
      <c r="C2142" s="37"/>
      <c r="D2142" s="37"/>
      <c r="E2142" s="37"/>
      <c r="F2142" s="37"/>
      <c r="G2142" s="70"/>
    </row>
    <row r="2143" spans="2:7" x14ac:dyDescent="0.25">
      <c r="B2143" s="37"/>
      <c r="C2143" s="37"/>
      <c r="D2143" s="37"/>
      <c r="E2143" s="37"/>
      <c r="F2143" s="37"/>
      <c r="G2143" s="70"/>
    </row>
    <row r="2144" spans="2:7" x14ac:dyDescent="0.25">
      <c r="B2144" s="37"/>
      <c r="C2144" s="37"/>
      <c r="D2144" s="37"/>
      <c r="E2144" s="37"/>
      <c r="F2144" s="37"/>
      <c r="G2144" s="70"/>
    </row>
    <row r="2145" spans="2:7" x14ac:dyDescent="0.25">
      <c r="B2145" s="37"/>
      <c r="C2145" s="37"/>
      <c r="D2145" s="37"/>
      <c r="E2145" s="37"/>
      <c r="F2145" s="37"/>
      <c r="G2145" s="70"/>
    </row>
    <row r="2146" spans="2:7" x14ac:dyDescent="0.25">
      <c r="B2146" s="37"/>
      <c r="C2146" s="37"/>
      <c r="D2146" s="37"/>
      <c r="E2146" s="37"/>
      <c r="F2146" s="37"/>
      <c r="G2146" s="70"/>
    </row>
    <row r="2147" spans="2:7" x14ac:dyDescent="0.25">
      <c r="B2147" s="37"/>
      <c r="C2147" s="37"/>
      <c r="D2147" s="37"/>
      <c r="E2147" s="37"/>
      <c r="F2147" s="37"/>
      <c r="G2147" s="70"/>
    </row>
    <row r="2148" spans="2:7" x14ac:dyDescent="0.25">
      <c r="B2148" s="37"/>
      <c r="C2148" s="37"/>
      <c r="D2148" s="37"/>
      <c r="E2148" s="37"/>
      <c r="F2148" s="37"/>
      <c r="G2148" s="70"/>
    </row>
    <row r="2149" spans="2:7" x14ac:dyDescent="0.25">
      <c r="B2149" s="37"/>
      <c r="C2149" s="37"/>
      <c r="D2149" s="37"/>
      <c r="E2149" s="37"/>
      <c r="F2149" s="37"/>
      <c r="G2149" s="70"/>
    </row>
    <row r="2150" spans="2:7" x14ac:dyDescent="0.25">
      <c r="B2150" s="37"/>
      <c r="C2150" s="37"/>
      <c r="D2150" s="37"/>
      <c r="E2150" s="37"/>
      <c r="F2150" s="37"/>
      <c r="G2150" s="70"/>
    </row>
    <row r="2151" spans="2:7" x14ac:dyDescent="0.25">
      <c r="B2151" s="37"/>
      <c r="C2151" s="37"/>
      <c r="D2151" s="37"/>
      <c r="E2151" s="37"/>
      <c r="F2151" s="37"/>
      <c r="G2151" s="70"/>
    </row>
    <row r="2152" spans="2:7" x14ac:dyDescent="0.25">
      <c r="B2152" s="37"/>
      <c r="C2152" s="37"/>
      <c r="D2152" s="37"/>
      <c r="E2152" s="37"/>
      <c r="F2152" s="37"/>
      <c r="G2152" s="70"/>
    </row>
    <row r="2153" spans="2:7" x14ac:dyDescent="0.25">
      <c r="B2153" s="37"/>
      <c r="C2153" s="37"/>
      <c r="D2153" s="37"/>
      <c r="E2153" s="37"/>
      <c r="F2153" s="37"/>
      <c r="G2153" s="70"/>
    </row>
    <row r="2154" spans="2:7" x14ac:dyDescent="0.25">
      <c r="B2154" s="37"/>
      <c r="C2154" s="37"/>
      <c r="D2154" s="37"/>
      <c r="E2154" s="37"/>
      <c r="F2154" s="37"/>
      <c r="G2154" s="70"/>
    </row>
    <row r="2155" spans="2:7" x14ac:dyDescent="0.25">
      <c r="B2155" s="37"/>
      <c r="C2155" s="37"/>
      <c r="D2155" s="37"/>
      <c r="E2155" s="37"/>
      <c r="F2155" s="37"/>
      <c r="G2155" s="70"/>
    </row>
    <row r="2156" spans="2:7" x14ac:dyDescent="0.25">
      <c r="B2156" s="37"/>
      <c r="C2156" s="37"/>
      <c r="D2156" s="37"/>
      <c r="E2156" s="37"/>
      <c r="F2156" s="37"/>
      <c r="G2156" s="70"/>
    </row>
    <row r="2157" spans="2:7" x14ac:dyDescent="0.25">
      <c r="B2157" s="37"/>
      <c r="C2157" s="37"/>
      <c r="D2157" s="37"/>
      <c r="E2157" s="37"/>
      <c r="F2157" s="37"/>
      <c r="G2157" s="70"/>
    </row>
    <row r="2158" spans="2:7" x14ac:dyDescent="0.25">
      <c r="B2158" s="37"/>
      <c r="C2158" s="37"/>
      <c r="D2158" s="37"/>
      <c r="E2158" s="37"/>
      <c r="F2158" s="37"/>
      <c r="G2158" s="70"/>
    </row>
    <row r="2159" spans="2:7" x14ac:dyDescent="0.25">
      <c r="B2159" s="37"/>
      <c r="C2159" s="37"/>
      <c r="D2159" s="37"/>
      <c r="E2159" s="37"/>
      <c r="F2159" s="37"/>
      <c r="G2159" s="70"/>
    </row>
    <row r="2160" spans="2:7" x14ac:dyDescent="0.25">
      <c r="B2160" s="37"/>
      <c r="C2160" s="37"/>
      <c r="D2160" s="37"/>
      <c r="E2160" s="37"/>
      <c r="F2160" s="37"/>
      <c r="G2160" s="70"/>
    </row>
    <row r="2161" spans="2:7" x14ac:dyDescent="0.25">
      <c r="B2161" s="37"/>
      <c r="C2161" s="37"/>
      <c r="D2161" s="37"/>
      <c r="E2161" s="37"/>
      <c r="F2161" s="37"/>
      <c r="G2161" s="70"/>
    </row>
    <row r="2162" spans="2:7" x14ac:dyDescent="0.25">
      <c r="B2162" s="37"/>
      <c r="C2162" s="37"/>
      <c r="D2162" s="37"/>
      <c r="E2162" s="37"/>
      <c r="F2162" s="37"/>
      <c r="G2162" s="70"/>
    </row>
    <row r="2163" spans="2:7" x14ac:dyDescent="0.25">
      <c r="B2163" s="37"/>
      <c r="C2163" s="37"/>
      <c r="D2163" s="37"/>
      <c r="E2163" s="37"/>
      <c r="F2163" s="37"/>
      <c r="G2163" s="70"/>
    </row>
    <row r="2164" spans="2:7" x14ac:dyDescent="0.25">
      <c r="B2164" s="37"/>
      <c r="C2164" s="37"/>
      <c r="D2164" s="37"/>
      <c r="E2164" s="37"/>
      <c r="F2164" s="37"/>
      <c r="G2164" s="70"/>
    </row>
    <row r="2165" spans="2:7" x14ac:dyDescent="0.25">
      <c r="B2165" s="37"/>
      <c r="C2165" s="37"/>
      <c r="D2165" s="37"/>
      <c r="E2165" s="37"/>
      <c r="F2165" s="37"/>
      <c r="G2165" s="70"/>
    </row>
    <row r="2166" spans="2:7" x14ac:dyDescent="0.25">
      <c r="B2166" s="37"/>
      <c r="C2166" s="37"/>
      <c r="D2166" s="37"/>
      <c r="E2166" s="37"/>
      <c r="F2166" s="37"/>
      <c r="G2166" s="70"/>
    </row>
    <row r="2167" spans="2:7" x14ac:dyDescent="0.25">
      <c r="B2167" s="37"/>
      <c r="C2167" s="37"/>
      <c r="D2167" s="37"/>
      <c r="E2167" s="37"/>
      <c r="F2167" s="37"/>
      <c r="G2167" s="70"/>
    </row>
    <row r="2168" spans="2:7" x14ac:dyDescent="0.25">
      <c r="B2168" s="37"/>
      <c r="C2168" s="37"/>
      <c r="D2168" s="37"/>
      <c r="E2168" s="37"/>
      <c r="F2168" s="37"/>
      <c r="G2168" s="70"/>
    </row>
    <row r="2169" spans="2:7" x14ac:dyDescent="0.25">
      <c r="B2169" s="37"/>
      <c r="C2169" s="37"/>
      <c r="D2169" s="37"/>
      <c r="E2169" s="37"/>
      <c r="F2169" s="37"/>
      <c r="G2169" s="70"/>
    </row>
    <row r="2170" spans="2:7" x14ac:dyDescent="0.25">
      <c r="B2170" s="37"/>
      <c r="C2170" s="37"/>
      <c r="D2170" s="37"/>
      <c r="E2170" s="37"/>
      <c r="F2170" s="37"/>
      <c r="G2170" s="70"/>
    </row>
    <row r="2171" spans="2:7" x14ac:dyDescent="0.25">
      <c r="B2171" s="37"/>
      <c r="C2171" s="37"/>
      <c r="D2171" s="37"/>
      <c r="E2171" s="37"/>
      <c r="F2171" s="37"/>
      <c r="G2171" s="70"/>
    </row>
    <row r="2172" spans="2:7" x14ac:dyDescent="0.25">
      <c r="B2172" s="37"/>
      <c r="C2172" s="37"/>
      <c r="D2172" s="37"/>
      <c r="E2172" s="37"/>
      <c r="F2172" s="37"/>
      <c r="G2172" s="70"/>
    </row>
    <row r="2173" spans="2:7" x14ac:dyDescent="0.25">
      <c r="B2173" s="37"/>
      <c r="C2173" s="37"/>
      <c r="D2173" s="37"/>
      <c r="E2173" s="37"/>
      <c r="F2173" s="37"/>
      <c r="G2173" s="70"/>
    </row>
    <row r="2174" spans="2:7" x14ac:dyDescent="0.25">
      <c r="B2174" s="37"/>
      <c r="C2174" s="37"/>
      <c r="D2174" s="37"/>
      <c r="E2174" s="37"/>
      <c r="F2174" s="37"/>
      <c r="G2174" s="70"/>
    </row>
    <row r="2175" spans="2:7" x14ac:dyDescent="0.25">
      <c r="B2175" s="37"/>
      <c r="C2175" s="37"/>
      <c r="D2175" s="37"/>
      <c r="E2175" s="37"/>
      <c r="F2175" s="37"/>
      <c r="G2175" s="70"/>
    </row>
    <row r="2176" spans="2:7" x14ac:dyDescent="0.25">
      <c r="B2176" s="37"/>
      <c r="C2176" s="37"/>
      <c r="D2176" s="37"/>
      <c r="E2176" s="37"/>
      <c r="F2176" s="37"/>
      <c r="G2176" s="70"/>
    </row>
    <row r="2177" spans="2:7" x14ac:dyDescent="0.25">
      <c r="B2177" s="37"/>
      <c r="C2177" s="37"/>
      <c r="D2177" s="37"/>
      <c r="E2177" s="37"/>
      <c r="F2177" s="37"/>
      <c r="G2177" s="70"/>
    </row>
    <row r="2178" spans="2:7" x14ac:dyDescent="0.25">
      <c r="B2178" s="37"/>
      <c r="C2178" s="37"/>
      <c r="D2178" s="37"/>
      <c r="E2178" s="37"/>
      <c r="F2178" s="37"/>
      <c r="G2178" s="70"/>
    </row>
    <row r="2179" spans="2:7" x14ac:dyDescent="0.25">
      <c r="B2179" s="37"/>
      <c r="C2179" s="37"/>
      <c r="D2179" s="37"/>
      <c r="E2179" s="37"/>
      <c r="F2179" s="37"/>
      <c r="G2179" s="70"/>
    </row>
    <row r="2180" spans="2:7" x14ac:dyDescent="0.25">
      <c r="B2180" s="37"/>
      <c r="C2180" s="37"/>
      <c r="D2180" s="37"/>
      <c r="E2180" s="37"/>
      <c r="F2180" s="37"/>
      <c r="G2180" s="70"/>
    </row>
    <row r="2181" spans="2:7" x14ac:dyDescent="0.25">
      <c r="B2181" s="37"/>
      <c r="C2181" s="37"/>
      <c r="D2181" s="37"/>
      <c r="E2181" s="37"/>
      <c r="F2181" s="37"/>
      <c r="G2181" s="70"/>
    </row>
    <row r="2182" spans="2:7" x14ac:dyDescent="0.25">
      <c r="B2182" s="37"/>
      <c r="C2182" s="37"/>
      <c r="D2182" s="37"/>
      <c r="E2182" s="37"/>
      <c r="F2182" s="37"/>
      <c r="G2182" s="70"/>
    </row>
    <row r="2183" spans="2:7" x14ac:dyDescent="0.25">
      <c r="B2183" s="37"/>
      <c r="C2183" s="37"/>
      <c r="D2183" s="37"/>
      <c r="E2183" s="37"/>
      <c r="F2183" s="37"/>
      <c r="G2183" s="70"/>
    </row>
    <row r="2184" spans="2:7" x14ac:dyDescent="0.25">
      <c r="B2184" s="37"/>
      <c r="C2184" s="37"/>
      <c r="D2184" s="37"/>
      <c r="E2184" s="37"/>
      <c r="F2184" s="37"/>
      <c r="G2184" s="70"/>
    </row>
    <row r="2185" spans="2:7" x14ac:dyDescent="0.25">
      <c r="B2185" s="37"/>
      <c r="C2185" s="37"/>
      <c r="D2185" s="37"/>
      <c r="E2185" s="37"/>
      <c r="F2185" s="37"/>
      <c r="G2185" s="70"/>
    </row>
    <row r="2186" spans="2:7" x14ac:dyDescent="0.25">
      <c r="B2186" s="37"/>
      <c r="C2186" s="37"/>
      <c r="D2186" s="37"/>
      <c r="E2186" s="37"/>
      <c r="F2186" s="37"/>
      <c r="G2186" s="70"/>
    </row>
    <row r="2187" spans="2:7" x14ac:dyDescent="0.25">
      <c r="B2187" s="37"/>
      <c r="C2187" s="37"/>
      <c r="D2187" s="37"/>
      <c r="E2187" s="37"/>
      <c r="F2187" s="37"/>
      <c r="G2187" s="70"/>
    </row>
    <row r="2188" spans="2:7" x14ac:dyDescent="0.25">
      <c r="B2188" s="37"/>
      <c r="C2188" s="37"/>
      <c r="D2188" s="37"/>
      <c r="E2188" s="37"/>
      <c r="F2188" s="37"/>
      <c r="G2188" s="70"/>
    </row>
    <row r="2189" spans="2:7" x14ac:dyDescent="0.25">
      <c r="B2189" s="37"/>
      <c r="C2189" s="37"/>
      <c r="D2189" s="37"/>
      <c r="E2189" s="37"/>
      <c r="F2189" s="37"/>
      <c r="G2189" s="70"/>
    </row>
    <row r="2190" spans="2:7" x14ac:dyDescent="0.25">
      <c r="B2190" s="37"/>
      <c r="C2190" s="37"/>
      <c r="D2190" s="37"/>
      <c r="E2190" s="37"/>
      <c r="F2190" s="37"/>
      <c r="G2190" s="70"/>
    </row>
    <row r="2191" spans="2:7" x14ac:dyDescent="0.25">
      <c r="B2191" s="37"/>
      <c r="C2191" s="37"/>
      <c r="D2191" s="37"/>
      <c r="E2191" s="37"/>
      <c r="F2191" s="37"/>
      <c r="G2191" s="70"/>
    </row>
    <row r="2192" spans="2:7" x14ac:dyDescent="0.25">
      <c r="B2192" s="37"/>
      <c r="C2192" s="37"/>
      <c r="D2192" s="37"/>
      <c r="E2192" s="37"/>
      <c r="F2192" s="37"/>
      <c r="G2192" s="70"/>
    </row>
    <row r="2193" spans="2:7" x14ac:dyDescent="0.25">
      <c r="B2193" s="37"/>
      <c r="C2193" s="37"/>
      <c r="D2193" s="37"/>
      <c r="E2193" s="37"/>
      <c r="F2193" s="37"/>
      <c r="G2193" s="70"/>
    </row>
    <row r="2194" spans="2:7" x14ac:dyDescent="0.25">
      <c r="B2194" s="37"/>
      <c r="C2194" s="37"/>
      <c r="D2194" s="37"/>
      <c r="E2194" s="37"/>
      <c r="F2194" s="37"/>
      <c r="G2194" s="70"/>
    </row>
    <row r="2195" spans="2:7" x14ac:dyDescent="0.25">
      <c r="B2195" s="37"/>
      <c r="C2195" s="37"/>
      <c r="D2195" s="37"/>
      <c r="E2195" s="37"/>
      <c r="F2195" s="37"/>
      <c r="G2195" s="70"/>
    </row>
    <row r="2196" spans="2:7" x14ac:dyDescent="0.25">
      <c r="B2196" s="37"/>
      <c r="C2196" s="37"/>
      <c r="D2196" s="37"/>
      <c r="E2196" s="37"/>
      <c r="F2196" s="37"/>
      <c r="G2196" s="70"/>
    </row>
    <row r="2197" spans="2:7" x14ac:dyDescent="0.25">
      <c r="B2197" s="37"/>
      <c r="C2197" s="37"/>
      <c r="D2197" s="37"/>
      <c r="E2197" s="37"/>
      <c r="F2197" s="37"/>
      <c r="G2197" s="70"/>
    </row>
    <row r="2198" spans="2:7" x14ac:dyDescent="0.25">
      <c r="B2198" s="37"/>
      <c r="C2198" s="37"/>
      <c r="D2198" s="37"/>
      <c r="E2198" s="37"/>
      <c r="F2198" s="37"/>
      <c r="G2198" s="70"/>
    </row>
    <row r="2199" spans="2:7" x14ac:dyDescent="0.25">
      <c r="B2199" s="37"/>
      <c r="C2199" s="37"/>
      <c r="D2199" s="37"/>
      <c r="E2199" s="37"/>
      <c r="F2199" s="37"/>
      <c r="G2199" s="70"/>
    </row>
    <row r="2200" spans="2:7" x14ac:dyDescent="0.25">
      <c r="B2200" s="37"/>
      <c r="C2200" s="37"/>
      <c r="D2200" s="37"/>
      <c r="E2200" s="37"/>
      <c r="F2200" s="37"/>
      <c r="G2200" s="70"/>
    </row>
    <row r="2201" spans="2:7" x14ac:dyDescent="0.25">
      <c r="B2201" s="37"/>
      <c r="C2201" s="37"/>
      <c r="D2201" s="37"/>
      <c r="E2201" s="37"/>
      <c r="F2201" s="37"/>
      <c r="G2201" s="70"/>
    </row>
    <row r="2202" spans="2:7" x14ac:dyDescent="0.25">
      <c r="B2202" s="37"/>
      <c r="C2202" s="37"/>
      <c r="D2202" s="37"/>
      <c r="E2202" s="37"/>
      <c r="F2202" s="37"/>
      <c r="G2202" s="70"/>
    </row>
    <row r="2203" spans="2:7" x14ac:dyDescent="0.25">
      <c r="B2203" s="37"/>
      <c r="C2203" s="37"/>
      <c r="D2203" s="37"/>
      <c r="E2203" s="37"/>
      <c r="F2203" s="37"/>
      <c r="G2203" s="70"/>
    </row>
    <row r="2204" spans="2:7" x14ac:dyDescent="0.25">
      <c r="B2204" s="37"/>
      <c r="C2204" s="37"/>
      <c r="D2204" s="37"/>
      <c r="E2204" s="37"/>
      <c r="F2204" s="37"/>
      <c r="G2204" s="70"/>
    </row>
    <row r="2205" spans="2:7" x14ac:dyDescent="0.25">
      <c r="B2205" s="37"/>
      <c r="C2205" s="37"/>
      <c r="D2205" s="37"/>
      <c r="E2205" s="37"/>
      <c r="F2205" s="37"/>
      <c r="G2205" s="70"/>
    </row>
    <row r="2206" spans="2:7" x14ac:dyDescent="0.25">
      <c r="B2206" s="37"/>
      <c r="C2206" s="37"/>
      <c r="D2206" s="37"/>
      <c r="E2206" s="37"/>
      <c r="F2206" s="37"/>
      <c r="G2206" s="70"/>
    </row>
    <row r="2207" spans="2:7" x14ac:dyDescent="0.25">
      <c r="B2207" s="37"/>
      <c r="C2207" s="37"/>
      <c r="D2207" s="37"/>
      <c r="E2207" s="37"/>
      <c r="F2207" s="37"/>
      <c r="G2207" s="70"/>
    </row>
    <row r="2208" spans="2:7" x14ac:dyDescent="0.25">
      <c r="B2208" s="37"/>
      <c r="C2208" s="37"/>
      <c r="D2208" s="37"/>
      <c r="E2208" s="37"/>
      <c r="F2208" s="37"/>
      <c r="G2208" s="70"/>
    </row>
    <row r="2209" spans="2:7" x14ac:dyDescent="0.25">
      <c r="B2209" s="37"/>
      <c r="C2209" s="37"/>
      <c r="D2209" s="37"/>
      <c r="E2209" s="37"/>
      <c r="F2209" s="37"/>
      <c r="G2209" s="70"/>
    </row>
    <row r="2210" spans="2:7" x14ac:dyDescent="0.25">
      <c r="B2210" s="37"/>
      <c r="C2210" s="37"/>
      <c r="D2210" s="37"/>
      <c r="E2210" s="37"/>
      <c r="F2210" s="37"/>
      <c r="G2210" s="70"/>
    </row>
    <row r="2211" spans="2:7" x14ac:dyDescent="0.25">
      <c r="B2211" s="37"/>
      <c r="C2211" s="37"/>
      <c r="D2211" s="37"/>
      <c r="E2211" s="37"/>
      <c r="F2211" s="37"/>
      <c r="G2211" s="70"/>
    </row>
    <row r="2212" spans="2:7" x14ac:dyDescent="0.25">
      <c r="B2212" s="37"/>
      <c r="C2212" s="37"/>
      <c r="D2212" s="37"/>
      <c r="E2212" s="37"/>
      <c r="F2212" s="37"/>
      <c r="G2212" s="70"/>
    </row>
    <row r="2213" spans="2:7" x14ac:dyDescent="0.25">
      <c r="B2213" s="37"/>
      <c r="C2213" s="37"/>
      <c r="D2213" s="37"/>
      <c r="E2213" s="37"/>
      <c r="F2213" s="37"/>
      <c r="G2213" s="70"/>
    </row>
    <row r="2214" spans="2:7" x14ac:dyDescent="0.25">
      <c r="B2214" s="37"/>
      <c r="C2214" s="37"/>
      <c r="D2214" s="37"/>
      <c r="E2214" s="37"/>
      <c r="F2214" s="37"/>
      <c r="G2214" s="70"/>
    </row>
    <row r="2215" spans="2:7" x14ac:dyDescent="0.25">
      <c r="B2215" s="37"/>
      <c r="C2215" s="37"/>
      <c r="D2215" s="37"/>
      <c r="E2215" s="37"/>
      <c r="F2215" s="37"/>
      <c r="G2215" s="70"/>
    </row>
    <row r="2216" spans="2:7" x14ac:dyDescent="0.25">
      <c r="B2216" s="37"/>
      <c r="C2216" s="37"/>
      <c r="D2216" s="37"/>
      <c r="E2216" s="37"/>
      <c r="F2216" s="37"/>
      <c r="G2216" s="70"/>
    </row>
    <row r="2217" spans="2:7" x14ac:dyDescent="0.25">
      <c r="B2217" s="37"/>
      <c r="C2217" s="37"/>
      <c r="D2217" s="37"/>
      <c r="E2217" s="37"/>
      <c r="F2217" s="37"/>
      <c r="G2217" s="70"/>
    </row>
    <row r="2218" spans="2:7" x14ac:dyDescent="0.25">
      <c r="B2218" s="37"/>
      <c r="C2218" s="37"/>
      <c r="D2218" s="37"/>
      <c r="E2218" s="37"/>
      <c r="F2218" s="37"/>
      <c r="G2218" s="70"/>
    </row>
    <row r="2219" spans="2:7" x14ac:dyDescent="0.25">
      <c r="B2219" s="37"/>
      <c r="C2219" s="37"/>
      <c r="D2219" s="37"/>
      <c r="E2219" s="37"/>
      <c r="F2219" s="37"/>
      <c r="G2219" s="70"/>
    </row>
    <row r="2220" spans="2:7" x14ac:dyDescent="0.25">
      <c r="B2220" s="37"/>
      <c r="C2220" s="37"/>
      <c r="D2220" s="37"/>
      <c r="E2220" s="37"/>
      <c r="F2220" s="37"/>
      <c r="G2220" s="70"/>
    </row>
    <row r="2221" spans="2:7" x14ac:dyDescent="0.25">
      <c r="B2221" s="37"/>
      <c r="C2221" s="37"/>
      <c r="D2221" s="37"/>
      <c r="E2221" s="37"/>
      <c r="F2221" s="37"/>
      <c r="G2221" s="70"/>
    </row>
    <row r="2222" spans="2:7" x14ac:dyDescent="0.25">
      <c r="B2222" s="37"/>
      <c r="C2222" s="37"/>
      <c r="D2222" s="37"/>
      <c r="E2222" s="37"/>
      <c r="F2222" s="37"/>
      <c r="G2222" s="70"/>
    </row>
    <row r="2223" spans="2:7" x14ac:dyDescent="0.25">
      <c r="B2223" s="37"/>
      <c r="C2223" s="37"/>
      <c r="D2223" s="37"/>
      <c r="E2223" s="37"/>
      <c r="F2223" s="37"/>
      <c r="G2223" s="70"/>
    </row>
    <row r="2224" spans="2:7" x14ac:dyDescent="0.25">
      <c r="B2224" s="37"/>
      <c r="C2224" s="37"/>
      <c r="D2224" s="37"/>
      <c r="E2224" s="37"/>
      <c r="F2224" s="37"/>
      <c r="G2224" s="70"/>
    </row>
    <row r="2225" spans="2:7" x14ac:dyDescent="0.25">
      <c r="B2225" s="37"/>
      <c r="C2225" s="37"/>
      <c r="D2225" s="37"/>
      <c r="E2225" s="37"/>
      <c r="F2225" s="37"/>
      <c r="G2225" s="70"/>
    </row>
    <row r="2226" spans="2:7" x14ac:dyDescent="0.25">
      <c r="B2226" s="37"/>
      <c r="C2226" s="37"/>
      <c r="D2226" s="37"/>
      <c r="E2226" s="37"/>
      <c r="F2226" s="37"/>
      <c r="G2226" s="70"/>
    </row>
    <row r="2227" spans="2:7" x14ac:dyDescent="0.25">
      <c r="B2227" s="37"/>
      <c r="C2227" s="37"/>
      <c r="D2227" s="37"/>
      <c r="E2227" s="37"/>
      <c r="F2227" s="37"/>
      <c r="G2227" s="70"/>
    </row>
    <row r="2228" spans="2:7" x14ac:dyDescent="0.25">
      <c r="B2228" s="37"/>
      <c r="C2228" s="37"/>
      <c r="D2228" s="37"/>
      <c r="E2228" s="37"/>
      <c r="F2228" s="37"/>
      <c r="G2228" s="70"/>
    </row>
    <row r="2229" spans="2:7" x14ac:dyDescent="0.25">
      <c r="B2229" s="37"/>
      <c r="C2229" s="37"/>
      <c r="D2229" s="37"/>
      <c r="E2229" s="37"/>
      <c r="F2229" s="37"/>
      <c r="G2229" s="70"/>
    </row>
    <row r="2230" spans="2:7" x14ac:dyDescent="0.25">
      <c r="B2230" s="37"/>
      <c r="C2230" s="37"/>
      <c r="D2230" s="37"/>
      <c r="E2230" s="37"/>
      <c r="F2230" s="37"/>
      <c r="G2230" s="70"/>
    </row>
    <row r="2231" spans="2:7" x14ac:dyDescent="0.25">
      <c r="B2231" s="37"/>
      <c r="C2231" s="37"/>
      <c r="D2231" s="37"/>
      <c r="E2231" s="37"/>
      <c r="F2231" s="37"/>
      <c r="G2231" s="70"/>
    </row>
    <row r="2232" spans="2:7" x14ac:dyDescent="0.25">
      <c r="B2232" s="37"/>
      <c r="C2232" s="37"/>
      <c r="D2232" s="37"/>
      <c r="E2232" s="37"/>
      <c r="F2232" s="37"/>
      <c r="G2232" s="70"/>
    </row>
    <row r="2233" spans="2:7" x14ac:dyDescent="0.25">
      <c r="B2233" s="37"/>
      <c r="C2233" s="37"/>
      <c r="D2233" s="37"/>
      <c r="E2233" s="37"/>
      <c r="F2233" s="37"/>
      <c r="G2233" s="70"/>
    </row>
    <row r="2234" spans="2:7" x14ac:dyDescent="0.25">
      <c r="B2234" s="37"/>
      <c r="C2234" s="37"/>
      <c r="D2234" s="37"/>
      <c r="E2234" s="37"/>
      <c r="F2234" s="37"/>
      <c r="G2234" s="70"/>
    </row>
    <row r="2235" spans="2:7" x14ac:dyDescent="0.25">
      <c r="B2235" s="37"/>
      <c r="C2235" s="37"/>
      <c r="D2235" s="37"/>
      <c r="E2235" s="37"/>
      <c r="F2235" s="37"/>
      <c r="G2235" s="70"/>
    </row>
    <row r="2236" spans="2:7" x14ac:dyDescent="0.25">
      <c r="B2236" s="37"/>
      <c r="C2236" s="37"/>
      <c r="D2236" s="37"/>
      <c r="E2236" s="37"/>
      <c r="F2236" s="37"/>
      <c r="G2236" s="70"/>
    </row>
    <row r="2237" spans="2:7" x14ac:dyDescent="0.25">
      <c r="B2237" s="37"/>
      <c r="C2237" s="37"/>
      <c r="D2237" s="37"/>
      <c r="E2237" s="37"/>
      <c r="F2237" s="37"/>
      <c r="G2237" s="70"/>
    </row>
    <row r="2238" spans="2:7" x14ac:dyDescent="0.25">
      <c r="B2238" s="37"/>
      <c r="C2238" s="37"/>
      <c r="D2238" s="37"/>
      <c r="E2238" s="37"/>
      <c r="F2238" s="37"/>
      <c r="G2238" s="70"/>
    </row>
    <row r="2239" spans="2:7" x14ac:dyDescent="0.25">
      <c r="B2239" s="37"/>
      <c r="C2239" s="37"/>
      <c r="D2239" s="37"/>
      <c r="E2239" s="37"/>
      <c r="F2239" s="37"/>
      <c r="G2239" s="70"/>
    </row>
    <row r="2240" spans="2:7" x14ac:dyDescent="0.25">
      <c r="B2240" s="37"/>
      <c r="C2240" s="37"/>
      <c r="D2240" s="37"/>
      <c r="E2240" s="37"/>
      <c r="F2240" s="37"/>
      <c r="G2240" s="70"/>
    </row>
    <row r="2241" spans="2:7" x14ac:dyDescent="0.25">
      <c r="B2241" s="37"/>
      <c r="C2241" s="37"/>
      <c r="D2241" s="37"/>
      <c r="E2241" s="37"/>
      <c r="F2241" s="37"/>
      <c r="G2241" s="70"/>
    </row>
    <row r="2242" spans="2:7" x14ac:dyDescent="0.25">
      <c r="B2242" s="37"/>
      <c r="C2242" s="37"/>
      <c r="D2242" s="37"/>
      <c r="E2242" s="37"/>
      <c r="F2242" s="37"/>
      <c r="G2242" s="70"/>
    </row>
    <row r="2243" spans="2:7" x14ac:dyDescent="0.25">
      <c r="B2243" s="37"/>
      <c r="C2243" s="37"/>
      <c r="D2243" s="37"/>
      <c r="E2243" s="37"/>
      <c r="F2243" s="37"/>
      <c r="G2243" s="70"/>
    </row>
    <row r="2244" spans="2:7" x14ac:dyDescent="0.25">
      <c r="B2244" s="37"/>
      <c r="C2244" s="37"/>
      <c r="D2244" s="37"/>
      <c r="E2244" s="37"/>
      <c r="F2244" s="37"/>
      <c r="G2244" s="70"/>
    </row>
    <row r="2245" spans="2:7" x14ac:dyDescent="0.25">
      <c r="B2245" s="37"/>
      <c r="C2245" s="37"/>
      <c r="D2245" s="37"/>
      <c r="E2245" s="37"/>
      <c r="F2245" s="37"/>
      <c r="G2245" s="70"/>
    </row>
    <row r="2246" spans="2:7" x14ac:dyDescent="0.25">
      <c r="B2246" s="37"/>
      <c r="C2246" s="37"/>
      <c r="D2246" s="37"/>
      <c r="E2246" s="37"/>
      <c r="F2246" s="37"/>
      <c r="G2246" s="70"/>
    </row>
    <row r="2247" spans="2:7" x14ac:dyDescent="0.25">
      <c r="B2247" s="37"/>
      <c r="C2247" s="37"/>
      <c r="D2247" s="37"/>
      <c r="E2247" s="37"/>
      <c r="F2247" s="37"/>
      <c r="G2247" s="70"/>
    </row>
    <row r="2248" spans="2:7" x14ac:dyDescent="0.25">
      <c r="B2248" s="37"/>
      <c r="C2248" s="37"/>
      <c r="D2248" s="37"/>
      <c r="E2248" s="37"/>
      <c r="F2248" s="37"/>
      <c r="G2248" s="70"/>
    </row>
    <row r="2249" spans="2:7" x14ac:dyDescent="0.25">
      <c r="B2249" s="37"/>
      <c r="C2249" s="37"/>
      <c r="D2249" s="37"/>
      <c r="E2249" s="37"/>
      <c r="F2249" s="37"/>
      <c r="G2249" s="70"/>
    </row>
    <row r="2250" spans="2:7" x14ac:dyDescent="0.25">
      <c r="B2250" s="37"/>
      <c r="C2250" s="37"/>
      <c r="D2250" s="37"/>
      <c r="E2250" s="37"/>
      <c r="F2250" s="37"/>
      <c r="G2250" s="70"/>
    </row>
    <row r="2251" spans="2:7" x14ac:dyDescent="0.25">
      <c r="B2251" s="37"/>
      <c r="C2251" s="37"/>
      <c r="D2251" s="37"/>
      <c r="E2251" s="37"/>
      <c r="F2251" s="37"/>
      <c r="G2251" s="70"/>
    </row>
    <row r="2252" spans="2:7" x14ac:dyDescent="0.25">
      <c r="B2252" s="37"/>
      <c r="C2252" s="37"/>
      <c r="D2252" s="37"/>
      <c r="E2252" s="37"/>
      <c r="F2252" s="37"/>
      <c r="G2252" s="70"/>
    </row>
    <row r="2253" spans="2:7" x14ac:dyDescent="0.25">
      <c r="B2253" s="37"/>
      <c r="C2253" s="37"/>
      <c r="D2253" s="37"/>
      <c r="E2253" s="37"/>
      <c r="F2253" s="37"/>
      <c r="G2253" s="70"/>
    </row>
    <row r="2254" spans="2:7" x14ac:dyDescent="0.25">
      <c r="B2254" s="37"/>
      <c r="C2254" s="37"/>
      <c r="D2254" s="37"/>
      <c r="E2254" s="37"/>
      <c r="F2254" s="37"/>
      <c r="G2254" s="70"/>
    </row>
    <row r="2255" spans="2:7" x14ac:dyDescent="0.25">
      <c r="B2255" s="37"/>
      <c r="C2255" s="37"/>
      <c r="D2255" s="37"/>
      <c r="E2255" s="37"/>
      <c r="F2255" s="37"/>
      <c r="G2255" s="70"/>
    </row>
    <row r="2256" spans="2:7" x14ac:dyDescent="0.25">
      <c r="B2256" s="37"/>
      <c r="C2256" s="37"/>
      <c r="D2256" s="37"/>
      <c r="E2256" s="37"/>
      <c r="F2256" s="37"/>
      <c r="G2256" s="70"/>
    </row>
    <row r="2257" spans="2:7" x14ac:dyDescent="0.25">
      <c r="B2257" s="37"/>
      <c r="C2257" s="37"/>
      <c r="D2257" s="37"/>
      <c r="E2257" s="37"/>
      <c r="F2257" s="37"/>
      <c r="G2257" s="70"/>
    </row>
    <row r="2258" spans="2:7" x14ac:dyDescent="0.25">
      <c r="B2258" s="37"/>
      <c r="C2258" s="37"/>
      <c r="D2258" s="37"/>
      <c r="E2258" s="37"/>
      <c r="F2258" s="37"/>
      <c r="G2258" s="70"/>
    </row>
    <row r="2259" spans="2:7" x14ac:dyDescent="0.25">
      <c r="B2259" s="37"/>
      <c r="C2259" s="37"/>
      <c r="D2259" s="37"/>
      <c r="E2259" s="37"/>
      <c r="F2259" s="37"/>
      <c r="G2259" s="70"/>
    </row>
    <row r="2260" spans="2:7" x14ac:dyDescent="0.25">
      <c r="B2260" s="37"/>
      <c r="C2260" s="37"/>
      <c r="D2260" s="37"/>
      <c r="E2260" s="37"/>
      <c r="F2260" s="37"/>
      <c r="G2260" s="70"/>
    </row>
    <row r="2261" spans="2:7" x14ac:dyDescent="0.25">
      <c r="B2261" s="37"/>
      <c r="C2261" s="37"/>
      <c r="D2261" s="37"/>
      <c r="E2261" s="37"/>
      <c r="F2261" s="37"/>
      <c r="G2261" s="70"/>
    </row>
    <row r="2262" spans="2:7" x14ac:dyDescent="0.25">
      <c r="B2262" s="37"/>
      <c r="C2262" s="37"/>
      <c r="D2262" s="37"/>
      <c r="E2262" s="37"/>
      <c r="F2262" s="37"/>
      <c r="G2262" s="70"/>
    </row>
    <row r="2263" spans="2:7" x14ac:dyDescent="0.25">
      <c r="B2263" s="37"/>
      <c r="C2263" s="37"/>
      <c r="D2263" s="37"/>
      <c r="E2263" s="37"/>
      <c r="F2263" s="37"/>
      <c r="G2263" s="70"/>
    </row>
    <row r="2264" spans="2:7" x14ac:dyDescent="0.25">
      <c r="B2264" s="37"/>
      <c r="C2264" s="37"/>
      <c r="D2264" s="37"/>
      <c r="E2264" s="37"/>
      <c r="F2264" s="37"/>
      <c r="G2264" s="70"/>
    </row>
    <row r="2265" spans="2:7" x14ac:dyDescent="0.25">
      <c r="B2265" s="37"/>
      <c r="C2265" s="37"/>
      <c r="D2265" s="37"/>
      <c r="E2265" s="37"/>
      <c r="F2265" s="37"/>
      <c r="G2265" s="70"/>
    </row>
    <row r="2266" spans="2:7" x14ac:dyDescent="0.25">
      <c r="B2266" s="37"/>
      <c r="C2266" s="37"/>
      <c r="D2266" s="37"/>
      <c r="E2266" s="37"/>
      <c r="F2266" s="37"/>
      <c r="G2266" s="70"/>
    </row>
    <row r="2267" spans="2:7" x14ac:dyDescent="0.25">
      <c r="B2267" s="37"/>
      <c r="C2267" s="37"/>
      <c r="D2267" s="37"/>
      <c r="E2267" s="37"/>
      <c r="F2267" s="37"/>
      <c r="G2267" s="70"/>
    </row>
    <row r="2268" spans="2:7" x14ac:dyDescent="0.25">
      <c r="B2268" s="37"/>
      <c r="C2268" s="37"/>
      <c r="D2268" s="37"/>
      <c r="E2268" s="37"/>
      <c r="F2268" s="37"/>
      <c r="G2268" s="70"/>
    </row>
    <row r="2269" spans="2:7" x14ac:dyDescent="0.25">
      <c r="B2269" s="37"/>
      <c r="C2269" s="37"/>
      <c r="D2269" s="37"/>
      <c r="E2269" s="37"/>
      <c r="F2269" s="37"/>
      <c r="G2269" s="70"/>
    </row>
    <row r="2270" spans="2:7" x14ac:dyDescent="0.25">
      <c r="B2270" s="37"/>
      <c r="C2270" s="37"/>
      <c r="D2270" s="37"/>
      <c r="E2270" s="37"/>
      <c r="F2270" s="37"/>
      <c r="G2270" s="70"/>
    </row>
    <row r="2271" spans="2:7" x14ac:dyDescent="0.25">
      <c r="B2271" s="37"/>
      <c r="C2271" s="37"/>
      <c r="D2271" s="37"/>
      <c r="E2271" s="37"/>
      <c r="F2271" s="37"/>
      <c r="G2271" s="70"/>
    </row>
    <row r="2272" spans="2:7" x14ac:dyDescent="0.25">
      <c r="B2272" s="37"/>
      <c r="C2272" s="37"/>
      <c r="D2272" s="37"/>
      <c r="E2272" s="37"/>
      <c r="F2272" s="37"/>
      <c r="G2272" s="70"/>
    </row>
    <row r="2273" spans="2:7" x14ac:dyDescent="0.25">
      <c r="B2273" s="37"/>
      <c r="C2273" s="37"/>
      <c r="D2273" s="37"/>
      <c r="E2273" s="37"/>
      <c r="F2273" s="37"/>
      <c r="G2273" s="70"/>
    </row>
    <row r="2274" spans="2:7" x14ac:dyDescent="0.25">
      <c r="B2274" s="37"/>
      <c r="C2274" s="37"/>
      <c r="D2274" s="37"/>
      <c r="E2274" s="37"/>
      <c r="F2274" s="37"/>
      <c r="G2274" s="70"/>
    </row>
    <row r="2275" spans="2:7" x14ac:dyDescent="0.25">
      <c r="B2275" s="37"/>
      <c r="C2275" s="37"/>
      <c r="D2275" s="37"/>
      <c r="E2275" s="37"/>
      <c r="F2275" s="37"/>
      <c r="G2275" s="70"/>
    </row>
    <row r="2276" spans="2:7" x14ac:dyDescent="0.25">
      <c r="B2276" s="37"/>
      <c r="C2276" s="37"/>
      <c r="D2276" s="37"/>
      <c r="E2276" s="37"/>
      <c r="F2276" s="37"/>
      <c r="G2276" s="70"/>
    </row>
    <row r="2277" spans="2:7" x14ac:dyDescent="0.25">
      <c r="B2277" s="37"/>
      <c r="C2277" s="37"/>
      <c r="D2277" s="37"/>
      <c r="E2277" s="37"/>
      <c r="F2277" s="37"/>
      <c r="G2277" s="70"/>
    </row>
    <row r="2278" spans="2:7" x14ac:dyDescent="0.25">
      <c r="B2278" s="37"/>
      <c r="C2278" s="37"/>
      <c r="D2278" s="37"/>
      <c r="E2278" s="37"/>
      <c r="F2278" s="37"/>
      <c r="G2278" s="70"/>
    </row>
    <row r="2279" spans="2:7" x14ac:dyDescent="0.25">
      <c r="B2279" s="37"/>
      <c r="C2279" s="37"/>
      <c r="D2279" s="37"/>
      <c r="E2279" s="37"/>
      <c r="F2279" s="37"/>
      <c r="G2279" s="70"/>
    </row>
    <row r="2280" spans="2:7" x14ac:dyDescent="0.25">
      <c r="B2280" s="37"/>
      <c r="C2280" s="37"/>
      <c r="D2280" s="37"/>
      <c r="E2280" s="37"/>
      <c r="F2280" s="37"/>
      <c r="G2280" s="70"/>
    </row>
    <row r="2281" spans="2:7" x14ac:dyDescent="0.25">
      <c r="B2281" s="37"/>
      <c r="C2281" s="37"/>
      <c r="D2281" s="37"/>
      <c r="E2281" s="37"/>
      <c r="F2281" s="37"/>
      <c r="G2281" s="70"/>
    </row>
    <row r="2282" spans="2:7" x14ac:dyDescent="0.25">
      <c r="B2282" s="37"/>
      <c r="C2282" s="37"/>
      <c r="D2282" s="37"/>
      <c r="E2282" s="37"/>
      <c r="F2282" s="37"/>
      <c r="G2282" s="70"/>
    </row>
    <row r="2283" spans="2:7" x14ac:dyDescent="0.25">
      <c r="B2283" s="37"/>
      <c r="C2283" s="37"/>
      <c r="D2283" s="37"/>
      <c r="E2283" s="37"/>
      <c r="F2283" s="37"/>
      <c r="G2283" s="70"/>
    </row>
    <row r="2284" spans="2:7" x14ac:dyDescent="0.25">
      <c r="B2284" s="37"/>
      <c r="C2284" s="37"/>
      <c r="D2284" s="37"/>
      <c r="E2284" s="37"/>
      <c r="F2284" s="37"/>
      <c r="G2284" s="70"/>
    </row>
    <row r="2285" spans="2:7" x14ac:dyDescent="0.25">
      <c r="B2285" s="37"/>
      <c r="C2285" s="37"/>
      <c r="D2285" s="37"/>
      <c r="E2285" s="37"/>
      <c r="F2285" s="37"/>
      <c r="G2285" s="70"/>
    </row>
    <row r="2286" spans="2:7" x14ac:dyDescent="0.25">
      <c r="B2286" s="37"/>
      <c r="C2286" s="37"/>
      <c r="D2286" s="37"/>
      <c r="E2286" s="37"/>
      <c r="F2286" s="37"/>
      <c r="G2286" s="70"/>
    </row>
    <row r="2287" spans="2:7" x14ac:dyDescent="0.25">
      <c r="B2287" s="37"/>
      <c r="C2287" s="37"/>
      <c r="D2287" s="37"/>
      <c r="E2287" s="37"/>
      <c r="F2287" s="37"/>
      <c r="G2287" s="70"/>
    </row>
    <row r="2288" spans="2:7" x14ac:dyDescent="0.25">
      <c r="B2288" s="37"/>
      <c r="C2288" s="37"/>
      <c r="D2288" s="37"/>
      <c r="E2288" s="37"/>
      <c r="F2288" s="37"/>
      <c r="G2288" s="70"/>
    </row>
    <row r="2289" spans="2:7" x14ac:dyDescent="0.25">
      <c r="B2289" s="37"/>
      <c r="C2289" s="37"/>
      <c r="D2289" s="37"/>
      <c r="E2289" s="37"/>
      <c r="F2289" s="37"/>
      <c r="G2289" s="70"/>
    </row>
    <row r="2290" spans="2:7" x14ac:dyDescent="0.25">
      <c r="B2290" s="37"/>
      <c r="C2290" s="37"/>
      <c r="D2290" s="37"/>
      <c r="E2290" s="37"/>
      <c r="F2290" s="37"/>
      <c r="G2290" s="70"/>
    </row>
    <row r="2291" spans="2:7" x14ac:dyDescent="0.25">
      <c r="B2291" s="37"/>
      <c r="C2291" s="37"/>
      <c r="D2291" s="37"/>
      <c r="E2291" s="37"/>
      <c r="F2291" s="37"/>
      <c r="G2291" s="70"/>
    </row>
    <row r="2292" spans="2:7" x14ac:dyDescent="0.25">
      <c r="B2292" s="37"/>
      <c r="C2292" s="37"/>
      <c r="D2292" s="37"/>
      <c r="E2292" s="37"/>
      <c r="F2292" s="37"/>
      <c r="G2292" s="70"/>
    </row>
    <row r="2293" spans="2:7" x14ac:dyDescent="0.25">
      <c r="B2293" s="37"/>
      <c r="C2293" s="37"/>
      <c r="D2293" s="37"/>
      <c r="E2293" s="37"/>
      <c r="F2293" s="37"/>
      <c r="G2293" s="70"/>
    </row>
    <row r="2294" spans="2:7" x14ac:dyDescent="0.25">
      <c r="B2294" s="37"/>
      <c r="C2294" s="37"/>
      <c r="D2294" s="37"/>
      <c r="E2294" s="37"/>
      <c r="F2294" s="37"/>
      <c r="G2294" s="70"/>
    </row>
    <row r="2295" spans="2:7" x14ac:dyDescent="0.25">
      <c r="B2295" s="37"/>
      <c r="C2295" s="37"/>
      <c r="D2295" s="37"/>
      <c r="E2295" s="37"/>
      <c r="F2295" s="37"/>
      <c r="G2295" s="70"/>
    </row>
    <row r="2296" spans="2:7" x14ac:dyDescent="0.25">
      <c r="B2296" s="37"/>
      <c r="C2296" s="37"/>
      <c r="D2296" s="37"/>
      <c r="E2296" s="37"/>
      <c r="F2296" s="37"/>
      <c r="G2296" s="70"/>
    </row>
    <row r="2297" spans="2:7" x14ac:dyDescent="0.25">
      <c r="B2297" s="37"/>
      <c r="C2297" s="37"/>
      <c r="D2297" s="37"/>
      <c r="E2297" s="37"/>
      <c r="F2297" s="37"/>
      <c r="G2297" s="70"/>
    </row>
    <row r="2298" spans="2:7" x14ac:dyDescent="0.25">
      <c r="B2298" s="37"/>
      <c r="C2298" s="37"/>
      <c r="D2298" s="37"/>
      <c r="E2298" s="37"/>
      <c r="F2298" s="37"/>
      <c r="G2298" s="70"/>
    </row>
    <row r="2299" spans="2:7" x14ac:dyDescent="0.25">
      <c r="B2299" s="37"/>
      <c r="C2299" s="37"/>
      <c r="D2299" s="37"/>
      <c r="E2299" s="37"/>
      <c r="F2299" s="37"/>
      <c r="G2299" s="70"/>
    </row>
    <row r="2300" spans="2:7" x14ac:dyDescent="0.25">
      <c r="B2300" s="37"/>
      <c r="C2300" s="37"/>
      <c r="D2300" s="37"/>
      <c r="E2300" s="37"/>
      <c r="F2300" s="37"/>
      <c r="G2300" s="70"/>
    </row>
    <row r="2301" spans="2:7" x14ac:dyDescent="0.25">
      <c r="B2301" s="37"/>
      <c r="C2301" s="37"/>
      <c r="D2301" s="37"/>
      <c r="E2301" s="37"/>
      <c r="F2301" s="37"/>
      <c r="G2301" s="70"/>
    </row>
    <row r="2302" spans="2:7" x14ac:dyDescent="0.25">
      <c r="B2302" s="37"/>
      <c r="C2302" s="37"/>
      <c r="D2302" s="37"/>
      <c r="E2302" s="37"/>
      <c r="F2302" s="37"/>
      <c r="G2302" s="70"/>
    </row>
    <row r="2303" spans="2:7" x14ac:dyDescent="0.25">
      <c r="B2303" s="37"/>
      <c r="C2303" s="37"/>
      <c r="D2303" s="37"/>
      <c r="E2303" s="37"/>
      <c r="F2303" s="37"/>
      <c r="G2303" s="70"/>
    </row>
    <row r="2304" spans="2:7" x14ac:dyDescent="0.25">
      <c r="B2304" s="37"/>
      <c r="C2304" s="37"/>
      <c r="D2304" s="37"/>
      <c r="E2304" s="37"/>
      <c r="F2304" s="37"/>
      <c r="G2304" s="70"/>
    </row>
    <row r="2305" spans="2:7" x14ac:dyDescent="0.25">
      <c r="B2305" s="37"/>
      <c r="C2305" s="37"/>
      <c r="D2305" s="37"/>
      <c r="E2305" s="37"/>
      <c r="F2305" s="37"/>
      <c r="G2305" s="70"/>
    </row>
    <row r="2306" spans="2:7" x14ac:dyDescent="0.25">
      <c r="B2306" s="37"/>
      <c r="C2306" s="37"/>
      <c r="D2306" s="37"/>
      <c r="E2306" s="37"/>
      <c r="F2306" s="37"/>
      <c r="G2306" s="70"/>
    </row>
    <row r="2307" spans="2:7" x14ac:dyDescent="0.25">
      <c r="B2307" s="37"/>
      <c r="C2307" s="37"/>
      <c r="D2307" s="37"/>
      <c r="E2307" s="37"/>
      <c r="F2307" s="37"/>
      <c r="G2307" s="70"/>
    </row>
    <row r="2308" spans="2:7" x14ac:dyDescent="0.25">
      <c r="B2308" s="37"/>
      <c r="C2308" s="37"/>
      <c r="D2308" s="37"/>
      <c r="E2308" s="37"/>
      <c r="F2308" s="37"/>
      <c r="G2308" s="70"/>
    </row>
    <row r="2309" spans="2:7" x14ac:dyDescent="0.25">
      <c r="B2309" s="37"/>
      <c r="C2309" s="37"/>
      <c r="D2309" s="37"/>
      <c r="E2309" s="37"/>
      <c r="F2309" s="37"/>
      <c r="G2309" s="70"/>
    </row>
    <row r="2310" spans="2:7" x14ac:dyDescent="0.25">
      <c r="B2310" s="37"/>
      <c r="C2310" s="37"/>
      <c r="D2310" s="37"/>
      <c r="E2310" s="37"/>
      <c r="F2310" s="37"/>
      <c r="G2310" s="70"/>
    </row>
    <row r="2311" spans="2:7" x14ac:dyDescent="0.25">
      <c r="B2311" s="37"/>
      <c r="C2311" s="37"/>
      <c r="D2311" s="37"/>
      <c r="E2311" s="37"/>
      <c r="F2311" s="37"/>
      <c r="G2311" s="70"/>
    </row>
    <row r="2312" spans="2:7" x14ac:dyDescent="0.25">
      <c r="B2312" s="37"/>
      <c r="C2312" s="37"/>
      <c r="D2312" s="37"/>
      <c r="E2312" s="37"/>
      <c r="F2312" s="37"/>
      <c r="G2312" s="70"/>
    </row>
    <row r="2313" spans="2:7" x14ac:dyDescent="0.25">
      <c r="B2313" s="37"/>
      <c r="C2313" s="37"/>
      <c r="D2313" s="37"/>
      <c r="E2313" s="37"/>
      <c r="F2313" s="37"/>
      <c r="G2313" s="70"/>
    </row>
    <row r="2314" spans="2:7" x14ac:dyDescent="0.25">
      <c r="B2314" s="37"/>
      <c r="C2314" s="37"/>
      <c r="D2314" s="37"/>
      <c r="E2314" s="37"/>
      <c r="F2314" s="37"/>
      <c r="G2314" s="70"/>
    </row>
    <row r="2315" spans="2:7" x14ac:dyDescent="0.25">
      <c r="B2315" s="37"/>
      <c r="C2315" s="37"/>
      <c r="D2315" s="37"/>
      <c r="E2315" s="37"/>
      <c r="F2315" s="37"/>
      <c r="G2315" s="70"/>
    </row>
    <row r="2316" spans="2:7" x14ac:dyDescent="0.25">
      <c r="B2316" s="37"/>
      <c r="C2316" s="37"/>
      <c r="D2316" s="37"/>
      <c r="E2316" s="37"/>
      <c r="F2316" s="37"/>
      <c r="G2316" s="70"/>
    </row>
    <row r="2317" spans="2:7" x14ac:dyDescent="0.25">
      <c r="B2317" s="37"/>
      <c r="C2317" s="37"/>
      <c r="D2317" s="37"/>
      <c r="E2317" s="37"/>
      <c r="F2317" s="37"/>
      <c r="G2317" s="70"/>
    </row>
    <row r="2318" spans="2:7" x14ac:dyDescent="0.25">
      <c r="B2318" s="37"/>
      <c r="C2318" s="37"/>
      <c r="D2318" s="37"/>
      <c r="E2318" s="37"/>
      <c r="F2318" s="37"/>
      <c r="G2318" s="70"/>
    </row>
    <row r="2319" spans="2:7" x14ac:dyDescent="0.25">
      <c r="B2319" s="37"/>
      <c r="C2319" s="37"/>
      <c r="D2319" s="37"/>
      <c r="E2319" s="37"/>
      <c r="F2319" s="37"/>
      <c r="G2319" s="70"/>
    </row>
    <row r="2320" spans="2:7" x14ac:dyDescent="0.25">
      <c r="B2320" s="37"/>
      <c r="C2320" s="37"/>
      <c r="D2320" s="37"/>
      <c r="E2320" s="37"/>
      <c r="F2320" s="37"/>
      <c r="G2320" s="70"/>
    </row>
    <row r="2321" spans="2:7" x14ac:dyDescent="0.25">
      <c r="B2321" s="37"/>
      <c r="C2321" s="37"/>
      <c r="D2321" s="37"/>
      <c r="E2321" s="37"/>
      <c r="F2321" s="37"/>
      <c r="G2321" s="70"/>
    </row>
    <row r="2322" spans="2:7" x14ac:dyDescent="0.25">
      <c r="B2322" s="37"/>
      <c r="C2322" s="37"/>
      <c r="D2322" s="37"/>
      <c r="E2322" s="37"/>
      <c r="F2322" s="37"/>
      <c r="G2322" s="70"/>
    </row>
    <row r="2323" spans="2:7" x14ac:dyDescent="0.25">
      <c r="B2323" s="37"/>
      <c r="C2323" s="37"/>
      <c r="D2323" s="37"/>
      <c r="E2323" s="37"/>
      <c r="F2323" s="37"/>
      <c r="G2323" s="70"/>
    </row>
    <row r="2324" spans="2:7" x14ac:dyDescent="0.25">
      <c r="B2324" s="37"/>
      <c r="C2324" s="37"/>
      <c r="D2324" s="37"/>
      <c r="E2324" s="37"/>
      <c r="F2324" s="37"/>
      <c r="G2324" s="70"/>
    </row>
    <row r="2325" spans="2:7" x14ac:dyDescent="0.25">
      <c r="B2325" s="37"/>
      <c r="C2325" s="37"/>
      <c r="D2325" s="37"/>
      <c r="E2325" s="37"/>
      <c r="F2325" s="37"/>
      <c r="G2325" s="70"/>
    </row>
    <row r="2326" spans="2:7" x14ac:dyDescent="0.25">
      <c r="B2326" s="37"/>
      <c r="C2326" s="37"/>
      <c r="D2326" s="37"/>
      <c r="E2326" s="37"/>
      <c r="F2326" s="37"/>
      <c r="G2326" s="70"/>
    </row>
    <row r="2327" spans="2:7" x14ac:dyDescent="0.25">
      <c r="B2327" s="37"/>
      <c r="C2327" s="37"/>
      <c r="D2327" s="37"/>
      <c r="E2327" s="37"/>
      <c r="F2327" s="37"/>
      <c r="G2327" s="70"/>
    </row>
    <row r="2328" spans="2:7" x14ac:dyDescent="0.25">
      <c r="B2328" s="37"/>
      <c r="C2328" s="37"/>
      <c r="D2328" s="37"/>
      <c r="E2328" s="37"/>
      <c r="F2328" s="37"/>
      <c r="G2328" s="70"/>
    </row>
    <row r="2329" spans="2:7" x14ac:dyDescent="0.25">
      <c r="B2329" s="37"/>
      <c r="C2329" s="37"/>
      <c r="D2329" s="37"/>
      <c r="E2329" s="37"/>
      <c r="F2329" s="37"/>
      <c r="G2329" s="70"/>
    </row>
    <row r="2330" spans="2:7" x14ac:dyDescent="0.25">
      <c r="B2330" s="37"/>
      <c r="C2330" s="37"/>
      <c r="D2330" s="37"/>
      <c r="E2330" s="37"/>
      <c r="F2330" s="37"/>
      <c r="G2330" s="70"/>
    </row>
    <row r="2331" spans="2:7" x14ac:dyDescent="0.25">
      <c r="B2331" s="37"/>
      <c r="C2331" s="37"/>
      <c r="D2331" s="37"/>
      <c r="E2331" s="37"/>
      <c r="F2331" s="37"/>
      <c r="G2331" s="70"/>
    </row>
    <row r="2332" spans="2:7" x14ac:dyDescent="0.25">
      <c r="B2332" s="37"/>
      <c r="C2332" s="37"/>
      <c r="D2332" s="37"/>
      <c r="E2332" s="37"/>
      <c r="F2332" s="37"/>
      <c r="G2332" s="70"/>
    </row>
    <row r="2333" spans="2:7" x14ac:dyDescent="0.25">
      <c r="B2333" s="37"/>
      <c r="C2333" s="37"/>
      <c r="D2333" s="37"/>
      <c r="E2333" s="37"/>
      <c r="F2333" s="37"/>
      <c r="G2333" s="70"/>
    </row>
    <row r="2334" spans="2:7" x14ac:dyDescent="0.25">
      <c r="B2334" s="37"/>
      <c r="C2334" s="37"/>
      <c r="D2334" s="37"/>
      <c r="E2334" s="37"/>
      <c r="F2334" s="37"/>
      <c r="G2334" s="70"/>
    </row>
    <row r="2335" spans="2:7" x14ac:dyDescent="0.25">
      <c r="B2335" s="37"/>
      <c r="C2335" s="37"/>
      <c r="D2335" s="37"/>
      <c r="E2335" s="37"/>
      <c r="F2335" s="37"/>
      <c r="G2335" s="70"/>
    </row>
    <row r="2336" spans="2:7" x14ac:dyDescent="0.25">
      <c r="B2336" s="37"/>
      <c r="C2336" s="37"/>
      <c r="D2336" s="37"/>
      <c r="E2336" s="37"/>
      <c r="F2336" s="37"/>
      <c r="G2336" s="70"/>
    </row>
    <row r="2337" spans="2:7" x14ac:dyDescent="0.25">
      <c r="B2337" s="37"/>
      <c r="C2337" s="37"/>
      <c r="D2337" s="37"/>
      <c r="E2337" s="37"/>
      <c r="F2337" s="37"/>
      <c r="G2337" s="70"/>
    </row>
    <row r="2338" spans="2:7" x14ac:dyDescent="0.25">
      <c r="B2338" s="37"/>
      <c r="C2338" s="37"/>
      <c r="D2338" s="37"/>
      <c r="E2338" s="37"/>
      <c r="F2338" s="37"/>
      <c r="G2338" s="70"/>
    </row>
    <row r="2339" spans="2:7" x14ac:dyDescent="0.25">
      <c r="B2339" s="37"/>
      <c r="C2339" s="37"/>
      <c r="D2339" s="37"/>
      <c r="E2339" s="37"/>
      <c r="F2339" s="37"/>
      <c r="G2339" s="70"/>
    </row>
    <row r="2340" spans="2:7" x14ac:dyDescent="0.25">
      <c r="B2340" s="37"/>
      <c r="C2340" s="37"/>
      <c r="D2340" s="37"/>
      <c r="E2340" s="37"/>
      <c r="F2340" s="37"/>
      <c r="G2340" s="70"/>
    </row>
    <row r="2341" spans="2:7" x14ac:dyDescent="0.25">
      <c r="B2341" s="37"/>
      <c r="C2341" s="37"/>
      <c r="D2341" s="37"/>
      <c r="E2341" s="37"/>
      <c r="F2341" s="37"/>
      <c r="G2341" s="70"/>
    </row>
    <row r="2342" spans="2:7" x14ac:dyDescent="0.25">
      <c r="B2342" s="37"/>
      <c r="C2342" s="37"/>
      <c r="D2342" s="37"/>
      <c r="E2342" s="37"/>
      <c r="F2342" s="37"/>
      <c r="G2342" s="70"/>
    </row>
    <row r="2343" spans="2:7" x14ac:dyDescent="0.25">
      <c r="B2343" s="37"/>
      <c r="C2343" s="37"/>
      <c r="D2343" s="37"/>
      <c r="E2343" s="37"/>
      <c r="F2343" s="37"/>
      <c r="G2343" s="70"/>
    </row>
    <row r="2344" spans="2:7" x14ac:dyDescent="0.25">
      <c r="B2344" s="37"/>
      <c r="C2344" s="37"/>
      <c r="D2344" s="37"/>
      <c r="E2344" s="37"/>
      <c r="F2344" s="37"/>
      <c r="G2344" s="70"/>
    </row>
    <row r="2345" spans="2:7" x14ac:dyDescent="0.25">
      <c r="B2345" s="37"/>
      <c r="C2345" s="37"/>
      <c r="D2345" s="37"/>
      <c r="E2345" s="37"/>
      <c r="F2345" s="37"/>
      <c r="G2345" s="70"/>
    </row>
    <row r="2346" spans="2:7" x14ac:dyDescent="0.25">
      <c r="B2346" s="37"/>
      <c r="C2346" s="37"/>
      <c r="D2346" s="37"/>
      <c r="E2346" s="37"/>
      <c r="F2346" s="37"/>
      <c r="G2346" s="70"/>
    </row>
    <row r="2347" spans="2:7" x14ac:dyDescent="0.25">
      <c r="B2347" s="37"/>
      <c r="C2347" s="37"/>
      <c r="D2347" s="37"/>
      <c r="E2347" s="37"/>
      <c r="F2347" s="37"/>
      <c r="G2347" s="70"/>
    </row>
    <row r="2348" spans="2:7" x14ac:dyDescent="0.25">
      <c r="B2348" s="37"/>
      <c r="C2348" s="37"/>
      <c r="D2348" s="37"/>
      <c r="E2348" s="37"/>
      <c r="F2348" s="37"/>
      <c r="G2348" s="70"/>
    </row>
    <row r="2349" spans="2:7" x14ac:dyDescent="0.25">
      <c r="B2349" s="37"/>
      <c r="C2349" s="37"/>
      <c r="D2349" s="37"/>
      <c r="E2349" s="37"/>
      <c r="F2349" s="37"/>
      <c r="G2349" s="70"/>
    </row>
    <row r="2350" spans="2:7" x14ac:dyDescent="0.25">
      <c r="B2350" s="37"/>
      <c r="C2350" s="37"/>
      <c r="D2350" s="37"/>
      <c r="E2350" s="37"/>
      <c r="F2350" s="37"/>
      <c r="G2350" s="70"/>
    </row>
    <row r="2351" spans="2:7" x14ac:dyDescent="0.25">
      <c r="B2351" s="37"/>
      <c r="C2351" s="37"/>
      <c r="D2351" s="37"/>
      <c r="E2351" s="37"/>
      <c r="F2351" s="37"/>
      <c r="G2351" s="70"/>
    </row>
    <row r="2352" spans="2:7" x14ac:dyDescent="0.25">
      <c r="B2352" s="37"/>
      <c r="C2352" s="37"/>
      <c r="D2352" s="37"/>
      <c r="E2352" s="37"/>
      <c r="F2352" s="37"/>
      <c r="G2352" s="70"/>
    </row>
    <row r="2353" spans="2:7" x14ac:dyDescent="0.25">
      <c r="B2353" s="37"/>
      <c r="C2353" s="37"/>
      <c r="D2353" s="37"/>
      <c r="E2353" s="37"/>
      <c r="F2353" s="37"/>
      <c r="G2353" s="70"/>
    </row>
    <row r="2354" spans="2:7" x14ac:dyDescent="0.25">
      <c r="B2354" s="37"/>
      <c r="C2354" s="37"/>
      <c r="D2354" s="37"/>
      <c r="E2354" s="37"/>
      <c r="F2354" s="37"/>
      <c r="G2354" s="70"/>
    </row>
    <row r="2355" spans="2:7" x14ac:dyDescent="0.25">
      <c r="B2355" s="37"/>
      <c r="C2355" s="37"/>
      <c r="D2355" s="37"/>
      <c r="E2355" s="37"/>
      <c r="F2355" s="37"/>
      <c r="G2355" s="70"/>
    </row>
    <row r="2356" spans="2:7" x14ac:dyDescent="0.25">
      <c r="B2356" s="37"/>
      <c r="C2356" s="37"/>
      <c r="D2356" s="37"/>
      <c r="E2356" s="37"/>
      <c r="F2356" s="37"/>
      <c r="G2356" s="70"/>
    </row>
    <row r="2357" spans="2:7" x14ac:dyDescent="0.25">
      <c r="B2357" s="37"/>
      <c r="C2357" s="37"/>
      <c r="D2357" s="37"/>
      <c r="E2357" s="37"/>
      <c r="F2357" s="37"/>
      <c r="G2357" s="70"/>
    </row>
    <row r="2358" spans="2:7" x14ac:dyDescent="0.25">
      <c r="B2358" s="37"/>
      <c r="C2358" s="37"/>
      <c r="D2358" s="37"/>
      <c r="E2358" s="37"/>
      <c r="F2358" s="37"/>
      <c r="G2358" s="70"/>
    </row>
    <row r="2359" spans="2:7" x14ac:dyDescent="0.25">
      <c r="B2359" s="37"/>
      <c r="C2359" s="37"/>
      <c r="D2359" s="37"/>
      <c r="E2359" s="37"/>
      <c r="F2359" s="37"/>
      <c r="G2359" s="70"/>
    </row>
    <row r="2360" spans="2:7" x14ac:dyDescent="0.25">
      <c r="B2360" s="37"/>
      <c r="C2360" s="37"/>
      <c r="D2360" s="37"/>
      <c r="E2360" s="37"/>
      <c r="F2360" s="37"/>
      <c r="G2360" s="70"/>
    </row>
    <row r="2361" spans="2:7" x14ac:dyDescent="0.25">
      <c r="B2361" s="37"/>
      <c r="C2361" s="37"/>
      <c r="D2361" s="37"/>
      <c r="E2361" s="37"/>
      <c r="F2361" s="37"/>
      <c r="G2361" s="70"/>
    </row>
    <row r="2362" spans="2:7" x14ac:dyDescent="0.25">
      <c r="B2362" s="37"/>
      <c r="C2362" s="37"/>
      <c r="D2362" s="37"/>
      <c r="E2362" s="37"/>
      <c r="F2362" s="37"/>
      <c r="G2362" s="70"/>
    </row>
    <row r="2363" spans="2:7" x14ac:dyDescent="0.25">
      <c r="B2363" s="37"/>
      <c r="C2363" s="37"/>
      <c r="D2363" s="37"/>
      <c r="E2363" s="37"/>
      <c r="F2363" s="37"/>
      <c r="G2363" s="70"/>
    </row>
    <row r="2364" spans="2:7" x14ac:dyDescent="0.25">
      <c r="B2364" s="37"/>
      <c r="C2364" s="37"/>
      <c r="D2364" s="37"/>
      <c r="E2364" s="37"/>
      <c r="F2364" s="37"/>
      <c r="G2364" s="70"/>
    </row>
    <row r="2365" spans="2:7" x14ac:dyDescent="0.25">
      <c r="B2365" s="37"/>
      <c r="C2365" s="37"/>
      <c r="D2365" s="37"/>
      <c r="E2365" s="37"/>
      <c r="F2365" s="37"/>
      <c r="G2365" s="70"/>
    </row>
    <row r="2366" spans="2:7" x14ac:dyDescent="0.25">
      <c r="B2366" s="37"/>
      <c r="C2366" s="37"/>
      <c r="D2366" s="37"/>
      <c r="E2366" s="37"/>
      <c r="F2366" s="37"/>
      <c r="G2366" s="70"/>
    </row>
    <row r="2367" spans="2:7" x14ac:dyDescent="0.25">
      <c r="B2367" s="37"/>
      <c r="C2367" s="37"/>
      <c r="D2367" s="37"/>
      <c r="E2367" s="37"/>
      <c r="F2367" s="37"/>
      <c r="G2367" s="70"/>
    </row>
    <row r="2368" spans="2:7" x14ac:dyDescent="0.25">
      <c r="B2368" s="37"/>
      <c r="C2368" s="37"/>
      <c r="D2368" s="37"/>
      <c r="E2368" s="37"/>
      <c r="F2368" s="37"/>
      <c r="G2368" s="70"/>
    </row>
    <row r="2369" spans="2:7" x14ac:dyDescent="0.25">
      <c r="B2369" s="37"/>
      <c r="C2369" s="37"/>
      <c r="D2369" s="37"/>
      <c r="E2369" s="37"/>
      <c r="F2369" s="37"/>
      <c r="G2369" s="70"/>
    </row>
    <row r="2370" spans="2:7" x14ac:dyDescent="0.25">
      <c r="B2370" s="37"/>
      <c r="C2370" s="37"/>
      <c r="D2370" s="37"/>
      <c r="E2370" s="37"/>
      <c r="F2370" s="37"/>
      <c r="G2370" s="70"/>
    </row>
    <row r="2371" spans="2:7" x14ac:dyDescent="0.25">
      <c r="B2371" s="37"/>
      <c r="C2371" s="37"/>
      <c r="D2371" s="37"/>
      <c r="E2371" s="37"/>
      <c r="F2371" s="37"/>
      <c r="G2371" s="70"/>
    </row>
    <row r="2372" spans="2:7" x14ac:dyDescent="0.25">
      <c r="B2372" s="37"/>
      <c r="C2372" s="37"/>
      <c r="D2372" s="37"/>
      <c r="E2372" s="37"/>
      <c r="F2372" s="37"/>
      <c r="G2372" s="70"/>
    </row>
    <row r="2373" spans="2:7" x14ac:dyDescent="0.25">
      <c r="B2373" s="37"/>
      <c r="C2373" s="37"/>
      <c r="D2373" s="37"/>
      <c r="E2373" s="37"/>
      <c r="F2373" s="37"/>
      <c r="G2373" s="70"/>
    </row>
    <row r="2374" spans="2:7" x14ac:dyDescent="0.25">
      <c r="B2374" s="37"/>
      <c r="C2374" s="37"/>
      <c r="D2374" s="37"/>
      <c r="E2374" s="37"/>
      <c r="F2374" s="37"/>
      <c r="G2374" s="70"/>
    </row>
    <row r="2375" spans="2:7" x14ac:dyDescent="0.25">
      <c r="B2375" s="37"/>
      <c r="C2375" s="37"/>
      <c r="D2375" s="37"/>
      <c r="E2375" s="37"/>
      <c r="F2375" s="37"/>
      <c r="G2375" s="70"/>
    </row>
    <row r="2376" spans="2:7" x14ac:dyDescent="0.25">
      <c r="B2376" s="37"/>
      <c r="C2376" s="37"/>
      <c r="D2376" s="37"/>
      <c r="E2376" s="37"/>
      <c r="F2376" s="37"/>
      <c r="G2376" s="70"/>
    </row>
    <row r="2377" spans="2:7" x14ac:dyDescent="0.25">
      <c r="B2377" s="37"/>
      <c r="C2377" s="37"/>
      <c r="D2377" s="37"/>
      <c r="E2377" s="37"/>
      <c r="F2377" s="37"/>
      <c r="G2377" s="70"/>
    </row>
    <row r="2378" spans="2:7" x14ac:dyDescent="0.25">
      <c r="B2378" s="37"/>
      <c r="C2378" s="37"/>
      <c r="D2378" s="37"/>
      <c r="E2378" s="37"/>
      <c r="F2378" s="37"/>
      <c r="G2378" s="70"/>
    </row>
    <row r="2379" spans="2:7" x14ac:dyDescent="0.25">
      <c r="B2379" s="37"/>
      <c r="C2379" s="37"/>
      <c r="D2379" s="37"/>
      <c r="E2379" s="37"/>
      <c r="F2379" s="37"/>
      <c r="G2379" s="70"/>
    </row>
    <row r="2380" spans="2:7" x14ac:dyDescent="0.25">
      <c r="B2380" s="37"/>
      <c r="C2380" s="37"/>
      <c r="D2380" s="37"/>
      <c r="E2380" s="37"/>
      <c r="F2380" s="37"/>
      <c r="G2380" s="70"/>
    </row>
    <row r="2381" spans="2:7" x14ac:dyDescent="0.25">
      <c r="B2381" s="37"/>
      <c r="C2381" s="37"/>
      <c r="D2381" s="37"/>
      <c r="E2381" s="37"/>
      <c r="F2381" s="37"/>
      <c r="G2381" s="70"/>
    </row>
    <row r="2382" spans="2:7" x14ac:dyDescent="0.25">
      <c r="B2382" s="37"/>
      <c r="C2382" s="37"/>
      <c r="D2382" s="37"/>
      <c r="E2382" s="37"/>
      <c r="F2382" s="37"/>
      <c r="G2382" s="70"/>
    </row>
    <row r="2383" spans="2:7" x14ac:dyDescent="0.25">
      <c r="B2383" s="37"/>
      <c r="C2383" s="37"/>
      <c r="D2383" s="37"/>
      <c r="E2383" s="37"/>
      <c r="F2383" s="37"/>
      <c r="G2383" s="70"/>
    </row>
    <row r="2384" spans="2:7" x14ac:dyDescent="0.25">
      <c r="B2384" s="37"/>
      <c r="C2384" s="37"/>
      <c r="D2384" s="37"/>
      <c r="E2384" s="37"/>
      <c r="F2384" s="37"/>
      <c r="G2384" s="70"/>
    </row>
    <row r="2385" spans="2:7" x14ac:dyDescent="0.25">
      <c r="B2385" s="37"/>
      <c r="C2385" s="37"/>
      <c r="D2385" s="37"/>
      <c r="E2385" s="37"/>
      <c r="F2385" s="37"/>
      <c r="G2385" s="70"/>
    </row>
    <row r="2386" spans="2:7" x14ac:dyDescent="0.25">
      <c r="B2386" s="37"/>
      <c r="C2386" s="37"/>
      <c r="D2386" s="37"/>
      <c r="E2386" s="37"/>
      <c r="F2386" s="37"/>
      <c r="G2386" s="70"/>
    </row>
    <row r="2387" spans="2:7" x14ac:dyDescent="0.25">
      <c r="B2387" s="37"/>
      <c r="C2387" s="37"/>
      <c r="D2387" s="37"/>
      <c r="E2387" s="37"/>
      <c r="F2387" s="37"/>
      <c r="G2387" s="70"/>
    </row>
    <row r="2388" spans="2:7" x14ac:dyDescent="0.25">
      <c r="B2388" s="37"/>
      <c r="C2388" s="37"/>
      <c r="D2388" s="37"/>
      <c r="E2388" s="37"/>
      <c r="F2388" s="37"/>
      <c r="G2388" s="70"/>
    </row>
    <row r="2389" spans="2:7" x14ac:dyDescent="0.25">
      <c r="B2389" s="37"/>
      <c r="C2389" s="37"/>
      <c r="D2389" s="37"/>
      <c r="E2389" s="37"/>
      <c r="F2389" s="37"/>
      <c r="G2389" s="70"/>
    </row>
    <row r="2390" spans="2:7" x14ac:dyDescent="0.25">
      <c r="B2390" s="37"/>
      <c r="C2390" s="37"/>
      <c r="D2390" s="37"/>
      <c r="E2390" s="37"/>
      <c r="F2390" s="37"/>
      <c r="G2390" s="70"/>
    </row>
    <row r="2391" spans="2:7" x14ac:dyDescent="0.25">
      <c r="B2391" s="37"/>
      <c r="C2391" s="37"/>
      <c r="D2391" s="37"/>
      <c r="E2391" s="37"/>
      <c r="F2391" s="37"/>
      <c r="G2391" s="70"/>
    </row>
    <row r="2392" spans="2:7" x14ac:dyDescent="0.25">
      <c r="B2392" s="37"/>
      <c r="C2392" s="37"/>
      <c r="D2392" s="37"/>
      <c r="E2392" s="37"/>
      <c r="F2392" s="37"/>
      <c r="G2392" s="70"/>
    </row>
    <row r="2393" spans="2:7" x14ac:dyDescent="0.25">
      <c r="B2393" s="37"/>
      <c r="C2393" s="37"/>
      <c r="D2393" s="37"/>
      <c r="E2393" s="37"/>
      <c r="F2393" s="37"/>
      <c r="G2393" s="70"/>
    </row>
    <row r="2394" spans="2:7" x14ac:dyDescent="0.25">
      <c r="B2394" s="37"/>
      <c r="C2394" s="37"/>
      <c r="D2394" s="37"/>
      <c r="E2394" s="37"/>
      <c r="F2394" s="37"/>
      <c r="G2394" s="70"/>
    </row>
    <row r="2395" spans="2:7" x14ac:dyDescent="0.25">
      <c r="B2395" s="37"/>
      <c r="C2395" s="37"/>
      <c r="D2395" s="37"/>
      <c r="E2395" s="37"/>
      <c r="F2395" s="37"/>
      <c r="G2395" s="70"/>
    </row>
    <row r="2396" spans="2:7" x14ac:dyDescent="0.25">
      <c r="B2396" s="37"/>
      <c r="C2396" s="37"/>
      <c r="D2396" s="37"/>
      <c r="E2396" s="37"/>
      <c r="F2396" s="37"/>
      <c r="G2396" s="70"/>
    </row>
    <row r="2397" spans="2:7" x14ac:dyDescent="0.25">
      <c r="B2397" s="37"/>
      <c r="C2397" s="37"/>
      <c r="D2397" s="37"/>
      <c r="E2397" s="37"/>
      <c r="F2397" s="37"/>
      <c r="G2397" s="70"/>
    </row>
    <row r="2398" spans="2:7" x14ac:dyDescent="0.25">
      <c r="B2398" s="37"/>
      <c r="C2398" s="37"/>
      <c r="D2398" s="37"/>
      <c r="E2398" s="37"/>
      <c r="F2398" s="37"/>
      <c r="G2398" s="70"/>
    </row>
    <row r="2399" spans="2:7" x14ac:dyDescent="0.25">
      <c r="B2399" s="37"/>
      <c r="C2399" s="37"/>
      <c r="D2399" s="37"/>
      <c r="E2399" s="37"/>
      <c r="F2399" s="37"/>
      <c r="G2399" s="70"/>
    </row>
    <row r="2400" spans="2:7" x14ac:dyDescent="0.25">
      <c r="B2400" s="37"/>
      <c r="C2400" s="37"/>
      <c r="D2400" s="37"/>
      <c r="E2400" s="37"/>
      <c r="F2400" s="37"/>
      <c r="G2400" s="70"/>
    </row>
    <row r="2401" spans="2:7" x14ac:dyDescent="0.25">
      <c r="B2401" s="37"/>
      <c r="C2401" s="37"/>
      <c r="D2401" s="37"/>
      <c r="E2401" s="37"/>
      <c r="F2401" s="37"/>
      <c r="G2401" s="70"/>
    </row>
    <row r="2402" spans="2:7" x14ac:dyDescent="0.25">
      <c r="B2402" s="37"/>
      <c r="C2402" s="37"/>
      <c r="D2402" s="37"/>
      <c r="E2402" s="37"/>
      <c r="F2402" s="37"/>
      <c r="G2402" s="70"/>
    </row>
    <row r="2403" spans="2:7" x14ac:dyDescent="0.25">
      <c r="B2403" s="37"/>
      <c r="C2403" s="37"/>
      <c r="D2403" s="37"/>
      <c r="E2403" s="37"/>
      <c r="F2403" s="37"/>
      <c r="G2403" s="70"/>
    </row>
    <row r="2404" spans="2:7" x14ac:dyDescent="0.25">
      <c r="B2404" s="37"/>
      <c r="C2404" s="37"/>
      <c r="D2404" s="37"/>
      <c r="E2404" s="37"/>
      <c r="F2404" s="37"/>
      <c r="G2404" s="70"/>
    </row>
    <row r="2405" spans="2:7" x14ac:dyDescent="0.25">
      <c r="B2405" s="37"/>
      <c r="C2405" s="37"/>
      <c r="D2405" s="37"/>
      <c r="E2405" s="37"/>
      <c r="F2405" s="37"/>
      <c r="G2405" s="70"/>
    </row>
    <row r="2406" spans="2:7" x14ac:dyDescent="0.25">
      <c r="B2406" s="37"/>
      <c r="C2406" s="37"/>
      <c r="D2406" s="37"/>
      <c r="E2406" s="37"/>
      <c r="F2406" s="37"/>
      <c r="G2406" s="70"/>
    </row>
    <row r="2407" spans="2:7" x14ac:dyDescent="0.25">
      <c r="B2407" s="37"/>
      <c r="C2407" s="37"/>
      <c r="D2407" s="37"/>
      <c r="E2407" s="37"/>
      <c r="F2407" s="37"/>
      <c r="G2407" s="70"/>
    </row>
    <row r="2408" spans="2:7" x14ac:dyDescent="0.25">
      <c r="B2408" s="37"/>
      <c r="C2408" s="37"/>
      <c r="D2408" s="37"/>
      <c r="E2408" s="37"/>
      <c r="F2408" s="37"/>
      <c r="G2408" s="70"/>
    </row>
    <row r="2409" spans="2:7" x14ac:dyDescent="0.25">
      <c r="B2409" s="37"/>
      <c r="C2409" s="37"/>
      <c r="D2409" s="37"/>
      <c r="E2409" s="37"/>
      <c r="F2409" s="37"/>
      <c r="G2409" s="70"/>
    </row>
    <row r="2410" spans="2:7" x14ac:dyDescent="0.25">
      <c r="B2410" s="37"/>
      <c r="C2410" s="37"/>
      <c r="D2410" s="37"/>
      <c r="E2410" s="37"/>
      <c r="F2410" s="37"/>
      <c r="G2410" s="70"/>
    </row>
    <row r="2411" spans="2:7" x14ac:dyDescent="0.25">
      <c r="B2411" s="37"/>
      <c r="C2411" s="37"/>
      <c r="D2411" s="37"/>
      <c r="E2411" s="37"/>
      <c r="F2411" s="37"/>
      <c r="G2411" s="70"/>
    </row>
    <row r="2412" spans="2:7" x14ac:dyDescent="0.25">
      <c r="B2412" s="37"/>
      <c r="C2412" s="37"/>
      <c r="D2412" s="37"/>
      <c r="E2412" s="37"/>
      <c r="F2412" s="37"/>
      <c r="G2412" s="70"/>
    </row>
    <row r="2413" spans="2:7" x14ac:dyDescent="0.25">
      <c r="B2413" s="37"/>
      <c r="C2413" s="37"/>
      <c r="D2413" s="37"/>
      <c r="E2413" s="37"/>
      <c r="F2413" s="37"/>
      <c r="G2413" s="70"/>
    </row>
    <row r="2414" spans="2:7" x14ac:dyDescent="0.25">
      <c r="B2414" s="37"/>
      <c r="C2414" s="37"/>
      <c r="D2414" s="37"/>
      <c r="E2414" s="37"/>
      <c r="F2414" s="37"/>
      <c r="G2414" s="70"/>
    </row>
    <row r="2415" spans="2:7" x14ac:dyDescent="0.25">
      <c r="B2415" s="37"/>
      <c r="C2415" s="37"/>
      <c r="D2415" s="37"/>
      <c r="E2415" s="37"/>
      <c r="F2415" s="37"/>
      <c r="G2415" s="70"/>
    </row>
    <row r="2416" spans="2:7" x14ac:dyDescent="0.25">
      <c r="B2416" s="37"/>
      <c r="C2416" s="37"/>
      <c r="D2416" s="37"/>
      <c r="E2416" s="37"/>
      <c r="F2416" s="37"/>
      <c r="G2416" s="70"/>
    </row>
    <row r="2417" spans="2:7" x14ac:dyDescent="0.25">
      <c r="B2417" s="37"/>
      <c r="C2417" s="37"/>
      <c r="D2417" s="37"/>
      <c r="E2417" s="37"/>
      <c r="F2417" s="37"/>
      <c r="G2417" s="70"/>
    </row>
    <row r="2418" spans="2:7" x14ac:dyDescent="0.25">
      <c r="B2418" s="37"/>
      <c r="C2418" s="37"/>
      <c r="D2418" s="37"/>
      <c r="E2418" s="37"/>
      <c r="F2418" s="37"/>
      <c r="G2418" s="70"/>
    </row>
    <row r="2419" spans="2:7" x14ac:dyDescent="0.25">
      <c r="B2419" s="37"/>
      <c r="C2419" s="37"/>
      <c r="D2419" s="37"/>
      <c r="E2419" s="37"/>
      <c r="F2419" s="37"/>
      <c r="G2419" s="70"/>
    </row>
    <row r="2420" spans="2:7" x14ac:dyDescent="0.25">
      <c r="B2420" s="37"/>
      <c r="C2420" s="37"/>
      <c r="D2420" s="37"/>
      <c r="E2420" s="37"/>
      <c r="F2420" s="37"/>
      <c r="G2420" s="70"/>
    </row>
    <row r="2421" spans="2:7" x14ac:dyDescent="0.25">
      <c r="B2421" s="37"/>
      <c r="C2421" s="37"/>
      <c r="D2421" s="37"/>
      <c r="E2421" s="37"/>
      <c r="F2421" s="37"/>
      <c r="G2421" s="70"/>
    </row>
    <row r="2422" spans="2:7" x14ac:dyDescent="0.25">
      <c r="B2422" s="37"/>
      <c r="C2422" s="37"/>
      <c r="D2422" s="37"/>
      <c r="E2422" s="37"/>
      <c r="F2422" s="37"/>
      <c r="G2422" s="70"/>
    </row>
    <row r="2423" spans="2:7" x14ac:dyDescent="0.25">
      <c r="B2423" s="37"/>
      <c r="C2423" s="37"/>
      <c r="D2423" s="37"/>
      <c r="E2423" s="37"/>
      <c r="F2423" s="37"/>
      <c r="G2423" s="70"/>
    </row>
    <row r="2424" spans="2:7" x14ac:dyDescent="0.25">
      <c r="B2424" s="37"/>
      <c r="C2424" s="37"/>
      <c r="D2424" s="37"/>
      <c r="E2424" s="37"/>
      <c r="F2424" s="37"/>
      <c r="G2424" s="70"/>
    </row>
    <row r="2425" spans="2:7" x14ac:dyDescent="0.25">
      <c r="B2425" s="37"/>
      <c r="C2425" s="37"/>
      <c r="D2425" s="37"/>
      <c r="E2425" s="37"/>
      <c r="F2425" s="37"/>
      <c r="G2425" s="70"/>
    </row>
    <row r="2426" spans="2:7" x14ac:dyDescent="0.25">
      <c r="B2426" s="37"/>
      <c r="C2426" s="37"/>
      <c r="D2426" s="37"/>
      <c r="E2426" s="37"/>
      <c r="F2426" s="37"/>
      <c r="G2426" s="70"/>
    </row>
    <row r="2427" spans="2:7" x14ac:dyDescent="0.25">
      <c r="B2427" s="37"/>
      <c r="C2427" s="37"/>
      <c r="D2427" s="37"/>
      <c r="E2427" s="37"/>
      <c r="F2427" s="37"/>
      <c r="G2427" s="70"/>
    </row>
    <row r="2428" spans="2:7" x14ac:dyDescent="0.25">
      <c r="B2428" s="37"/>
      <c r="C2428" s="37"/>
      <c r="D2428" s="37"/>
      <c r="E2428" s="37"/>
      <c r="F2428" s="37"/>
      <c r="G2428" s="70"/>
    </row>
    <row r="2429" spans="2:7" x14ac:dyDescent="0.25">
      <c r="B2429" s="37"/>
      <c r="C2429" s="37"/>
      <c r="D2429" s="37"/>
      <c r="E2429" s="37"/>
      <c r="F2429" s="37"/>
      <c r="G2429" s="70"/>
    </row>
    <row r="2430" spans="2:7" x14ac:dyDescent="0.25">
      <c r="B2430" s="37"/>
      <c r="C2430" s="37"/>
      <c r="D2430" s="37"/>
      <c r="E2430" s="37"/>
      <c r="F2430" s="37"/>
      <c r="G2430" s="70"/>
    </row>
    <row r="2431" spans="2:7" x14ac:dyDescent="0.25">
      <c r="B2431" s="37"/>
      <c r="C2431" s="37"/>
      <c r="D2431" s="37"/>
      <c r="E2431" s="37"/>
      <c r="F2431" s="37"/>
      <c r="G2431" s="70"/>
    </row>
    <row r="2432" spans="2:7" x14ac:dyDescent="0.25">
      <c r="B2432" s="37"/>
      <c r="C2432" s="37"/>
      <c r="D2432" s="37"/>
      <c r="E2432" s="37"/>
      <c r="F2432" s="37"/>
      <c r="G2432" s="70"/>
    </row>
    <row r="2433" spans="2:7" x14ac:dyDescent="0.25">
      <c r="B2433" s="37"/>
      <c r="C2433" s="37"/>
      <c r="D2433" s="37"/>
      <c r="E2433" s="37"/>
      <c r="F2433" s="37"/>
      <c r="G2433" s="70"/>
    </row>
    <row r="2434" spans="2:7" x14ac:dyDescent="0.25">
      <c r="B2434" s="37"/>
      <c r="C2434" s="37"/>
      <c r="D2434" s="37"/>
      <c r="E2434" s="37"/>
      <c r="F2434" s="37"/>
      <c r="G2434" s="70"/>
    </row>
    <row r="2435" spans="2:7" x14ac:dyDescent="0.25">
      <c r="B2435" s="37"/>
      <c r="C2435" s="37"/>
      <c r="D2435" s="37"/>
      <c r="E2435" s="37"/>
      <c r="F2435" s="37"/>
      <c r="G2435" s="70"/>
    </row>
    <row r="2436" spans="2:7" x14ac:dyDescent="0.25">
      <c r="B2436" s="37"/>
      <c r="C2436" s="37"/>
      <c r="D2436" s="37"/>
      <c r="E2436" s="37"/>
      <c r="F2436" s="37"/>
      <c r="G2436" s="70"/>
    </row>
    <row r="2437" spans="2:7" x14ac:dyDescent="0.25">
      <c r="B2437" s="37"/>
      <c r="C2437" s="37"/>
      <c r="D2437" s="37"/>
      <c r="E2437" s="37"/>
      <c r="F2437" s="37"/>
      <c r="G2437" s="70"/>
    </row>
    <row r="2438" spans="2:7" x14ac:dyDescent="0.25">
      <c r="B2438" s="37"/>
      <c r="C2438" s="37"/>
      <c r="D2438" s="37"/>
      <c r="E2438" s="37"/>
      <c r="F2438" s="37"/>
      <c r="G2438" s="70"/>
    </row>
    <row r="2439" spans="2:7" x14ac:dyDescent="0.25">
      <c r="B2439" s="37"/>
      <c r="C2439" s="37"/>
      <c r="D2439" s="37"/>
      <c r="E2439" s="37"/>
      <c r="F2439" s="37"/>
      <c r="G2439" s="70"/>
    </row>
    <row r="2440" spans="2:7" x14ac:dyDescent="0.25">
      <c r="B2440" s="37"/>
      <c r="C2440" s="37"/>
      <c r="D2440" s="37"/>
      <c r="E2440" s="37"/>
      <c r="F2440" s="37"/>
      <c r="G2440" s="70"/>
    </row>
    <row r="2441" spans="2:7" x14ac:dyDescent="0.25">
      <c r="B2441" s="37"/>
      <c r="C2441" s="37"/>
      <c r="D2441" s="37"/>
      <c r="E2441" s="37"/>
      <c r="F2441" s="37"/>
      <c r="G2441" s="70"/>
    </row>
    <row r="2442" spans="2:7" x14ac:dyDescent="0.25">
      <c r="B2442" s="37"/>
      <c r="C2442" s="37"/>
      <c r="D2442" s="37"/>
      <c r="E2442" s="37"/>
      <c r="F2442" s="37"/>
      <c r="G2442" s="70"/>
    </row>
    <row r="2443" spans="2:7" x14ac:dyDescent="0.25">
      <c r="B2443" s="37"/>
      <c r="C2443" s="37"/>
      <c r="D2443" s="37"/>
      <c r="E2443" s="37"/>
      <c r="F2443" s="37"/>
      <c r="G2443" s="70"/>
    </row>
    <row r="2444" spans="2:7" x14ac:dyDescent="0.25">
      <c r="B2444" s="37"/>
      <c r="C2444" s="37"/>
      <c r="D2444" s="37"/>
      <c r="E2444" s="37"/>
      <c r="F2444" s="37"/>
      <c r="G2444" s="70"/>
    </row>
    <row r="2445" spans="2:7" x14ac:dyDescent="0.25">
      <c r="B2445" s="37"/>
      <c r="C2445" s="37"/>
      <c r="D2445" s="37"/>
      <c r="E2445" s="37"/>
      <c r="F2445" s="37"/>
      <c r="G2445" s="70"/>
    </row>
    <row r="2446" spans="2:7" x14ac:dyDescent="0.25">
      <c r="B2446" s="37"/>
      <c r="C2446" s="37"/>
      <c r="D2446" s="37"/>
      <c r="E2446" s="37"/>
      <c r="F2446" s="37"/>
      <c r="G2446" s="70"/>
    </row>
    <row r="2447" spans="2:7" x14ac:dyDescent="0.25">
      <c r="B2447" s="37"/>
      <c r="C2447" s="37"/>
      <c r="D2447" s="37"/>
      <c r="E2447" s="37"/>
      <c r="F2447" s="37"/>
      <c r="G2447" s="70"/>
    </row>
    <row r="2448" spans="2:7" x14ac:dyDescent="0.25">
      <c r="B2448" s="37"/>
      <c r="C2448" s="37"/>
      <c r="D2448" s="37"/>
      <c r="E2448" s="37"/>
      <c r="F2448" s="37"/>
      <c r="G2448" s="70"/>
    </row>
    <row r="2449" spans="2:7" x14ac:dyDescent="0.25">
      <c r="B2449" s="37"/>
      <c r="C2449" s="37"/>
      <c r="D2449" s="37"/>
      <c r="E2449" s="37"/>
      <c r="F2449" s="37"/>
      <c r="G2449" s="70"/>
    </row>
    <row r="2450" spans="2:7" x14ac:dyDescent="0.25">
      <c r="B2450" s="37"/>
      <c r="C2450" s="37"/>
      <c r="D2450" s="37"/>
      <c r="E2450" s="37"/>
      <c r="F2450" s="37"/>
      <c r="G2450" s="70"/>
    </row>
    <row r="2451" spans="2:7" x14ac:dyDescent="0.25">
      <c r="B2451" s="37"/>
      <c r="C2451" s="37"/>
      <c r="D2451" s="37"/>
      <c r="E2451" s="37"/>
      <c r="F2451" s="37"/>
      <c r="G2451" s="70"/>
    </row>
    <row r="2452" spans="2:7" x14ac:dyDescent="0.25">
      <c r="B2452" s="37"/>
      <c r="C2452" s="37"/>
      <c r="D2452" s="37"/>
      <c r="E2452" s="37"/>
      <c r="F2452" s="37"/>
      <c r="G2452" s="70"/>
    </row>
    <row r="2453" spans="2:7" x14ac:dyDescent="0.25">
      <c r="B2453" s="37"/>
      <c r="C2453" s="37"/>
      <c r="D2453" s="37"/>
      <c r="E2453" s="37"/>
      <c r="F2453" s="37"/>
      <c r="G2453" s="70"/>
    </row>
    <row r="2454" spans="2:7" x14ac:dyDescent="0.25">
      <c r="B2454" s="37"/>
      <c r="C2454" s="37"/>
      <c r="D2454" s="37"/>
      <c r="E2454" s="37"/>
      <c r="F2454" s="37"/>
      <c r="G2454" s="70"/>
    </row>
    <row r="2455" spans="2:7" x14ac:dyDescent="0.25">
      <c r="B2455" s="37"/>
      <c r="C2455" s="37"/>
      <c r="D2455" s="37"/>
      <c r="E2455" s="37"/>
      <c r="F2455" s="37"/>
      <c r="G2455" s="70"/>
    </row>
    <row r="2456" spans="2:7" x14ac:dyDescent="0.25">
      <c r="B2456" s="37"/>
      <c r="C2456" s="37"/>
      <c r="D2456" s="37"/>
      <c r="E2456" s="37"/>
      <c r="F2456" s="37"/>
      <c r="G2456" s="70"/>
    </row>
    <row r="2457" spans="2:7" x14ac:dyDescent="0.25">
      <c r="B2457" s="37"/>
      <c r="C2457" s="37"/>
      <c r="D2457" s="37"/>
      <c r="E2457" s="37"/>
      <c r="F2457" s="37"/>
      <c r="G2457" s="70"/>
    </row>
    <row r="2458" spans="2:7" x14ac:dyDescent="0.25">
      <c r="B2458" s="37"/>
      <c r="C2458" s="37"/>
      <c r="D2458" s="37"/>
      <c r="E2458" s="37"/>
      <c r="F2458" s="37"/>
      <c r="G2458" s="70"/>
    </row>
    <row r="2459" spans="2:7" x14ac:dyDescent="0.25">
      <c r="B2459" s="37"/>
      <c r="C2459" s="37"/>
      <c r="D2459" s="37"/>
      <c r="E2459" s="37"/>
      <c r="F2459" s="37"/>
      <c r="G2459" s="70"/>
    </row>
    <row r="2460" spans="2:7" x14ac:dyDescent="0.25">
      <c r="B2460" s="37"/>
      <c r="C2460" s="37"/>
      <c r="D2460" s="37"/>
      <c r="E2460" s="37"/>
      <c r="F2460" s="37"/>
      <c r="G2460" s="70"/>
    </row>
    <row r="2461" spans="2:7" x14ac:dyDescent="0.25">
      <c r="B2461" s="37"/>
      <c r="C2461" s="37"/>
      <c r="D2461" s="37"/>
      <c r="E2461" s="37"/>
      <c r="F2461" s="37"/>
      <c r="G2461" s="70"/>
    </row>
    <row r="2462" spans="2:7" x14ac:dyDescent="0.25">
      <c r="B2462" s="37"/>
      <c r="C2462" s="37"/>
      <c r="D2462" s="37"/>
      <c r="E2462" s="37"/>
      <c r="F2462" s="37"/>
      <c r="G2462" s="70"/>
    </row>
    <row r="2463" spans="2:7" x14ac:dyDescent="0.25">
      <c r="B2463" s="37"/>
      <c r="C2463" s="37"/>
      <c r="D2463" s="37"/>
      <c r="E2463" s="37"/>
      <c r="F2463" s="37"/>
      <c r="G2463" s="70"/>
    </row>
    <row r="2464" spans="2:7" x14ac:dyDescent="0.25">
      <c r="B2464" s="37"/>
      <c r="C2464" s="37"/>
      <c r="D2464" s="37"/>
      <c r="E2464" s="37"/>
      <c r="F2464" s="37"/>
      <c r="G2464" s="70"/>
    </row>
    <row r="2465" spans="2:7" x14ac:dyDescent="0.25">
      <c r="B2465" s="37"/>
      <c r="C2465" s="37"/>
      <c r="D2465" s="37"/>
      <c r="E2465" s="37"/>
      <c r="F2465" s="37"/>
      <c r="G2465" s="70"/>
    </row>
    <row r="2466" spans="2:7" x14ac:dyDescent="0.25">
      <c r="B2466" s="37"/>
      <c r="C2466" s="37"/>
      <c r="D2466" s="37"/>
      <c r="E2466" s="37"/>
      <c r="F2466" s="37"/>
      <c r="G2466" s="70"/>
    </row>
    <row r="2467" spans="2:7" x14ac:dyDescent="0.25">
      <c r="B2467" s="37"/>
      <c r="C2467" s="37"/>
      <c r="D2467" s="37"/>
      <c r="E2467" s="37"/>
      <c r="F2467" s="37"/>
      <c r="G2467" s="70"/>
    </row>
    <row r="2468" spans="2:7" x14ac:dyDescent="0.25">
      <c r="B2468" s="37"/>
      <c r="C2468" s="37"/>
      <c r="D2468" s="37"/>
      <c r="E2468" s="37"/>
      <c r="F2468" s="37"/>
      <c r="G2468" s="70"/>
    </row>
    <row r="2469" spans="2:7" x14ac:dyDescent="0.25">
      <c r="B2469" s="37"/>
      <c r="C2469" s="37"/>
      <c r="D2469" s="37"/>
      <c r="E2469" s="37"/>
      <c r="F2469" s="37"/>
      <c r="G2469" s="70"/>
    </row>
    <row r="2470" spans="2:7" x14ac:dyDescent="0.25">
      <c r="B2470" s="37"/>
      <c r="C2470" s="37"/>
      <c r="D2470" s="37"/>
      <c r="E2470" s="37"/>
      <c r="F2470" s="37"/>
      <c r="G2470" s="70"/>
    </row>
    <row r="2471" spans="2:7" x14ac:dyDescent="0.25">
      <c r="B2471" s="37"/>
      <c r="C2471" s="37"/>
      <c r="D2471" s="37"/>
      <c r="E2471" s="37"/>
      <c r="F2471" s="37"/>
      <c r="G2471" s="70"/>
    </row>
    <row r="2472" spans="2:7" x14ac:dyDescent="0.25">
      <c r="B2472" s="37"/>
      <c r="C2472" s="37"/>
      <c r="D2472" s="37"/>
      <c r="E2472" s="37"/>
      <c r="F2472" s="37"/>
      <c r="G2472" s="70"/>
    </row>
    <row r="2473" spans="2:7" x14ac:dyDescent="0.25">
      <c r="B2473" s="37"/>
      <c r="C2473" s="37"/>
      <c r="D2473" s="37"/>
      <c r="E2473" s="37"/>
      <c r="F2473" s="37"/>
      <c r="G2473" s="70"/>
    </row>
    <row r="2474" spans="2:7" x14ac:dyDescent="0.25">
      <c r="B2474" s="37"/>
      <c r="C2474" s="37"/>
      <c r="D2474" s="37"/>
      <c r="E2474" s="37"/>
      <c r="F2474" s="37"/>
      <c r="G2474" s="70"/>
    </row>
    <row r="2475" spans="2:7" x14ac:dyDescent="0.25">
      <c r="B2475" s="37"/>
      <c r="C2475" s="37"/>
      <c r="D2475" s="37"/>
      <c r="E2475" s="37"/>
      <c r="F2475" s="37"/>
      <c r="G2475" s="70"/>
    </row>
    <row r="2476" spans="2:7" x14ac:dyDescent="0.25">
      <c r="B2476" s="37"/>
      <c r="C2476" s="37"/>
      <c r="D2476" s="37"/>
      <c r="E2476" s="37"/>
      <c r="F2476" s="37"/>
      <c r="G2476" s="70"/>
    </row>
    <row r="2477" spans="2:7" x14ac:dyDescent="0.25">
      <c r="B2477" s="37"/>
      <c r="C2477" s="37"/>
      <c r="D2477" s="37"/>
      <c r="E2477" s="37"/>
      <c r="F2477" s="37"/>
      <c r="G2477" s="70"/>
    </row>
    <row r="2478" spans="2:7" x14ac:dyDescent="0.25">
      <c r="B2478" s="37"/>
      <c r="C2478" s="37"/>
      <c r="D2478" s="37"/>
      <c r="E2478" s="37"/>
      <c r="F2478" s="37"/>
      <c r="G2478" s="70"/>
    </row>
    <row r="2479" spans="2:7" x14ac:dyDescent="0.25">
      <c r="B2479" s="37"/>
      <c r="C2479" s="37"/>
      <c r="D2479" s="37"/>
      <c r="E2479" s="37"/>
      <c r="F2479" s="37"/>
      <c r="G2479" s="70"/>
    </row>
    <row r="2480" spans="2:7" x14ac:dyDescent="0.25">
      <c r="B2480" s="37"/>
      <c r="C2480" s="37"/>
      <c r="D2480" s="37"/>
      <c r="E2480" s="37"/>
      <c r="F2480" s="37"/>
      <c r="G2480" s="70"/>
    </row>
    <row r="2481" spans="2:7" x14ac:dyDescent="0.25">
      <c r="B2481" s="37"/>
      <c r="C2481" s="37"/>
      <c r="D2481" s="37"/>
      <c r="E2481" s="37"/>
      <c r="F2481" s="37"/>
      <c r="G2481" s="70"/>
    </row>
    <row r="2482" spans="2:7" x14ac:dyDescent="0.25">
      <c r="B2482" s="37"/>
      <c r="C2482" s="37"/>
      <c r="D2482" s="37"/>
      <c r="E2482" s="37"/>
      <c r="F2482" s="37"/>
      <c r="G2482" s="70"/>
    </row>
    <row r="2483" spans="2:7" x14ac:dyDescent="0.25">
      <c r="B2483" s="37"/>
      <c r="C2483" s="37"/>
      <c r="D2483" s="37"/>
      <c r="E2483" s="37"/>
      <c r="F2483" s="37"/>
      <c r="G2483" s="70"/>
    </row>
    <row r="2484" spans="2:7" x14ac:dyDescent="0.25">
      <c r="B2484" s="37"/>
      <c r="C2484" s="37"/>
      <c r="D2484" s="37"/>
      <c r="E2484" s="37"/>
      <c r="F2484" s="37"/>
      <c r="G2484" s="70"/>
    </row>
    <row r="2485" spans="2:7" x14ac:dyDescent="0.25">
      <c r="B2485" s="37"/>
      <c r="C2485" s="37"/>
      <c r="D2485" s="37"/>
      <c r="E2485" s="37"/>
      <c r="F2485" s="37"/>
      <c r="G2485" s="70"/>
    </row>
    <row r="2486" spans="2:7" x14ac:dyDescent="0.25">
      <c r="B2486" s="37"/>
      <c r="C2486" s="37"/>
      <c r="D2486" s="37"/>
      <c r="E2486" s="37"/>
      <c r="F2486" s="37"/>
      <c r="G2486" s="70"/>
    </row>
    <row r="2487" spans="2:7" x14ac:dyDescent="0.25">
      <c r="B2487" s="37"/>
      <c r="C2487" s="37"/>
      <c r="D2487" s="37"/>
      <c r="E2487" s="37"/>
      <c r="F2487" s="37"/>
      <c r="G2487" s="70"/>
    </row>
    <row r="2488" spans="2:7" x14ac:dyDescent="0.25">
      <c r="B2488" s="37"/>
      <c r="C2488" s="37"/>
      <c r="D2488" s="37"/>
      <c r="E2488" s="37"/>
      <c r="F2488" s="37"/>
      <c r="G2488" s="70"/>
    </row>
    <row r="2489" spans="2:7" x14ac:dyDescent="0.25">
      <c r="B2489" s="37"/>
      <c r="C2489" s="37"/>
      <c r="D2489" s="37"/>
      <c r="E2489" s="37"/>
      <c r="F2489" s="37"/>
      <c r="G2489" s="70"/>
    </row>
    <row r="2490" spans="2:7" x14ac:dyDescent="0.25">
      <c r="B2490" s="37"/>
      <c r="C2490" s="37"/>
      <c r="D2490" s="37"/>
      <c r="E2490" s="37"/>
      <c r="F2490" s="37"/>
      <c r="G2490" s="70"/>
    </row>
    <row r="2491" spans="2:7" x14ac:dyDescent="0.25">
      <c r="B2491" s="37"/>
      <c r="C2491" s="37"/>
      <c r="D2491" s="37"/>
      <c r="E2491" s="37"/>
      <c r="F2491" s="37"/>
      <c r="G2491" s="70"/>
    </row>
    <row r="2492" spans="2:7" x14ac:dyDescent="0.25">
      <c r="B2492" s="37"/>
      <c r="C2492" s="37"/>
      <c r="D2492" s="37"/>
      <c r="E2492" s="37"/>
      <c r="F2492" s="37"/>
      <c r="G2492" s="70"/>
    </row>
    <row r="2493" spans="2:7" x14ac:dyDescent="0.25">
      <c r="B2493" s="37"/>
      <c r="C2493" s="37"/>
      <c r="D2493" s="37"/>
      <c r="E2493" s="37"/>
      <c r="F2493" s="37"/>
      <c r="G2493" s="70"/>
    </row>
    <row r="2494" spans="2:7" x14ac:dyDescent="0.25">
      <c r="B2494" s="37"/>
      <c r="C2494" s="37"/>
      <c r="D2494" s="37"/>
      <c r="E2494" s="37"/>
      <c r="F2494" s="37"/>
      <c r="G2494" s="70"/>
    </row>
    <row r="2495" spans="2:7" x14ac:dyDescent="0.25">
      <c r="B2495" s="37"/>
      <c r="C2495" s="37"/>
      <c r="D2495" s="37"/>
      <c r="E2495" s="37"/>
      <c r="F2495" s="37"/>
      <c r="G2495" s="70"/>
    </row>
    <row r="2496" spans="2:7" x14ac:dyDescent="0.25">
      <c r="B2496" s="37"/>
      <c r="C2496" s="37"/>
      <c r="D2496" s="37"/>
      <c r="E2496" s="37"/>
      <c r="F2496" s="37"/>
      <c r="G2496" s="70"/>
    </row>
    <row r="2497" spans="2:7" x14ac:dyDescent="0.25">
      <c r="B2497" s="37"/>
      <c r="C2497" s="37"/>
      <c r="D2497" s="37"/>
      <c r="E2497" s="37"/>
      <c r="F2497" s="37"/>
      <c r="G2497" s="70"/>
    </row>
    <row r="2498" spans="2:7" x14ac:dyDescent="0.25">
      <c r="B2498" s="37"/>
      <c r="C2498" s="37"/>
      <c r="D2498" s="37"/>
      <c r="E2498" s="37"/>
      <c r="F2498" s="37"/>
      <c r="G2498" s="70"/>
    </row>
    <row r="2499" spans="2:7" x14ac:dyDescent="0.25">
      <c r="B2499" s="37"/>
      <c r="C2499" s="37"/>
      <c r="D2499" s="37"/>
      <c r="E2499" s="37"/>
      <c r="F2499" s="37"/>
      <c r="G2499" s="70"/>
    </row>
    <row r="2500" spans="2:7" x14ac:dyDescent="0.25">
      <c r="B2500" s="37"/>
      <c r="C2500" s="37"/>
      <c r="D2500" s="37"/>
      <c r="E2500" s="37"/>
      <c r="F2500" s="37"/>
      <c r="G2500" s="70"/>
    </row>
    <row r="2501" spans="2:7" x14ac:dyDescent="0.25">
      <c r="B2501" s="37"/>
      <c r="C2501" s="37"/>
      <c r="D2501" s="37"/>
      <c r="E2501" s="37"/>
      <c r="F2501" s="37"/>
      <c r="G2501" s="70"/>
    </row>
    <row r="2502" spans="2:7" x14ac:dyDescent="0.25">
      <c r="B2502" s="37"/>
      <c r="C2502" s="37"/>
      <c r="D2502" s="37"/>
      <c r="E2502" s="37"/>
      <c r="F2502" s="37"/>
      <c r="G2502" s="70"/>
    </row>
    <row r="2503" spans="2:7" x14ac:dyDescent="0.25">
      <c r="B2503" s="37"/>
      <c r="C2503" s="37"/>
      <c r="D2503" s="37"/>
      <c r="E2503" s="37"/>
      <c r="F2503" s="37"/>
      <c r="G2503" s="70"/>
    </row>
    <row r="2504" spans="2:7" x14ac:dyDescent="0.25">
      <c r="B2504" s="37"/>
      <c r="C2504" s="37"/>
      <c r="D2504" s="37"/>
      <c r="E2504" s="37"/>
      <c r="F2504" s="37"/>
      <c r="G2504" s="70"/>
    </row>
    <row r="2505" spans="2:7" x14ac:dyDescent="0.25">
      <c r="B2505" s="37"/>
      <c r="C2505" s="37"/>
      <c r="D2505" s="37"/>
      <c r="E2505" s="37"/>
      <c r="F2505" s="37"/>
      <c r="G2505" s="70"/>
    </row>
    <row r="2506" spans="2:7" x14ac:dyDescent="0.25">
      <c r="B2506" s="37"/>
      <c r="C2506" s="37"/>
      <c r="D2506" s="37"/>
      <c r="E2506" s="37"/>
      <c r="F2506" s="37"/>
      <c r="G2506" s="70"/>
    </row>
    <row r="2507" spans="2:7" x14ac:dyDescent="0.25">
      <c r="B2507" s="37"/>
      <c r="C2507" s="37"/>
      <c r="D2507" s="37"/>
      <c r="E2507" s="37"/>
      <c r="F2507" s="37"/>
      <c r="G2507" s="70"/>
    </row>
    <row r="2508" spans="2:7" x14ac:dyDescent="0.25">
      <c r="B2508" s="37"/>
      <c r="C2508" s="37"/>
      <c r="D2508" s="37"/>
      <c r="E2508" s="37"/>
      <c r="F2508" s="37"/>
      <c r="G2508" s="70"/>
    </row>
    <row r="2509" spans="2:7" x14ac:dyDescent="0.25">
      <c r="B2509" s="37"/>
      <c r="C2509" s="37"/>
      <c r="D2509" s="37"/>
      <c r="E2509" s="37"/>
      <c r="F2509" s="37"/>
      <c r="G2509" s="70"/>
    </row>
    <row r="2510" spans="2:7" x14ac:dyDescent="0.25">
      <c r="B2510" s="37"/>
      <c r="C2510" s="37"/>
      <c r="D2510" s="37"/>
      <c r="E2510" s="37"/>
      <c r="F2510" s="37"/>
      <c r="G2510" s="70"/>
    </row>
    <row r="2511" spans="2:7" x14ac:dyDescent="0.25">
      <c r="B2511" s="37"/>
      <c r="C2511" s="37"/>
      <c r="D2511" s="37"/>
      <c r="E2511" s="37"/>
      <c r="F2511" s="37"/>
      <c r="G2511" s="70"/>
    </row>
    <row r="2512" spans="2:7" x14ac:dyDescent="0.25">
      <c r="B2512" s="37"/>
      <c r="C2512" s="37"/>
      <c r="D2512" s="37"/>
      <c r="E2512" s="37"/>
      <c r="F2512" s="37"/>
      <c r="G2512" s="70"/>
    </row>
    <row r="2513" spans="2:7" x14ac:dyDescent="0.25">
      <c r="B2513" s="37"/>
      <c r="C2513" s="37"/>
      <c r="D2513" s="37"/>
      <c r="E2513" s="37"/>
      <c r="F2513" s="37"/>
      <c r="G2513" s="70"/>
    </row>
    <row r="2514" spans="2:7" x14ac:dyDescent="0.25">
      <c r="B2514" s="37"/>
      <c r="C2514" s="37"/>
      <c r="D2514" s="37"/>
      <c r="E2514" s="37"/>
      <c r="F2514" s="37"/>
      <c r="G2514" s="70"/>
    </row>
    <row r="2515" spans="2:7" x14ac:dyDescent="0.25">
      <c r="B2515" s="37"/>
      <c r="C2515" s="37"/>
      <c r="D2515" s="37"/>
      <c r="E2515" s="37"/>
      <c r="F2515" s="37"/>
      <c r="G2515" s="70"/>
    </row>
    <row r="2516" spans="2:7" x14ac:dyDescent="0.25">
      <c r="B2516" s="37"/>
      <c r="C2516" s="37"/>
      <c r="D2516" s="37"/>
      <c r="E2516" s="37"/>
      <c r="F2516" s="37"/>
      <c r="G2516" s="70"/>
    </row>
    <row r="2517" spans="2:7" x14ac:dyDescent="0.25">
      <c r="B2517" s="37"/>
      <c r="C2517" s="37"/>
      <c r="D2517" s="37"/>
      <c r="E2517" s="37"/>
      <c r="F2517" s="37"/>
      <c r="G2517" s="70"/>
    </row>
    <row r="2518" spans="2:7" x14ac:dyDescent="0.25">
      <c r="B2518" s="37"/>
      <c r="C2518" s="37"/>
      <c r="D2518" s="37"/>
      <c r="E2518" s="37"/>
      <c r="F2518" s="37"/>
      <c r="G2518" s="70"/>
    </row>
    <row r="2519" spans="2:7" x14ac:dyDescent="0.25">
      <c r="B2519" s="37"/>
      <c r="C2519" s="37"/>
      <c r="D2519" s="37"/>
      <c r="E2519" s="37"/>
      <c r="F2519" s="37"/>
      <c r="G2519" s="70"/>
    </row>
    <row r="2520" spans="2:7" x14ac:dyDescent="0.25">
      <c r="B2520" s="37"/>
      <c r="C2520" s="37"/>
      <c r="D2520" s="37"/>
      <c r="E2520" s="37"/>
      <c r="F2520" s="37"/>
      <c r="G2520" s="70"/>
    </row>
    <row r="2521" spans="2:7" x14ac:dyDescent="0.25">
      <c r="B2521" s="37"/>
      <c r="C2521" s="37"/>
      <c r="D2521" s="37"/>
      <c r="E2521" s="37"/>
      <c r="F2521" s="37"/>
      <c r="G2521" s="70"/>
    </row>
    <row r="2522" spans="2:7" x14ac:dyDescent="0.25">
      <c r="B2522" s="37"/>
      <c r="C2522" s="37"/>
      <c r="D2522" s="37"/>
      <c r="E2522" s="37"/>
      <c r="F2522" s="37"/>
      <c r="G2522" s="70"/>
    </row>
    <row r="2523" spans="2:7" x14ac:dyDescent="0.25">
      <c r="B2523" s="37"/>
      <c r="C2523" s="37"/>
      <c r="D2523" s="37"/>
      <c r="E2523" s="37"/>
      <c r="F2523" s="37"/>
      <c r="G2523" s="70"/>
    </row>
    <row r="2524" spans="2:7" x14ac:dyDescent="0.25">
      <c r="B2524" s="37"/>
      <c r="C2524" s="37"/>
      <c r="D2524" s="37"/>
      <c r="E2524" s="37"/>
      <c r="F2524" s="37"/>
      <c r="G2524" s="70"/>
    </row>
    <row r="2525" spans="2:7" x14ac:dyDescent="0.25">
      <c r="B2525" s="37"/>
      <c r="C2525" s="37"/>
      <c r="D2525" s="37"/>
      <c r="E2525" s="37"/>
      <c r="F2525" s="37"/>
      <c r="G2525" s="70"/>
    </row>
    <row r="2526" spans="2:7" x14ac:dyDescent="0.25">
      <c r="B2526" s="37"/>
      <c r="C2526" s="37"/>
      <c r="D2526" s="37"/>
      <c r="E2526" s="37"/>
      <c r="F2526" s="37"/>
      <c r="G2526" s="70"/>
    </row>
    <row r="2527" spans="2:7" x14ac:dyDescent="0.25">
      <c r="B2527" s="37"/>
      <c r="C2527" s="37"/>
      <c r="D2527" s="37"/>
      <c r="E2527" s="37"/>
      <c r="F2527" s="37"/>
      <c r="G2527" s="70"/>
    </row>
    <row r="2528" spans="2:7" x14ac:dyDescent="0.25">
      <c r="B2528" s="37"/>
      <c r="C2528" s="37"/>
      <c r="D2528" s="37"/>
      <c r="E2528" s="37"/>
      <c r="F2528" s="37"/>
      <c r="G2528" s="70"/>
    </row>
    <row r="2529" spans="2:7" x14ac:dyDescent="0.25">
      <c r="B2529" s="37"/>
      <c r="C2529" s="37"/>
      <c r="D2529" s="37"/>
      <c r="E2529" s="37"/>
      <c r="F2529" s="37"/>
      <c r="G2529" s="70"/>
    </row>
    <row r="2530" spans="2:7" x14ac:dyDescent="0.25">
      <c r="B2530" s="37"/>
      <c r="C2530" s="37"/>
      <c r="D2530" s="37"/>
      <c r="E2530" s="37"/>
      <c r="F2530" s="37"/>
      <c r="G2530" s="70"/>
    </row>
    <row r="2531" spans="2:7" x14ac:dyDescent="0.25">
      <c r="B2531" s="37"/>
      <c r="C2531" s="37"/>
      <c r="D2531" s="37"/>
      <c r="E2531" s="37"/>
      <c r="F2531" s="37"/>
      <c r="G2531" s="70"/>
    </row>
    <row r="2532" spans="2:7" x14ac:dyDescent="0.25">
      <c r="B2532" s="37"/>
      <c r="C2532" s="37"/>
      <c r="D2532" s="37"/>
      <c r="E2532" s="37"/>
      <c r="F2532" s="37"/>
      <c r="G2532" s="70"/>
    </row>
    <row r="2533" spans="2:7" x14ac:dyDescent="0.25">
      <c r="B2533" s="37"/>
      <c r="C2533" s="37"/>
      <c r="D2533" s="37"/>
      <c r="E2533" s="37"/>
      <c r="F2533" s="37"/>
      <c r="G2533" s="70"/>
    </row>
    <row r="2534" spans="2:7" x14ac:dyDescent="0.25">
      <c r="B2534" s="37"/>
      <c r="C2534" s="37"/>
      <c r="D2534" s="37"/>
      <c r="E2534" s="37"/>
      <c r="F2534" s="37"/>
      <c r="G2534" s="70"/>
    </row>
    <row r="2535" spans="2:7" x14ac:dyDescent="0.25">
      <c r="B2535" s="37"/>
      <c r="C2535" s="37"/>
      <c r="D2535" s="37"/>
      <c r="E2535" s="37"/>
      <c r="F2535" s="37"/>
      <c r="G2535" s="70"/>
    </row>
    <row r="2536" spans="2:7" x14ac:dyDescent="0.25">
      <c r="B2536" s="37"/>
      <c r="C2536" s="37"/>
      <c r="D2536" s="37"/>
      <c r="E2536" s="37"/>
      <c r="F2536" s="37"/>
      <c r="G2536" s="70"/>
    </row>
    <row r="2537" spans="2:7" x14ac:dyDescent="0.25">
      <c r="B2537" s="37"/>
      <c r="C2537" s="37"/>
      <c r="D2537" s="37"/>
      <c r="E2537" s="37"/>
      <c r="F2537" s="37"/>
      <c r="G2537" s="70"/>
    </row>
    <row r="2538" spans="2:7" x14ac:dyDescent="0.25">
      <c r="B2538" s="37"/>
      <c r="C2538" s="37"/>
      <c r="D2538" s="37"/>
      <c r="E2538" s="37"/>
      <c r="F2538" s="37"/>
      <c r="G2538" s="70"/>
    </row>
    <row r="2539" spans="2:7" x14ac:dyDescent="0.25">
      <c r="B2539" s="37"/>
      <c r="C2539" s="37"/>
      <c r="D2539" s="37"/>
      <c r="E2539" s="37"/>
      <c r="F2539" s="37"/>
      <c r="G2539" s="70"/>
    </row>
    <row r="2540" spans="2:7" x14ac:dyDescent="0.25">
      <c r="B2540" s="37"/>
      <c r="C2540" s="37"/>
      <c r="D2540" s="37"/>
      <c r="E2540" s="37"/>
      <c r="F2540" s="37"/>
      <c r="G2540" s="70"/>
    </row>
    <row r="2541" spans="2:7" x14ac:dyDescent="0.25">
      <c r="B2541" s="37"/>
      <c r="C2541" s="37"/>
      <c r="D2541" s="37"/>
      <c r="E2541" s="37"/>
      <c r="F2541" s="37"/>
      <c r="G2541" s="70"/>
    </row>
    <row r="2542" spans="2:7" x14ac:dyDescent="0.25">
      <c r="B2542" s="37"/>
      <c r="C2542" s="37"/>
      <c r="D2542" s="37"/>
      <c r="E2542" s="37"/>
      <c r="F2542" s="37"/>
      <c r="G2542" s="70"/>
    </row>
    <row r="2543" spans="2:7" x14ac:dyDescent="0.25">
      <c r="B2543" s="37"/>
      <c r="C2543" s="37"/>
      <c r="D2543" s="37"/>
      <c r="E2543" s="37"/>
      <c r="F2543" s="37"/>
      <c r="G2543" s="70"/>
    </row>
    <row r="2544" spans="2:7" x14ac:dyDescent="0.25">
      <c r="B2544" s="37"/>
      <c r="C2544" s="37"/>
      <c r="D2544" s="37"/>
      <c r="E2544" s="37"/>
      <c r="F2544" s="37"/>
      <c r="G2544" s="70"/>
    </row>
    <row r="2545" spans="2:7" x14ac:dyDescent="0.25">
      <c r="B2545" s="37"/>
      <c r="C2545" s="37"/>
      <c r="D2545" s="37"/>
      <c r="E2545" s="37"/>
      <c r="F2545" s="37"/>
      <c r="G2545" s="70"/>
    </row>
    <row r="2546" spans="2:7" x14ac:dyDescent="0.25">
      <c r="B2546" s="37"/>
      <c r="C2546" s="37"/>
      <c r="D2546" s="37"/>
      <c r="E2546" s="37"/>
      <c r="F2546" s="37"/>
      <c r="G2546" s="70"/>
    </row>
    <row r="2547" spans="2:7" x14ac:dyDescent="0.25">
      <c r="B2547" s="37"/>
      <c r="C2547" s="37"/>
      <c r="D2547" s="37"/>
      <c r="E2547" s="37"/>
      <c r="F2547" s="37"/>
      <c r="G2547" s="70"/>
    </row>
    <row r="2548" spans="2:7" x14ac:dyDescent="0.25">
      <c r="B2548" s="37"/>
      <c r="C2548" s="37"/>
      <c r="D2548" s="37"/>
      <c r="E2548" s="37"/>
      <c r="F2548" s="37"/>
      <c r="G2548" s="70"/>
    </row>
    <row r="2549" spans="2:7" x14ac:dyDescent="0.25">
      <c r="B2549" s="37"/>
      <c r="C2549" s="37"/>
      <c r="D2549" s="37"/>
      <c r="E2549" s="37"/>
      <c r="F2549" s="37"/>
      <c r="G2549" s="70"/>
    </row>
    <row r="2550" spans="2:7" x14ac:dyDescent="0.25">
      <c r="B2550" s="37"/>
      <c r="C2550" s="37"/>
      <c r="D2550" s="37"/>
      <c r="E2550" s="37"/>
      <c r="F2550" s="37"/>
      <c r="G2550" s="70"/>
    </row>
    <row r="2551" spans="2:7" x14ac:dyDescent="0.25">
      <c r="B2551" s="37"/>
      <c r="C2551" s="37"/>
      <c r="D2551" s="37"/>
      <c r="E2551" s="37"/>
      <c r="F2551" s="37"/>
      <c r="G2551" s="70"/>
    </row>
    <row r="2552" spans="2:7" x14ac:dyDescent="0.25">
      <c r="B2552" s="37"/>
      <c r="C2552" s="37"/>
      <c r="D2552" s="37"/>
      <c r="E2552" s="37"/>
      <c r="F2552" s="37"/>
      <c r="G2552" s="70"/>
    </row>
    <row r="2553" spans="2:7" x14ac:dyDescent="0.25">
      <c r="B2553" s="37"/>
      <c r="C2553" s="37"/>
      <c r="D2553" s="37"/>
      <c r="E2553" s="37"/>
      <c r="F2553" s="37"/>
      <c r="G2553" s="70"/>
    </row>
    <row r="2554" spans="2:7" x14ac:dyDescent="0.25">
      <c r="B2554" s="37"/>
      <c r="C2554" s="37"/>
      <c r="D2554" s="37"/>
      <c r="E2554" s="37"/>
      <c r="F2554" s="37"/>
      <c r="G2554" s="70"/>
    </row>
    <row r="2555" spans="2:7" x14ac:dyDescent="0.25">
      <c r="B2555" s="37"/>
      <c r="C2555" s="37"/>
      <c r="D2555" s="37"/>
      <c r="E2555" s="37"/>
      <c r="F2555" s="37"/>
      <c r="G2555" s="70"/>
    </row>
    <row r="2556" spans="2:7" x14ac:dyDescent="0.25">
      <c r="B2556" s="37"/>
      <c r="C2556" s="37"/>
      <c r="D2556" s="37"/>
      <c r="E2556" s="37"/>
      <c r="F2556" s="37"/>
      <c r="G2556" s="70"/>
    </row>
    <row r="2557" spans="2:7" x14ac:dyDescent="0.25">
      <c r="B2557" s="37"/>
      <c r="C2557" s="37"/>
      <c r="D2557" s="37"/>
      <c r="E2557" s="37"/>
      <c r="F2557" s="37"/>
      <c r="G2557" s="70"/>
    </row>
    <row r="2558" spans="2:7" x14ac:dyDescent="0.25">
      <c r="B2558" s="37"/>
      <c r="C2558" s="37"/>
      <c r="D2558" s="37"/>
      <c r="E2558" s="37"/>
      <c r="F2558" s="37"/>
      <c r="G2558" s="70"/>
    </row>
    <row r="2559" spans="2:7" x14ac:dyDescent="0.25">
      <c r="B2559" s="37"/>
      <c r="C2559" s="37"/>
      <c r="D2559" s="37"/>
      <c r="E2559" s="37"/>
      <c r="F2559" s="37"/>
      <c r="G2559" s="70"/>
    </row>
    <row r="2560" spans="2:7" x14ac:dyDescent="0.25">
      <c r="B2560" s="37"/>
      <c r="C2560" s="37"/>
      <c r="D2560" s="37"/>
      <c r="E2560" s="37"/>
      <c r="F2560" s="37"/>
      <c r="G2560" s="70"/>
    </row>
    <row r="2561" spans="2:7" x14ac:dyDescent="0.25">
      <c r="B2561" s="37"/>
      <c r="C2561" s="37"/>
      <c r="D2561" s="37"/>
      <c r="E2561" s="37"/>
      <c r="F2561" s="37"/>
      <c r="G2561" s="70"/>
    </row>
    <row r="2562" spans="2:7" x14ac:dyDescent="0.25">
      <c r="B2562" s="37"/>
      <c r="C2562" s="37"/>
      <c r="D2562" s="37"/>
      <c r="E2562" s="37"/>
      <c r="F2562" s="37"/>
      <c r="G2562" s="70"/>
    </row>
    <row r="2563" spans="2:7" x14ac:dyDescent="0.25">
      <c r="B2563" s="37"/>
      <c r="C2563" s="37"/>
      <c r="D2563" s="37"/>
      <c r="E2563" s="37"/>
      <c r="F2563" s="37"/>
      <c r="G2563" s="70"/>
    </row>
    <row r="2564" spans="2:7" x14ac:dyDescent="0.25">
      <c r="B2564" s="37"/>
      <c r="C2564" s="37"/>
      <c r="D2564" s="37"/>
      <c r="E2564" s="37"/>
      <c r="F2564" s="37"/>
      <c r="G2564" s="70"/>
    </row>
    <row r="2565" spans="2:7" x14ac:dyDescent="0.25">
      <c r="B2565" s="37"/>
      <c r="C2565" s="37"/>
      <c r="D2565" s="37"/>
      <c r="E2565" s="37"/>
      <c r="F2565" s="37"/>
      <c r="G2565" s="70"/>
    </row>
    <row r="2566" spans="2:7" x14ac:dyDescent="0.25">
      <c r="B2566" s="37"/>
      <c r="C2566" s="37"/>
      <c r="D2566" s="37"/>
      <c r="E2566" s="37"/>
      <c r="F2566" s="37"/>
      <c r="G2566" s="70"/>
    </row>
    <row r="2567" spans="2:7" x14ac:dyDescent="0.25">
      <c r="B2567" s="37"/>
      <c r="C2567" s="37"/>
      <c r="D2567" s="37"/>
      <c r="E2567" s="37"/>
      <c r="F2567" s="37"/>
      <c r="G2567" s="70"/>
    </row>
    <row r="2568" spans="2:7" x14ac:dyDescent="0.25">
      <c r="B2568" s="37"/>
      <c r="C2568" s="37"/>
      <c r="D2568" s="37"/>
      <c r="E2568" s="37"/>
      <c r="F2568" s="37"/>
      <c r="G2568" s="70"/>
    </row>
    <row r="2569" spans="2:7" x14ac:dyDescent="0.25">
      <c r="B2569" s="37"/>
      <c r="C2569" s="37"/>
      <c r="D2569" s="37"/>
      <c r="E2569" s="37"/>
      <c r="F2569" s="37"/>
      <c r="G2569" s="70"/>
    </row>
    <row r="2570" spans="2:7" x14ac:dyDescent="0.25">
      <c r="B2570" s="37"/>
      <c r="C2570" s="37"/>
      <c r="D2570" s="37"/>
      <c r="E2570" s="37"/>
      <c r="F2570" s="37"/>
      <c r="G2570" s="70"/>
    </row>
    <row r="2571" spans="2:7" x14ac:dyDescent="0.25">
      <c r="B2571" s="37"/>
      <c r="C2571" s="37"/>
      <c r="D2571" s="37"/>
      <c r="E2571" s="37"/>
      <c r="F2571" s="37"/>
      <c r="G2571" s="70"/>
    </row>
    <row r="2572" spans="2:7" x14ac:dyDescent="0.25">
      <c r="B2572" s="37"/>
      <c r="C2572" s="37"/>
      <c r="D2572" s="37"/>
      <c r="E2572" s="37"/>
      <c r="F2572" s="37"/>
      <c r="G2572" s="70"/>
    </row>
    <row r="2573" spans="2:7" x14ac:dyDescent="0.25">
      <c r="B2573" s="37"/>
      <c r="C2573" s="37"/>
      <c r="D2573" s="37"/>
      <c r="E2573" s="37"/>
      <c r="F2573" s="37"/>
      <c r="G2573" s="70"/>
    </row>
    <row r="2574" spans="2:7" x14ac:dyDescent="0.25">
      <c r="B2574" s="37"/>
      <c r="C2574" s="37"/>
      <c r="D2574" s="37"/>
      <c r="E2574" s="37"/>
      <c r="F2574" s="37"/>
      <c r="G2574" s="70"/>
    </row>
    <row r="2575" spans="2:7" x14ac:dyDescent="0.25">
      <c r="B2575" s="37"/>
      <c r="C2575" s="37"/>
      <c r="D2575" s="37"/>
      <c r="E2575" s="37"/>
      <c r="F2575" s="37"/>
      <c r="G2575" s="70"/>
    </row>
    <row r="2576" spans="2:7" x14ac:dyDescent="0.25">
      <c r="B2576" s="37"/>
      <c r="C2576" s="37"/>
      <c r="D2576" s="37"/>
      <c r="E2576" s="37"/>
      <c r="F2576" s="37"/>
      <c r="G2576" s="70"/>
    </row>
    <row r="2577" spans="2:7" x14ac:dyDescent="0.25">
      <c r="B2577" s="37"/>
      <c r="C2577" s="37"/>
      <c r="D2577" s="37"/>
      <c r="E2577" s="37"/>
      <c r="F2577" s="37"/>
      <c r="G2577" s="70"/>
    </row>
    <row r="2578" spans="2:7" x14ac:dyDescent="0.25">
      <c r="B2578" s="37"/>
      <c r="C2578" s="37"/>
      <c r="D2578" s="37"/>
      <c r="E2578" s="37"/>
      <c r="F2578" s="37"/>
      <c r="G2578" s="70"/>
    </row>
    <row r="2579" spans="2:7" x14ac:dyDescent="0.25">
      <c r="B2579" s="37"/>
      <c r="C2579" s="37"/>
      <c r="D2579" s="37"/>
      <c r="E2579" s="37"/>
      <c r="F2579" s="37"/>
      <c r="G2579" s="70"/>
    </row>
    <row r="2580" spans="2:7" x14ac:dyDescent="0.25">
      <c r="B2580" s="37"/>
      <c r="C2580" s="37"/>
      <c r="D2580" s="37"/>
      <c r="E2580" s="37"/>
      <c r="F2580" s="37"/>
      <c r="G2580" s="70"/>
    </row>
    <row r="2581" spans="2:7" x14ac:dyDescent="0.25">
      <c r="B2581" s="37"/>
      <c r="C2581" s="37"/>
      <c r="D2581" s="37"/>
      <c r="E2581" s="37"/>
      <c r="F2581" s="37"/>
      <c r="G2581" s="70"/>
    </row>
    <row r="2582" spans="2:7" x14ac:dyDescent="0.25">
      <c r="B2582" s="37"/>
      <c r="C2582" s="37"/>
      <c r="D2582" s="37"/>
      <c r="E2582" s="37"/>
      <c r="F2582" s="37"/>
      <c r="G2582" s="70"/>
    </row>
    <row r="2583" spans="2:7" x14ac:dyDescent="0.25">
      <c r="B2583" s="37"/>
      <c r="C2583" s="37"/>
      <c r="D2583" s="37"/>
      <c r="E2583" s="37"/>
      <c r="F2583" s="37"/>
      <c r="G2583" s="70"/>
    </row>
    <row r="2584" spans="2:7" x14ac:dyDescent="0.25">
      <c r="B2584" s="37"/>
      <c r="C2584" s="37"/>
      <c r="D2584" s="37"/>
      <c r="E2584" s="37"/>
      <c r="F2584" s="37"/>
      <c r="G2584" s="70"/>
    </row>
    <row r="2585" spans="2:7" x14ac:dyDescent="0.25">
      <c r="B2585" s="37"/>
      <c r="C2585" s="37"/>
      <c r="D2585" s="37"/>
      <c r="E2585" s="37"/>
      <c r="F2585" s="37"/>
      <c r="G2585" s="70"/>
    </row>
    <row r="2586" spans="2:7" x14ac:dyDescent="0.25">
      <c r="B2586" s="37"/>
      <c r="C2586" s="37"/>
      <c r="D2586" s="37"/>
      <c r="E2586" s="37"/>
      <c r="F2586" s="37"/>
      <c r="G2586" s="70"/>
    </row>
    <row r="2587" spans="2:7" x14ac:dyDescent="0.25">
      <c r="B2587" s="37"/>
      <c r="C2587" s="37"/>
      <c r="D2587" s="37"/>
      <c r="E2587" s="37"/>
      <c r="F2587" s="37"/>
      <c r="G2587" s="70"/>
    </row>
    <row r="2588" spans="2:7" x14ac:dyDescent="0.25">
      <c r="B2588" s="37"/>
      <c r="C2588" s="37"/>
      <c r="D2588" s="37"/>
      <c r="E2588" s="37"/>
      <c r="F2588" s="37"/>
      <c r="G2588" s="70"/>
    </row>
    <row r="2589" spans="2:7" x14ac:dyDescent="0.25">
      <c r="B2589" s="37"/>
      <c r="C2589" s="37"/>
      <c r="D2589" s="37"/>
      <c r="E2589" s="37"/>
      <c r="F2589" s="37"/>
      <c r="G2589" s="70"/>
    </row>
    <row r="2590" spans="2:7" x14ac:dyDescent="0.25">
      <c r="B2590" s="37"/>
      <c r="C2590" s="37"/>
      <c r="D2590" s="37"/>
      <c r="E2590" s="37"/>
      <c r="F2590" s="37"/>
      <c r="G2590" s="70"/>
    </row>
    <row r="2591" spans="2:7" x14ac:dyDescent="0.25">
      <c r="B2591" s="37"/>
      <c r="C2591" s="37"/>
      <c r="D2591" s="37"/>
      <c r="E2591" s="37"/>
      <c r="F2591" s="37"/>
      <c r="G2591" s="70"/>
    </row>
    <row r="2592" spans="2:7" x14ac:dyDescent="0.25">
      <c r="B2592" s="37"/>
      <c r="C2592" s="37"/>
      <c r="D2592" s="37"/>
      <c r="E2592" s="37"/>
      <c r="F2592" s="37"/>
      <c r="G2592" s="70"/>
    </row>
    <row r="2593" spans="2:7" x14ac:dyDescent="0.25">
      <c r="B2593" s="37"/>
      <c r="C2593" s="37"/>
      <c r="D2593" s="37"/>
      <c r="E2593" s="37"/>
      <c r="F2593" s="37"/>
      <c r="G2593" s="70"/>
    </row>
    <row r="2594" spans="2:7" x14ac:dyDescent="0.25">
      <c r="B2594" s="37"/>
      <c r="C2594" s="37"/>
      <c r="D2594" s="37"/>
      <c r="E2594" s="37"/>
      <c r="F2594" s="37"/>
      <c r="G2594" s="70"/>
    </row>
    <row r="2595" spans="2:7" x14ac:dyDescent="0.25">
      <c r="B2595" s="37"/>
      <c r="C2595" s="37"/>
      <c r="D2595" s="37"/>
      <c r="E2595" s="37"/>
      <c r="F2595" s="37"/>
      <c r="G2595" s="70"/>
    </row>
    <row r="2596" spans="2:7" x14ac:dyDescent="0.25">
      <c r="B2596" s="37"/>
      <c r="C2596" s="37"/>
      <c r="D2596" s="37"/>
      <c r="E2596" s="37"/>
      <c r="F2596" s="37"/>
      <c r="G2596" s="70"/>
    </row>
    <row r="2597" spans="2:7" x14ac:dyDescent="0.25">
      <c r="B2597" s="37"/>
      <c r="C2597" s="37"/>
      <c r="D2597" s="37"/>
      <c r="E2597" s="37"/>
      <c r="F2597" s="37"/>
      <c r="G2597" s="70"/>
    </row>
    <row r="2598" spans="2:7" x14ac:dyDescent="0.25">
      <c r="B2598" s="37"/>
      <c r="C2598" s="37"/>
      <c r="D2598" s="37"/>
      <c r="E2598" s="37"/>
      <c r="F2598" s="37"/>
      <c r="G2598" s="70"/>
    </row>
    <row r="2599" spans="2:7" x14ac:dyDescent="0.25">
      <c r="B2599" s="37"/>
      <c r="C2599" s="37"/>
      <c r="D2599" s="37"/>
      <c r="E2599" s="37"/>
      <c r="F2599" s="37"/>
      <c r="G2599" s="70"/>
    </row>
    <row r="2600" spans="2:7" x14ac:dyDescent="0.25">
      <c r="B2600" s="37"/>
      <c r="C2600" s="37"/>
      <c r="D2600" s="37"/>
      <c r="E2600" s="37"/>
      <c r="F2600" s="37"/>
      <c r="G2600" s="70"/>
    </row>
    <row r="2601" spans="2:7" x14ac:dyDescent="0.25">
      <c r="B2601" s="37"/>
      <c r="C2601" s="37"/>
      <c r="D2601" s="37"/>
      <c r="E2601" s="37"/>
      <c r="F2601" s="37"/>
      <c r="G2601" s="70"/>
    </row>
    <row r="2602" spans="2:7" x14ac:dyDescent="0.25">
      <c r="B2602" s="37"/>
      <c r="C2602" s="37"/>
      <c r="D2602" s="37"/>
      <c r="E2602" s="37"/>
      <c r="F2602" s="37"/>
      <c r="G2602" s="70"/>
    </row>
    <row r="2603" spans="2:7" x14ac:dyDescent="0.25">
      <c r="B2603" s="37"/>
      <c r="C2603" s="37"/>
      <c r="D2603" s="37"/>
      <c r="E2603" s="37"/>
      <c r="F2603" s="37"/>
      <c r="G2603" s="70"/>
    </row>
    <row r="2604" spans="2:7" x14ac:dyDescent="0.25">
      <c r="B2604" s="37"/>
      <c r="C2604" s="37"/>
      <c r="D2604" s="37"/>
      <c r="E2604" s="37"/>
      <c r="F2604" s="37"/>
      <c r="G2604" s="70"/>
    </row>
    <row r="2605" spans="2:7" x14ac:dyDescent="0.25">
      <c r="B2605" s="37"/>
      <c r="C2605" s="37"/>
      <c r="D2605" s="37"/>
      <c r="E2605" s="37"/>
      <c r="F2605" s="37"/>
      <c r="G2605" s="70"/>
    </row>
    <row r="2606" spans="2:7" x14ac:dyDescent="0.25">
      <c r="B2606" s="37"/>
      <c r="C2606" s="37"/>
      <c r="D2606" s="37"/>
      <c r="E2606" s="37"/>
      <c r="F2606" s="37"/>
      <c r="G2606" s="70"/>
    </row>
    <row r="2607" spans="2:7" x14ac:dyDescent="0.25">
      <c r="B2607" s="37"/>
      <c r="C2607" s="37"/>
      <c r="D2607" s="37"/>
      <c r="E2607" s="37"/>
      <c r="F2607" s="37"/>
      <c r="G2607" s="70"/>
    </row>
    <row r="2608" spans="2:7" x14ac:dyDescent="0.25">
      <c r="B2608" s="37"/>
      <c r="C2608" s="37"/>
      <c r="D2608" s="37"/>
      <c r="E2608" s="37"/>
      <c r="F2608" s="37"/>
      <c r="G2608" s="70"/>
    </row>
    <row r="2609" spans="2:7" x14ac:dyDescent="0.25">
      <c r="B2609" s="37"/>
      <c r="C2609" s="37"/>
      <c r="D2609" s="37"/>
      <c r="E2609" s="37"/>
      <c r="F2609" s="37"/>
      <c r="G2609" s="70"/>
    </row>
    <row r="2610" spans="2:7" x14ac:dyDescent="0.25">
      <c r="B2610" s="37"/>
      <c r="C2610" s="37"/>
      <c r="D2610" s="37"/>
      <c r="E2610" s="37"/>
      <c r="F2610" s="37"/>
      <c r="G2610" s="70"/>
    </row>
    <row r="2611" spans="2:7" x14ac:dyDescent="0.25">
      <c r="B2611" s="37"/>
      <c r="C2611" s="37"/>
      <c r="D2611" s="37"/>
      <c r="E2611" s="37"/>
      <c r="F2611" s="37"/>
      <c r="G2611" s="70"/>
    </row>
    <row r="2612" spans="2:7" x14ac:dyDescent="0.25">
      <c r="B2612" s="37"/>
      <c r="C2612" s="37"/>
      <c r="D2612" s="37"/>
      <c r="E2612" s="37"/>
      <c r="F2612" s="37"/>
      <c r="G2612" s="70"/>
    </row>
    <row r="2613" spans="2:7" x14ac:dyDescent="0.25">
      <c r="B2613" s="37"/>
      <c r="C2613" s="37"/>
      <c r="D2613" s="37"/>
      <c r="E2613" s="37"/>
      <c r="F2613" s="37"/>
      <c r="G2613" s="70"/>
    </row>
    <row r="2614" spans="2:7" x14ac:dyDescent="0.25">
      <c r="B2614" s="37"/>
      <c r="C2614" s="37"/>
      <c r="D2614" s="37"/>
      <c r="E2614" s="37"/>
      <c r="F2614" s="37"/>
      <c r="G2614" s="70"/>
    </row>
    <row r="2615" spans="2:7" x14ac:dyDescent="0.25">
      <c r="B2615" s="37"/>
      <c r="C2615" s="37"/>
      <c r="D2615" s="37"/>
      <c r="E2615" s="37"/>
      <c r="F2615" s="37"/>
      <c r="G2615" s="70"/>
    </row>
    <row r="2616" spans="2:7" x14ac:dyDescent="0.25">
      <c r="B2616" s="37"/>
      <c r="C2616" s="37"/>
      <c r="D2616" s="37"/>
      <c r="E2616" s="37"/>
      <c r="F2616" s="37"/>
      <c r="G2616" s="70"/>
    </row>
    <row r="2617" spans="2:7" x14ac:dyDescent="0.25">
      <c r="B2617" s="37"/>
      <c r="C2617" s="37"/>
      <c r="D2617" s="37"/>
      <c r="E2617" s="37"/>
      <c r="F2617" s="37"/>
      <c r="G2617" s="70"/>
    </row>
    <row r="2618" spans="2:7" x14ac:dyDescent="0.25">
      <c r="B2618" s="37"/>
      <c r="C2618" s="37"/>
      <c r="D2618" s="37"/>
      <c r="E2618" s="37"/>
      <c r="F2618" s="37"/>
      <c r="G2618" s="70"/>
    </row>
    <row r="2619" spans="2:7" x14ac:dyDescent="0.25">
      <c r="B2619" s="37"/>
      <c r="C2619" s="37"/>
      <c r="D2619" s="37"/>
      <c r="E2619" s="37"/>
      <c r="F2619" s="37"/>
      <c r="G2619" s="70"/>
    </row>
    <row r="2620" spans="2:7" x14ac:dyDescent="0.25">
      <c r="B2620" s="37"/>
      <c r="C2620" s="37"/>
      <c r="D2620" s="37"/>
      <c r="E2620" s="37"/>
      <c r="F2620" s="37"/>
      <c r="G2620" s="70"/>
    </row>
    <row r="2621" spans="2:7" x14ac:dyDescent="0.25">
      <c r="B2621" s="37"/>
      <c r="C2621" s="37"/>
      <c r="D2621" s="37"/>
      <c r="E2621" s="37"/>
      <c r="F2621" s="37"/>
      <c r="G2621" s="70"/>
    </row>
    <row r="2622" spans="2:7" x14ac:dyDescent="0.25">
      <c r="B2622" s="37"/>
      <c r="C2622" s="37"/>
      <c r="D2622" s="37"/>
      <c r="E2622" s="37"/>
      <c r="F2622" s="37"/>
      <c r="G2622" s="70"/>
    </row>
    <row r="2623" spans="2:7" x14ac:dyDescent="0.25">
      <c r="B2623" s="37"/>
      <c r="C2623" s="37"/>
      <c r="D2623" s="37"/>
      <c r="E2623" s="37"/>
      <c r="F2623" s="37"/>
      <c r="G2623" s="70"/>
    </row>
    <row r="2624" spans="2:7" x14ac:dyDescent="0.25">
      <c r="B2624" s="37"/>
      <c r="C2624" s="37"/>
      <c r="D2624" s="37"/>
      <c r="E2624" s="37"/>
      <c r="F2624" s="37"/>
      <c r="G2624" s="70"/>
    </row>
    <row r="2625" spans="2:7" x14ac:dyDescent="0.25">
      <c r="B2625" s="37"/>
      <c r="C2625" s="37"/>
      <c r="D2625" s="37"/>
      <c r="E2625" s="37"/>
      <c r="F2625" s="37"/>
      <c r="G2625" s="70"/>
    </row>
    <row r="2626" spans="2:7" x14ac:dyDescent="0.25">
      <c r="B2626" s="37"/>
      <c r="C2626" s="37"/>
      <c r="D2626" s="37"/>
      <c r="E2626" s="37"/>
      <c r="F2626" s="37"/>
      <c r="G2626" s="70"/>
    </row>
    <row r="2627" spans="2:7" x14ac:dyDescent="0.25">
      <c r="B2627" s="37"/>
      <c r="C2627" s="37"/>
      <c r="D2627" s="37"/>
      <c r="E2627" s="37"/>
      <c r="F2627" s="37"/>
      <c r="G2627" s="70"/>
    </row>
    <row r="2628" spans="2:7" x14ac:dyDescent="0.25">
      <c r="B2628" s="37"/>
      <c r="C2628" s="37"/>
      <c r="D2628" s="37"/>
      <c r="E2628" s="37"/>
      <c r="F2628" s="37"/>
      <c r="G2628" s="70"/>
    </row>
    <row r="2629" spans="2:7" x14ac:dyDescent="0.25">
      <c r="B2629" s="37"/>
      <c r="C2629" s="37"/>
      <c r="D2629" s="37"/>
      <c r="E2629" s="37"/>
      <c r="F2629" s="37"/>
      <c r="G2629" s="70"/>
    </row>
    <row r="2630" spans="2:7" x14ac:dyDescent="0.25">
      <c r="B2630" s="37"/>
      <c r="C2630" s="37"/>
      <c r="D2630" s="37"/>
      <c r="E2630" s="37"/>
      <c r="F2630" s="37"/>
      <c r="G2630" s="70"/>
    </row>
    <row r="2631" spans="2:7" x14ac:dyDescent="0.25">
      <c r="B2631" s="37"/>
      <c r="C2631" s="37"/>
      <c r="D2631" s="37"/>
      <c r="E2631" s="37"/>
      <c r="F2631" s="37"/>
      <c r="G2631" s="70"/>
    </row>
    <row r="2632" spans="2:7" x14ac:dyDescent="0.25">
      <c r="B2632" s="37"/>
      <c r="C2632" s="37"/>
      <c r="D2632" s="37"/>
      <c r="E2632" s="37"/>
      <c r="F2632" s="37"/>
      <c r="G2632" s="70"/>
    </row>
    <row r="2633" spans="2:7" x14ac:dyDescent="0.25">
      <c r="B2633" s="37"/>
      <c r="C2633" s="37"/>
      <c r="D2633" s="37"/>
      <c r="E2633" s="37"/>
      <c r="F2633" s="37"/>
      <c r="G2633" s="70"/>
    </row>
    <row r="2634" spans="2:7" x14ac:dyDescent="0.25">
      <c r="B2634" s="37"/>
      <c r="C2634" s="37"/>
      <c r="D2634" s="37"/>
      <c r="E2634" s="37"/>
      <c r="F2634" s="37"/>
      <c r="G2634" s="70"/>
    </row>
    <row r="2635" spans="2:7" x14ac:dyDescent="0.25">
      <c r="B2635" s="37"/>
      <c r="C2635" s="37"/>
      <c r="D2635" s="37"/>
      <c r="E2635" s="37"/>
      <c r="F2635" s="37"/>
      <c r="G2635" s="70"/>
    </row>
    <row r="2636" spans="2:7" x14ac:dyDescent="0.25">
      <c r="B2636" s="37"/>
      <c r="C2636" s="37"/>
      <c r="D2636" s="37"/>
      <c r="E2636" s="37"/>
      <c r="F2636" s="37"/>
      <c r="G2636" s="70"/>
    </row>
    <row r="2637" spans="2:7" x14ac:dyDescent="0.25">
      <c r="B2637" s="37"/>
      <c r="C2637" s="37"/>
      <c r="D2637" s="37"/>
      <c r="E2637" s="37"/>
      <c r="F2637" s="37"/>
      <c r="G2637" s="70"/>
    </row>
    <row r="2638" spans="2:7" x14ac:dyDescent="0.25">
      <c r="B2638" s="37"/>
      <c r="C2638" s="37"/>
      <c r="D2638" s="37"/>
      <c r="E2638" s="37"/>
      <c r="F2638" s="37"/>
      <c r="G2638" s="70"/>
    </row>
    <row r="2639" spans="2:7" x14ac:dyDescent="0.25">
      <c r="B2639" s="37"/>
      <c r="C2639" s="37"/>
      <c r="D2639" s="37"/>
      <c r="E2639" s="37"/>
      <c r="F2639" s="37"/>
      <c r="G2639" s="70"/>
    </row>
    <row r="2640" spans="2:7" x14ac:dyDescent="0.25">
      <c r="B2640" s="37"/>
      <c r="C2640" s="37"/>
      <c r="D2640" s="37"/>
      <c r="E2640" s="37"/>
      <c r="F2640" s="37"/>
      <c r="G2640" s="70"/>
    </row>
    <row r="2641" spans="2:7" x14ac:dyDescent="0.25">
      <c r="B2641" s="37"/>
      <c r="C2641" s="37"/>
      <c r="D2641" s="37"/>
      <c r="E2641" s="37"/>
      <c r="F2641" s="37"/>
      <c r="G2641" s="70"/>
    </row>
    <row r="2642" spans="2:7" x14ac:dyDescent="0.25">
      <c r="B2642" s="37"/>
      <c r="C2642" s="37"/>
      <c r="D2642" s="37"/>
      <c r="E2642" s="37"/>
      <c r="F2642" s="37"/>
      <c r="G2642" s="70"/>
    </row>
    <row r="2643" spans="2:7" x14ac:dyDescent="0.25">
      <c r="B2643" s="37"/>
      <c r="C2643" s="37"/>
      <c r="D2643" s="37"/>
      <c r="E2643" s="37"/>
      <c r="F2643" s="37"/>
      <c r="G2643" s="70"/>
    </row>
    <row r="2644" spans="2:7" x14ac:dyDescent="0.25">
      <c r="B2644" s="37"/>
      <c r="C2644" s="37"/>
      <c r="D2644" s="37"/>
      <c r="E2644" s="37"/>
      <c r="F2644" s="37"/>
      <c r="G2644" s="70"/>
    </row>
    <row r="2645" spans="2:7" x14ac:dyDescent="0.25">
      <c r="B2645" s="37"/>
      <c r="C2645" s="37"/>
      <c r="D2645" s="37"/>
      <c r="E2645" s="37"/>
      <c r="F2645" s="37"/>
      <c r="G2645" s="70"/>
    </row>
    <row r="2646" spans="2:7" x14ac:dyDescent="0.25">
      <c r="B2646" s="37"/>
      <c r="C2646" s="37"/>
      <c r="D2646" s="37"/>
      <c r="E2646" s="37"/>
      <c r="F2646" s="37"/>
      <c r="G2646" s="70"/>
    </row>
    <row r="2647" spans="2:7" x14ac:dyDescent="0.25">
      <c r="B2647" s="37"/>
      <c r="C2647" s="37"/>
      <c r="D2647" s="37"/>
      <c r="E2647" s="37"/>
      <c r="F2647" s="37"/>
      <c r="G2647" s="70"/>
    </row>
    <row r="2648" spans="2:7" x14ac:dyDescent="0.25">
      <c r="B2648" s="37"/>
      <c r="C2648" s="37"/>
      <c r="D2648" s="37"/>
      <c r="E2648" s="37"/>
      <c r="F2648" s="37"/>
      <c r="G2648" s="70"/>
    </row>
    <row r="2649" spans="2:7" x14ac:dyDescent="0.25">
      <c r="B2649" s="37"/>
      <c r="C2649" s="37"/>
      <c r="D2649" s="37"/>
      <c r="E2649" s="37"/>
      <c r="F2649" s="37"/>
      <c r="G2649" s="70"/>
    </row>
    <row r="2650" spans="2:7" x14ac:dyDescent="0.25">
      <c r="B2650" s="37"/>
      <c r="C2650" s="37"/>
      <c r="D2650" s="37"/>
      <c r="E2650" s="37"/>
      <c r="F2650" s="37"/>
      <c r="G2650" s="70"/>
    </row>
    <row r="2651" spans="2:7" x14ac:dyDescent="0.25">
      <c r="B2651" s="37"/>
      <c r="C2651" s="37"/>
      <c r="D2651" s="37"/>
      <c r="E2651" s="37"/>
      <c r="F2651" s="37"/>
      <c r="G2651" s="70"/>
    </row>
    <row r="2652" spans="2:7" x14ac:dyDescent="0.25">
      <c r="B2652" s="37"/>
      <c r="C2652" s="37"/>
      <c r="D2652" s="37"/>
      <c r="E2652" s="37"/>
      <c r="F2652" s="37"/>
      <c r="G2652" s="70"/>
    </row>
    <row r="2653" spans="2:7" x14ac:dyDescent="0.25">
      <c r="B2653" s="37"/>
      <c r="C2653" s="37"/>
      <c r="D2653" s="37"/>
      <c r="E2653" s="37"/>
      <c r="F2653" s="37"/>
      <c r="G2653" s="70"/>
    </row>
    <row r="2654" spans="2:7" x14ac:dyDescent="0.25">
      <c r="B2654" s="37"/>
      <c r="C2654" s="37"/>
      <c r="D2654" s="37"/>
      <c r="E2654" s="37"/>
      <c r="F2654" s="37"/>
      <c r="G2654" s="70"/>
    </row>
    <row r="2655" spans="2:7" x14ac:dyDescent="0.25">
      <c r="B2655" s="37"/>
      <c r="C2655" s="37"/>
      <c r="D2655" s="37"/>
      <c r="E2655" s="37"/>
      <c r="F2655" s="37"/>
      <c r="G2655" s="70"/>
    </row>
    <row r="2656" spans="2:7" x14ac:dyDescent="0.25">
      <c r="B2656" s="37"/>
      <c r="C2656" s="37"/>
      <c r="D2656" s="37"/>
      <c r="E2656" s="37"/>
      <c r="F2656" s="37"/>
      <c r="G2656" s="70"/>
    </row>
    <row r="2657" spans="2:7" x14ac:dyDescent="0.25">
      <c r="B2657" s="37"/>
      <c r="C2657" s="37"/>
      <c r="D2657" s="37"/>
      <c r="E2657" s="37"/>
      <c r="F2657" s="37"/>
      <c r="G2657" s="70"/>
    </row>
    <row r="2658" spans="2:7" x14ac:dyDescent="0.25">
      <c r="B2658" s="37"/>
      <c r="C2658" s="37"/>
      <c r="D2658" s="37"/>
      <c r="E2658" s="37"/>
      <c r="F2658" s="37"/>
      <c r="G2658" s="70"/>
    </row>
    <row r="2659" spans="2:7" x14ac:dyDescent="0.25">
      <c r="B2659" s="37"/>
      <c r="C2659" s="37"/>
      <c r="D2659" s="37"/>
      <c r="E2659" s="37"/>
      <c r="F2659" s="37"/>
      <c r="G2659" s="70"/>
    </row>
    <row r="2660" spans="2:7" x14ac:dyDescent="0.25">
      <c r="B2660" s="37"/>
      <c r="C2660" s="37"/>
      <c r="D2660" s="37"/>
      <c r="E2660" s="37"/>
      <c r="F2660" s="37"/>
      <c r="G2660" s="70"/>
    </row>
    <row r="2661" spans="2:7" x14ac:dyDescent="0.25">
      <c r="B2661" s="37"/>
      <c r="C2661" s="37"/>
      <c r="D2661" s="37"/>
      <c r="E2661" s="37"/>
      <c r="F2661" s="37"/>
      <c r="G2661" s="70"/>
    </row>
    <row r="2662" spans="2:7" x14ac:dyDescent="0.25">
      <c r="B2662" s="37"/>
      <c r="C2662" s="37"/>
      <c r="D2662" s="37"/>
      <c r="E2662" s="37"/>
      <c r="F2662" s="37"/>
      <c r="G2662" s="70"/>
    </row>
    <row r="2663" spans="2:7" x14ac:dyDescent="0.25">
      <c r="B2663" s="37"/>
      <c r="C2663" s="37"/>
      <c r="D2663" s="37"/>
      <c r="E2663" s="37"/>
      <c r="F2663" s="37"/>
      <c r="G2663" s="70"/>
    </row>
    <row r="2664" spans="2:7" x14ac:dyDescent="0.25">
      <c r="B2664" s="37"/>
      <c r="C2664" s="37"/>
      <c r="D2664" s="37"/>
      <c r="E2664" s="37"/>
      <c r="F2664" s="37"/>
      <c r="G2664" s="70"/>
    </row>
    <row r="2665" spans="2:7" x14ac:dyDescent="0.25">
      <c r="B2665" s="37"/>
      <c r="C2665" s="37"/>
      <c r="D2665" s="37"/>
      <c r="E2665" s="37"/>
      <c r="F2665" s="37"/>
      <c r="G2665" s="70"/>
    </row>
    <row r="2666" spans="2:7" x14ac:dyDescent="0.25">
      <c r="B2666" s="37"/>
      <c r="C2666" s="37"/>
      <c r="D2666" s="37"/>
      <c r="E2666" s="37"/>
      <c r="F2666" s="37"/>
      <c r="G2666" s="70"/>
    </row>
    <row r="2667" spans="2:7" x14ac:dyDescent="0.25">
      <c r="B2667" s="37"/>
      <c r="C2667" s="37"/>
      <c r="D2667" s="37"/>
      <c r="E2667" s="37"/>
      <c r="F2667" s="37"/>
      <c r="G2667" s="70"/>
    </row>
    <row r="2668" spans="2:7" x14ac:dyDescent="0.25">
      <c r="B2668" s="37"/>
      <c r="C2668" s="37"/>
      <c r="D2668" s="37"/>
      <c r="E2668" s="37"/>
      <c r="F2668" s="37"/>
      <c r="G2668" s="70"/>
    </row>
    <row r="2669" spans="2:7" x14ac:dyDescent="0.25">
      <c r="B2669" s="37"/>
      <c r="C2669" s="37"/>
      <c r="D2669" s="37"/>
      <c r="E2669" s="37"/>
      <c r="F2669" s="37"/>
      <c r="G2669" s="70"/>
    </row>
    <row r="2670" spans="2:7" x14ac:dyDescent="0.25">
      <c r="B2670" s="37"/>
      <c r="C2670" s="37"/>
      <c r="D2670" s="37"/>
      <c r="E2670" s="37"/>
      <c r="F2670" s="37"/>
      <c r="G2670" s="70"/>
    </row>
    <row r="2671" spans="2:7" x14ac:dyDescent="0.25">
      <c r="B2671" s="37"/>
      <c r="C2671" s="37"/>
      <c r="D2671" s="37"/>
      <c r="E2671" s="37"/>
      <c r="F2671" s="37"/>
      <c r="G2671" s="70"/>
    </row>
    <row r="2672" spans="2:7" x14ac:dyDescent="0.25">
      <c r="B2672" s="37"/>
      <c r="C2672" s="37"/>
      <c r="D2672" s="37"/>
      <c r="E2672" s="37"/>
      <c r="F2672" s="37"/>
      <c r="G2672" s="70"/>
    </row>
    <row r="2673" spans="2:7" x14ac:dyDescent="0.25">
      <c r="B2673" s="37"/>
      <c r="C2673" s="37"/>
      <c r="D2673" s="37"/>
      <c r="E2673" s="37"/>
      <c r="F2673" s="37"/>
      <c r="G2673" s="70"/>
    </row>
    <row r="2674" spans="2:7" x14ac:dyDescent="0.25">
      <c r="B2674" s="37"/>
      <c r="C2674" s="37"/>
      <c r="D2674" s="37"/>
      <c r="E2674" s="37"/>
      <c r="F2674" s="37"/>
      <c r="G2674" s="70"/>
    </row>
    <row r="2675" spans="2:7" x14ac:dyDescent="0.25">
      <c r="B2675" s="37"/>
      <c r="C2675" s="37"/>
      <c r="D2675" s="37"/>
      <c r="E2675" s="37"/>
      <c r="F2675" s="37"/>
      <c r="G2675" s="70"/>
    </row>
    <row r="2676" spans="2:7" x14ac:dyDescent="0.25">
      <c r="B2676" s="37"/>
      <c r="C2676" s="37"/>
      <c r="D2676" s="37"/>
      <c r="E2676" s="37"/>
      <c r="F2676" s="37"/>
      <c r="G2676" s="70"/>
    </row>
    <row r="2677" spans="2:7" x14ac:dyDescent="0.25">
      <c r="B2677" s="37"/>
      <c r="C2677" s="37"/>
      <c r="D2677" s="37"/>
      <c r="E2677" s="37"/>
      <c r="F2677" s="37"/>
      <c r="G2677" s="70"/>
    </row>
    <row r="2678" spans="2:7" x14ac:dyDescent="0.25">
      <c r="B2678" s="37"/>
      <c r="C2678" s="37"/>
      <c r="D2678" s="37"/>
      <c r="E2678" s="37"/>
      <c r="F2678" s="37"/>
      <c r="G2678" s="70"/>
    </row>
    <row r="2679" spans="2:7" x14ac:dyDescent="0.25">
      <c r="B2679" s="37"/>
      <c r="C2679" s="37"/>
      <c r="D2679" s="37"/>
      <c r="E2679" s="37"/>
      <c r="F2679" s="37"/>
      <c r="G2679" s="70"/>
    </row>
    <row r="2680" spans="2:7" x14ac:dyDescent="0.25">
      <c r="B2680" s="37"/>
      <c r="C2680" s="37"/>
      <c r="D2680" s="37"/>
      <c r="E2680" s="37"/>
      <c r="F2680" s="37"/>
      <c r="G2680" s="70"/>
    </row>
    <row r="2681" spans="2:7" x14ac:dyDescent="0.25">
      <c r="B2681" s="37"/>
      <c r="C2681" s="37"/>
      <c r="D2681" s="37"/>
      <c r="E2681" s="37"/>
      <c r="F2681" s="37"/>
      <c r="G2681" s="70"/>
    </row>
    <row r="2682" spans="2:7" x14ac:dyDescent="0.25">
      <c r="B2682" s="37"/>
      <c r="C2682" s="37"/>
      <c r="D2682" s="37"/>
      <c r="E2682" s="37"/>
      <c r="F2682" s="37"/>
      <c r="G2682" s="70"/>
    </row>
    <row r="2683" spans="2:7" x14ac:dyDescent="0.25">
      <c r="B2683" s="37"/>
      <c r="C2683" s="37"/>
      <c r="D2683" s="37"/>
      <c r="E2683" s="37"/>
      <c r="F2683" s="37"/>
      <c r="G2683" s="70"/>
    </row>
    <row r="2684" spans="2:7" x14ac:dyDescent="0.25">
      <c r="B2684" s="37"/>
      <c r="C2684" s="37"/>
      <c r="D2684" s="37"/>
      <c r="E2684" s="37"/>
      <c r="F2684" s="37"/>
      <c r="G2684" s="70"/>
    </row>
    <row r="2685" spans="2:7" x14ac:dyDescent="0.25">
      <c r="B2685" s="37"/>
      <c r="C2685" s="37"/>
      <c r="D2685" s="37"/>
      <c r="E2685" s="37"/>
      <c r="F2685" s="37"/>
      <c r="G2685" s="70"/>
    </row>
    <row r="2686" spans="2:7" x14ac:dyDescent="0.25">
      <c r="B2686" s="37"/>
      <c r="C2686" s="37"/>
      <c r="D2686" s="37"/>
      <c r="E2686" s="37"/>
      <c r="F2686" s="37"/>
      <c r="G2686" s="70"/>
    </row>
    <row r="2687" spans="2:7" x14ac:dyDescent="0.25">
      <c r="B2687" s="37"/>
      <c r="C2687" s="37"/>
      <c r="D2687" s="37"/>
      <c r="E2687" s="37"/>
      <c r="F2687" s="37"/>
      <c r="G2687" s="70"/>
    </row>
    <row r="2688" spans="2:7" x14ac:dyDescent="0.25">
      <c r="B2688" s="37"/>
      <c r="C2688" s="37"/>
      <c r="D2688" s="37"/>
      <c r="E2688" s="37"/>
      <c r="F2688" s="37"/>
      <c r="G2688" s="70"/>
    </row>
    <row r="2689" spans="2:7" x14ac:dyDescent="0.25">
      <c r="B2689" s="37"/>
      <c r="C2689" s="37"/>
      <c r="D2689" s="37"/>
      <c r="E2689" s="37"/>
      <c r="F2689" s="37"/>
      <c r="G2689" s="70"/>
    </row>
    <row r="2690" spans="2:7" x14ac:dyDescent="0.25">
      <c r="B2690" s="37"/>
      <c r="C2690" s="37"/>
      <c r="D2690" s="37"/>
      <c r="E2690" s="37"/>
      <c r="F2690" s="37"/>
      <c r="G2690" s="70"/>
    </row>
    <row r="2691" spans="2:7" x14ac:dyDescent="0.25">
      <c r="B2691" s="37"/>
      <c r="C2691" s="37"/>
      <c r="D2691" s="37"/>
      <c r="E2691" s="37"/>
      <c r="F2691" s="37"/>
      <c r="G2691" s="70"/>
    </row>
    <row r="2692" spans="2:7" x14ac:dyDescent="0.25">
      <c r="B2692" s="37"/>
      <c r="C2692" s="37"/>
      <c r="D2692" s="37"/>
      <c r="E2692" s="37"/>
      <c r="F2692" s="37"/>
      <c r="G2692" s="70"/>
    </row>
    <row r="2693" spans="2:7" x14ac:dyDescent="0.25">
      <c r="B2693" s="37"/>
      <c r="C2693" s="37"/>
      <c r="D2693" s="37"/>
      <c r="E2693" s="37"/>
      <c r="F2693" s="37"/>
      <c r="G2693" s="70"/>
    </row>
    <row r="2694" spans="2:7" x14ac:dyDescent="0.25">
      <c r="B2694" s="37"/>
      <c r="C2694" s="37"/>
      <c r="D2694" s="37"/>
      <c r="E2694" s="37"/>
      <c r="F2694" s="37"/>
      <c r="G2694" s="70"/>
    </row>
    <row r="2695" spans="2:7" x14ac:dyDescent="0.25">
      <c r="B2695" s="37"/>
      <c r="C2695" s="37"/>
      <c r="D2695" s="37"/>
      <c r="E2695" s="37"/>
      <c r="F2695" s="37"/>
      <c r="G2695" s="70"/>
    </row>
    <row r="2696" spans="2:7" x14ac:dyDescent="0.25">
      <c r="B2696" s="37"/>
      <c r="C2696" s="37"/>
      <c r="D2696" s="37"/>
      <c r="E2696" s="37"/>
      <c r="F2696" s="37"/>
      <c r="G2696" s="70"/>
    </row>
    <row r="2697" spans="2:7" x14ac:dyDescent="0.25">
      <c r="B2697" s="37"/>
      <c r="C2697" s="37"/>
      <c r="D2697" s="37"/>
      <c r="E2697" s="37"/>
      <c r="F2697" s="37"/>
      <c r="G2697" s="70"/>
    </row>
    <row r="2698" spans="2:7" x14ac:dyDescent="0.25">
      <c r="B2698" s="37"/>
      <c r="C2698" s="37"/>
      <c r="D2698" s="37"/>
      <c r="E2698" s="37"/>
      <c r="F2698" s="37"/>
      <c r="G2698" s="70"/>
    </row>
    <row r="2699" spans="2:7" x14ac:dyDescent="0.25">
      <c r="B2699" s="37"/>
      <c r="C2699" s="37"/>
      <c r="D2699" s="37"/>
      <c r="E2699" s="37"/>
      <c r="F2699" s="37"/>
      <c r="G2699" s="70"/>
    </row>
    <row r="2700" spans="2:7" x14ac:dyDescent="0.25">
      <c r="B2700" s="37"/>
      <c r="C2700" s="37"/>
      <c r="D2700" s="37"/>
      <c r="E2700" s="37"/>
      <c r="F2700" s="37"/>
      <c r="G2700" s="70"/>
    </row>
    <row r="2701" spans="2:7" x14ac:dyDescent="0.25">
      <c r="B2701" s="37"/>
      <c r="C2701" s="37"/>
      <c r="D2701" s="37"/>
      <c r="E2701" s="37"/>
      <c r="F2701" s="37"/>
      <c r="G2701" s="70"/>
    </row>
    <row r="2702" spans="2:7" x14ac:dyDescent="0.25">
      <c r="B2702" s="37"/>
      <c r="C2702" s="37"/>
      <c r="D2702" s="37"/>
      <c r="E2702" s="37"/>
      <c r="F2702" s="37"/>
      <c r="G2702" s="70"/>
    </row>
    <row r="2703" spans="2:7" x14ac:dyDescent="0.25">
      <c r="B2703" s="37"/>
      <c r="C2703" s="37"/>
      <c r="D2703" s="37"/>
      <c r="E2703" s="37"/>
      <c r="F2703" s="37"/>
      <c r="G2703" s="70"/>
    </row>
    <row r="2704" spans="2:7" x14ac:dyDescent="0.25">
      <c r="B2704" s="37"/>
      <c r="C2704" s="37"/>
      <c r="D2704" s="37"/>
      <c r="E2704" s="37"/>
      <c r="F2704" s="37"/>
      <c r="G2704" s="70"/>
    </row>
    <row r="2705" spans="2:7" x14ac:dyDescent="0.25">
      <c r="B2705" s="37"/>
      <c r="C2705" s="37"/>
      <c r="D2705" s="37"/>
      <c r="E2705" s="37"/>
      <c r="F2705" s="37"/>
      <c r="G2705" s="70"/>
    </row>
    <row r="2706" spans="2:7" x14ac:dyDescent="0.25">
      <c r="B2706" s="37"/>
      <c r="C2706" s="37"/>
      <c r="D2706" s="37"/>
      <c r="E2706" s="37"/>
      <c r="F2706" s="37"/>
      <c r="G2706" s="70"/>
    </row>
    <row r="2707" spans="2:7" x14ac:dyDescent="0.25">
      <c r="B2707" s="37"/>
      <c r="C2707" s="37"/>
      <c r="D2707" s="37"/>
      <c r="E2707" s="37"/>
      <c r="F2707" s="37"/>
      <c r="G2707" s="70"/>
    </row>
    <row r="2708" spans="2:7" x14ac:dyDescent="0.25">
      <c r="B2708" s="37"/>
      <c r="C2708" s="37"/>
      <c r="D2708" s="37"/>
      <c r="E2708" s="37"/>
      <c r="F2708" s="37"/>
      <c r="G2708" s="70"/>
    </row>
    <row r="2709" spans="2:7" x14ac:dyDescent="0.25">
      <c r="B2709" s="37"/>
      <c r="C2709" s="37"/>
      <c r="D2709" s="37"/>
      <c r="E2709" s="37"/>
      <c r="F2709" s="37"/>
      <c r="G2709" s="70"/>
    </row>
    <row r="2710" spans="2:7" x14ac:dyDescent="0.25">
      <c r="B2710" s="37"/>
      <c r="C2710" s="37"/>
      <c r="D2710" s="37"/>
      <c r="E2710" s="37"/>
      <c r="F2710" s="37"/>
      <c r="G2710" s="70"/>
    </row>
    <row r="2711" spans="2:7" x14ac:dyDescent="0.25">
      <c r="B2711" s="37"/>
      <c r="C2711" s="37"/>
      <c r="D2711" s="37"/>
      <c r="E2711" s="37"/>
      <c r="F2711" s="37"/>
      <c r="G2711" s="70"/>
    </row>
    <row r="2712" spans="2:7" x14ac:dyDescent="0.25">
      <c r="B2712" s="37"/>
      <c r="C2712" s="37"/>
      <c r="D2712" s="37"/>
      <c r="E2712" s="37"/>
      <c r="F2712" s="37"/>
      <c r="G2712" s="70"/>
    </row>
    <row r="2713" spans="2:7" x14ac:dyDescent="0.25">
      <c r="B2713" s="37"/>
      <c r="C2713" s="37"/>
      <c r="D2713" s="37"/>
      <c r="E2713" s="37"/>
      <c r="F2713" s="37"/>
      <c r="G2713" s="70"/>
    </row>
    <row r="2714" spans="2:7" x14ac:dyDescent="0.25">
      <c r="B2714" s="37"/>
      <c r="C2714" s="37"/>
      <c r="D2714" s="37"/>
      <c r="E2714" s="37"/>
      <c r="F2714" s="37"/>
      <c r="G2714" s="70"/>
    </row>
    <row r="2715" spans="2:7" x14ac:dyDescent="0.25">
      <c r="B2715" s="37"/>
      <c r="C2715" s="37"/>
      <c r="D2715" s="37"/>
      <c r="E2715" s="37"/>
      <c r="F2715" s="37"/>
      <c r="G2715" s="70"/>
    </row>
    <row r="2716" spans="2:7" x14ac:dyDescent="0.25">
      <c r="B2716" s="37"/>
      <c r="C2716" s="37"/>
      <c r="D2716" s="37"/>
      <c r="E2716" s="37"/>
      <c r="F2716" s="37"/>
      <c r="G2716" s="70"/>
    </row>
    <row r="2717" spans="2:7" x14ac:dyDescent="0.25">
      <c r="B2717" s="37"/>
      <c r="C2717" s="37"/>
      <c r="D2717" s="37"/>
      <c r="E2717" s="37"/>
      <c r="F2717" s="37"/>
      <c r="G2717" s="70"/>
    </row>
    <row r="2718" spans="2:7" x14ac:dyDescent="0.25">
      <c r="B2718" s="37"/>
      <c r="C2718" s="37"/>
      <c r="D2718" s="37"/>
      <c r="E2718" s="37"/>
      <c r="F2718" s="37"/>
      <c r="G2718" s="70"/>
    </row>
    <row r="2719" spans="2:7" x14ac:dyDescent="0.25">
      <c r="B2719" s="37"/>
      <c r="C2719" s="37"/>
      <c r="D2719" s="37"/>
      <c r="E2719" s="37"/>
      <c r="F2719" s="37"/>
      <c r="G2719" s="70"/>
    </row>
    <row r="2720" spans="2:7" x14ac:dyDescent="0.25">
      <c r="B2720" s="37"/>
      <c r="C2720" s="37"/>
      <c r="D2720" s="37"/>
      <c r="E2720" s="37"/>
      <c r="F2720" s="37"/>
      <c r="G2720" s="70"/>
    </row>
    <row r="2721" spans="2:7" x14ac:dyDescent="0.25">
      <c r="B2721" s="37"/>
      <c r="C2721" s="37"/>
      <c r="D2721" s="37"/>
      <c r="E2721" s="37"/>
      <c r="F2721" s="37"/>
      <c r="G2721" s="70"/>
    </row>
    <row r="2722" spans="2:7" x14ac:dyDescent="0.25">
      <c r="B2722" s="37"/>
      <c r="C2722" s="37"/>
      <c r="D2722" s="37"/>
      <c r="E2722" s="37"/>
      <c r="F2722" s="37"/>
      <c r="G2722" s="70"/>
    </row>
    <row r="2723" spans="2:7" x14ac:dyDescent="0.25">
      <c r="B2723" s="37"/>
      <c r="C2723" s="37"/>
      <c r="D2723" s="37"/>
      <c r="E2723" s="37"/>
      <c r="F2723" s="37"/>
      <c r="G2723" s="70"/>
    </row>
    <row r="2724" spans="2:7" x14ac:dyDescent="0.25">
      <c r="B2724" s="37"/>
      <c r="C2724" s="37"/>
      <c r="D2724" s="37"/>
      <c r="E2724" s="37"/>
      <c r="F2724" s="37"/>
      <c r="G2724" s="70"/>
    </row>
    <row r="2725" spans="2:7" x14ac:dyDescent="0.25">
      <c r="B2725" s="37"/>
      <c r="C2725" s="37"/>
      <c r="D2725" s="37"/>
      <c r="E2725" s="37"/>
      <c r="F2725" s="37"/>
      <c r="G2725" s="70"/>
    </row>
    <row r="2726" spans="2:7" x14ac:dyDescent="0.25">
      <c r="B2726" s="37"/>
      <c r="C2726" s="37"/>
      <c r="D2726" s="37"/>
      <c r="E2726" s="37"/>
      <c r="F2726" s="37"/>
      <c r="G2726" s="70"/>
    </row>
    <row r="2727" spans="2:7" x14ac:dyDescent="0.25">
      <c r="B2727" s="37"/>
      <c r="C2727" s="37"/>
      <c r="D2727" s="37"/>
      <c r="E2727" s="37"/>
      <c r="F2727" s="37"/>
      <c r="G2727" s="70"/>
    </row>
    <row r="2728" spans="2:7" x14ac:dyDescent="0.25">
      <c r="B2728" s="37"/>
      <c r="C2728" s="37"/>
      <c r="D2728" s="37"/>
      <c r="E2728" s="37"/>
      <c r="F2728" s="37"/>
      <c r="G2728" s="70"/>
    </row>
    <row r="2729" spans="2:7" x14ac:dyDescent="0.25">
      <c r="B2729" s="37"/>
      <c r="C2729" s="37"/>
      <c r="D2729" s="37"/>
      <c r="E2729" s="37"/>
      <c r="F2729" s="37"/>
      <c r="G2729" s="70"/>
    </row>
    <row r="2730" spans="2:7" x14ac:dyDescent="0.25">
      <c r="B2730" s="37"/>
      <c r="C2730" s="37"/>
      <c r="D2730" s="37"/>
      <c r="E2730" s="37"/>
      <c r="F2730" s="37"/>
      <c r="G2730" s="70"/>
    </row>
    <row r="2731" spans="2:7" x14ac:dyDescent="0.25">
      <c r="B2731" s="37"/>
      <c r="C2731" s="37"/>
      <c r="D2731" s="37"/>
      <c r="E2731" s="37"/>
      <c r="F2731" s="37"/>
      <c r="G2731" s="70"/>
    </row>
    <row r="2732" spans="2:7" x14ac:dyDescent="0.25">
      <c r="B2732" s="37"/>
      <c r="C2732" s="37"/>
      <c r="D2732" s="37"/>
      <c r="E2732" s="37"/>
      <c r="F2732" s="37"/>
      <c r="G2732" s="70"/>
    </row>
    <row r="2733" spans="2:7" x14ac:dyDescent="0.25">
      <c r="B2733" s="37"/>
      <c r="C2733" s="37"/>
      <c r="D2733" s="37"/>
      <c r="E2733" s="37"/>
      <c r="F2733" s="37"/>
      <c r="G2733" s="70"/>
    </row>
    <row r="2734" spans="2:7" x14ac:dyDescent="0.25">
      <c r="B2734" s="37"/>
      <c r="C2734" s="37"/>
      <c r="D2734" s="37"/>
      <c r="E2734" s="37"/>
      <c r="F2734" s="37"/>
      <c r="G2734" s="70"/>
    </row>
    <row r="2735" spans="2:7" x14ac:dyDescent="0.25">
      <c r="B2735" s="37"/>
      <c r="C2735" s="37"/>
      <c r="D2735" s="37"/>
      <c r="E2735" s="37"/>
      <c r="F2735" s="37"/>
      <c r="G2735" s="70"/>
    </row>
    <row r="2736" spans="2:7" x14ac:dyDescent="0.25">
      <c r="B2736" s="37"/>
      <c r="C2736" s="37"/>
      <c r="D2736" s="37"/>
      <c r="E2736" s="37"/>
      <c r="F2736" s="37"/>
      <c r="G2736" s="70"/>
    </row>
    <row r="2737" spans="2:7" x14ac:dyDescent="0.25">
      <c r="B2737" s="37"/>
      <c r="C2737" s="37"/>
      <c r="D2737" s="37"/>
      <c r="E2737" s="37"/>
      <c r="F2737" s="37"/>
      <c r="G2737" s="70"/>
    </row>
    <row r="2738" spans="2:7" x14ac:dyDescent="0.25">
      <c r="B2738" s="37"/>
      <c r="C2738" s="37"/>
      <c r="D2738" s="37"/>
      <c r="E2738" s="37"/>
      <c r="F2738" s="37"/>
      <c r="G2738" s="70"/>
    </row>
    <row r="2739" spans="2:7" x14ac:dyDescent="0.25">
      <c r="B2739" s="37"/>
      <c r="C2739" s="37"/>
      <c r="D2739" s="37"/>
      <c r="E2739" s="37"/>
      <c r="F2739" s="37"/>
      <c r="G2739" s="70"/>
    </row>
    <row r="2740" spans="2:7" x14ac:dyDescent="0.25">
      <c r="B2740" s="37"/>
      <c r="C2740" s="37"/>
      <c r="D2740" s="37"/>
      <c r="E2740" s="37"/>
      <c r="F2740" s="37"/>
      <c r="G2740" s="70"/>
    </row>
    <row r="2741" spans="2:7" x14ac:dyDescent="0.25">
      <c r="B2741" s="37"/>
      <c r="C2741" s="37"/>
      <c r="D2741" s="37"/>
      <c r="E2741" s="37"/>
      <c r="F2741" s="37"/>
      <c r="G2741" s="70"/>
    </row>
    <row r="2742" spans="2:7" x14ac:dyDescent="0.25">
      <c r="B2742" s="37"/>
      <c r="C2742" s="37"/>
      <c r="D2742" s="37"/>
      <c r="E2742" s="37"/>
      <c r="F2742" s="37"/>
      <c r="G2742" s="70"/>
    </row>
    <row r="2743" spans="2:7" x14ac:dyDescent="0.25">
      <c r="B2743" s="37"/>
      <c r="C2743" s="37"/>
      <c r="D2743" s="37"/>
      <c r="E2743" s="37"/>
      <c r="F2743" s="37"/>
      <c r="G2743" s="70"/>
    </row>
    <row r="2744" spans="2:7" x14ac:dyDescent="0.25">
      <c r="B2744" s="37"/>
      <c r="C2744" s="37"/>
      <c r="D2744" s="37"/>
      <c r="E2744" s="37"/>
      <c r="F2744" s="37"/>
      <c r="G2744" s="70"/>
    </row>
    <row r="2745" spans="2:7" x14ac:dyDescent="0.25">
      <c r="B2745" s="37"/>
      <c r="C2745" s="37"/>
      <c r="D2745" s="37"/>
      <c r="E2745" s="37"/>
      <c r="F2745" s="37"/>
      <c r="G2745" s="70"/>
    </row>
    <row r="2746" spans="2:7" x14ac:dyDescent="0.25">
      <c r="B2746" s="37"/>
      <c r="C2746" s="37"/>
      <c r="D2746" s="37"/>
      <c r="E2746" s="37"/>
      <c r="F2746" s="37"/>
      <c r="G2746" s="70"/>
    </row>
    <row r="2747" spans="2:7" x14ac:dyDescent="0.25">
      <c r="B2747" s="37"/>
      <c r="C2747" s="37"/>
      <c r="D2747" s="37"/>
      <c r="E2747" s="37"/>
      <c r="F2747" s="37"/>
      <c r="G2747" s="70"/>
    </row>
    <row r="2748" spans="2:7" x14ac:dyDescent="0.25">
      <c r="B2748" s="37"/>
      <c r="C2748" s="37"/>
      <c r="D2748" s="37"/>
      <c r="E2748" s="37"/>
      <c r="F2748" s="37"/>
      <c r="G2748" s="70"/>
    </row>
    <row r="2749" spans="2:7" x14ac:dyDescent="0.25">
      <c r="B2749" s="37"/>
      <c r="C2749" s="37"/>
      <c r="D2749" s="37"/>
      <c r="E2749" s="37"/>
      <c r="F2749" s="37"/>
      <c r="G2749" s="70"/>
    </row>
    <row r="2750" spans="2:7" x14ac:dyDescent="0.25">
      <c r="B2750" s="37"/>
      <c r="C2750" s="37"/>
      <c r="D2750" s="37"/>
      <c r="E2750" s="37"/>
      <c r="F2750" s="37"/>
      <c r="G2750" s="70"/>
    </row>
    <row r="2751" spans="2:7" x14ac:dyDescent="0.25">
      <c r="B2751" s="37"/>
      <c r="C2751" s="37"/>
      <c r="D2751" s="37"/>
      <c r="E2751" s="37"/>
      <c r="F2751" s="37"/>
      <c r="G2751" s="70"/>
    </row>
    <row r="2752" spans="2:7" x14ac:dyDescent="0.25">
      <c r="B2752" s="37"/>
      <c r="C2752" s="37"/>
      <c r="D2752" s="37"/>
      <c r="E2752" s="37"/>
      <c r="F2752" s="37"/>
      <c r="G2752" s="70"/>
    </row>
    <row r="2753" spans="2:7" x14ac:dyDescent="0.25">
      <c r="B2753" s="37"/>
      <c r="C2753" s="37"/>
      <c r="D2753" s="37"/>
      <c r="E2753" s="37"/>
      <c r="F2753" s="37"/>
      <c r="G2753" s="70"/>
    </row>
    <row r="2754" spans="2:7" x14ac:dyDescent="0.25">
      <c r="B2754" s="37"/>
      <c r="C2754" s="37"/>
      <c r="D2754" s="37"/>
      <c r="E2754" s="37"/>
      <c r="F2754" s="37"/>
      <c r="G2754" s="70"/>
    </row>
    <row r="2755" spans="2:7" x14ac:dyDescent="0.25">
      <c r="B2755" s="37"/>
      <c r="C2755" s="37"/>
      <c r="D2755" s="37"/>
      <c r="E2755" s="37"/>
      <c r="F2755" s="37"/>
      <c r="G2755" s="70"/>
    </row>
    <row r="2756" spans="2:7" x14ac:dyDescent="0.25">
      <c r="B2756" s="37"/>
      <c r="C2756" s="37"/>
      <c r="D2756" s="37"/>
      <c r="E2756" s="37"/>
      <c r="F2756" s="37"/>
      <c r="G2756" s="70"/>
    </row>
    <row r="2757" spans="2:7" x14ac:dyDescent="0.25">
      <c r="B2757" s="37"/>
      <c r="C2757" s="37"/>
      <c r="D2757" s="37"/>
      <c r="E2757" s="37"/>
      <c r="F2757" s="37"/>
      <c r="G2757" s="70"/>
    </row>
    <row r="2758" spans="2:7" x14ac:dyDescent="0.25">
      <c r="B2758" s="37"/>
      <c r="C2758" s="37"/>
      <c r="D2758" s="37"/>
      <c r="E2758" s="37"/>
      <c r="F2758" s="37"/>
      <c r="G2758" s="70"/>
    </row>
    <row r="2759" spans="2:7" x14ac:dyDescent="0.25">
      <c r="B2759" s="37"/>
      <c r="C2759" s="37"/>
      <c r="D2759" s="37"/>
      <c r="E2759" s="37"/>
      <c r="F2759" s="37"/>
      <c r="G2759" s="70"/>
    </row>
    <row r="2760" spans="2:7" x14ac:dyDescent="0.25">
      <c r="B2760" s="37"/>
      <c r="C2760" s="37"/>
      <c r="D2760" s="37"/>
      <c r="E2760" s="37"/>
      <c r="F2760" s="37"/>
      <c r="G2760" s="70"/>
    </row>
    <row r="2761" spans="2:7" x14ac:dyDescent="0.25">
      <c r="B2761" s="37"/>
      <c r="C2761" s="37"/>
      <c r="D2761" s="37"/>
      <c r="E2761" s="37"/>
      <c r="F2761" s="37"/>
      <c r="G2761" s="70"/>
    </row>
    <row r="2762" spans="2:7" x14ac:dyDescent="0.25">
      <c r="B2762" s="37"/>
      <c r="C2762" s="37"/>
      <c r="D2762" s="37"/>
      <c r="E2762" s="37"/>
      <c r="F2762" s="37"/>
      <c r="G2762" s="70"/>
    </row>
    <row r="2763" spans="2:7" x14ac:dyDescent="0.25">
      <c r="B2763" s="37"/>
      <c r="C2763" s="37"/>
      <c r="D2763" s="37"/>
      <c r="E2763" s="37"/>
      <c r="F2763" s="37"/>
      <c r="G2763" s="70"/>
    </row>
    <row r="2764" spans="2:7" x14ac:dyDescent="0.25">
      <c r="B2764" s="37"/>
      <c r="C2764" s="37"/>
      <c r="D2764" s="37"/>
      <c r="E2764" s="37"/>
      <c r="F2764" s="37"/>
      <c r="G2764" s="70"/>
    </row>
    <row r="2765" spans="2:7" x14ac:dyDescent="0.25">
      <c r="B2765" s="37"/>
      <c r="C2765" s="37"/>
      <c r="D2765" s="37"/>
      <c r="E2765" s="37"/>
      <c r="F2765" s="37"/>
      <c r="G2765" s="70"/>
    </row>
    <row r="2766" spans="2:7" x14ac:dyDescent="0.25">
      <c r="B2766" s="37"/>
      <c r="C2766" s="37"/>
      <c r="D2766" s="37"/>
      <c r="E2766" s="37"/>
      <c r="F2766" s="37"/>
      <c r="G2766" s="70"/>
    </row>
    <row r="2767" spans="2:7" x14ac:dyDescent="0.25">
      <c r="B2767" s="37"/>
      <c r="C2767" s="37"/>
      <c r="D2767" s="37"/>
      <c r="E2767" s="37"/>
      <c r="F2767" s="37"/>
      <c r="G2767" s="70"/>
    </row>
    <row r="2768" spans="2:7" x14ac:dyDescent="0.25">
      <c r="B2768" s="37"/>
      <c r="C2768" s="37"/>
      <c r="D2768" s="37"/>
      <c r="E2768" s="37"/>
      <c r="F2768" s="37"/>
      <c r="G2768" s="70"/>
    </row>
    <row r="2769" spans="2:7" x14ac:dyDescent="0.25">
      <c r="B2769" s="37"/>
      <c r="C2769" s="37"/>
      <c r="D2769" s="37"/>
      <c r="E2769" s="37"/>
      <c r="F2769" s="37"/>
      <c r="G2769" s="70"/>
    </row>
    <row r="2770" spans="2:7" x14ac:dyDescent="0.25">
      <c r="B2770" s="37"/>
      <c r="C2770" s="37"/>
      <c r="D2770" s="37"/>
      <c r="E2770" s="37"/>
      <c r="F2770" s="37"/>
      <c r="G2770" s="70"/>
    </row>
    <row r="2771" spans="2:7" x14ac:dyDescent="0.25">
      <c r="B2771" s="37"/>
      <c r="C2771" s="37"/>
      <c r="D2771" s="37"/>
      <c r="E2771" s="37"/>
      <c r="F2771" s="37"/>
      <c r="G2771" s="70"/>
    </row>
    <row r="2772" spans="2:7" x14ac:dyDescent="0.25">
      <c r="B2772" s="37"/>
      <c r="C2772" s="37"/>
      <c r="D2772" s="37"/>
      <c r="E2772" s="37"/>
      <c r="F2772" s="37"/>
      <c r="G2772" s="70"/>
    </row>
    <row r="2773" spans="2:7" x14ac:dyDescent="0.25">
      <c r="B2773" s="37"/>
      <c r="C2773" s="37"/>
      <c r="D2773" s="37"/>
      <c r="E2773" s="37"/>
      <c r="F2773" s="37"/>
      <c r="G2773" s="70"/>
    </row>
    <row r="2774" spans="2:7" x14ac:dyDescent="0.25">
      <c r="B2774" s="37"/>
      <c r="C2774" s="37"/>
      <c r="D2774" s="37"/>
      <c r="E2774" s="37"/>
      <c r="F2774" s="37"/>
      <c r="G2774" s="70"/>
    </row>
    <row r="2775" spans="2:7" x14ac:dyDescent="0.25">
      <c r="B2775" s="37"/>
      <c r="C2775" s="37"/>
      <c r="D2775" s="37"/>
      <c r="E2775" s="37"/>
      <c r="F2775" s="37"/>
      <c r="G2775" s="70"/>
    </row>
    <row r="2776" spans="2:7" x14ac:dyDescent="0.25">
      <c r="B2776" s="37"/>
      <c r="C2776" s="37"/>
      <c r="D2776" s="37"/>
      <c r="E2776" s="37"/>
      <c r="F2776" s="37"/>
      <c r="G2776" s="70"/>
    </row>
    <row r="2777" spans="2:7" x14ac:dyDescent="0.25">
      <c r="B2777" s="37"/>
      <c r="C2777" s="37"/>
      <c r="D2777" s="37"/>
      <c r="E2777" s="37"/>
      <c r="F2777" s="37"/>
      <c r="G2777" s="70"/>
    </row>
    <row r="2778" spans="2:7" x14ac:dyDescent="0.25">
      <c r="B2778" s="37"/>
      <c r="C2778" s="37"/>
      <c r="D2778" s="37"/>
      <c r="E2778" s="37"/>
      <c r="F2778" s="37"/>
      <c r="G2778" s="70"/>
    </row>
    <row r="2779" spans="2:7" x14ac:dyDescent="0.25">
      <c r="B2779" s="37"/>
      <c r="C2779" s="37"/>
      <c r="D2779" s="37"/>
      <c r="E2779" s="37"/>
      <c r="F2779" s="37"/>
      <c r="G2779" s="70"/>
    </row>
    <row r="2780" spans="2:7" x14ac:dyDescent="0.25">
      <c r="B2780" s="37"/>
      <c r="C2780" s="37"/>
      <c r="D2780" s="37"/>
      <c r="E2780" s="37"/>
      <c r="F2780" s="37"/>
      <c r="G2780" s="70"/>
    </row>
    <row r="2781" spans="2:7" x14ac:dyDescent="0.25">
      <c r="B2781" s="37"/>
      <c r="C2781" s="37"/>
      <c r="D2781" s="37"/>
      <c r="E2781" s="37"/>
      <c r="F2781" s="37"/>
      <c r="G2781" s="70"/>
    </row>
    <row r="2782" spans="2:7" x14ac:dyDescent="0.25">
      <c r="B2782" s="37"/>
      <c r="C2782" s="37"/>
      <c r="D2782" s="37"/>
      <c r="E2782" s="37"/>
      <c r="F2782" s="37"/>
      <c r="G2782" s="70"/>
    </row>
    <row r="2783" spans="2:7" x14ac:dyDescent="0.25">
      <c r="B2783" s="37"/>
      <c r="C2783" s="37"/>
      <c r="D2783" s="37"/>
      <c r="E2783" s="37"/>
      <c r="F2783" s="37"/>
      <c r="G2783" s="70"/>
    </row>
    <row r="2784" spans="2:7" x14ac:dyDescent="0.25">
      <c r="B2784" s="37"/>
      <c r="C2784" s="37"/>
      <c r="D2784" s="37"/>
      <c r="E2784" s="37"/>
      <c r="F2784" s="37"/>
      <c r="G2784" s="70"/>
    </row>
    <row r="2785" spans="2:7" x14ac:dyDescent="0.25">
      <c r="B2785" s="37"/>
      <c r="C2785" s="37"/>
      <c r="D2785" s="37"/>
      <c r="E2785" s="37"/>
      <c r="F2785" s="37"/>
      <c r="G2785" s="70"/>
    </row>
    <row r="2786" spans="2:7" x14ac:dyDescent="0.25">
      <c r="B2786" s="37"/>
      <c r="C2786" s="37"/>
      <c r="D2786" s="37"/>
      <c r="E2786" s="37"/>
      <c r="F2786" s="37"/>
      <c r="G2786" s="70"/>
    </row>
    <row r="2787" spans="2:7" x14ac:dyDescent="0.25">
      <c r="B2787" s="37"/>
      <c r="C2787" s="37"/>
      <c r="D2787" s="37"/>
      <c r="E2787" s="37"/>
      <c r="F2787" s="37"/>
      <c r="G2787" s="70"/>
    </row>
    <row r="2788" spans="2:7" x14ac:dyDescent="0.25">
      <c r="B2788" s="37"/>
      <c r="C2788" s="37"/>
      <c r="D2788" s="37"/>
      <c r="E2788" s="37"/>
      <c r="F2788" s="37"/>
      <c r="G2788" s="70"/>
    </row>
    <row r="2789" spans="2:7" x14ac:dyDescent="0.25">
      <c r="B2789" s="37"/>
      <c r="C2789" s="37"/>
      <c r="D2789" s="37"/>
      <c r="E2789" s="37"/>
      <c r="F2789" s="37"/>
      <c r="G2789" s="70"/>
    </row>
    <row r="2790" spans="2:7" x14ac:dyDescent="0.25">
      <c r="B2790" s="37"/>
      <c r="C2790" s="37"/>
      <c r="D2790" s="37"/>
      <c r="E2790" s="37"/>
      <c r="F2790" s="37"/>
      <c r="G2790" s="70"/>
    </row>
    <row r="2791" spans="2:7" x14ac:dyDescent="0.25">
      <c r="B2791" s="37"/>
      <c r="C2791" s="37"/>
      <c r="D2791" s="37"/>
      <c r="E2791" s="37"/>
      <c r="F2791" s="37"/>
      <c r="G2791" s="70"/>
    </row>
    <row r="2792" spans="2:7" x14ac:dyDescent="0.25">
      <c r="B2792" s="37"/>
      <c r="C2792" s="37"/>
      <c r="D2792" s="37"/>
      <c r="E2792" s="37"/>
      <c r="F2792" s="37"/>
      <c r="G2792" s="70"/>
    </row>
    <row r="2793" spans="2:7" x14ac:dyDescent="0.25">
      <c r="B2793" s="37"/>
      <c r="C2793" s="37"/>
      <c r="D2793" s="37"/>
      <c r="E2793" s="37"/>
      <c r="F2793" s="37"/>
      <c r="G2793" s="70"/>
    </row>
    <row r="2794" spans="2:7" x14ac:dyDescent="0.25">
      <c r="B2794" s="37"/>
      <c r="C2794" s="37"/>
      <c r="D2794" s="37"/>
      <c r="E2794" s="37"/>
      <c r="F2794" s="37"/>
      <c r="G2794" s="70"/>
    </row>
    <row r="2795" spans="2:7" x14ac:dyDescent="0.25">
      <c r="B2795" s="37"/>
      <c r="C2795" s="37"/>
      <c r="D2795" s="37"/>
      <c r="E2795" s="37"/>
      <c r="F2795" s="37"/>
      <c r="G2795" s="70"/>
    </row>
    <row r="2796" spans="2:7" x14ac:dyDescent="0.25">
      <c r="B2796" s="37"/>
      <c r="C2796" s="37"/>
      <c r="D2796" s="37"/>
      <c r="E2796" s="37"/>
      <c r="F2796" s="37"/>
      <c r="G2796" s="70"/>
    </row>
    <row r="2797" spans="2:7" x14ac:dyDescent="0.25">
      <c r="B2797" s="37"/>
      <c r="C2797" s="37"/>
      <c r="D2797" s="37"/>
      <c r="E2797" s="37"/>
      <c r="F2797" s="37"/>
      <c r="G2797" s="70"/>
    </row>
    <row r="2798" spans="2:7" x14ac:dyDescent="0.25">
      <c r="B2798" s="37"/>
      <c r="C2798" s="37"/>
      <c r="D2798" s="37"/>
      <c r="E2798" s="37"/>
      <c r="F2798" s="37"/>
      <c r="G2798" s="70"/>
    </row>
    <row r="2799" spans="2:7" x14ac:dyDescent="0.25">
      <c r="B2799" s="37"/>
      <c r="C2799" s="37"/>
      <c r="D2799" s="37"/>
      <c r="E2799" s="37"/>
      <c r="F2799" s="37"/>
      <c r="G2799" s="70"/>
    </row>
    <row r="2800" spans="2:7" x14ac:dyDescent="0.25">
      <c r="B2800" s="37"/>
      <c r="C2800" s="37"/>
      <c r="D2800" s="37"/>
      <c r="E2800" s="37"/>
      <c r="F2800" s="37"/>
      <c r="G2800" s="70"/>
    </row>
    <row r="2801" spans="2:7" x14ac:dyDescent="0.25">
      <c r="B2801" s="37"/>
      <c r="C2801" s="37"/>
      <c r="D2801" s="37"/>
      <c r="E2801" s="37"/>
      <c r="F2801" s="37"/>
      <c r="G2801" s="70"/>
    </row>
    <row r="2802" spans="2:7" x14ac:dyDescent="0.25">
      <c r="B2802" s="37"/>
      <c r="C2802" s="37"/>
      <c r="D2802" s="37"/>
      <c r="E2802" s="37"/>
      <c r="F2802" s="37"/>
      <c r="G2802" s="70"/>
    </row>
    <row r="2803" spans="2:7" x14ac:dyDescent="0.25">
      <c r="B2803" s="37"/>
      <c r="C2803" s="37"/>
      <c r="D2803" s="37"/>
      <c r="E2803" s="37"/>
      <c r="F2803" s="37"/>
      <c r="G2803" s="70"/>
    </row>
    <row r="2804" spans="2:7" x14ac:dyDescent="0.25">
      <c r="B2804" s="37"/>
      <c r="C2804" s="37"/>
      <c r="D2804" s="37"/>
      <c r="E2804" s="37"/>
      <c r="F2804" s="37"/>
      <c r="G2804" s="70"/>
    </row>
    <row r="2805" spans="2:7" x14ac:dyDescent="0.25">
      <c r="B2805" s="37"/>
      <c r="C2805" s="37"/>
      <c r="D2805" s="37"/>
      <c r="E2805" s="37"/>
      <c r="F2805" s="37"/>
      <c r="G2805" s="70"/>
    </row>
    <row r="2806" spans="2:7" x14ac:dyDescent="0.25">
      <c r="B2806" s="37"/>
      <c r="C2806" s="37"/>
      <c r="D2806" s="37"/>
      <c r="E2806" s="37"/>
      <c r="F2806" s="37"/>
      <c r="G2806" s="70"/>
    </row>
    <row r="2807" spans="2:7" x14ac:dyDescent="0.25">
      <c r="B2807" s="37"/>
      <c r="C2807" s="37"/>
      <c r="D2807" s="37"/>
      <c r="E2807" s="37"/>
      <c r="F2807" s="37"/>
      <c r="G2807" s="70"/>
    </row>
    <row r="2808" spans="2:7" x14ac:dyDescent="0.25">
      <c r="B2808" s="37"/>
      <c r="C2808" s="37"/>
      <c r="D2808" s="37"/>
      <c r="E2808" s="37"/>
      <c r="F2808" s="37"/>
      <c r="G2808" s="70"/>
    </row>
    <row r="2809" spans="2:7" x14ac:dyDescent="0.25">
      <c r="B2809" s="37"/>
      <c r="C2809" s="37"/>
      <c r="D2809" s="37"/>
      <c r="E2809" s="37"/>
      <c r="F2809" s="37"/>
      <c r="G2809" s="70"/>
    </row>
    <row r="2810" spans="2:7" x14ac:dyDescent="0.25">
      <c r="B2810" s="37"/>
      <c r="C2810" s="37"/>
      <c r="D2810" s="37"/>
      <c r="E2810" s="37"/>
      <c r="F2810" s="37"/>
      <c r="G2810" s="70"/>
    </row>
    <row r="2811" spans="2:7" x14ac:dyDescent="0.25">
      <c r="B2811" s="37"/>
      <c r="C2811" s="37"/>
      <c r="D2811" s="37"/>
      <c r="E2811" s="37"/>
      <c r="F2811" s="37"/>
      <c r="G2811" s="70"/>
    </row>
    <row r="2812" spans="2:7" x14ac:dyDescent="0.25">
      <c r="B2812" s="37"/>
      <c r="C2812" s="37"/>
      <c r="D2812" s="37"/>
      <c r="E2812" s="37"/>
      <c r="F2812" s="37"/>
      <c r="G2812" s="70"/>
    </row>
    <row r="2813" spans="2:7" x14ac:dyDescent="0.25">
      <c r="B2813" s="37"/>
      <c r="C2813" s="37"/>
      <c r="D2813" s="37"/>
      <c r="E2813" s="37"/>
      <c r="F2813" s="37"/>
      <c r="G2813" s="70"/>
    </row>
    <row r="2814" spans="2:7" x14ac:dyDescent="0.25">
      <c r="B2814" s="37"/>
      <c r="C2814" s="37"/>
      <c r="D2814" s="37"/>
      <c r="E2814" s="37"/>
      <c r="F2814" s="37"/>
      <c r="G2814" s="70"/>
    </row>
    <row r="2815" spans="2:7" x14ac:dyDescent="0.25">
      <c r="B2815" s="37"/>
      <c r="C2815" s="37"/>
      <c r="D2815" s="37"/>
      <c r="E2815" s="37"/>
      <c r="F2815" s="37"/>
      <c r="G2815" s="70"/>
    </row>
    <row r="2816" spans="2:7" x14ac:dyDescent="0.25">
      <c r="B2816" s="37"/>
      <c r="C2816" s="37"/>
      <c r="D2816" s="37"/>
      <c r="E2816" s="37"/>
      <c r="F2816" s="37"/>
      <c r="G2816" s="70"/>
    </row>
    <row r="2817" spans="2:7" x14ac:dyDescent="0.25">
      <c r="B2817" s="37"/>
      <c r="C2817" s="37"/>
      <c r="D2817" s="37"/>
      <c r="E2817" s="37"/>
      <c r="F2817" s="37"/>
      <c r="G2817" s="70"/>
    </row>
    <row r="2818" spans="2:7" x14ac:dyDescent="0.25">
      <c r="B2818" s="37"/>
      <c r="C2818" s="37"/>
      <c r="D2818" s="37"/>
      <c r="E2818" s="37"/>
      <c r="F2818" s="37"/>
      <c r="G2818" s="70"/>
    </row>
    <row r="2819" spans="2:7" x14ac:dyDescent="0.25">
      <c r="B2819" s="37"/>
      <c r="C2819" s="37"/>
      <c r="D2819" s="37"/>
      <c r="E2819" s="37"/>
      <c r="F2819" s="37"/>
      <c r="G2819" s="70"/>
    </row>
    <row r="2820" spans="2:7" x14ac:dyDescent="0.25">
      <c r="B2820" s="37"/>
      <c r="C2820" s="37"/>
      <c r="D2820" s="37"/>
      <c r="E2820" s="37"/>
      <c r="F2820" s="37"/>
      <c r="G2820" s="70"/>
    </row>
    <row r="2821" spans="2:7" x14ac:dyDescent="0.25">
      <c r="B2821" s="37"/>
      <c r="C2821" s="37"/>
      <c r="D2821" s="37"/>
      <c r="E2821" s="37"/>
      <c r="F2821" s="37"/>
      <c r="G2821" s="70"/>
    </row>
    <row r="2822" spans="2:7" x14ac:dyDescent="0.25">
      <c r="B2822" s="37"/>
      <c r="C2822" s="37"/>
      <c r="D2822" s="37"/>
      <c r="E2822" s="37"/>
      <c r="F2822" s="37"/>
      <c r="G2822" s="70"/>
    </row>
    <row r="2823" spans="2:7" x14ac:dyDescent="0.25">
      <c r="B2823" s="37"/>
      <c r="C2823" s="37"/>
      <c r="D2823" s="37"/>
      <c r="E2823" s="37"/>
      <c r="F2823" s="37"/>
      <c r="G2823" s="70"/>
    </row>
    <row r="2824" spans="2:7" x14ac:dyDescent="0.25">
      <c r="B2824" s="37"/>
      <c r="C2824" s="37"/>
      <c r="D2824" s="37"/>
      <c r="E2824" s="37"/>
      <c r="F2824" s="37"/>
      <c r="G2824" s="70"/>
    </row>
    <row r="2825" spans="2:7" x14ac:dyDescent="0.25">
      <c r="B2825" s="37"/>
      <c r="C2825" s="37"/>
      <c r="D2825" s="37"/>
      <c r="E2825" s="37"/>
      <c r="F2825" s="37"/>
      <c r="G2825" s="70"/>
    </row>
    <row r="2826" spans="2:7" x14ac:dyDescent="0.25">
      <c r="B2826" s="37"/>
      <c r="C2826" s="37"/>
      <c r="D2826" s="37"/>
      <c r="E2826" s="37"/>
      <c r="F2826" s="37"/>
      <c r="G2826" s="70"/>
    </row>
    <row r="2827" spans="2:7" x14ac:dyDescent="0.25">
      <c r="B2827" s="37"/>
      <c r="C2827" s="37"/>
      <c r="D2827" s="37"/>
      <c r="E2827" s="37"/>
      <c r="F2827" s="37"/>
      <c r="G2827" s="70"/>
    </row>
    <row r="2828" spans="2:7" x14ac:dyDescent="0.25">
      <c r="B2828" s="37"/>
      <c r="C2828" s="37"/>
      <c r="D2828" s="37"/>
      <c r="E2828" s="37"/>
      <c r="F2828" s="37"/>
      <c r="G2828" s="70"/>
    </row>
    <row r="2829" spans="2:7" x14ac:dyDescent="0.25">
      <c r="B2829" s="37"/>
      <c r="C2829" s="37"/>
      <c r="D2829" s="37"/>
      <c r="E2829" s="37"/>
      <c r="F2829" s="37"/>
      <c r="G2829" s="70"/>
    </row>
    <row r="2830" spans="2:7" x14ac:dyDescent="0.25">
      <c r="B2830" s="37"/>
      <c r="C2830" s="37"/>
      <c r="D2830" s="37"/>
      <c r="E2830" s="37"/>
      <c r="F2830" s="37"/>
      <c r="G2830" s="70"/>
    </row>
    <row r="2831" spans="2:7" x14ac:dyDescent="0.25">
      <c r="B2831" s="37"/>
      <c r="C2831" s="37"/>
      <c r="D2831" s="37"/>
      <c r="E2831" s="37"/>
      <c r="F2831" s="37"/>
      <c r="G2831" s="70"/>
    </row>
    <row r="2832" spans="2:7" x14ac:dyDescent="0.25">
      <c r="B2832" s="37"/>
      <c r="C2832" s="37"/>
      <c r="D2832" s="37"/>
      <c r="E2832" s="37"/>
      <c r="F2832" s="37"/>
      <c r="G2832" s="70"/>
    </row>
    <row r="2833" spans="2:7" x14ac:dyDescent="0.25">
      <c r="B2833" s="37"/>
      <c r="C2833" s="37"/>
      <c r="D2833" s="37"/>
      <c r="E2833" s="37"/>
      <c r="F2833" s="37"/>
      <c r="G2833" s="70"/>
    </row>
    <row r="2834" spans="2:7" x14ac:dyDescent="0.25">
      <c r="B2834" s="37"/>
      <c r="C2834" s="37"/>
      <c r="D2834" s="37"/>
      <c r="E2834" s="37"/>
      <c r="F2834" s="37"/>
      <c r="G2834" s="70"/>
    </row>
    <row r="2835" spans="2:7" x14ac:dyDescent="0.25">
      <c r="B2835" s="37"/>
      <c r="C2835" s="37"/>
      <c r="D2835" s="37"/>
      <c r="E2835" s="37"/>
      <c r="F2835" s="37"/>
      <c r="G2835" s="70"/>
    </row>
    <row r="2836" spans="2:7" x14ac:dyDescent="0.25">
      <c r="B2836" s="37"/>
      <c r="C2836" s="37"/>
      <c r="D2836" s="37"/>
      <c r="E2836" s="37"/>
      <c r="F2836" s="37"/>
      <c r="G2836" s="70"/>
    </row>
    <row r="2837" spans="2:7" x14ac:dyDescent="0.25">
      <c r="B2837" s="37"/>
      <c r="C2837" s="37"/>
      <c r="D2837" s="37"/>
      <c r="E2837" s="37"/>
      <c r="F2837" s="37"/>
      <c r="G2837" s="70"/>
    </row>
    <row r="2838" spans="2:7" x14ac:dyDescent="0.25">
      <c r="B2838" s="37"/>
      <c r="C2838" s="37"/>
      <c r="D2838" s="37"/>
      <c r="E2838" s="37"/>
      <c r="F2838" s="37"/>
      <c r="G2838" s="70"/>
    </row>
    <row r="2839" spans="2:7" x14ac:dyDescent="0.25">
      <c r="B2839" s="37"/>
      <c r="C2839" s="37"/>
      <c r="D2839" s="37"/>
      <c r="E2839" s="37"/>
      <c r="F2839" s="37"/>
      <c r="G2839" s="70"/>
    </row>
    <row r="2840" spans="2:7" x14ac:dyDescent="0.25">
      <c r="B2840" s="37"/>
      <c r="C2840" s="37"/>
      <c r="D2840" s="37"/>
      <c r="E2840" s="37"/>
      <c r="F2840" s="37"/>
      <c r="G2840" s="70"/>
    </row>
    <row r="2841" spans="2:7" x14ac:dyDescent="0.25">
      <c r="B2841" s="37"/>
      <c r="C2841" s="37"/>
      <c r="D2841" s="37"/>
      <c r="E2841" s="37"/>
      <c r="F2841" s="37"/>
      <c r="G2841" s="70"/>
    </row>
    <row r="2842" spans="2:7" x14ac:dyDescent="0.25">
      <c r="B2842" s="37"/>
      <c r="C2842" s="37"/>
      <c r="D2842" s="37"/>
      <c r="E2842" s="37"/>
      <c r="F2842" s="37"/>
      <c r="G2842" s="70"/>
    </row>
    <row r="2843" spans="2:7" x14ac:dyDescent="0.25">
      <c r="B2843" s="37"/>
      <c r="C2843" s="37"/>
      <c r="D2843" s="37"/>
      <c r="E2843" s="37"/>
      <c r="F2843" s="37"/>
      <c r="G2843" s="70"/>
    </row>
    <row r="2844" spans="2:7" x14ac:dyDescent="0.25">
      <c r="B2844" s="37"/>
      <c r="C2844" s="37"/>
      <c r="D2844" s="37"/>
      <c r="E2844" s="37"/>
      <c r="F2844" s="37"/>
      <c r="G2844" s="70"/>
    </row>
    <row r="2845" spans="2:7" x14ac:dyDescent="0.25">
      <c r="B2845" s="37"/>
      <c r="C2845" s="37"/>
      <c r="D2845" s="37"/>
      <c r="E2845" s="37"/>
      <c r="F2845" s="37"/>
      <c r="G2845" s="70"/>
    </row>
    <row r="2846" spans="2:7" x14ac:dyDescent="0.25">
      <c r="B2846" s="37"/>
      <c r="C2846" s="37"/>
      <c r="D2846" s="37"/>
      <c r="E2846" s="37"/>
      <c r="F2846" s="37"/>
      <c r="G2846" s="70"/>
    </row>
    <row r="2847" spans="2:7" x14ac:dyDescent="0.25">
      <c r="B2847" s="37"/>
      <c r="C2847" s="37"/>
      <c r="D2847" s="37"/>
      <c r="E2847" s="37"/>
      <c r="F2847" s="37"/>
      <c r="G2847" s="70"/>
    </row>
    <row r="2848" spans="2:7" x14ac:dyDescent="0.25">
      <c r="B2848" s="37"/>
      <c r="C2848" s="37"/>
      <c r="D2848" s="37"/>
      <c r="E2848" s="37"/>
      <c r="F2848" s="37"/>
      <c r="G2848" s="70"/>
    </row>
    <row r="2849" spans="2:7" x14ac:dyDescent="0.25">
      <c r="B2849" s="37"/>
      <c r="C2849" s="37"/>
      <c r="D2849" s="37"/>
      <c r="E2849" s="37"/>
      <c r="F2849" s="37"/>
      <c r="G2849" s="70"/>
    </row>
    <row r="2850" spans="2:7" x14ac:dyDescent="0.25">
      <c r="B2850" s="37"/>
      <c r="C2850" s="37"/>
      <c r="D2850" s="37"/>
      <c r="E2850" s="37"/>
      <c r="F2850" s="37"/>
      <c r="G2850" s="70"/>
    </row>
    <row r="2851" spans="2:7" x14ac:dyDescent="0.25">
      <c r="B2851" s="37"/>
      <c r="C2851" s="37"/>
      <c r="D2851" s="37"/>
      <c r="E2851" s="37"/>
      <c r="F2851" s="37"/>
      <c r="G2851" s="70"/>
    </row>
    <row r="2852" spans="2:7" x14ac:dyDescent="0.25">
      <c r="B2852" s="37"/>
      <c r="C2852" s="37"/>
      <c r="D2852" s="37"/>
      <c r="E2852" s="37"/>
      <c r="F2852" s="37"/>
      <c r="G2852" s="70"/>
    </row>
    <row r="2853" spans="2:7" x14ac:dyDescent="0.25">
      <c r="B2853" s="37"/>
      <c r="C2853" s="37"/>
      <c r="D2853" s="37"/>
      <c r="E2853" s="37"/>
      <c r="F2853" s="37"/>
      <c r="G2853" s="70"/>
    </row>
    <row r="2854" spans="2:7" x14ac:dyDescent="0.25">
      <c r="B2854" s="37"/>
      <c r="C2854" s="37"/>
      <c r="D2854" s="37"/>
      <c r="E2854" s="37"/>
      <c r="F2854" s="37"/>
      <c r="G2854" s="70"/>
    </row>
    <row r="2855" spans="2:7" x14ac:dyDescent="0.25">
      <c r="B2855" s="37"/>
      <c r="C2855" s="37"/>
      <c r="D2855" s="37"/>
      <c r="E2855" s="37"/>
      <c r="F2855" s="37"/>
      <c r="G2855" s="70"/>
    </row>
    <row r="2856" spans="2:7" x14ac:dyDescent="0.25">
      <c r="B2856" s="37"/>
      <c r="C2856" s="37"/>
      <c r="D2856" s="37"/>
      <c r="E2856" s="37"/>
      <c r="F2856" s="37"/>
      <c r="G2856" s="70"/>
    </row>
    <row r="2857" spans="2:7" x14ac:dyDescent="0.25">
      <c r="B2857" s="37"/>
      <c r="C2857" s="37"/>
      <c r="D2857" s="37"/>
      <c r="E2857" s="37"/>
      <c r="F2857" s="37"/>
      <c r="G2857" s="70"/>
    </row>
    <row r="2858" spans="2:7" x14ac:dyDescent="0.25">
      <c r="B2858" s="37"/>
      <c r="C2858" s="37"/>
      <c r="D2858" s="37"/>
      <c r="E2858" s="37"/>
      <c r="F2858" s="37"/>
      <c r="G2858" s="70"/>
    </row>
    <row r="2859" spans="2:7" x14ac:dyDescent="0.25">
      <c r="B2859" s="37"/>
      <c r="C2859" s="37"/>
      <c r="D2859" s="37"/>
      <c r="E2859" s="37"/>
      <c r="F2859" s="37"/>
      <c r="G2859" s="70"/>
    </row>
    <row r="2860" spans="2:7" x14ac:dyDescent="0.25">
      <c r="B2860" s="37"/>
      <c r="C2860" s="37"/>
      <c r="D2860" s="37"/>
      <c r="E2860" s="37"/>
      <c r="F2860" s="37"/>
      <c r="G2860" s="70"/>
    </row>
    <row r="2861" spans="2:7" x14ac:dyDescent="0.25">
      <c r="B2861" s="37"/>
      <c r="C2861" s="37"/>
      <c r="D2861" s="37"/>
      <c r="E2861" s="37"/>
      <c r="F2861" s="37"/>
      <c r="G2861" s="70"/>
    </row>
    <row r="2862" spans="2:7" x14ac:dyDescent="0.25">
      <c r="B2862" s="37"/>
      <c r="C2862" s="37"/>
      <c r="D2862" s="37"/>
      <c r="E2862" s="37"/>
      <c r="F2862" s="37"/>
      <c r="G2862" s="70"/>
    </row>
    <row r="2863" spans="2:7" x14ac:dyDescent="0.25">
      <c r="B2863" s="37"/>
      <c r="C2863" s="37"/>
      <c r="D2863" s="37"/>
      <c r="E2863" s="37"/>
      <c r="F2863" s="37"/>
      <c r="G2863" s="70"/>
    </row>
    <row r="2864" spans="2:7" x14ac:dyDescent="0.25">
      <c r="B2864" s="37"/>
      <c r="C2864" s="37"/>
      <c r="D2864" s="37"/>
      <c r="E2864" s="37"/>
      <c r="F2864" s="37"/>
      <c r="G2864" s="70"/>
    </row>
    <row r="2865" spans="2:7" x14ac:dyDescent="0.25">
      <c r="B2865" s="37"/>
      <c r="C2865" s="37"/>
      <c r="D2865" s="37"/>
      <c r="E2865" s="37"/>
      <c r="F2865" s="37"/>
      <c r="G2865" s="70"/>
    </row>
    <row r="2866" spans="2:7" x14ac:dyDescent="0.25">
      <c r="B2866" s="37"/>
      <c r="C2866" s="37"/>
      <c r="D2866" s="37"/>
      <c r="E2866" s="37"/>
      <c r="F2866" s="37"/>
      <c r="G2866" s="70"/>
    </row>
    <row r="2867" spans="2:7" x14ac:dyDescent="0.25">
      <c r="B2867" s="37"/>
      <c r="C2867" s="37"/>
      <c r="D2867" s="37"/>
      <c r="E2867" s="37"/>
      <c r="F2867" s="37"/>
      <c r="G2867" s="70"/>
    </row>
    <row r="2868" spans="2:7" x14ac:dyDescent="0.25">
      <c r="B2868" s="37"/>
      <c r="C2868" s="37"/>
      <c r="D2868" s="37"/>
      <c r="E2868" s="37"/>
      <c r="F2868" s="37"/>
      <c r="G2868" s="70"/>
    </row>
    <row r="2869" spans="2:7" x14ac:dyDescent="0.25">
      <c r="B2869" s="37"/>
      <c r="C2869" s="37"/>
      <c r="D2869" s="37"/>
      <c r="E2869" s="37"/>
      <c r="F2869" s="37"/>
      <c r="G2869" s="70"/>
    </row>
    <row r="2870" spans="2:7" x14ac:dyDescent="0.25">
      <c r="B2870" s="37"/>
      <c r="C2870" s="37"/>
      <c r="D2870" s="37"/>
      <c r="E2870" s="37"/>
      <c r="F2870" s="37"/>
      <c r="G2870" s="70"/>
    </row>
    <row r="2871" spans="2:7" x14ac:dyDescent="0.25">
      <c r="B2871" s="37"/>
      <c r="C2871" s="37"/>
      <c r="D2871" s="37"/>
      <c r="E2871" s="37"/>
      <c r="F2871" s="37"/>
      <c r="G2871" s="70"/>
    </row>
    <row r="2872" spans="2:7" x14ac:dyDescent="0.25">
      <c r="B2872" s="37"/>
      <c r="C2872" s="37"/>
      <c r="D2872" s="37"/>
      <c r="E2872" s="37"/>
      <c r="F2872" s="37"/>
      <c r="G2872" s="70"/>
    </row>
    <row r="2873" spans="2:7" x14ac:dyDescent="0.25">
      <c r="B2873" s="37"/>
      <c r="C2873" s="37"/>
      <c r="D2873" s="37"/>
      <c r="E2873" s="37"/>
      <c r="F2873" s="37"/>
      <c r="G2873" s="70"/>
    </row>
    <row r="2874" spans="2:7" x14ac:dyDescent="0.25">
      <c r="B2874" s="37"/>
      <c r="C2874" s="37"/>
      <c r="D2874" s="37"/>
      <c r="E2874" s="37"/>
      <c r="F2874" s="37"/>
      <c r="G2874" s="70"/>
    </row>
    <row r="2875" spans="2:7" x14ac:dyDescent="0.25">
      <c r="B2875" s="37"/>
      <c r="C2875" s="37"/>
      <c r="D2875" s="37"/>
      <c r="E2875" s="37"/>
      <c r="F2875" s="37"/>
      <c r="G2875" s="70"/>
    </row>
    <row r="2876" spans="2:7" x14ac:dyDescent="0.25">
      <c r="B2876" s="37"/>
      <c r="C2876" s="37"/>
      <c r="D2876" s="37"/>
      <c r="E2876" s="37"/>
      <c r="F2876" s="37"/>
      <c r="G2876" s="70"/>
    </row>
    <row r="2877" spans="2:7" x14ac:dyDescent="0.25">
      <c r="B2877" s="37"/>
      <c r="C2877" s="37"/>
      <c r="D2877" s="37"/>
      <c r="E2877" s="37"/>
      <c r="F2877" s="37"/>
      <c r="G2877" s="70"/>
    </row>
    <row r="2878" spans="2:7" x14ac:dyDescent="0.25">
      <c r="B2878" s="37"/>
      <c r="C2878" s="37"/>
      <c r="D2878" s="37"/>
      <c r="E2878" s="37"/>
      <c r="F2878" s="37"/>
      <c r="G2878" s="70"/>
    </row>
    <row r="2879" spans="2:7" x14ac:dyDescent="0.25">
      <c r="B2879" s="37"/>
      <c r="C2879" s="37"/>
      <c r="D2879" s="37"/>
      <c r="E2879" s="37"/>
      <c r="F2879" s="37"/>
      <c r="G2879" s="70"/>
    </row>
    <row r="2880" spans="2:7" x14ac:dyDescent="0.25">
      <c r="B2880" s="37"/>
      <c r="C2880" s="37"/>
      <c r="D2880" s="37"/>
      <c r="E2880" s="37"/>
      <c r="F2880" s="37"/>
      <c r="G2880" s="70"/>
    </row>
    <row r="2881" spans="2:7" x14ac:dyDescent="0.25">
      <c r="B2881" s="37"/>
      <c r="C2881" s="37"/>
      <c r="D2881" s="37"/>
      <c r="E2881" s="37"/>
      <c r="F2881" s="37"/>
      <c r="G2881" s="70"/>
    </row>
    <row r="2882" spans="2:7" x14ac:dyDescent="0.25">
      <c r="B2882" s="37"/>
      <c r="C2882" s="37"/>
      <c r="D2882" s="37"/>
      <c r="E2882" s="37"/>
      <c r="F2882" s="37"/>
      <c r="G2882" s="70"/>
    </row>
    <row r="2883" spans="2:7" x14ac:dyDescent="0.25">
      <c r="B2883" s="37"/>
      <c r="C2883" s="37"/>
      <c r="D2883" s="37"/>
      <c r="E2883" s="37"/>
      <c r="F2883" s="37"/>
      <c r="G2883" s="70"/>
    </row>
    <row r="2884" spans="2:7" x14ac:dyDescent="0.25">
      <c r="B2884" s="37"/>
      <c r="C2884" s="37"/>
      <c r="D2884" s="37"/>
      <c r="E2884" s="37"/>
      <c r="F2884" s="37"/>
      <c r="G2884" s="70"/>
    </row>
    <row r="2885" spans="2:7" x14ac:dyDescent="0.25">
      <c r="B2885" s="37"/>
      <c r="C2885" s="37"/>
      <c r="D2885" s="37"/>
      <c r="E2885" s="37"/>
      <c r="F2885" s="37"/>
      <c r="G2885" s="70"/>
    </row>
    <row r="2886" spans="2:7" x14ac:dyDescent="0.25">
      <c r="B2886" s="37"/>
      <c r="C2886" s="37"/>
      <c r="D2886" s="37"/>
      <c r="E2886" s="37"/>
      <c r="F2886" s="37"/>
      <c r="G2886" s="70"/>
    </row>
    <row r="2887" spans="2:7" x14ac:dyDescent="0.25">
      <c r="B2887" s="37"/>
      <c r="C2887" s="37"/>
      <c r="D2887" s="37"/>
      <c r="E2887" s="37"/>
      <c r="F2887" s="37"/>
      <c r="G2887" s="70"/>
    </row>
    <row r="2888" spans="2:7" x14ac:dyDescent="0.25">
      <c r="B2888" s="37"/>
      <c r="C2888" s="37"/>
      <c r="D2888" s="37"/>
      <c r="E2888" s="37"/>
      <c r="F2888" s="37"/>
      <c r="G2888" s="70"/>
    </row>
    <row r="2889" spans="2:7" x14ac:dyDescent="0.25">
      <c r="B2889" s="37"/>
      <c r="C2889" s="37"/>
      <c r="D2889" s="37"/>
      <c r="E2889" s="37"/>
      <c r="F2889" s="37"/>
      <c r="G2889" s="70"/>
    </row>
    <row r="2890" spans="2:7" x14ac:dyDescent="0.25">
      <c r="B2890" s="37"/>
      <c r="C2890" s="37"/>
      <c r="D2890" s="37"/>
      <c r="E2890" s="37"/>
      <c r="F2890" s="37"/>
      <c r="G2890" s="70"/>
    </row>
    <row r="2891" spans="2:7" x14ac:dyDescent="0.25">
      <c r="B2891" s="37"/>
      <c r="C2891" s="37"/>
      <c r="D2891" s="37"/>
      <c r="E2891" s="37"/>
      <c r="F2891" s="37"/>
      <c r="G2891" s="70"/>
    </row>
    <row r="2892" spans="2:7" x14ac:dyDescent="0.25">
      <c r="B2892" s="37"/>
      <c r="C2892" s="37"/>
      <c r="D2892" s="37"/>
      <c r="E2892" s="37"/>
      <c r="F2892" s="37"/>
      <c r="G2892" s="70"/>
    </row>
    <row r="2893" spans="2:7" x14ac:dyDescent="0.25">
      <c r="B2893" s="37"/>
      <c r="C2893" s="37"/>
      <c r="D2893" s="37"/>
      <c r="E2893" s="37"/>
      <c r="F2893" s="37"/>
      <c r="G2893" s="70"/>
    </row>
    <row r="2894" spans="2:7" x14ac:dyDescent="0.25">
      <c r="B2894" s="37"/>
      <c r="C2894" s="37"/>
      <c r="D2894" s="37"/>
      <c r="E2894" s="37"/>
      <c r="F2894" s="37"/>
      <c r="G2894" s="70"/>
    </row>
    <row r="2895" spans="2:7" x14ac:dyDescent="0.25">
      <c r="B2895" s="37"/>
      <c r="C2895" s="37"/>
      <c r="D2895" s="37"/>
      <c r="E2895" s="37"/>
      <c r="F2895" s="37"/>
      <c r="G2895" s="70"/>
    </row>
    <row r="2896" spans="2:7" x14ac:dyDescent="0.25">
      <c r="B2896" s="37"/>
      <c r="C2896" s="37"/>
      <c r="D2896" s="37"/>
      <c r="E2896" s="37"/>
      <c r="F2896" s="37"/>
      <c r="G2896" s="70"/>
    </row>
    <row r="2897" spans="2:7" x14ac:dyDescent="0.25">
      <c r="B2897" s="37"/>
      <c r="C2897" s="37"/>
      <c r="D2897" s="37"/>
      <c r="E2897" s="37"/>
      <c r="F2897" s="37"/>
      <c r="G2897" s="70"/>
    </row>
    <row r="2898" spans="2:7" x14ac:dyDescent="0.25">
      <c r="B2898" s="37"/>
      <c r="C2898" s="37"/>
      <c r="D2898" s="37"/>
      <c r="E2898" s="37"/>
      <c r="F2898" s="37"/>
      <c r="G2898" s="70"/>
    </row>
    <row r="2899" spans="2:7" x14ac:dyDescent="0.25">
      <c r="B2899" s="37"/>
      <c r="C2899" s="37"/>
      <c r="D2899" s="37"/>
      <c r="E2899" s="37"/>
      <c r="F2899" s="37"/>
      <c r="G2899" s="70"/>
    </row>
    <row r="2900" spans="2:7" x14ac:dyDescent="0.25">
      <c r="B2900" s="37"/>
      <c r="C2900" s="37"/>
      <c r="D2900" s="37"/>
      <c r="E2900" s="37"/>
      <c r="F2900" s="37"/>
      <c r="G2900" s="70"/>
    </row>
    <row r="2901" spans="2:7" x14ac:dyDescent="0.25">
      <c r="B2901" s="37"/>
      <c r="C2901" s="37"/>
      <c r="D2901" s="37"/>
      <c r="E2901" s="37"/>
      <c r="F2901" s="37"/>
      <c r="G2901" s="70"/>
    </row>
    <row r="2902" spans="2:7" x14ac:dyDescent="0.25">
      <c r="B2902" s="37"/>
      <c r="C2902" s="37"/>
      <c r="D2902" s="37"/>
      <c r="E2902" s="37"/>
      <c r="F2902" s="37"/>
      <c r="G2902" s="70"/>
    </row>
    <row r="2903" spans="2:7" x14ac:dyDescent="0.25">
      <c r="B2903" s="37"/>
      <c r="C2903" s="37"/>
      <c r="D2903" s="37"/>
      <c r="E2903" s="37"/>
      <c r="F2903" s="37"/>
      <c r="G2903" s="70"/>
    </row>
    <row r="2904" spans="2:7" x14ac:dyDescent="0.25">
      <c r="B2904" s="37"/>
      <c r="C2904" s="37"/>
      <c r="D2904" s="37"/>
      <c r="E2904" s="37"/>
      <c r="F2904" s="37"/>
      <c r="G2904" s="70"/>
    </row>
    <row r="2905" spans="2:7" x14ac:dyDescent="0.25">
      <c r="B2905" s="37"/>
      <c r="C2905" s="37"/>
      <c r="D2905" s="37"/>
      <c r="E2905" s="37"/>
      <c r="F2905" s="37"/>
      <c r="G2905" s="70"/>
    </row>
    <row r="2906" spans="2:7" x14ac:dyDescent="0.25">
      <c r="B2906" s="37"/>
      <c r="C2906" s="37"/>
      <c r="D2906" s="37"/>
      <c r="E2906" s="37"/>
      <c r="F2906" s="37"/>
      <c r="G2906" s="70"/>
    </row>
    <row r="2907" spans="2:7" x14ac:dyDescent="0.25">
      <c r="B2907" s="37"/>
      <c r="C2907" s="37"/>
      <c r="D2907" s="37"/>
      <c r="E2907" s="37"/>
      <c r="F2907" s="37"/>
      <c r="G2907" s="70"/>
    </row>
    <row r="2908" spans="2:7" x14ac:dyDescent="0.25">
      <c r="B2908" s="37"/>
      <c r="C2908" s="37"/>
      <c r="D2908" s="37"/>
      <c r="E2908" s="37"/>
      <c r="F2908" s="37"/>
      <c r="G2908" s="70"/>
    </row>
    <row r="2909" spans="2:7" x14ac:dyDescent="0.25">
      <c r="B2909" s="37"/>
      <c r="C2909" s="37"/>
      <c r="D2909" s="37"/>
      <c r="E2909" s="37"/>
      <c r="F2909" s="37"/>
      <c r="G2909" s="70"/>
    </row>
    <row r="2910" spans="2:7" x14ac:dyDescent="0.25">
      <c r="B2910" s="37"/>
      <c r="C2910" s="37"/>
      <c r="D2910" s="37"/>
      <c r="E2910" s="37"/>
      <c r="F2910" s="37"/>
      <c r="G2910" s="70"/>
    </row>
    <row r="2911" spans="2:7" x14ac:dyDescent="0.25">
      <c r="B2911" s="37"/>
      <c r="C2911" s="37"/>
      <c r="D2911" s="37"/>
      <c r="E2911" s="37"/>
      <c r="F2911" s="37"/>
      <c r="G2911" s="70"/>
    </row>
    <row r="2912" spans="2:7" x14ac:dyDescent="0.25">
      <c r="B2912" s="37"/>
      <c r="C2912" s="37"/>
      <c r="D2912" s="37"/>
      <c r="E2912" s="37"/>
      <c r="F2912" s="37"/>
      <c r="G2912" s="70"/>
    </row>
    <row r="2913" spans="2:7" x14ac:dyDescent="0.25">
      <c r="B2913" s="37"/>
      <c r="C2913" s="37"/>
      <c r="D2913" s="37"/>
      <c r="E2913" s="37"/>
      <c r="F2913" s="37"/>
      <c r="G2913" s="70"/>
    </row>
    <row r="2914" spans="2:7" x14ac:dyDescent="0.25">
      <c r="B2914" s="37"/>
      <c r="C2914" s="37"/>
      <c r="D2914" s="37"/>
      <c r="E2914" s="37"/>
      <c r="F2914" s="37"/>
      <c r="G2914" s="70"/>
    </row>
    <row r="2915" spans="2:7" x14ac:dyDescent="0.25">
      <c r="B2915" s="37"/>
      <c r="C2915" s="37"/>
      <c r="D2915" s="37"/>
      <c r="E2915" s="37"/>
      <c r="F2915" s="37"/>
      <c r="G2915" s="70"/>
    </row>
    <row r="2916" spans="2:7" x14ac:dyDescent="0.25">
      <c r="B2916" s="37"/>
      <c r="C2916" s="37"/>
      <c r="D2916" s="37"/>
      <c r="E2916" s="37"/>
      <c r="F2916" s="37"/>
      <c r="G2916" s="70"/>
    </row>
    <row r="2917" spans="2:7" x14ac:dyDescent="0.25">
      <c r="B2917" s="37"/>
      <c r="C2917" s="37"/>
      <c r="D2917" s="37"/>
      <c r="E2917" s="37"/>
      <c r="F2917" s="37"/>
      <c r="G2917" s="70"/>
    </row>
    <row r="2918" spans="2:7" x14ac:dyDescent="0.25">
      <c r="B2918" s="37"/>
      <c r="C2918" s="37"/>
      <c r="D2918" s="37"/>
      <c r="E2918" s="37"/>
      <c r="F2918" s="37"/>
      <c r="G2918" s="70"/>
    </row>
    <row r="2919" spans="2:7" x14ac:dyDescent="0.25">
      <c r="B2919" s="37"/>
      <c r="C2919" s="37"/>
      <c r="D2919" s="37"/>
      <c r="E2919" s="37"/>
      <c r="F2919" s="37"/>
      <c r="G2919" s="70"/>
    </row>
    <row r="2920" spans="2:7" x14ac:dyDescent="0.25">
      <c r="B2920" s="37"/>
      <c r="C2920" s="37"/>
      <c r="D2920" s="37"/>
      <c r="E2920" s="37"/>
      <c r="F2920" s="37"/>
      <c r="G2920" s="70"/>
    </row>
    <row r="2921" spans="2:7" x14ac:dyDescent="0.25">
      <c r="B2921" s="37"/>
      <c r="C2921" s="37"/>
      <c r="D2921" s="37"/>
      <c r="E2921" s="37"/>
      <c r="F2921" s="37"/>
      <c r="G2921" s="70"/>
    </row>
    <row r="2922" spans="2:7" x14ac:dyDescent="0.25">
      <c r="B2922" s="37"/>
      <c r="C2922" s="37"/>
      <c r="D2922" s="37"/>
      <c r="E2922" s="37"/>
      <c r="F2922" s="37"/>
      <c r="G2922" s="70"/>
    </row>
    <row r="2923" spans="2:7" x14ac:dyDescent="0.25">
      <c r="B2923" s="37"/>
      <c r="C2923" s="37"/>
      <c r="D2923" s="37"/>
      <c r="E2923" s="37"/>
      <c r="F2923" s="37"/>
      <c r="G2923" s="70"/>
    </row>
    <row r="2924" spans="2:7" x14ac:dyDescent="0.25">
      <c r="B2924" s="37"/>
      <c r="C2924" s="37"/>
      <c r="D2924" s="37"/>
      <c r="E2924" s="37"/>
      <c r="F2924" s="37"/>
      <c r="G2924" s="70"/>
    </row>
    <row r="2925" spans="2:7" x14ac:dyDescent="0.25">
      <c r="B2925" s="37"/>
      <c r="C2925" s="37"/>
      <c r="D2925" s="37"/>
      <c r="E2925" s="37"/>
      <c r="F2925" s="37"/>
      <c r="G2925" s="70"/>
    </row>
    <row r="2926" spans="2:7" x14ac:dyDescent="0.25">
      <c r="B2926" s="37"/>
      <c r="C2926" s="37"/>
      <c r="D2926" s="37"/>
      <c r="E2926" s="37"/>
      <c r="F2926" s="37"/>
      <c r="G2926" s="70"/>
    </row>
    <row r="2927" spans="2:7" x14ac:dyDescent="0.25">
      <c r="B2927" s="37"/>
      <c r="C2927" s="37"/>
      <c r="D2927" s="37"/>
      <c r="E2927" s="37"/>
      <c r="F2927" s="37"/>
      <c r="G2927" s="70"/>
    </row>
    <row r="2928" spans="2:7" x14ac:dyDescent="0.25">
      <c r="B2928" s="37"/>
      <c r="C2928" s="37"/>
      <c r="D2928" s="37"/>
      <c r="E2928" s="37"/>
      <c r="F2928" s="37"/>
      <c r="G2928" s="70"/>
    </row>
    <row r="2929" spans="2:7" x14ac:dyDescent="0.25">
      <c r="B2929" s="37"/>
      <c r="C2929" s="37"/>
      <c r="D2929" s="37"/>
      <c r="E2929" s="37"/>
      <c r="F2929" s="37"/>
      <c r="G2929" s="70"/>
    </row>
    <row r="2930" spans="2:7" x14ac:dyDescent="0.25">
      <c r="B2930" s="37"/>
      <c r="C2930" s="37"/>
      <c r="D2930" s="37"/>
      <c r="E2930" s="37"/>
      <c r="F2930" s="37"/>
      <c r="G2930" s="70"/>
    </row>
    <row r="2931" spans="2:7" x14ac:dyDescent="0.25">
      <c r="B2931" s="37"/>
      <c r="C2931" s="37"/>
      <c r="D2931" s="37"/>
      <c r="E2931" s="37"/>
      <c r="F2931" s="37"/>
      <c r="G2931" s="70"/>
    </row>
    <row r="2932" spans="2:7" x14ac:dyDescent="0.25">
      <c r="B2932" s="37"/>
      <c r="C2932" s="37"/>
      <c r="D2932" s="37"/>
      <c r="E2932" s="37"/>
      <c r="F2932" s="37"/>
      <c r="G2932" s="70"/>
    </row>
    <row r="2933" spans="2:7" x14ac:dyDescent="0.25">
      <c r="B2933" s="37"/>
      <c r="C2933" s="37"/>
      <c r="D2933" s="37"/>
      <c r="E2933" s="37"/>
      <c r="F2933" s="37"/>
      <c r="G2933" s="70"/>
    </row>
    <row r="2934" spans="2:7" x14ac:dyDescent="0.25">
      <c r="B2934" s="37"/>
      <c r="C2934" s="37"/>
      <c r="D2934" s="37"/>
      <c r="E2934" s="37"/>
      <c r="F2934" s="37"/>
      <c r="G2934" s="70"/>
    </row>
    <row r="2935" spans="2:7" x14ac:dyDescent="0.25">
      <c r="B2935" s="37"/>
      <c r="C2935" s="37"/>
      <c r="D2935" s="37"/>
      <c r="E2935" s="37"/>
      <c r="F2935" s="37"/>
      <c r="G2935" s="70"/>
    </row>
    <row r="2936" spans="2:7" x14ac:dyDescent="0.25">
      <c r="B2936" s="37"/>
      <c r="C2936" s="37"/>
      <c r="D2936" s="37"/>
      <c r="E2936" s="37"/>
      <c r="F2936" s="37"/>
      <c r="G2936" s="70"/>
    </row>
    <row r="2937" spans="2:7" x14ac:dyDescent="0.25">
      <c r="B2937" s="37"/>
      <c r="C2937" s="37"/>
      <c r="D2937" s="37"/>
      <c r="E2937" s="37"/>
      <c r="F2937" s="37"/>
      <c r="G2937" s="70"/>
    </row>
    <row r="2938" spans="2:7" x14ac:dyDescent="0.25">
      <c r="B2938" s="37"/>
      <c r="C2938" s="37"/>
      <c r="D2938" s="37"/>
      <c r="E2938" s="37"/>
      <c r="F2938" s="37"/>
      <c r="G2938" s="70"/>
    </row>
    <row r="2939" spans="2:7" x14ac:dyDescent="0.25">
      <c r="B2939" s="37"/>
      <c r="C2939" s="37"/>
      <c r="D2939" s="37"/>
      <c r="E2939" s="37"/>
      <c r="F2939" s="37"/>
      <c r="G2939" s="70"/>
    </row>
    <row r="2940" spans="2:7" x14ac:dyDescent="0.25">
      <c r="B2940" s="37"/>
      <c r="C2940" s="37"/>
      <c r="D2940" s="37"/>
      <c r="E2940" s="37"/>
      <c r="F2940" s="37"/>
      <c r="G2940" s="70"/>
    </row>
    <row r="2941" spans="2:7" x14ac:dyDescent="0.25">
      <c r="B2941" s="37"/>
      <c r="C2941" s="37"/>
      <c r="D2941" s="37"/>
      <c r="E2941" s="37"/>
      <c r="F2941" s="37"/>
      <c r="G2941" s="70"/>
    </row>
    <row r="2942" spans="2:7" x14ac:dyDescent="0.25">
      <c r="B2942" s="37"/>
      <c r="C2942" s="37"/>
      <c r="D2942" s="37"/>
      <c r="E2942" s="37"/>
      <c r="F2942" s="37"/>
      <c r="G2942" s="70"/>
    </row>
    <row r="2943" spans="2:7" x14ac:dyDescent="0.25">
      <c r="B2943" s="37"/>
      <c r="C2943" s="37"/>
      <c r="D2943" s="37"/>
      <c r="E2943" s="37"/>
      <c r="F2943" s="37"/>
      <c r="G2943" s="70"/>
    </row>
    <row r="2944" spans="2:7" x14ac:dyDescent="0.25">
      <c r="B2944" s="37"/>
      <c r="C2944" s="37"/>
      <c r="D2944" s="37"/>
      <c r="E2944" s="37"/>
      <c r="F2944" s="37"/>
      <c r="G2944" s="70"/>
    </row>
    <row r="2945" spans="2:7" x14ac:dyDescent="0.25">
      <c r="B2945" s="37"/>
      <c r="C2945" s="37"/>
      <c r="D2945" s="37"/>
      <c r="E2945" s="37"/>
      <c r="F2945" s="37"/>
      <c r="G2945" s="70"/>
    </row>
    <row r="2946" spans="2:7" x14ac:dyDescent="0.25">
      <c r="B2946" s="37"/>
      <c r="C2946" s="37"/>
      <c r="D2946" s="37"/>
      <c r="E2946" s="37"/>
      <c r="F2946" s="37"/>
      <c r="G2946" s="70"/>
    </row>
    <row r="2947" spans="2:7" x14ac:dyDescent="0.25">
      <c r="B2947" s="37"/>
      <c r="C2947" s="37"/>
      <c r="D2947" s="37"/>
      <c r="E2947" s="37"/>
      <c r="F2947" s="37"/>
      <c r="G2947" s="70"/>
    </row>
    <row r="2948" spans="2:7" x14ac:dyDescent="0.25">
      <c r="B2948" s="37"/>
      <c r="C2948" s="37"/>
      <c r="D2948" s="37"/>
      <c r="E2948" s="37"/>
      <c r="F2948" s="37"/>
      <c r="G2948" s="70"/>
    </row>
    <row r="2949" spans="2:7" x14ac:dyDescent="0.25">
      <c r="B2949" s="37"/>
      <c r="C2949" s="37"/>
      <c r="D2949" s="37"/>
      <c r="E2949" s="37"/>
      <c r="F2949" s="37"/>
      <c r="G2949" s="70"/>
    </row>
    <row r="2950" spans="2:7" x14ac:dyDescent="0.25">
      <c r="B2950" s="37"/>
      <c r="C2950" s="37"/>
      <c r="D2950" s="37"/>
      <c r="E2950" s="37"/>
      <c r="F2950" s="37"/>
      <c r="G2950" s="70"/>
    </row>
    <row r="2951" spans="2:7" x14ac:dyDescent="0.25">
      <c r="B2951" s="37"/>
      <c r="C2951" s="37"/>
      <c r="D2951" s="37"/>
      <c r="E2951" s="37"/>
      <c r="F2951" s="37"/>
      <c r="G2951" s="70"/>
    </row>
    <row r="2952" spans="2:7" x14ac:dyDescent="0.25">
      <c r="B2952" s="37"/>
      <c r="C2952" s="37"/>
      <c r="D2952" s="37"/>
      <c r="E2952" s="37"/>
      <c r="F2952" s="37"/>
      <c r="G2952" s="70"/>
    </row>
    <row r="2953" spans="2:7" x14ac:dyDescent="0.25">
      <c r="B2953" s="37"/>
      <c r="C2953" s="37"/>
      <c r="D2953" s="37"/>
      <c r="E2953" s="37"/>
      <c r="F2953" s="37"/>
      <c r="G2953" s="70"/>
    </row>
    <row r="2954" spans="2:7" x14ac:dyDescent="0.25">
      <c r="B2954" s="37"/>
      <c r="C2954" s="37"/>
      <c r="D2954" s="37"/>
      <c r="E2954" s="37"/>
      <c r="F2954" s="37"/>
      <c r="G2954" s="70"/>
    </row>
    <row r="2955" spans="2:7" x14ac:dyDescent="0.25">
      <c r="B2955" s="37"/>
      <c r="C2955" s="37"/>
      <c r="D2955" s="37"/>
      <c r="E2955" s="37"/>
      <c r="F2955" s="37"/>
      <c r="G2955" s="70"/>
    </row>
    <row r="2956" spans="2:7" x14ac:dyDescent="0.25">
      <c r="B2956" s="37"/>
      <c r="C2956" s="37"/>
      <c r="D2956" s="37"/>
      <c r="E2956" s="37"/>
      <c r="F2956" s="37"/>
      <c r="G2956" s="70"/>
    </row>
    <row r="2957" spans="2:7" x14ac:dyDescent="0.25">
      <c r="B2957" s="37"/>
      <c r="C2957" s="37"/>
      <c r="D2957" s="37"/>
      <c r="E2957" s="37"/>
      <c r="F2957" s="37"/>
      <c r="G2957" s="70"/>
    </row>
    <row r="2958" spans="2:7" x14ac:dyDescent="0.25">
      <c r="B2958" s="37"/>
      <c r="C2958" s="37"/>
      <c r="D2958" s="37"/>
      <c r="E2958" s="37"/>
      <c r="F2958" s="37"/>
      <c r="G2958" s="70"/>
    </row>
    <row r="2959" spans="2:7" x14ac:dyDescent="0.25">
      <c r="B2959" s="37"/>
      <c r="C2959" s="37"/>
      <c r="D2959" s="37"/>
      <c r="E2959" s="37"/>
      <c r="F2959" s="37"/>
      <c r="G2959" s="70"/>
    </row>
    <row r="2960" spans="2:7" x14ac:dyDescent="0.25">
      <c r="B2960" s="37"/>
      <c r="C2960" s="37"/>
      <c r="D2960" s="37"/>
      <c r="E2960" s="37"/>
      <c r="F2960" s="37"/>
      <c r="G2960" s="70"/>
    </row>
    <row r="2961" spans="2:7" x14ac:dyDescent="0.25">
      <c r="B2961" s="37"/>
      <c r="C2961" s="37"/>
      <c r="D2961" s="37"/>
      <c r="E2961" s="37"/>
      <c r="F2961" s="37"/>
      <c r="G2961" s="70"/>
    </row>
    <row r="2962" spans="2:7" x14ac:dyDescent="0.25">
      <c r="B2962" s="37"/>
      <c r="C2962" s="37"/>
      <c r="D2962" s="37"/>
      <c r="E2962" s="37"/>
      <c r="F2962" s="37"/>
      <c r="G2962" s="70"/>
    </row>
    <row r="2963" spans="2:7" x14ac:dyDescent="0.25">
      <c r="B2963" s="37"/>
      <c r="C2963" s="37"/>
      <c r="D2963" s="37"/>
      <c r="E2963" s="37"/>
      <c r="F2963" s="37"/>
      <c r="G2963" s="70"/>
    </row>
    <row r="2964" spans="2:7" x14ac:dyDescent="0.25">
      <c r="B2964" s="37"/>
      <c r="C2964" s="37"/>
      <c r="D2964" s="37"/>
      <c r="E2964" s="37"/>
      <c r="F2964" s="37"/>
      <c r="G2964" s="70"/>
    </row>
    <row r="2965" spans="2:7" x14ac:dyDescent="0.25">
      <c r="B2965" s="37"/>
      <c r="C2965" s="37"/>
      <c r="D2965" s="37"/>
      <c r="E2965" s="37"/>
      <c r="F2965" s="37"/>
      <c r="G2965" s="70"/>
    </row>
    <row r="2966" spans="2:7" x14ac:dyDescent="0.25">
      <c r="B2966" s="37"/>
      <c r="C2966" s="37"/>
      <c r="D2966" s="37"/>
      <c r="E2966" s="37"/>
      <c r="F2966" s="37"/>
      <c r="G2966" s="70"/>
    </row>
    <row r="2967" spans="2:7" x14ac:dyDescent="0.25">
      <c r="B2967" s="37"/>
      <c r="C2967" s="37"/>
      <c r="D2967" s="37"/>
      <c r="E2967" s="37"/>
      <c r="F2967" s="37"/>
      <c r="G2967" s="70"/>
    </row>
    <row r="2968" spans="2:7" x14ac:dyDescent="0.25">
      <c r="B2968" s="37"/>
      <c r="C2968" s="37"/>
      <c r="D2968" s="37"/>
      <c r="E2968" s="37"/>
      <c r="F2968" s="37"/>
      <c r="G2968" s="70"/>
    </row>
    <row r="2969" spans="2:7" x14ac:dyDescent="0.25">
      <c r="B2969" s="37"/>
      <c r="C2969" s="37"/>
      <c r="D2969" s="37"/>
      <c r="E2969" s="37"/>
      <c r="F2969" s="37"/>
      <c r="G2969" s="70"/>
    </row>
    <row r="2970" spans="2:7" x14ac:dyDescent="0.25">
      <c r="B2970" s="37"/>
      <c r="C2970" s="37"/>
      <c r="D2970" s="37"/>
      <c r="E2970" s="37"/>
      <c r="F2970" s="37"/>
      <c r="G2970" s="70"/>
    </row>
    <row r="2971" spans="2:7" x14ac:dyDescent="0.25">
      <c r="B2971" s="37"/>
      <c r="C2971" s="37"/>
      <c r="D2971" s="37"/>
      <c r="E2971" s="37"/>
      <c r="F2971" s="37"/>
      <c r="G2971" s="70"/>
    </row>
    <row r="2972" spans="2:7" x14ac:dyDescent="0.25">
      <c r="B2972" s="37"/>
      <c r="C2972" s="37"/>
      <c r="D2972" s="37"/>
      <c r="E2972" s="37"/>
      <c r="F2972" s="37"/>
      <c r="G2972" s="70"/>
    </row>
    <row r="2973" spans="2:7" x14ac:dyDescent="0.25">
      <c r="B2973" s="37"/>
      <c r="C2973" s="37"/>
      <c r="D2973" s="37"/>
      <c r="E2973" s="37"/>
      <c r="F2973" s="37"/>
      <c r="G2973" s="70"/>
    </row>
    <row r="2974" spans="2:7" x14ac:dyDescent="0.25">
      <c r="B2974" s="37"/>
      <c r="C2974" s="37"/>
      <c r="D2974" s="37"/>
      <c r="E2974" s="37"/>
      <c r="F2974" s="37"/>
      <c r="G2974" s="70"/>
    </row>
    <row r="2975" spans="2:7" x14ac:dyDescent="0.25">
      <c r="B2975" s="37"/>
      <c r="C2975" s="37"/>
      <c r="D2975" s="37"/>
      <c r="E2975" s="37"/>
      <c r="F2975" s="37"/>
      <c r="G2975" s="70"/>
    </row>
    <row r="2976" spans="2:7" x14ac:dyDescent="0.25">
      <c r="B2976" s="37"/>
      <c r="C2976" s="37"/>
      <c r="D2976" s="37"/>
      <c r="E2976" s="37"/>
      <c r="F2976" s="37"/>
      <c r="G2976" s="70"/>
    </row>
    <row r="2977" spans="2:7" x14ac:dyDescent="0.25">
      <c r="B2977" s="37"/>
      <c r="C2977" s="37"/>
      <c r="D2977" s="37"/>
      <c r="E2977" s="37"/>
      <c r="F2977" s="37"/>
      <c r="G2977" s="70"/>
    </row>
    <row r="2978" spans="2:7" x14ac:dyDescent="0.25">
      <c r="B2978" s="37"/>
      <c r="C2978" s="37"/>
      <c r="D2978" s="37"/>
      <c r="E2978" s="37"/>
      <c r="F2978" s="37"/>
      <c r="G2978" s="70"/>
    </row>
    <row r="2979" spans="2:7" x14ac:dyDescent="0.25">
      <c r="B2979" s="37"/>
      <c r="C2979" s="37"/>
      <c r="D2979" s="37"/>
      <c r="E2979" s="37"/>
      <c r="F2979" s="37"/>
      <c r="G2979" s="70"/>
    </row>
    <row r="2980" spans="2:7" x14ac:dyDescent="0.25">
      <c r="B2980" s="37"/>
      <c r="C2980" s="37"/>
      <c r="D2980" s="37"/>
      <c r="E2980" s="37"/>
      <c r="F2980" s="37"/>
      <c r="G2980" s="70"/>
    </row>
    <row r="2981" spans="2:7" x14ac:dyDescent="0.25">
      <c r="B2981" s="37"/>
      <c r="C2981" s="37"/>
      <c r="D2981" s="37"/>
      <c r="E2981" s="37"/>
      <c r="F2981" s="37"/>
      <c r="G2981" s="70"/>
    </row>
    <row r="2982" spans="2:7" x14ac:dyDescent="0.25">
      <c r="B2982" s="37"/>
      <c r="C2982" s="37"/>
      <c r="D2982" s="37"/>
      <c r="E2982" s="37"/>
      <c r="F2982" s="37"/>
      <c r="G2982" s="70"/>
    </row>
    <row r="2983" spans="2:7" x14ac:dyDescent="0.25">
      <c r="B2983" s="37"/>
      <c r="C2983" s="37"/>
      <c r="D2983" s="37"/>
      <c r="E2983" s="37"/>
      <c r="F2983" s="37"/>
      <c r="G2983" s="70"/>
    </row>
    <row r="2984" spans="2:7" x14ac:dyDescent="0.25">
      <c r="B2984" s="37"/>
      <c r="C2984" s="37"/>
      <c r="D2984" s="37"/>
      <c r="E2984" s="37"/>
      <c r="F2984" s="37"/>
      <c r="G2984" s="70"/>
    </row>
    <row r="2985" spans="2:7" x14ac:dyDescent="0.25">
      <c r="B2985" s="37"/>
      <c r="C2985" s="37"/>
      <c r="D2985" s="37"/>
      <c r="E2985" s="37"/>
      <c r="F2985" s="37"/>
      <c r="G2985" s="70"/>
    </row>
    <row r="2986" spans="2:7" x14ac:dyDescent="0.25">
      <c r="B2986" s="37"/>
      <c r="C2986" s="37"/>
      <c r="D2986" s="37"/>
      <c r="E2986" s="37"/>
      <c r="F2986" s="37"/>
      <c r="G2986" s="70"/>
    </row>
    <row r="2987" spans="2:7" x14ac:dyDescent="0.25">
      <c r="B2987" s="37"/>
      <c r="C2987" s="37"/>
      <c r="D2987" s="37"/>
      <c r="E2987" s="37"/>
      <c r="F2987" s="37"/>
      <c r="G2987" s="70"/>
    </row>
    <row r="2988" spans="2:7" x14ac:dyDescent="0.25">
      <c r="B2988" s="37"/>
      <c r="C2988" s="37"/>
      <c r="D2988" s="37"/>
      <c r="E2988" s="37"/>
      <c r="F2988" s="37"/>
      <c r="G2988" s="70"/>
    </row>
    <row r="2989" spans="2:7" x14ac:dyDescent="0.25">
      <c r="B2989" s="37"/>
      <c r="C2989" s="37"/>
      <c r="D2989" s="37"/>
      <c r="E2989" s="37"/>
      <c r="F2989" s="37"/>
      <c r="G2989" s="70"/>
    </row>
    <row r="2990" spans="2:7" x14ac:dyDescent="0.25">
      <c r="B2990" s="37"/>
      <c r="C2990" s="37"/>
      <c r="D2990" s="37"/>
      <c r="E2990" s="37"/>
      <c r="F2990" s="37"/>
      <c r="G2990" s="70"/>
    </row>
    <row r="2991" spans="2:7" x14ac:dyDescent="0.25">
      <c r="B2991" s="37"/>
      <c r="C2991" s="37"/>
      <c r="D2991" s="37"/>
      <c r="E2991" s="37"/>
      <c r="F2991" s="37"/>
      <c r="G2991" s="70"/>
    </row>
    <row r="2992" spans="2:7" x14ac:dyDescent="0.25">
      <c r="B2992" s="37"/>
      <c r="C2992" s="37"/>
      <c r="D2992" s="37"/>
      <c r="E2992" s="37"/>
      <c r="F2992" s="37"/>
      <c r="G2992" s="70"/>
    </row>
    <row r="2993" spans="2:7" x14ac:dyDescent="0.25">
      <c r="B2993" s="37"/>
      <c r="C2993" s="37"/>
      <c r="D2993" s="37"/>
      <c r="E2993" s="37"/>
      <c r="F2993" s="37"/>
      <c r="G2993" s="70"/>
    </row>
    <row r="2994" spans="2:7" x14ac:dyDescent="0.25">
      <c r="B2994" s="37"/>
      <c r="C2994" s="37"/>
      <c r="D2994" s="37"/>
      <c r="E2994" s="37"/>
      <c r="F2994" s="37"/>
      <c r="G2994" s="70"/>
    </row>
    <row r="2995" spans="2:7" x14ac:dyDescent="0.25">
      <c r="B2995" s="37"/>
      <c r="C2995" s="37"/>
      <c r="D2995" s="37"/>
      <c r="E2995" s="37"/>
      <c r="F2995" s="37"/>
      <c r="G2995" s="70"/>
    </row>
    <row r="2996" spans="2:7" x14ac:dyDescent="0.25">
      <c r="B2996" s="37"/>
      <c r="C2996" s="37"/>
      <c r="D2996" s="37"/>
      <c r="E2996" s="37"/>
      <c r="F2996" s="37"/>
      <c r="G2996" s="70"/>
    </row>
    <row r="2997" spans="2:7" x14ac:dyDescent="0.25">
      <c r="B2997" s="37"/>
      <c r="C2997" s="37"/>
      <c r="D2997" s="37"/>
      <c r="E2997" s="37"/>
      <c r="F2997" s="37"/>
      <c r="G2997" s="70"/>
    </row>
    <row r="2998" spans="2:7" x14ac:dyDescent="0.25">
      <c r="B2998" s="37"/>
      <c r="C2998" s="37"/>
      <c r="D2998" s="37"/>
      <c r="E2998" s="37"/>
      <c r="F2998" s="37"/>
      <c r="G2998" s="70"/>
    </row>
    <row r="2999" spans="2:7" x14ac:dyDescent="0.25">
      <c r="B2999" s="37"/>
      <c r="C2999" s="37"/>
      <c r="D2999" s="37"/>
      <c r="E2999" s="37"/>
      <c r="F2999" s="37"/>
      <c r="G2999" s="70"/>
    </row>
    <row r="3000" spans="2:7" x14ac:dyDescent="0.25">
      <c r="B3000" s="37"/>
      <c r="C3000" s="37"/>
      <c r="D3000" s="37"/>
      <c r="E3000" s="37"/>
      <c r="F3000" s="37"/>
      <c r="G3000" s="70"/>
    </row>
    <row r="3001" spans="2:7" x14ac:dyDescent="0.25">
      <c r="B3001" s="37"/>
      <c r="C3001" s="37"/>
      <c r="D3001" s="37"/>
      <c r="E3001" s="37"/>
      <c r="F3001" s="37"/>
      <c r="G3001" s="70"/>
    </row>
    <row r="3002" spans="2:7" x14ac:dyDescent="0.25">
      <c r="B3002" s="37"/>
      <c r="C3002" s="37"/>
      <c r="D3002" s="37"/>
      <c r="E3002" s="37"/>
      <c r="F3002" s="37"/>
      <c r="G3002" s="70"/>
    </row>
    <row r="3003" spans="2:7" x14ac:dyDescent="0.25">
      <c r="B3003" s="37"/>
      <c r="C3003" s="37"/>
      <c r="D3003" s="37"/>
      <c r="E3003" s="37"/>
      <c r="F3003" s="37"/>
      <c r="G3003" s="70"/>
    </row>
    <row r="3004" spans="2:7" x14ac:dyDescent="0.25">
      <c r="B3004" s="37"/>
      <c r="C3004" s="37"/>
      <c r="D3004" s="37"/>
      <c r="E3004" s="37"/>
      <c r="F3004" s="37"/>
      <c r="G3004" s="70"/>
    </row>
    <row r="3005" spans="2:7" x14ac:dyDescent="0.25">
      <c r="B3005" s="37"/>
      <c r="C3005" s="37"/>
      <c r="D3005" s="37"/>
      <c r="E3005" s="37"/>
      <c r="F3005" s="37"/>
      <c r="G3005" s="70"/>
    </row>
    <row r="3006" spans="2:7" x14ac:dyDescent="0.25">
      <c r="B3006" s="37"/>
      <c r="C3006" s="37"/>
      <c r="D3006" s="37"/>
      <c r="E3006" s="37"/>
      <c r="F3006" s="37"/>
      <c r="G3006" s="70"/>
    </row>
    <row r="3007" spans="2:7" x14ac:dyDescent="0.25">
      <c r="B3007" s="37"/>
      <c r="C3007" s="37"/>
      <c r="D3007" s="37"/>
      <c r="E3007" s="37"/>
      <c r="F3007" s="37"/>
      <c r="G3007" s="70"/>
    </row>
    <row r="3008" spans="2:7" x14ac:dyDescent="0.25">
      <c r="B3008" s="37"/>
      <c r="C3008" s="37"/>
      <c r="D3008" s="37"/>
      <c r="E3008" s="37"/>
      <c r="F3008" s="37"/>
      <c r="G3008" s="70"/>
    </row>
    <row r="3009" spans="2:7" x14ac:dyDescent="0.25">
      <c r="B3009" s="37"/>
      <c r="C3009" s="37"/>
      <c r="D3009" s="37"/>
      <c r="E3009" s="37"/>
      <c r="F3009" s="37"/>
      <c r="G3009" s="70"/>
    </row>
    <row r="3010" spans="2:7" x14ac:dyDescent="0.25">
      <c r="B3010" s="37"/>
      <c r="C3010" s="37"/>
      <c r="D3010" s="37"/>
      <c r="E3010" s="37"/>
      <c r="F3010" s="37"/>
      <c r="G3010" s="70"/>
    </row>
    <row r="3011" spans="2:7" x14ac:dyDescent="0.25">
      <c r="B3011" s="37"/>
      <c r="C3011" s="37"/>
      <c r="D3011" s="37"/>
      <c r="E3011" s="37"/>
      <c r="F3011" s="37"/>
      <c r="G3011" s="70"/>
    </row>
    <row r="3012" spans="2:7" x14ac:dyDescent="0.25">
      <c r="B3012" s="37"/>
      <c r="C3012" s="37"/>
      <c r="D3012" s="37"/>
      <c r="E3012" s="37"/>
      <c r="F3012" s="37"/>
      <c r="G3012" s="70"/>
    </row>
    <row r="3013" spans="2:7" x14ac:dyDescent="0.25">
      <c r="B3013" s="37"/>
      <c r="C3013" s="37"/>
      <c r="D3013" s="37"/>
      <c r="E3013" s="37"/>
      <c r="F3013" s="37"/>
      <c r="G3013" s="70"/>
    </row>
    <row r="3014" spans="2:7" x14ac:dyDescent="0.25">
      <c r="B3014" s="37"/>
      <c r="C3014" s="37"/>
      <c r="D3014" s="37"/>
      <c r="E3014" s="37"/>
      <c r="F3014" s="37"/>
      <c r="G3014" s="70"/>
    </row>
    <row r="3015" spans="2:7" x14ac:dyDescent="0.25">
      <c r="B3015" s="37"/>
      <c r="C3015" s="37"/>
      <c r="D3015" s="37"/>
      <c r="E3015" s="37"/>
      <c r="F3015" s="37"/>
      <c r="G3015" s="70"/>
    </row>
    <row r="3016" spans="2:7" x14ac:dyDescent="0.25">
      <c r="B3016" s="37"/>
      <c r="C3016" s="37"/>
      <c r="D3016" s="37"/>
      <c r="E3016" s="37"/>
      <c r="F3016" s="37"/>
      <c r="G3016" s="70"/>
    </row>
    <row r="3017" spans="2:7" x14ac:dyDescent="0.25">
      <c r="B3017" s="37"/>
      <c r="C3017" s="37"/>
      <c r="D3017" s="37"/>
      <c r="E3017" s="37"/>
      <c r="F3017" s="37"/>
      <c r="G3017" s="70"/>
    </row>
    <row r="3018" spans="2:7" x14ac:dyDescent="0.25">
      <c r="B3018" s="37"/>
      <c r="C3018" s="37"/>
      <c r="D3018" s="37"/>
      <c r="E3018" s="37"/>
      <c r="F3018" s="37"/>
      <c r="G3018" s="70"/>
    </row>
    <row r="3019" spans="2:7" x14ac:dyDescent="0.25">
      <c r="B3019" s="37"/>
      <c r="C3019" s="37"/>
      <c r="D3019" s="37"/>
      <c r="E3019" s="37"/>
      <c r="F3019" s="37"/>
      <c r="G3019" s="70"/>
    </row>
    <row r="3020" spans="2:7" x14ac:dyDescent="0.25">
      <c r="B3020" s="37"/>
      <c r="C3020" s="37"/>
      <c r="D3020" s="37"/>
      <c r="E3020" s="37"/>
      <c r="F3020" s="37"/>
      <c r="G3020" s="70"/>
    </row>
    <row r="3021" spans="2:7" x14ac:dyDescent="0.25">
      <c r="B3021" s="37"/>
      <c r="C3021" s="37"/>
      <c r="D3021" s="37"/>
      <c r="E3021" s="37"/>
      <c r="F3021" s="37"/>
      <c r="G3021" s="70"/>
    </row>
    <row r="3022" spans="2:7" x14ac:dyDescent="0.25">
      <c r="B3022" s="37"/>
      <c r="C3022" s="37"/>
      <c r="D3022" s="37"/>
      <c r="E3022" s="37"/>
      <c r="F3022" s="37"/>
      <c r="G3022" s="70"/>
    </row>
    <row r="3023" spans="2:7" x14ac:dyDescent="0.25">
      <c r="B3023" s="37"/>
      <c r="C3023" s="37"/>
      <c r="D3023" s="37"/>
      <c r="E3023" s="37"/>
      <c r="F3023" s="37"/>
      <c r="G3023" s="70"/>
    </row>
    <row r="3024" spans="2:7" x14ac:dyDescent="0.25">
      <c r="B3024" s="37"/>
      <c r="C3024" s="37"/>
      <c r="D3024" s="37"/>
      <c r="E3024" s="37"/>
      <c r="F3024" s="37"/>
      <c r="G3024" s="70"/>
    </row>
    <row r="3025" spans="2:7" x14ac:dyDescent="0.25">
      <c r="B3025" s="37"/>
      <c r="C3025" s="37"/>
      <c r="D3025" s="37"/>
      <c r="E3025" s="37"/>
      <c r="F3025" s="37"/>
      <c r="G3025" s="70"/>
    </row>
    <row r="3026" spans="2:7" x14ac:dyDescent="0.25">
      <c r="B3026" s="37"/>
      <c r="C3026" s="37"/>
      <c r="D3026" s="37"/>
      <c r="E3026" s="37"/>
      <c r="F3026" s="37"/>
      <c r="G3026" s="70"/>
    </row>
    <row r="3027" spans="2:7" x14ac:dyDescent="0.25">
      <c r="B3027" s="37"/>
      <c r="C3027" s="37"/>
      <c r="D3027" s="37"/>
      <c r="E3027" s="37"/>
      <c r="F3027" s="37"/>
      <c r="G3027" s="70"/>
    </row>
    <row r="3028" spans="2:7" x14ac:dyDescent="0.25">
      <c r="B3028" s="37"/>
      <c r="C3028" s="37"/>
      <c r="D3028" s="37"/>
      <c r="E3028" s="37"/>
      <c r="F3028" s="37"/>
      <c r="G3028" s="70"/>
    </row>
    <row r="3029" spans="2:7" x14ac:dyDescent="0.25">
      <c r="B3029" s="37"/>
      <c r="C3029" s="37"/>
      <c r="D3029" s="37"/>
      <c r="E3029" s="37"/>
      <c r="F3029" s="37"/>
      <c r="G3029" s="70"/>
    </row>
    <row r="3030" spans="2:7" x14ac:dyDescent="0.25">
      <c r="B3030" s="37"/>
      <c r="C3030" s="37"/>
      <c r="D3030" s="37"/>
      <c r="E3030" s="37"/>
      <c r="F3030" s="37"/>
      <c r="G3030" s="70"/>
    </row>
    <row r="3031" spans="2:7" x14ac:dyDescent="0.25">
      <c r="B3031" s="37"/>
      <c r="C3031" s="37"/>
      <c r="D3031" s="37"/>
      <c r="E3031" s="37"/>
      <c r="F3031" s="37"/>
      <c r="G3031" s="70"/>
    </row>
    <row r="3032" spans="2:7" x14ac:dyDescent="0.25">
      <c r="B3032" s="37"/>
      <c r="C3032" s="37"/>
      <c r="D3032" s="37"/>
      <c r="E3032" s="37"/>
      <c r="F3032" s="37"/>
      <c r="G3032" s="70"/>
    </row>
    <row r="3033" spans="2:7" x14ac:dyDescent="0.25">
      <c r="B3033" s="37"/>
      <c r="C3033" s="37"/>
      <c r="D3033" s="37"/>
      <c r="E3033" s="37"/>
      <c r="F3033" s="37"/>
      <c r="G3033" s="70"/>
    </row>
    <row r="3034" spans="2:7" x14ac:dyDescent="0.25">
      <c r="B3034" s="37"/>
      <c r="C3034" s="37"/>
      <c r="D3034" s="37"/>
      <c r="E3034" s="37"/>
      <c r="F3034" s="37"/>
      <c r="G3034" s="70"/>
    </row>
    <row r="3035" spans="2:7" x14ac:dyDescent="0.25">
      <c r="B3035" s="37"/>
      <c r="C3035" s="37"/>
      <c r="D3035" s="37"/>
      <c r="E3035" s="37"/>
      <c r="F3035" s="37"/>
      <c r="G3035" s="70"/>
    </row>
    <row r="3036" spans="2:7" x14ac:dyDescent="0.25">
      <c r="B3036" s="37"/>
      <c r="C3036" s="37"/>
      <c r="D3036" s="37"/>
      <c r="E3036" s="37"/>
      <c r="F3036" s="37"/>
      <c r="G3036" s="70"/>
    </row>
    <row r="3037" spans="2:7" x14ac:dyDescent="0.25">
      <c r="B3037" s="37"/>
      <c r="C3037" s="37"/>
      <c r="D3037" s="37"/>
      <c r="E3037" s="37"/>
      <c r="F3037" s="37"/>
      <c r="G3037" s="70"/>
    </row>
    <row r="3038" spans="2:7" x14ac:dyDescent="0.25">
      <c r="B3038" s="37"/>
      <c r="C3038" s="37"/>
      <c r="D3038" s="37"/>
      <c r="E3038" s="37"/>
      <c r="F3038" s="37"/>
      <c r="G3038" s="70"/>
    </row>
    <row r="3039" spans="2:7" x14ac:dyDescent="0.25">
      <c r="B3039" s="37"/>
      <c r="C3039" s="37"/>
      <c r="D3039" s="37"/>
      <c r="E3039" s="37"/>
      <c r="F3039" s="37"/>
      <c r="G3039" s="70"/>
    </row>
    <row r="3040" spans="2:7" x14ac:dyDescent="0.25">
      <c r="B3040" s="37"/>
      <c r="C3040" s="37"/>
      <c r="D3040" s="37"/>
      <c r="E3040" s="37"/>
      <c r="F3040" s="37"/>
      <c r="G3040" s="70"/>
    </row>
    <row r="3041" spans="2:7" x14ac:dyDescent="0.25">
      <c r="B3041" s="37"/>
      <c r="C3041" s="37"/>
      <c r="D3041" s="37"/>
      <c r="E3041" s="37"/>
      <c r="F3041" s="37"/>
      <c r="G3041" s="70"/>
    </row>
    <row r="3042" spans="2:7" x14ac:dyDescent="0.25">
      <c r="B3042" s="37"/>
      <c r="C3042" s="37"/>
      <c r="D3042" s="37"/>
      <c r="E3042" s="37"/>
      <c r="F3042" s="37"/>
      <c r="G3042" s="70"/>
    </row>
    <row r="3043" spans="2:7" x14ac:dyDescent="0.25">
      <c r="B3043" s="37"/>
      <c r="C3043" s="37"/>
      <c r="D3043" s="37"/>
      <c r="E3043" s="37"/>
      <c r="F3043" s="37"/>
      <c r="G3043" s="70"/>
    </row>
    <row r="3044" spans="2:7" x14ac:dyDescent="0.25">
      <c r="B3044" s="37"/>
      <c r="C3044" s="37"/>
      <c r="D3044" s="37"/>
      <c r="E3044" s="37"/>
      <c r="F3044" s="37"/>
      <c r="G3044" s="70"/>
    </row>
    <row r="3045" spans="2:7" x14ac:dyDescent="0.25">
      <c r="B3045" s="37"/>
      <c r="C3045" s="37"/>
      <c r="D3045" s="37"/>
      <c r="E3045" s="37"/>
      <c r="F3045" s="37"/>
      <c r="G3045" s="70"/>
    </row>
    <row r="3046" spans="2:7" x14ac:dyDescent="0.25">
      <c r="B3046" s="37"/>
      <c r="C3046" s="37"/>
      <c r="D3046" s="37"/>
      <c r="E3046" s="37"/>
      <c r="F3046" s="37"/>
      <c r="G3046" s="70"/>
    </row>
    <row r="3047" spans="2:7" x14ac:dyDescent="0.25">
      <c r="B3047" s="37"/>
      <c r="C3047" s="37"/>
      <c r="D3047" s="37"/>
      <c r="E3047" s="37"/>
      <c r="F3047" s="37"/>
      <c r="G3047" s="70"/>
    </row>
    <row r="3048" spans="2:7" x14ac:dyDescent="0.25">
      <c r="B3048" s="37"/>
      <c r="C3048" s="37"/>
      <c r="D3048" s="37"/>
      <c r="E3048" s="37"/>
      <c r="F3048" s="37"/>
      <c r="G3048" s="70"/>
    </row>
    <row r="3049" spans="2:7" x14ac:dyDescent="0.25">
      <c r="B3049" s="37"/>
      <c r="C3049" s="37"/>
      <c r="D3049" s="37"/>
      <c r="E3049" s="37"/>
      <c r="F3049" s="37"/>
      <c r="G3049" s="70"/>
    </row>
    <row r="3050" spans="2:7" x14ac:dyDescent="0.25">
      <c r="B3050" s="37"/>
      <c r="C3050" s="37"/>
      <c r="D3050" s="37"/>
      <c r="E3050" s="37"/>
      <c r="F3050" s="37"/>
      <c r="G3050" s="70"/>
    </row>
    <row r="3051" spans="2:7" x14ac:dyDescent="0.25">
      <c r="B3051" s="37"/>
      <c r="C3051" s="37"/>
      <c r="D3051" s="37"/>
      <c r="E3051" s="37"/>
      <c r="F3051" s="37"/>
      <c r="G3051" s="70"/>
    </row>
    <row r="3052" spans="2:7" x14ac:dyDescent="0.25">
      <c r="B3052" s="37"/>
      <c r="C3052" s="37"/>
      <c r="D3052" s="37"/>
      <c r="E3052" s="37"/>
      <c r="F3052" s="37"/>
      <c r="G3052" s="70"/>
    </row>
    <row r="3053" spans="2:7" x14ac:dyDescent="0.25">
      <c r="B3053" s="37"/>
      <c r="C3053" s="37"/>
      <c r="D3053" s="37"/>
      <c r="E3053" s="37"/>
      <c r="F3053" s="37"/>
      <c r="G3053" s="70"/>
    </row>
    <row r="3054" spans="2:7" x14ac:dyDescent="0.25">
      <c r="B3054" s="37"/>
      <c r="C3054" s="37"/>
      <c r="D3054" s="37"/>
      <c r="E3054" s="37"/>
      <c r="F3054" s="37"/>
      <c r="G3054" s="70"/>
    </row>
    <row r="3055" spans="2:7" x14ac:dyDescent="0.25">
      <c r="B3055" s="37"/>
      <c r="C3055" s="37"/>
      <c r="D3055" s="37"/>
      <c r="E3055" s="37"/>
      <c r="F3055" s="37"/>
      <c r="G3055" s="70"/>
    </row>
    <row r="3056" spans="2:7" x14ac:dyDescent="0.25">
      <c r="B3056" s="37"/>
      <c r="C3056" s="37"/>
      <c r="D3056" s="37"/>
      <c r="E3056" s="37"/>
      <c r="F3056" s="37"/>
      <c r="G3056" s="70"/>
    </row>
    <row r="3057" spans="2:7" x14ac:dyDescent="0.25">
      <c r="B3057" s="37"/>
      <c r="C3057" s="37"/>
      <c r="D3057" s="37"/>
      <c r="E3057" s="37"/>
      <c r="F3057" s="37"/>
      <c r="G3057" s="70"/>
    </row>
    <row r="3058" spans="2:7" x14ac:dyDescent="0.25">
      <c r="B3058" s="37"/>
      <c r="C3058" s="37"/>
      <c r="D3058" s="37"/>
      <c r="E3058" s="37"/>
      <c r="F3058" s="37"/>
      <c r="G3058" s="70"/>
    </row>
    <row r="3059" spans="2:7" x14ac:dyDescent="0.25">
      <c r="B3059" s="37"/>
      <c r="C3059" s="37"/>
      <c r="D3059" s="37"/>
      <c r="E3059" s="37"/>
      <c r="F3059" s="37"/>
      <c r="G3059" s="70"/>
    </row>
    <row r="3060" spans="2:7" x14ac:dyDescent="0.25">
      <c r="B3060" s="37"/>
      <c r="C3060" s="37"/>
      <c r="D3060" s="37"/>
      <c r="E3060" s="37"/>
      <c r="F3060" s="37"/>
      <c r="G3060" s="70"/>
    </row>
    <row r="3061" spans="2:7" x14ac:dyDescent="0.25">
      <c r="B3061" s="37"/>
      <c r="C3061" s="37"/>
      <c r="D3061" s="37"/>
      <c r="E3061" s="37"/>
      <c r="F3061" s="37"/>
      <c r="G3061" s="70"/>
    </row>
    <row r="3062" spans="2:7" x14ac:dyDescent="0.25">
      <c r="B3062" s="37"/>
      <c r="C3062" s="37"/>
      <c r="D3062" s="37"/>
      <c r="E3062" s="37"/>
      <c r="F3062" s="37"/>
      <c r="G3062" s="70"/>
    </row>
    <row r="3063" spans="2:7" x14ac:dyDescent="0.25">
      <c r="B3063" s="37"/>
      <c r="C3063" s="37"/>
      <c r="D3063" s="37"/>
      <c r="E3063" s="37"/>
      <c r="F3063" s="37"/>
      <c r="G3063" s="70"/>
    </row>
    <row r="3064" spans="2:7" x14ac:dyDescent="0.25">
      <c r="B3064" s="37"/>
      <c r="C3064" s="37"/>
      <c r="D3064" s="37"/>
      <c r="E3064" s="37"/>
      <c r="F3064" s="37"/>
      <c r="G3064" s="70"/>
    </row>
    <row r="3065" spans="2:7" x14ac:dyDescent="0.25">
      <c r="B3065" s="37"/>
      <c r="C3065" s="37"/>
      <c r="D3065" s="37"/>
      <c r="E3065" s="37"/>
      <c r="F3065" s="37"/>
      <c r="G3065" s="70"/>
    </row>
    <row r="3066" spans="2:7" x14ac:dyDescent="0.25">
      <c r="B3066" s="37"/>
      <c r="C3066" s="37"/>
      <c r="D3066" s="37"/>
      <c r="E3066" s="37"/>
      <c r="F3066" s="37"/>
      <c r="G3066" s="70"/>
    </row>
    <row r="3067" spans="2:7" x14ac:dyDescent="0.25">
      <c r="B3067" s="37"/>
      <c r="C3067" s="37"/>
      <c r="D3067" s="37"/>
      <c r="E3067" s="37"/>
      <c r="F3067" s="37"/>
      <c r="G3067" s="70"/>
    </row>
    <row r="3068" spans="2:7" x14ac:dyDescent="0.25">
      <c r="B3068" s="37"/>
      <c r="C3068" s="37"/>
      <c r="D3068" s="37"/>
      <c r="E3068" s="37"/>
      <c r="F3068" s="37"/>
      <c r="G3068" s="70"/>
    </row>
    <row r="3069" spans="2:7" x14ac:dyDescent="0.25">
      <c r="B3069" s="37"/>
      <c r="C3069" s="37"/>
      <c r="D3069" s="37"/>
      <c r="E3069" s="37"/>
      <c r="F3069" s="37"/>
      <c r="G3069" s="70"/>
    </row>
    <row r="3070" spans="2:7" x14ac:dyDescent="0.25">
      <c r="B3070" s="37"/>
      <c r="C3070" s="37"/>
      <c r="D3070" s="37"/>
      <c r="E3070" s="37"/>
      <c r="F3070" s="37"/>
      <c r="G3070" s="70"/>
    </row>
    <row r="3071" spans="2:7" x14ac:dyDescent="0.25">
      <c r="B3071" s="37"/>
      <c r="C3071" s="37"/>
      <c r="D3071" s="37"/>
      <c r="E3071" s="37"/>
      <c r="F3071" s="37"/>
      <c r="G3071" s="70"/>
    </row>
    <row r="3072" spans="2:7" x14ac:dyDescent="0.25">
      <c r="B3072" s="37"/>
      <c r="C3072" s="37"/>
      <c r="D3072" s="37"/>
      <c r="E3072" s="37"/>
      <c r="F3072" s="37"/>
      <c r="G3072" s="70"/>
    </row>
    <row r="3073" spans="2:7" x14ac:dyDescent="0.25">
      <c r="B3073" s="37"/>
      <c r="C3073" s="37"/>
      <c r="D3073" s="37"/>
      <c r="E3073" s="37"/>
      <c r="F3073" s="37"/>
      <c r="G3073" s="70"/>
    </row>
    <row r="3074" spans="2:7" x14ac:dyDescent="0.25">
      <c r="B3074" s="37"/>
      <c r="C3074" s="37"/>
      <c r="D3074" s="37"/>
      <c r="E3074" s="37"/>
      <c r="F3074" s="37"/>
      <c r="G3074" s="70"/>
    </row>
    <row r="3075" spans="2:7" x14ac:dyDescent="0.25">
      <c r="B3075" s="37"/>
      <c r="C3075" s="37"/>
      <c r="D3075" s="37"/>
      <c r="E3075" s="37"/>
      <c r="F3075" s="37"/>
      <c r="G3075" s="70"/>
    </row>
    <row r="3076" spans="2:7" x14ac:dyDescent="0.25">
      <c r="B3076" s="37"/>
      <c r="C3076" s="37"/>
      <c r="D3076" s="37"/>
      <c r="E3076" s="37"/>
      <c r="F3076" s="37"/>
      <c r="G3076" s="70"/>
    </row>
    <row r="3077" spans="2:7" x14ac:dyDescent="0.25">
      <c r="B3077" s="37"/>
      <c r="C3077" s="37"/>
      <c r="D3077" s="37"/>
      <c r="E3077" s="37"/>
      <c r="F3077" s="37"/>
      <c r="G3077" s="70"/>
    </row>
    <row r="3078" spans="2:7" x14ac:dyDescent="0.25">
      <c r="B3078" s="37"/>
      <c r="C3078" s="37"/>
      <c r="D3078" s="37"/>
      <c r="E3078" s="37"/>
      <c r="F3078" s="37"/>
      <c r="G3078" s="70"/>
    </row>
    <row r="3079" spans="2:7" x14ac:dyDescent="0.25">
      <c r="B3079" s="37"/>
      <c r="C3079" s="37"/>
      <c r="D3079" s="37"/>
      <c r="E3079" s="37"/>
      <c r="F3079" s="37"/>
      <c r="G3079" s="70"/>
    </row>
    <row r="3080" spans="2:7" x14ac:dyDescent="0.25">
      <c r="B3080" s="37"/>
      <c r="C3080" s="37"/>
      <c r="D3080" s="37"/>
      <c r="E3080" s="37"/>
      <c r="F3080" s="37"/>
      <c r="G3080" s="70"/>
    </row>
    <row r="3081" spans="2:7" x14ac:dyDescent="0.25">
      <c r="B3081" s="37"/>
      <c r="C3081" s="37"/>
      <c r="D3081" s="37"/>
      <c r="E3081" s="37"/>
      <c r="F3081" s="37"/>
      <c r="G3081" s="70"/>
    </row>
    <row r="3082" spans="2:7" x14ac:dyDescent="0.25">
      <c r="B3082" s="37"/>
      <c r="C3082" s="37"/>
      <c r="D3082" s="37"/>
      <c r="E3082" s="37"/>
      <c r="F3082" s="37"/>
      <c r="G3082" s="70"/>
    </row>
    <row r="3083" spans="2:7" x14ac:dyDescent="0.25">
      <c r="B3083" s="37"/>
      <c r="C3083" s="37"/>
      <c r="D3083" s="37"/>
      <c r="E3083" s="37"/>
      <c r="F3083" s="37"/>
      <c r="G3083" s="70"/>
    </row>
    <row r="3084" spans="2:7" x14ac:dyDescent="0.25">
      <c r="B3084" s="37"/>
      <c r="C3084" s="37"/>
      <c r="D3084" s="37"/>
      <c r="E3084" s="37"/>
      <c r="F3084" s="37"/>
      <c r="G3084" s="70"/>
    </row>
    <row r="3085" spans="2:7" x14ac:dyDescent="0.25">
      <c r="B3085" s="37"/>
      <c r="C3085" s="37"/>
      <c r="D3085" s="37"/>
      <c r="E3085" s="37"/>
      <c r="F3085" s="37"/>
      <c r="G3085" s="70"/>
    </row>
    <row r="3086" spans="2:7" x14ac:dyDescent="0.25">
      <c r="B3086" s="37"/>
      <c r="C3086" s="37"/>
      <c r="D3086" s="37"/>
      <c r="E3086" s="37"/>
      <c r="F3086" s="37"/>
      <c r="G3086" s="70"/>
    </row>
    <row r="3087" spans="2:7" x14ac:dyDescent="0.25">
      <c r="B3087" s="37"/>
      <c r="C3087" s="37"/>
      <c r="D3087" s="37"/>
      <c r="E3087" s="37"/>
      <c r="F3087" s="37"/>
      <c r="G3087" s="70"/>
    </row>
    <row r="3088" spans="2:7" x14ac:dyDescent="0.25">
      <c r="B3088" s="37"/>
      <c r="C3088" s="37"/>
      <c r="D3088" s="37"/>
      <c r="E3088" s="37"/>
      <c r="F3088" s="37"/>
      <c r="G3088" s="70"/>
    </row>
    <row r="3089" spans="2:7" x14ac:dyDescent="0.25">
      <c r="B3089" s="37"/>
      <c r="C3089" s="37"/>
      <c r="D3089" s="37"/>
      <c r="E3089" s="37"/>
      <c r="F3089" s="37"/>
      <c r="G3089" s="70"/>
    </row>
    <row r="3090" spans="2:7" x14ac:dyDescent="0.25">
      <c r="B3090" s="37"/>
      <c r="C3090" s="37"/>
      <c r="D3090" s="37"/>
      <c r="E3090" s="37"/>
      <c r="F3090" s="37"/>
      <c r="G3090" s="70"/>
    </row>
    <row r="3091" spans="2:7" x14ac:dyDescent="0.25">
      <c r="B3091" s="37"/>
      <c r="C3091" s="37"/>
      <c r="D3091" s="37"/>
      <c r="E3091" s="37"/>
      <c r="F3091" s="37"/>
      <c r="G3091" s="70"/>
    </row>
    <row r="3092" spans="2:7" x14ac:dyDescent="0.25">
      <c r="B3092" s="37"/>
      <c r="C3092" s="37"/>
      <c r="D3092" s="37"/>
      <c r="E3092" s="37"/>
      <c r="F3092" s="37"/>
      <c r="G3092" s="70"/>
    </row>
    <row r="3093" spans="2:7" x14ac:dyDescent="0.25">
      <c r="B3093" s="37"/>
      <c r="C3093" s="37"/>
      <c r="D3093" s="37"/>
      <c r="E3093" s="37"/>
      <c r="F3093" s="37"/>
      <c r="G3093" s="70"/>
    </row>
    <row r="3094" spans="2:7" x14ac:dyDescent="0.25">
      <c r="B3094" s="37"/>
      <c r="C3094" s="37"/>
      <c r="D3094" s="37"/>
      <c r="E3094" s="37"/>
      <c r="F3094" s="37"/>
      <c r="G3094" s="70"/>
    </row>
    <row r="3095" spans="2:7" x14ac:dyDescent="0.25">
      <c r="B3095" s="37"/>
      <c r="C3095" s="37"/>
      <c r="D3095" s="37"/>
      <c r="E3095" s="37"/>
      <c r="F3095" s="37"/>
      <c r="G3095" s="70"/>
    </row>
    <row r="3096" spans="2:7" x14ac:dyDescent="0.25">
      <c r="B3096" s="37"/>
      <c r="C3096" s="37"/>
      <c r="D3096" s="37"/>
      <c r="E3096" s="37"/>
      <c r="F3096" s="37"/>
      <c r="G3096" s="70"/>
    </row>
    <row r="3097" spans="2:7" x14ac:dyDescent="0.25">
      <c r="B3097" s="37"/>
      <c r="C3097" s="37"/>
      <c r="D3097" s="37"/>
      <c r="E3097" s="37"/>
      <c r="F3097" s="37"/>
      <c r="G3097" s="70"/>
    </row>
    <row r="3098" spans="2:7" x14ac:dyDescent="0.25">
      <c r="B3098" s="37"/>
      <c r="C3098" s="37"/>
      <c r="D3098" s="37"/>
      <c r="E3098" s="37"/>
      <c r="F3098" s="37"/>
      <c r="G3098" s="70"/>
    </row>
    <row r="3099" spans="2:7" x14ac:dyDescent="0.25">
      <c r="B3099" s="37"/>
      <c r="C3099" s="37"/>
      <c r="D3099" s="37"/>
      <c r="E3099" s="37"/>
      <c r="F3099" s="37"/>
      <c r="G3099" s="70"/>
    </row>
    <row r="3100" spans="2:7" x14ac:dyDescent="0.25">
      <c r="B3100" s="37"/>
      <c r="C3100" s="37"/>
      <c r="D3100" s="37"/>
      <c r="E3100" s="37"/>
      <c r="F3100" s="37"/>
      <c r="G3100" s="70"/>
    </row>
    <row r="3101" spans="2:7" x14ac:dyDescent="0.25">
      <c r="B3101" s="37"/>
      <c r="C3101" s="37"/>
      <c r="D3101" s="37"/>
      <c r="E3101" s="37"/>
      <c r="F3101" s="37"/>
      <c r="G3101" s="70"/>
    </row>
    <row r="3102" spans="2:7" x14ac:dyDescent="0.25">
      <c r="B3102" s="37"/>
      <c r="C3102" s="37"/>
      <c r="D3102" s="37"/>
      <c r="E3102" s="37"/>
      <c r="F3102" s="37"/>
      <c r="G3102" s="70"/>
    </row>
    <row r="3103" spans="2:7" x14ac:dyDescent="0.25">
      <c r="B3103" s="37"/>
      <c r="C3103" s="37"/>
      <c r="D3103" s="37"/>
      <c r="E3103" s="37"/>
      <c r="F3103" s="37"/>
      <c r="G3103" s="70"/>
    </row>
    <row r="3104" spans="2:7" x14ac:dyDescent="0.25">
      <c r="B3104" s="37"/>
      <c r="C3104" s="37"/>
      <c r="D3104" s="37"/>
      <c r="E3104" s="37"/>
      <c r="F3104" s="37"/>
      <c r="G3104" s="70"/>
    </row>
    <row r="3105" spans="2:7" x14ac:dyDescent="0.25">
      <c r="B3105" s="37"/>
      <c r="C3105" s="37"/>
      <c r="D3105" s="37"/>
      <c r="E3105" s="37"/>
      <c r="F3105" s="37"/>
      <c r="G3105" s="70"/>
    </row>
    <row r="3106" spans="2:7" x14ac:dyDescent="0.25">
      <c r="B3106" s="37"/>
      <c r="C3106" s="37"/>
      <c r="D3106" s="37"/>
      <c r="E3106" s="37"/>
      <c r="F3106" s="37"/>
      <c r="G3106" s="70"/>
    </row>
    <row r="3107" spans="2:7" x14ac:dyDescent="0.25">
      <c r="B3107" s="37"/>
      <c r="C3107" s="37"/>
      <c r="D3107" s="37"/>
      <c r="E3107" s="37"/>
      <c r="F3107" s="37"/>
      <c r="G3107" s="70"/>
    </row>
    <row r="3108" spans="2:7" x14ac:dyDescent="0.25">
      <c r="B3108" s="37"/>
      <c r="C3108" s="37"/>
      <c r="D3108" s="37"/>
      <c r="E3108" s="37"/>
      <c r="F3108" s="37"/>
      <c r="G3108" s="70"/>
    </row>
    <row r="3109" spans="2:7" x14ac:dyDescent="0.25">
      <c r="B3109" s="37"/>
      <c r="C3109" s="37"/>
      <c r="D3109" s="37"/>
      <c r="E3109" s="37"/>
      <c r="F3109" s="37"/>
      <c r="G3109" s="70"/>
    </row>
    <row r="3110" spans="2:7" x14ac:dyDescent="0.25">
      <c r="B3110" s="37"/>
      <c r="C3110" s="37"/>
      <c r="D3110" s="37"/>
      <c r="E3110" s="37"/>
      <c r="F3110" s="37"/>
      <c r="G3110" s="70"/>
    </row>
    <row r="3111" spans="2:7" x14ac:dyDescent="0.25">
      <c r="B3111" s="37"/>
      <c r="C3111" s="37"/>
      <c r="D3111" s="37"/>
      <c r="E3111" s="37"/>
      <c r="F3111" s="37"/>
      <c r="G3111" s="70"/>
    </row>
    <row r="3112" spans="2:7" x14ac:dyDescent="0.25">
      <c r="B3112" s="37"/>
      <c r="C3112" s="37"/>
      <c r="D3112" s="37"/>
      <c r="E3112" s="37"/>
      <c r="F3112" s="37"/>
      <c r="G3112" s="70"/>
    </row>
    <row r="3113" spans="2:7" x14ac:dyDescent="0.25">
      <c r="B3113" s="37"/>
      <c r="C3113" s="37"/>
      <c r="D3113" s="37"/>
      <c r="E3113" s="37"/>
      <c r="F3113" s="37"/>
      <c r="G3113" s="70"/>
    </row>
    <row r="3114" spans="2:7" x14ac:dyDescent="0.25">
      <c r="B3114" s="37"/>
      <c r="C3114" s="37"/>
      <c r="D3114" s="37"/>
      <c r="E3114" s="37"/>
      <c r="F3114" s="37"/>
      <c r="G3114" s="70"/>
    </row>
    <row r="3115" spans="2:7" x14ac:dyDescent="0.25">
      <c r="B3115" s="37"/>
      <c r="C3115" s="37"/>
      <c r="D3115" s="37"/>
      <c r="E3115" s="37"/>
      <c r="F3115" s="37"/>
      <c r="G3115" s="70"/>
    </row>
    <row r="3116" spans="2:7" x14ac:dyDescent="0.25">
      <c r="B3116" s="37"/>
      <c r="C3116" s="37"/>
      <c r="D3116" s="37"/>
      <c r="E3116" s="37"/>
      <c r="F3116" s="37"/>
      <c r="G3116" s="70"/>
    </row>
    <row r="3117" spans="2:7" x14ac:dyDescent="0.25">
      <c r="B3117" s="37"/>
      <c r="C3117" s="37"/>
      <c r="D3117" s="37"/>
      <c r="E3117" s="37"/>
      <c r="F3117" s="37"/>
      <c r="G3117" s="70"/>
    </row>
    <row r="3118" spans="2:7" x14ac:dyDescent="0.25">
      <c r="B3118" s="37"/>
      <c r="C3118" s="37"/>
      <c r="D3118" s="37"/>
      <c r="E3118" s="37"/>
      <c r="F3118" s="37"/>
      <c r="G3118" s="70"/>
    </row>
    <row r="3119" spans="2:7" x14ac:dyDescent="0.25">
      <c r="B3119" s="37"/>
      <c r="C3119" s="37"/>
      <c r="D3119" s="37"/>
      <c r="E3119" s="37"/>
      <c r="F3119" s="37"/>
      <c r="G3119" s="70"/>
    </row>
    <row r="3120" spans="2:7" x14ac:dyDescent="0.25">
      <c r="B3120" s="37"/>
      <c r="C3120" s="37"/>
      <c r="D3120" s="37"/>
      <c r="E3120" s="37"/>
      <c r="F3120" s="37"/>
      <c r="G3120" s="70"/>
    </row>
    <row r="3121" spans="2:7" x14ac:dyDescent="0.25">
      <c r="B3121" s="37"/>
      <c r="C3121" s="37"/>
      <c r="D3121" s="37"/>
      <c r="E3121" s="37"/>
      <c r="F3121" s="37"/>
      <c r="G3121" s="70"/>
    </row>
    <row r="3122" spans="2:7" x14ac:dyDescent="0.25">
      <c r="B3122" s="37"/>
      <c r="C3122" s="37"/>
      <c r="D3122" s="37"/>
      <c r="E3122" s="37"/>
      <c r="F3122" s="37"/>
      <c r="G3122" s="70"/>
    </row>
    <row r="3123" spans="2:7" x14ac:dyDescent="0.25">
      <c r="B3123" s="37"/>
      <c r="C3123" s="37"/>
      <c r="D3123" s="37"/>
      <c r="E3123" s="37"/>
      <c r="F3123" s="37"/>
      <c r="G3123" s="70"/>
    </row>
    <row r="3124" spans="2:7" x14ac:dyDescent="0.25">
      <c r="B3124" s="37"/>
      <c r="C3124" s="37"/>
      <c r="D3124" s="37"/>
      <c r="E3124" s="37"/>
      <c r="F3124" s="37"/>
      <c r="G3124" s="70"/>
    </row>
    <row r="3125" spans="2:7" x14ac:dyDescent="0.25">
      <c r="B3125" s="37"/>
      <c r="C3125" s="37"/>
      <c r="D3125" s="37"/>
      <c r="E3125" s="37"/>
      <c r="F3125" s="37"/>
      <c r="G3125" s="70"/>
    </row>
    <row r="3126" spans="2:7" x14ac:dyDescent="0.25">
      <c r="B3126" s="37"/>
      <c r="C3126" s="37"/>
      <c r="D3126" s="37"/>
      <c r="E3126" s="37"/>
      <c r="F3126" s="37"/>
      <c r="G3126" s="70"/>
    </row>
    <row r="3127" spans="2:7" x14ac:dyDescent="0.25">
      <c r="B3127" s="37"/>
      <c r="C3127" s="37"/>
      <c r="D3127" s="37"/>
      <c r="E3127" s="37"/>
      <c r="F3127" s="37"/>
      <c r="G3127" s="70"/>
    </row>
    <row r="3128" spans="2:7" x14ac:dyDescent="0.25">
      <c r="B3128" s="37"/>
      <c r="C3128" s="37"/>
      <c r="D3128" s="37"/>
      <c r="E3128" s="37"/>
      <c r="F3128" s="37"/>
      <c r="G3128" s="70"/>
    </row>
    <row r="3129" spans="2:7" x14ac:dyDescent="0.25">
      <c r="B3129" s="37"/>
      <c r="C3129" s="37"/>
      <c r="D3129" s="37"/>
      <c r="E3129" s="37"/>
      <c r="F3129" s="37"/>
      <c r="G3129" s="70"/>
    </row>
    <row r="3130" spans="2:7" x14ac:dyDescent="0.25">
      <c r="B3130" s="37"/>
      <c r="C3130" s="37"/>
      <c r="D3130" s="37"/>
      <c r="E3130" s="37"/>
      <c r="F3130" s="37"/>
      <c r="G3130" s="70"/>
    </row>
    <row r="3131" spans="2:7" x14ac:dyDescent="0.25">
      <c r="B3131" s="37"/>
      <c r="C3131" s="37"/>
      <c r="D3131" s="37"/>
      <c r="E3131" s="37"/>
      <c r="F3131" s="37"/>
      <c r="G3131" s="70"/>
    </row>
    <row r="3132" spans="2:7" x14ac:dyDescent="0.25">
      <c r="B3132" s="37"/>
      <c r="C3132" s="37"/>
      <c r="D3132" s="37"/>
      <c r="E3132" s="37"/>
      <c r="F3132" s="37"/>
      <c r="G3132" s="70"/>
    </row>
    <row r="3133" spans="2:7" x14ac:dyDescent="0.25">
      <c r="B3133" s="37"/>
      <c r="C3133" s="37"/>
      <c r="D3133" s="37"/>
      <c r="E3133" s="37"/>
      <c r="F3133" s="37"/>
      <c r="G3133" s="70"/>
    </row>
    <row r="3134" spans="2:7" x14ac:dyDescent="0.25">
      <c r="B3134" s="37"/>
      <c r="C3134" s="37"/>
      <c r="D3134" s="37"/>
      <c r="E3134" s="37"/>
      <c r="F3134" s="37"/>
      <c r="G3134" s="70"/>
    </row>
    <row r="3135" spans="2:7" x14ac:dyDescent="0.25">
      <c r="B3135" s="37"/>
      <c r="C3135" s="37"/>
      <c r="D3135" s="37"/>
      <c r="E3135" s="37"/>
      <c r="F3135" s="37"/>
      <c r="G3135" s="70"/>
    </row>
    <row r="3136" spans="2:7" x14ac:dyDescent="0.25">
      <c r="B3136" s="37"/>
      <c r="C3136" s="37"/>
      <c r="D3136" s="37"/>
      <c r="E3136" s="37"/>
      <c r="F3136" s="37"/>
      <c r="G3136" s="70"/>
    </row>
    <row r="3137" spans="2:7" x14ac:dyDescent="0.25">
      <c r="B3137" s="37"/>
      <c r="C3137" s="37"/>
      <c r="D3137" s="37"/>
      <c r="E3137" s="37"/>
      <c r="F3137" s="37"/>
      <c r="G3137" s="70"/>
    </row>
    <row r="3138" spans="2:7" x14ac:dyDescent="0.25">
      <c r="B3138" s="37"/>
      <c r="C3138" s="37"/>
      <c r="D3138" s="37"/>
      <c r="E3138" s="37"/>
      <c r="F3138" s="37"/>
      <c r="G3138" s="70"/>
    </row>
    <row r="3139" spans="2:7" x14ac:dyDescent="0.25">
      <c r="B3139" s="37"/>
      <c r="C3139" s="37"/>
      <c r="D3139" s="37"/>
      <c r="E3139" s="37"/>
      <c r="F3139" s="37"/>
      <c r="G3139" s="70"/>
    </row>
    <row r="3140" spans="2:7" x14ac:dyDescent="0.25">
      <c r="B3140" s="37"/>
      <c r="C3140" s="37"/>
      <c r="D3140" s="37"/>
      <c r="E3140" s="37"/>
      <c r="F3140" s="37"/>
      <c r="G3140" s="70"/>
    </row>
    <row r="3141" spans="2:7" x14ac:dyDescent="0.25">
      <c r="B3141" s="37"/>
      <c r="C3141" s="37"/>
      <c r="D3141" s="37"/>
      <c r="E3141" s="37"/>
      <c r="F3141" s="37"/>
      <c r="G3141" s="70"/>
    </row>
    <row r="3142" spans="2:7" x14ac:dyDescent="0.25">
      <c r="B3142" s="37"/>
      <c r="C3142" s="37"/>
      <c r="D3142" s="37"/>
      <c r="E3142" s="37"/>
      <c r="F3142" s="37"/>
      <c r="G3142" s="70"/>
    </row>
    <row r="3143" spans="2:7" x14ac:dyDescent="0.25">
      <c r="B3143" s="37"/>
      <c r="C3143" s="37"/>
      <c r="D3143" s="37"/>
      <c r="E3143" s="37"/>
      <c r="F3143" s="37"/>
      <c r="G3143" s="70"/>
    </row>
    <row r="3144" spans="2:7" x14ac:dyDescent="0.25">
      <c r="B3144" s="37"/>
      <c r="C3144" s="37"/>
      <c r="D3144" s="37"/>
      <c r="E3144" s="37"/>
      <c r="F3144" s="37"/>
      <c r="G3144" s="70"/>
    </row>
    <row r="3145" spans="2:7" x14ac:dyDescent="0.25">
      <c r="B3145" s="37"/>
      <c r="C3145" s="37"/>
      <c r="D3145" s="37"/>
      <c r="E3145" s="37"/>
      <c r="F3145" s="37"/>
      <c r="G3145" s="70"/>
    </row>
    <row r="3146" spans="2:7" x14ac:dyDescent="0.25">
      <c r="B3146" s="37"/>
      <c r="C3146" s="37"/>
      <c r="D3146" s="37"/>
      <c r="E3146" s="37"/>
      <c r="F3146" s="37"/>
      <c r="G3146" s="70"/>
    </row>
    <row r="3147" spans="2:7" x14ac:dyDescent="0.25">
      <c r="B3147" s="37"/>
      <c r="C3147" s="37"/>
      <c r="D3147" s="37"/>
      <c r="E3147" s="37"/>
      <c r="F3147" s="37"/>
      <c r="G3147" s="70"/>
    </row>
    <row r="3148" spans="2:7" x14ac:dyDescent="0.25">
      <c r="B3148" s="37"/>
      <c r="C3148" s="37"/>
      <c r="D3148" s="37"/>
      <c r="E3148" s="37"/>
      <c r="F3148" s="37"/>
      <c r="G3148" s="70"/>
    </row>
    <row r="3149" spans="2:7" x14ac:dyDescent="0.25">
      <c r="B3149" s="37"/>
      <c r="C3149" s="37"/>
      <c r="D3149" s="37"/>
      <c r="E3149" s="37"/>
      <c r="F3149" s="37"/>
      <c r="G3149" s="70"/>
    </row>
    <row r="3150" spans="2:7" x14ac:dyDescent="0.25">
      <c r="B3150" s="37"/>
      <c r="C3150" s="37"/>
      <c r="D3150" s="37"/>
      <c r="E3150" s="37"/>
      <c r="F3150" s="37"/>
      <c r="G3150" s="70"/>
    </row>
    <row r="3151" spans="2:7" x14ac:dyDescent="0.25">
      <c r="B3151" s="37"/>
      <c r="C3151" s="37"/>
      <c r="D3151" s="37"/>
      <c r="E3151" s="37"/>
      <c r="F3151" s="37"/>
      <c r="G3151" s="70"/>
    </row>
    <row r="3152" spans="2:7" x14ac:dyDescent="0.25">
      <c r="B3152" s="37"/>
      <c r="C3152" s="37"/>
      <c r="D3152" s="37"/>
      <c r="E3152" s="37"/>
      <c r="F3152" s="37"/>
      <c r="G3152" s="70"/>
    </row>
    <row r="3153" spans="2:7" x14ac:dyDescent="0.25">
      <c r="B3153" s="37"/>
      <c r="C3153" s="37"/>
      <c r="D3153" s="37"/>
      <c r="E3153" s="37"/>
      <c r="F3153" s="37"/>
      <c r="G3153" s="70"/>
    </row>
    <row r="3154" spans="2:7" x14ac:dyDescent="0.25">
      <c r="B3154" s="37"/>
      <c r="C3154" s="37"/>
      <c r="D3154" s="37"/>
      <c r="E3154" s="37"/>
      <c r="F3154" s="37"/>
      <c r="G3154" s="70"/>
    </row>
    <row r="3155" spans="2:7" x14ac:dyDescent="0.25">
      <c r="B3155" s="37"/>
      <c r="C3155" s="37"/>
      <c r="D3155" s="37"/>
      <c r="E3155" s="37"/>
      <c r="F3155" s="37"/>
      <c r="G3155" s="70"/>
    </row>
    <row r="3156" spans="2:7" x14ac:dyDescent="0.25">
      <c r="B3156" s="37"/>
      <c r="C3156" s="37"/>
      <c r="D3156" s="37"/>
      <c r="E3156" s="37"/>
      <c r="F3156" s="37"/>
      <c r="G3156" s="70"/>
    </row>
    <row r="3157" spans="2:7" x14ac:dyDescent="0.25">
      <c r="B3157" s="37"/>
      <c r="C3157" s="37"/>
      <c r="D3157" s="37"/>
      <c r="E3157" s="37"/>
      <c r="F3157" s="37"/>
      <c r="G3157" s="70"/>
    </row>
    <row r="3158" spans="2:7" x14ac:dyDescent="0.25">
      <c r="B3158" s="37"/>
      <c r="C3158" s="37"/>
      <c r="D3158" s="37"/>
      <c r="E3158" s="37"/>
      <c r="F3158" s="37"/>
      <c r="G3158" s="70"/>
    </row>
    <row r="3159" spans="2:7" x14ac:dyDescent="0.25">
      <c r="B3159" s="37"/>
      <c r="C3159" s="37"/>
      <c r="D3159" s="37"/>
      <c r="E3159" s="37"/>
      <c r="F3159" s="37"/>
      <c r="G3159" s="70"/>
    </row>
    <row r="3160" spans="2:7" x14ac:dyDescent="0.25">
      <c r="B3160" s="37"/>
      <c r="C3160" s="37"/>
      <c r="D3160" s="37"/>
      <c r="E3160" s="37"/>
      <c r="F3160" s="37"/>
      <c r="G3160" s="70"/>
    </row>
    <row r="3161" spans="2:7" x14ac:dyDescent="0.25">
      <c r="B3161" s="37"/>
      <c r="C3161" s="37"/>
      <c r="D3161" s="37"/>
      <c r="E3161" s="37"/>
      <c r="F3161" s="37"/>
      <c r="G3161" s="70"/>
    </row>
    <row r="3162" spans="2:7" x14ac:dyDescent="0.25">
      <c r="B3162" s="37"/>
      <c r="C3162" s="37"/>
      <c r="D3162" s="37"/>
      <c r="E3162" s="37"/>
      <c r="F3162" s="37"/>
      <c r="G3162" s="70"/>
    </row>
    <row r="3163" spans="2:7" x14ac:dyDescent="0.25">
      <c r="B3163" s="37"/>
      <c r="C3163" s="37"/>
      <c r="D3163" s="37"/>
      <c r="E3163" s="37"/>
      <c r="F3163" s="37"/>
      <c r="G3163" s="70"/>
    </row>
    <row r="3164" spans="2:7" x14ac:dyDescent="0.25">
      <c r="B3164" s="37"/>
      <c r="C3164" s="37"/>
      <c r="D3164" s="37"/>
      <c r="E3164" s="37"/>
      <c r="F3164" s="37"/>
      <c r="G3164" s="70"/>
    </row>
    <row r="3165" spans="2:7" x14ac:dyDescent="0.25">
      <c r="B3165" s="37"/>
      <c r="C3165" s="37"/>
      <c r="D3165" s="37"/>
      <c r="E3165" s="37"/>
      <c r="F3165" s="37"/>
      <c r="G3165" s="70"/>
    </row>
    <row r="3166" spans="2:7" x14ac:dyDescent="0.25">
      <c r="B3166" s="37"/>
      <c r="C3166" s="37"/>
      <c r="D3166" s="37"/>
      <c r="E3166" s="37"/>
      <c r="F3166" s="37"/>
      <c r="G3166" s="70"/>
    </row>
    <row r="3167" spans="2:7" x14ac:dyDescent="0.25">
      <c r="B3167" s="37"/>
      <c r="C3167" s="37"/>
      <c r="D3167" s="37"/>
      <c r="E3167" s="37"/>
      <c r="F3167" s="37"/>
      <c r="G3167" s="70"/>
    </row>
    <row r="3168" spans="2:7" x14ac:dyDescent="0.25">
      <c r="B3168" s="37"/>
      <c r="C3168" s="37"/>
      <c r="D3168" s="37"/>
      <c r="E3168" s="37"/>
      <c r="F3168" s="37"/>
      <c r="G3168" s="70"/>
    </row>
    <row r="3169" spans="2:7" x14ac:dyDescent="0.25">
      <c r="B3169" s="37"/>
      <c r="C3169" s="37"/>
      <c r="D3169" s="37"/>
      <c r="E3169" s="37"/>
      <c r="F3169" s="37"/>
      <c r="G3169" s="70"/>
    </row>
    <row r="3170" spans="2:7" x14ac:dyDescent="0.25">
      <c r="B3170" s="37"/>
      <c r="C3170" s="37"/>
      <c r="D3170" s="37"/>
      <c r="E3170" s="37"/>
      <c r="F3170" s="37"/>
      <c r="G3170" s="70"/>
    </row>
    <row r="3171" spans="2:7" x14ac:dyDescent="0.25">
      <c r="B3171" s="37"/>
      <c r="C3171" s="37"/>
      <c r="D3171" s="37"/>
      <c r="E3171" s="37"/>
      <c r="F3171" s="37"/>
      <c r="G3171" s="70"/>
    </row>
    <row r="3172" spans="2:7" x14ac:dyDescent="0.25">
      <c r="B3172" s="37"/>
      <c r="C3172" s="37"/>
      <c r="D3172" s="37"/>
      <c r="E3172" s="37"/>
      <c r="F3172" s="37"/>
      <c r="G3172" s="70"/>
    </row>
    <row r="3173" spans="2:7" x14ac:dyDescent="0.25">
      <c r="B3173" s="37"/>
      <c r="C3173" s="37"/>
      <c r="D3173" s="37"/>
      <c r="E3173" s="37"/>
      <c r="F3173" s="37"/>
      <c r="G3173" s="70"/>
    </row>
    <row r="3174" spans="2:7" x14ac:dyDescent="0.25">
      <c r="B3174" s="37"/>
      <c r="C3174" s="37"/>
      <c r="D3174" s="37"/>
      <c r="E3174" s="37"/>
      <c r="F3174" s="37"/>
      <c r="G3174" s="70"/>
    </row>
    <row r="3175" spans="2:7" x14ac:dyDescent="0.25">
      <c r="B3175" s="37"/>
      <c r="C3175" s="37"/>
      <c r="D3175" s="37"/>
      <c r="E3175" s="37"/>
      <c r="F3175" s="37"/>
      <c r="G3175" s="70"/>
    </row>
    <row r="3176" spans="2:7" x14ac:dyDescent="0.25">
      <c r="B3176" s="37"/>
      <c r="C3176" s="37"/>
      <c r="D3176" s="37"/>
      <c r="E3176" s="37"/>
      <c r="F3176" s="37"/>
      <c r="G3176" s="70"/>
    </row>
    <row r="3177" spans="2:7" x14ac:dyDescent="0.25">
      <c r="B3177" s="37"/>
      <c r="C3177" s="37"/>
      <c r="D3177" s="37"/>
      <c r="E3177" s="37"/>
      <c r="F3177" s="37"/>
      <c r="G3177" s="70"/>
    </row>
    <row r="3178" spans="2:7" x14ac:dyDescent="0.25">
      <c r="B3178" s="37"/>
      <c r="C3178" s="37"/>
      <c r="D3178" s="37"/>
      <c r="E3178" s="37"/>
      <c r="F3178" s="37"/>
      <c r="G3178" s="70"/>
    </row>
    <row r="3179" spans="2:7" x14ac:dyDescent="0.25">
      <c r="B3179" s="37"/>
      <c r="C3179" s="37"/>
      <c r="D3179" s="37"/>
      <c r="E3179" s="37"/>
      <c r="F3179" s="37"/>
      <c r="G3179" s="70"/>
    </row>
    <row r="3180" spans="2:7" x14ac:dyDescent="0.25">
      <c r="B3180" s="37"/>
      <c r="C3180" s="37"/>
      <c r="D3180" s="37"/>
      <c r="E3180" s="37"/>
      <c r="F3180" s="37"/>
      <c r="G3180" s="70"/>
    </row>
    <row r="3181" spans="2:7" x14ac:dyDescent="0.25">
      <c r="B3181" s="37"/>
      <c r="C3181" s="37"/>
      <c r="D3181" s="37"/>
      <c r="E3181" s="37"/>
      <c r="F3181" s="37"/>
      <c r="G3181" s="70"/>
    </row>
    <row r="3182" spans="2:7" x14ac:dyDescent="0.25">
      <c r="B3182" s="37"/>
      <c r="C3182" s="37"/>
      <c r="D3182" s="37"/>
      <c r="E3182" s="37"/>
      <c r="F3182" s="37"/>
      <c r="G3182" s="70"/>
    </row>
    <row r="3183" spans="2:7" x14ac:dyDescent="0.25">
      <c r="B3183" s="37"/>
      <c r="C3183" s="37"/>
      <c r="D3183" s="37"/>
      <c r="E3183" s="37"/>
      <c r="F3183" s="37"/>
      <c r="G3183" s="70"/>
    </row>
    <row r="3184" spans="2:7" x14ac:dyDescent="0.25">
      <c r="B3184" s="37"/>
      <c r="C3184" s="37"/>
      <c r="D3184" s="37"/>
      <c r="E3184" s="37"/>
      <c r="F3184" s="37"/>
      <c r="G3184" s="70"/>
    </row>
    <row r="3185" spans="2:7" x14ac:dyDescent="0.25">
      <c r="B3185" s="37"/>
      <c r="C3185" s="37"/>
      <c r="D3185" s="37"/>
      <c r="E3185" s="37"/>
      <c r="F3185" s="37"/>
      <c r="G3185" s="70"/>
    </row>
    <row r="3186" spans="2:7" x14ac:dyDescent="0.25">
      <c r="B3186" s="37"/>
      <c r="C3186" s="37"/>
      <c r="D3186" s="37"/>
      <c r="E3186" s="37"/>
      <c r="F3186" s="37"/>
      <c r="G3186" s="70"/>
    </row>
    <row r="3187" spans="2:7" x14ac:dyDescent="0.25">
      <c r="B3187" s="37"/>
      <c r="C3187" s="37"/>
      <c r="D3187" s="37"/>
      <c r="E3187" s="37"/>
      <c r="F3187" s="37"/>
      <c r="G3187" s="70"/>
    </row>
    <row r="3188" spans="2:7" x14ac:dyDescent="0.25">
      <c r="B3188" s="37"/>
      <c r="C3188" s="37"/>
      <c r="D3188" s="37"/>
      <c r="E3188" s="37"/>
      <c r="F3188" s="37"/>
      <c r="G3188" s="70"/>
    </row>
    <row r="3189" spans="2:7" x14ac:dyDescent="0.25">
      <c r="B3189" s="37"/>
      <c r="C3189" s="37"/>
      <c r="D3189" s="37"/>
      <c r="E3189" s="37"/>
      <c r="F3189" s="37"/>
      <c r="G3189" s="70"/>
    </row>
    <row r="3190" spans="2:7" x14ac:dyDescent="0.25">
      <c r="B3190" s="37"/>
      <c r="C3190" s="37"/>
      <c r="D3190" s="37"/>
      <c r="E3190" s="37"/>
      <c r="F3190" s="37"/>
      <c r="G3190" s="70"/>
    </row>
    <row r="3191" spans="2:7" x14ac:dyDescent="0.25">
      <c r="B3191" s="37"/>
      <c r="C3191" s="37"/>
      <c r="D3191" s="37"/>
      <c r="E3191" s="37"/>
      <c r="F3191" s="37"/>
      <c r="G3191" s="70"/>
    </row>
    <row r="3192" spans="2:7" x14ac:dyDescent="0.25">
      <c r="B3192" s="37"/>
      <c r="C3192" s="37"/>
      <c r="D3192" s="37"/>
      <c r="E3192" s="37"/>
      <c r="F3192" s="37"/>
      <c r="G3192" s="70"/>
    </row>
    <row r="3193" spans="2:7" x14ac:dyDescent="0.25">
      <c r="B3193" s="37"/>
      <c r="C3193" s="37"/>
      <c r="D3193" s="37"/>
      <c r="E3193" s="37"/>
      <c r="F3193" s="37"/>
      <c r="G3193" s="70"/>
    </row>
    <row r="3194" spans="2:7" x14ac:dyDescent="0.25">
      <c r="B3194" s="37"/>
      <c r="C3194" s="37"/>
      <c r="D3194" s="37"/>
      <c r="E3194" s="37"/>
      <c r="F3194" s="37"/>
      <c r="G3194" s="70"/>
    </row>
    <row r="3195" spans="2:7" x14ac:dyDescent="0.25">
      <c r="B3195" s="37"/>
      <c r="C3195" s="37"/>
      <c r="D3195" s="37"/>
      <c r="E3195" s="37"/>
      <c r="F3195" s="37"/>
      <c r="G3195" s="70"/>
    </row>
    <row r="3196" spans="2:7" x14ac:dyDescent="0.25">
      <c r="B3196" s="37"/>
      <c r="C3196" s="37"/>
      <c r="D3196" s="37"/>
      <c r="E3196" s="37"/>
      <c r="F3196" s="37"/>
      <c r="G3196" s="70"/>
    </row>
    <row r="3197" spans="2:7" x14ac:dyDescent="0.25">
      <c r="B3197" s="37"/>
      <c r="C3197" s="37"/>
      <c r="D3197" s="37"/>
      <c r="E3197" s="37"/>
      <c r="F3197" s="37"/>
      <c r="G3197" s="70"/>
    </row>
    <row r="3198" spans="2:7" x14ac:dyDescent="0.25">
      <c r="B3198" s="37"/>
      <c r="C3198" s="37"/>
      <c r="D3198" s="37"/>
      <c r="E3198" s="37"/>
      <c r="F3198" s="37"/>
      <c r="G3198" s="70"/>
    </row>
    <row r="3199" spans="2:7" x14ac:dyDescent="0.25">
      <c r="B3199" s="37"/>
      <c r="C3199" s="37"/>
      <c r="D3199" s="37"/>
      <c r="E3199" s="37"/>
      <c r="F3199" s="37"/>
      <c r="G3199" s="70"/>
    </row>
    <row r="3200" spans="2:7" x14ac:dyDescent="0.25">
      <c r="B3200" s="37"/>
      <c r="C3200" s="37"/>
      <c r="D3200" s="37"/>
      <c r="E3200" s="37"/>
      <c r="F3200" s="37"/>
      <c r="G3200" s="70"/>
    </row>
    <row r="3201" spans="2:7" x14ac:dyDescent="0.25">
      <c r="B3201" s="37"/>
      <c r="C3201" s="37"/>
      <c r="D3201" s="37"/>
      <c r="E3201" s="37"/>
      <c r="F3201" s="37"/>
      <c r="G3201" s="70"/>
    </row>
    <row r="3202" spans="2:7" x14ac:dyDescent="0.25">
      <c r="B3202" s="37"/>
      <c r="C3202" s="37"/>
      <c r="D3202" s="37"/>
      <c r="E3202" s="37"/>
      <c r="F3202" s="37"/>
      <c r="G3202" s="70"/>
    </row>
    <row r="3203" spans="2:7" x14ac:dyDescent="0.25">
      <c r="B3203" s="37"/>
      <c r="C3203" s="37"/>
      <c r="D3203" s="37"/>
      <c r="E3203" s="37"/>
      <c r="F3203" s="37"/>
      <c r="G3203" s="70"/>
    </row>
    <row r="3204" spans="2:7" x14ac:dyDescent="0.25">
      <c r="B3204" s="37"/>
      <c r="C3204" s="37"/>
      <c r="D3204" s="37"/>
      <c r="E3204" s="37"/>
      <c r="F3204" s="37"/>
      <c r="G3204" s="70"/>
    </row>
    <row r="3205" spans="2:7" x14ac:dyDescent="0.25">
      <c r="B3205" s="37"/>
      <c r="C3205" s="37"/>
      <c r="D3205" s="37"/>
      <c r="E3205" s="37"/>
      <c r="F3205" s="37"/>
      <c r="G3205" s="70"/>
    </row>
    <row r="3206" spans="2:7" x14ac:dyDescent="0.25">
      <c r="B3206" s="37"/>
      <c r="C3206" s="37"/>
      <c r="D3206" s="37"/>
      <c r="E3206" s="37"/>
      <c r="F3206" s="37"/>
      <c r="G3206" s="70"/>
    </row>
    <row r="3207" spans="2:7" x14ac:dyDescent="0.25">
      <c r="B3207" s="37"/>
      <c r="C3207" s="37"/>
      <c r="D3207" s="37"/>
      <c r="E3207" s="37"/>
      <c r="F3207" s="37"/>
      <c r="G3207" s="70"/>
    </row>
    <row r="3208" spans="2:7" x14ac:dyDescent="0.25">
      <c r="B3208" s="37"/>
      <c r="C3208" s="37"/>
      <c r="D3208" s="37"/>
      <c r="E3208" s="37"/>
      <c r="F3208" s="37"/>
      <c r="G3208" s="70"/>
    </row>
    <row r="3209" spans="2:7" x14ac:dyDescent="0.25">
      <c r="B3209" s="37"/>
      <c r="C3209" s="37"/>
      <c r="D3209" s="37"/>
      <c r="E3209" s="37"/>
      <c r="F3209" s="37"/>
      <c r="G3209" s="70"/>
    </row>
    <row r="3210" spans="2:7" x14ac:dyDescent="0.25">
      <c r="B3210" s="37"/>
      <c r="C3210" s="37"/>
      <c r="D3210" s="37"/>
      <c r="E3210" s="37"/>
      <c r="F3210" s="37"/>
      <c r="G3210" s="70"/>
    </row>
    <row r="3211" spans="2:7" x14ac:dyDescent="0.25">
      <c r="B3211" s="37"/>
      <c r="C3211" s="37"/>
      <c r="D3211" s="37"/>
      <c r="E3211" s="37"/>
      <c r="F3211" s="37"/>
      <c r="G3211" s="70"/>
    </row>
    <row r="3212" spans="2:7" x14ac:dyDescent="0.25">
      <c r="B3212" s="37"/>
      <c r="C3212" s="37"/>
      <c r="D3212" s="37"/>
      <c r="E3212" s="37"/>
      <c r="F3212" s="37"/>
      <c r="G3212" s="70"/>
    </row>
    <row r="3213" spans="2:7" x14ac:dyDescent="0.25">
      <c r="B3213" s="37"/>
      <c r="C3213" s="37"/>
      <c r="D3213" s="37"/>
      <c r="E3213" s="37"/>
      <c r="F3213" s="37"/>
      <c r="G3213" s="70"/>
    </row>
    <row r="3214" spans="2:7" x14ac:dyDescent="0.25">
      <c r="B3214" s="37"/>
      <c r="C3214" s="37"/>
      <c r="D3214" s="37"/>
      <c r="E3214" s="37"/>
      <c r="F3214" s="37"/>
      <c r="G3214" s="70"/>
    </row>
    <row r="3215" spans="2:7" x14ac:dyDescent="0.25">
      <c r="B3215" s="37"/>
      <c r="C3215" s="37"/>
      <c r="D3215" s="37"/>
      <c r="E3215" s="37"/>
      <c r="F3215" s="37"/>
      <c r="G3215" s="70"/>
    </row>
    <row r="3216" spans="2:7" x14ac:dyDescent="0.25">
      <c r="B3216" s="37"/>
      <c r="C3216" s="37"/>
      <c r="D3216" s="37"/>
      <c r="E3216" s="37"/>
      <c r="F3216" s="37"/>
      <c r="G3216" s="70"/>
    </row>
    <row r="3217" spans="2:7" x14ac:dyDescent="0.25">
      <c r="B3217" s="37"/>
      <c r="C3217" s="37"/>
      <c r="D3217" s="37"/>
      <c r="E3217" s="37"/>
      <c r="F3217" s="37"/>
      <c r="G3217" s="70"/>
    </row>
    <row r="3218" spans="2:7" x14ac:dyDescent="0.25">
      <c r="B3218" s="37"/>
      <c r="C3218" s="37"/>
      <c r="D3218" s="37"/>
      <c r="E3218" s="37"/>
      <c r="F3218" s="37"/>
      <c r="G3218" s="70"/>
    </row>
    <row r="3219" spans="2:7" x14ac:dyDescent="0.25">
      <c r="B3219" s="37"/>
      <c r="C3219" s="37"/>
      <c r="D3219" s="37"/>
      <c r="E3219" s="37"/>
      <c r="F3219" s="37"/>
      <c r="G3219" s="70"/>
    </row>
    <row r="3220" spans="2:7" x14ac:dyDescent="0.25">
      <c r="B3220" s="37"/>
      <c r="C3220" s="37"/>
      <c r="D3220" s="37"/>
      <c r="E3220" s="37"/>
      <c r="F3220" s="37"/>
      <c r="G3220" s="70"/>
    </row>
    <row r="3221" spans="2:7" x14ac:dyDescent="0.25">
      <c r="B3221" s="37"/>
      <c r="C3221" s="37"/>
      <c r="D3221" s="37"/>
      <c r="E3221" s="37"/>
      <c r="F3221" s="37"/>
      <c r="G3221" s="70"/>
    </row>
    <row r="3222" spans="2:7" x14ac:dyDescent="0.25">
      <c r="B3222" s="37"/>
      <c r="C3222" s="37"/>
      <c r="D3222" s="37"/>
      <c r="E3222" s="37"/>
      <c r="F3222" s="37"/>
      <c r="G3222" s="70"/>
    </row>
    <row r="3223" spans="2:7" x14ac:dyDescent="0.25">
      <c r="B3223" s="37"/>
      <c r="C3223" s="37"/>
      <c r="D3223" s="37"/>
      <c r="E3223" s="37"/>
      <c r="F3223" s="37"/>
      <c r="G3223" s="70"/>
    </row>
    <row r="3224" spans="2:7" x14ac:dyDescent="0.25">
      <c r="B3224" s="37"/>
      <c r="C3224" s="37"/>
      <c r="D3224" s="37"/>
      <c r="E3224" s="37"/>
      <c r="F3224" s="37"/>
      <c r="G3224" s="70"/>
    </row>
    <row r="3225" spans="2:7" x14ac:dyDescent="0.25">
      <c r="B3225" s="37"/>
      <c r="C3225" s="37"/>
      <c r="D3225" s="37"/>
      <c r="E3225" s="37"/>
      <c r="F3225" s="37"/>
      <c r="G3225" s="70"/>
    </row>
    <row r="3226" spans="2:7" x14ac:dyDescent="0.25">
      <c r="B3226" s="37"/>
      <c r="C3226" s="37"/>
      <c r="D3226" s="37"/>
      <c r="E3226" s="37"/>
      <c r="F3226" s="37"/>
      <c r="G3226" s="70"/>
    </row>
    <row r="3227" spans="2:7" x14ac:dyDescent="0.25">
      <c r="B3227" s="37"/>
      <c r="C3227" s="37"/>
      <c r="D3227" s="37"/>
      <c r="E3227" s="37"/>
      <c r="F3227" s="37"/>
      <c r="G3227" s="70"/>
    </row>
    <row r="3228" spans="2:7" x14ac:dyDescent="0.25">
      <c r="B3228" s="37"/>
      <c r="C3228" s="37"/>
      <c r="D3228" s="37"/>
      <c r="E3228" s="37"/>
      <c r="F3228" s="37"/>
      <c r="G3228" s="70"/>
    </row>
    <row r="3229" spans="2:7" x14ac:dyDescent="0.25">
      <c r="B3229" s="37"/>
      <c r="C3229" s="37"/>
      <c r="D3229" s="37"/>
      <c r="E3229" s="37"/>
      <c r="F3229" s="37"/>
      <c r="G3229" s="70"/>
    </row>
    <row r="3230" spans="2:7" x14ac:dyDescent="0.25">
      <c r="B3230" s="37"/>
      <c r="C3230" s="37"/>
      <c r="D3230" s="37"/>
      <c r="E3230" s="37"/>
      <c r="F3230" s="37"/>
      <c r="G3230" s="70"/>
    </row>
    <row r="3231" spans="2:7" x14ac:dyDescent="0.25">
      <c r="B3231" s="37"/>
      <c r="C3231" s="37"/>
      <c r="D3231" s="37"/>
      <c r="E3231" s="37"/>
      <c r="F3231" s="37"/>
      <c r="G3231" s="70"/>
    </row>
    <row r="3232" spans="2:7" x14ac:dyDescent="0.25">
      <c r="B3232" s="37"/>
      <c r="C3232" s="37"/>
      <c r="D3232" s="37"/>
      <c r="E3232" s="37"/>
      <c r="F3232" s="37"/>
      <c r="G3232" s="70"/>
    </row>
    <row r="3233" spans="2:7" x14ac:dyDescent="0.25">
      <c r="B3233" s="37"/>
      <c r="C3233" s="37"/>
      <c r="D3233" s="37"/>
      <c r="E3233" s="37"/>
      <c r="F3233" s="37"/>
      <c r="G3233" s="70"/>
    </row>
    <row r="3234" spans="2:7" x14ac:dyDescent="0.25">
      <c r="B3234" s="37"/>
      <c r="C3234" s="37"/>
      <c r="D3234" s="37"/>
      <c r="E3234" s="37"/>
      <c r="F3234" s="37"/>
      <c r="G3234" s="70"/>
    </row>
    <row r="3235" spans="2:7" x14ac:dyDescent="0.25">
      <c r="B3235" s="37"/>
      <c r="C3235" s="37"/>
      <c r="D3235" s="37"/>
      <c r="E3235" s="37"/>
      <c r="F3235" s="37"/>
      <c r="G3235" s="70"/>
    </row>
    <row r="3236" spans="2:7" x14ac:dyDescent="0.25">
      <c r="B3236" s="37"/>
      <c r="C3236" s="37"/>
      <c r="D3236" s="37"/>
      <c r="E3236" s="37"/>
      <c r="F3236" s="37"/>
      <c r="G3236" s="70"/>
    </row>
    <row r="3237" spans="2:7" x14ac:dyDescent="0.25">
      <c r="B3237" s="37"/>
      <c r="C3237" s="37"/>
      <c r="D3237" s="37"/>
      <c r="E3237" s="37"/>
      <c r="F3237" s="37"/>
      <c r="G3237" s="70"/>
    </row>
    <row r="3238" spans="2:7" x14ac:dyDescent="0.25">
      <c r="B3238" s="37"/>
      <c r="C3238" s="37"/>
      <c r="D3238" s="37"/>
      <c r="E3238" s="37"/>
      <c r="F3238" s="37"/>
      <c r="G3238" s="70"/>
    </row>
    <row r="3239" spans="2:7" x14ac:dyDescent="0.25">
      <c r="B3239" s="37"/>
      <c r="C3239" s="37"/>
      <c r="D3239" s="37"/>
      <c r="E3239" s="37"/>
      <c r="F3239" s="37"/>
      <c r="G3239" s="70"/>
    </row>
    <row r="3240" spans="2:7" x14ac:dyDescent="0.25">
      <c r="B3240" s="37"/>
      <c r="C3240" s="37"/>
      <c r="D3240" s="37"/>
      <c r="E3240" s="37"/>
      <c r="F3240" s="37"/>
      <c r="G3240" s="70"/>
    </row>
    <row r="3241" spans="2:7" x14ac:dyDescent="0.25">
      <c r="B3241" s="37"/>
      <c r="C3241" s="37"/>
      <c r="D3241" s="37"/>
      <c r="E3241" s="37"/>
      <c r="F3241" s="37"/>
      <c r="G3241" s="70"/>
    </row>
    <row r="3242" spans="2:7" x14ac:dyDescent="0.25">
      <c r="B3242" s="37"/>
      <c r="C3242" s="37"/>
      <c r="D3242" s="37"/>
      <c r="E3242" s="37"/>
      <c r="F3242" s="37"/>
      <c r="G3242" s="70"/>
    </row>
    <row r="3243" spans="2:7" x14ac:dyDescent="0.25">
      <c r="B3243" s="37"/>
      <c r="C3243" s="37"/>
      <c r="D3243" s="37"/>
      <c r="E3243" s="37"/>
      <c r="F3243" s="37"/>
      <c r="G3243" s="70"/>
    </row>
    <row r="3244" spans="2:7" x14ac:dyDescent="0.25">
      <c r="B3244" s="37"/>
      <c r="C3244" s="37"/>
      <c r="D3244" s="37"/>
      <c r="E3244" s="37"/>
      <c r="F3244" s="37"/>
      <c r="G3244" s="70"/>
    </row>
    <row r="3245" spans="2:7" x14ac:dyDescent="0.25">
      <c r="B3245" s="37"/>
      <c r="C3245" s="37"/>
      <c r="D3245" s="37"/>
      <c r="E3245" s="37"/>
      <c r="F3245" s="37"/>
      <c r="G3245" s="70"/>
    </row>
    <row r="3246" spans="2:7" x14ac:dyDescent="0.25">
      <c r="B3246" s="37"/>
      <c r="C3246" s="37"/>
      <c r="D3246" s="37"/>
      <c r="E3246" s="37"/>
      <c r="F3246" s="37"/>
      <c r="G3246" s="70"/>
    </row>
    <row r="3247" spans="2:7" x14ac:dyDescent="0.25">
      <c r="B3247" s="37"/>
      <c r="C3247" s="37"/>
      <c r="D3247" s="37"/>
      <c r="E3247" s="37"/>
      <c r="F3247" s="37"/>
      <c r="G3247" s="70"/>
    </row>
    <row r="3248" spans="2:7" x14ac:dyDescent="0.25">
      <c r="B3248" s="37"/>
      <c r="C3248" s="37"/>
      <c r="D3248" s="37"/>
      <c r="E3248" s="37"/>
      <c r="F3248" s="37"/>
      <c r="G3248" s="70"/>
    </row>
    <row r="3249" spans="2:7" x14ac:dyDescent="0.25">
      <c r="B3249" s="37"/>
      <c r="C3249" s="37"/>
      <c r="D3249" s="37"/>
      <c r="E3249" s="37"/>
      <c r="F3249" s="37"/>
      <c r="G3249" s="70"/>
    </row>
    <row r="3250" spans="2:7" x14ac:dyDescent="0.25">
      <c r="B3250" s="37"/>
      <c r="C3250" s="37"/>
      <c r="D3250" s="37"/>
      <c r="E3250" s="37"/>
      <c r="F3250" s="37"/>
      <c r="G3250" s="70"/>
    </row>
    <row r="3251" spans="2:7" x14ac:dyDescent="0.25">
      <c r="B3251" s="37"/>
      <c r="C3251" s="37"/>
      <c r="D3251" s="37"/>
      <c r="E3251" s="37"/>
      <c r="F3251" s="37"/>
      <c r="G3251" s="70"/>
    </row>
    <row r="3252" spans="2:7" x14ac:dyDescent="0.25">
      <c r="B3252" s="37"/>
      <c r="C3252" s="37"/>
      <c r="D3252" s="37"/>
      <c r="E3252" s="37"/>
      <c r="F3252" s="37"/>
      <c r="G3252" s="70"/>
    </row>
    <row r="3253" spans="2:7" x14ac:dyDescent="0.25">
      <c r="B3253" s="37"/>
      <c r="C3253" s="37"/>
      <c r="D3253" s="37"/>
      <c r="E3253" s="37"/>
      <c r="F3253" s="37"/>
      <c r="G3253" s="70"/>
    </row>
    <row r="3254" spans="2:7" x14ac:dyDescent="0.25">
      <c r="B3254" s="37"/>
      <c r="C3254" s="37"/>
      <c r="D3254" s="37"/>
      <c r="E3254" s="37"/>
      <c r="F3254" s="37"/>
      <c r="G3254" s="70"/>
    </row>
    <row r="3255" spans="2:7" x14ac:dyDescent="0.25">
      <c r="B3255" s="37"/>
      <c r="C3255" s="37"/>
      <c r="D3255" s="37"/>
      <c r="E3255" s="37"/>
      <c r="F3255" s="37"/>
      <c r="G3255" s="70"/>
    </row>
    <row r="3256" spans="2:7" x14ac:dyDescent="0.25">
      <c r="B3256" s="37"/>
      <c r="C3256" s="37"/>
      <c r="D3256" s="37"/>
      <c r="E3256" s="37"/>
      <c r="F3256" s="37"/>
      <c r="G3256" s="70"/>
    </row>
    <row r="3257" spans="2:7" x14ac:dyDescent="0.25">
      <c r="B3257" s="37"/>
      <c r="C3257" s="37"/>
      <c r="D3257" s="37"/>
      <c r="E3257" s="37"/>
      <c r="F3257" s="37"/>
      <c r="G3257" s="70"/>
    </row>
    <row r="3258" spans="2:7" x14ac:dyDescent="0.25">
      <c r="B3258" s="37"/>
      <c r="C3258" s="37"/>
      <c r="D3258" s="37"/>
      <c r="E3258" s="37"/>
      <c r="F3258" s="37"/>
      <c r="G3258" s="70"/>
    </row>
    <row r="3259" spans="2:7" x14ac:dyDescent="0.25">
      <c r="B3259" s="37"/>
      <c r="C3259" s="37"/>
      <c r="D3259" s="37"/>
      <c r="E3259" s="37"/>
      <c r="F3259" s="37"/>
      <c r="G3259" s="70"/>
    </row>
    <row r="3260" spans="2:7" x14ac:dyDescent="0.25">
      <c r="B3260" s="37"/>
      <c r="C3260" s="37"/>
      <c r="D3260" s="37"/>
      <c r="E3260" s="37"/>
      <c r="F3260" s="37"/>
      <c r="G3260" s="70"/>
    </row>
    <row r="3261" spans="2:7" x14ac:dyDescent="0.25">
      <c r="B3261" s="37"/>
      <c r="C3261" s="37"/>
      <c r="D3261" s="37"/>
      <c r="E3261" s="37"/>
      <c r="F3261" s="37"/>
      <c r="G3261" s="70"/>
    </row>
    <row r="3262" spans="2:7" x14ac:dyDescent="0.25">
      <c r="B3262" s="37"/>
      <c r="C3262" s="37"/>
      <c r="D3262" s="37"/>
      <c r="E3262" s="37"/>
      <c r="F3262" s="37"/>
      <c r="G3262" s="70"/>
    </row>
    <row r="3263" spans="2:7" x14ac:dyDescent="0.25">
      <c r="B3263" s="37"/>
      <c r="C3263" s="37"/>
      <c r="D3263" s="37"/>
      <c r="E3263" s="37"/>
      <c r="F3263" s="37"/>
      <c r="G3263" s="70"/>
    </row>
    <row r="3264" spans="2:7" x14ac:dyDescent="0.25">
      <c r="B3264" s="37"/>
      <c r="C3264" s="37"/>
      <c r="D3264" s="37"/>
      <c r="E3264" s="37"/>
      <c r="F3264" s="37"/>
      <c r="G3264" s="70"/>
    </row>
    <row r="3265" spans="2:7" x14ac:dyDescent="0.25">
      <c r="B3265" s="37"/>
      <c r="C3265" s="37"/>
      <c r="D3265" s="37"/>
      <c r="E3265" s="37"/>
      <c r="F3265" s="37"/>
      <c r="G3265" s="70"/>
    </row>
    <row r="3266" spans="2:7" x14ac:dyDescent="0.25">
      <c r="B3266" s="37"/>
      <c r="C3266" s="37"/>
      <c r="D3266" s="37"/>
      <c r="E3266" s="37"/>
      <c r="F3266" s="37"/>
      <c r="G3266" s="70"/>
    </row>
    <row r="3267" spans="2:7" x14ac:dyDescent="0.25">
      <c r="B3267" s="37"/>
      <c r="C3267" s="37"/>
      <c r="D3267" s="37"/>
      <c r="E3267" s="37"/>
      <c r="F3267" s="37"/>
      <c r="G3267" s="70"/>
    </row>
    <row r="3268" spans="2:7" x14ac:dyDescent="0.25">
      <c r="B3268" s="37"/>
      <c r="C3268" s="37"/>
      <c r="D3268" s="37"/>
      <c r="E3268" s="37"/>
      <c r="F3268" s="37"/>
      <c r="G3268" s="70"/>
    </row>
    <row r="3269" spans="2:7" x14ac:dyDescent="0.25">
      <c r="B3269" s="37"/>
      <c r="C3269" s="37"/>
      <c r="D3269" s="37"/>
      <c r="E3269" s="37"/>
      <c r="F3269" s="37"/>
      <c r="G3269" s="70"/>
    </row>
    <row r="3270" spans="2:7" x14ac:dyDescent="0.25">
      <c r="B3270" s="37"/>
      <c r="C3270" s="37"/>
      <c r="D3270" s="37"/>
      <c r="E3270" s="37"/>
      <c r="F3270" s="37"/>
      <c r="G3270" s="70"/>
    </row>
    <row r="3271" spans="2:7" x14ac:dyDescent="0.25">
      <c r="B3271" s="37"/>
      <c r="C3271" s="37"/>
      <c r="D3271" s="37"/>
      <c r="E3271" s="37"/>
      <c r="F3271" s="37"/>
      <c r="G3271" s="70"/>
    </row>
    <row r="3272" spans="2:7" x14ac:dyDescent="0.25">
      <c r="B3272" s="37"/>
      <c r="C3272" s="37"/>
      <c r="D3272" s="37"/>
      <c r="E3272" s="37"/>
      <c r="F3272" s="37"/>
      <c r="G3272" s="70"/>
    </row>
    <row r="3273" spans="2:7" x14ac:dyDescent="0.25">
      <c r="B3273" s="37"/>
      <c r="C3273" s="37"/>
      <c r="D3273" s="37"/>
      <c r="E3273" s="37"/>
      <c r="F3273" s="37"/>
      <c r="G3273" s="70"/>
    </row>
    <row r="3274" spans="2:7" x14ac:dyDescent="0.25">
      <c r="B3274" s="37"/>
      <c r="C3274" s="37"/>
      <c r="D3274" s="37"/>
      <c r="E3274" s="37"/>
      <c r="F3274" s="37"/>
      <c r="G3274" s="70"/>
    </row>
    <row r="3275" spans="2:7" x14ac:dyDescent="0.25">
      <c r="B3275" s="37"/>
      <c r="C3275" s="37"/>
      <c r="D3275" s="37"/>
      <c r="E3275" s="37"/>
      <c r="F3275" s="37"/>
      <c r="G3275" s="70"/>
    </row>
    <row r="3276" spans="2:7" x14ac:dyDescent="0.25">
      <c r="B3276" s="37"/>
      <c r="C3276" s="37"/>
      <c r="D3276" s="37"/>
      <c r="E3276" s="37"/>
      <c r="F3276" s="37"/>
      <c r="G3276" s="70"/>
    </row>
    <row r="3277" spans="2:7" x14ac:dyDescent="0.25">
      <c r="B3277" s="37"/>
      <c r="C3277" s="37"/>
      <c r="D3277" s="37"/>
      <c r="E3277" s="37"/>
      <c r="F3277" s="37"/>
      <c r="G3277" s="70"/>
    </row>
    <row r="3278" spans="2:7" x14ac:dyDescent="0.25">
      <c r="B3278" s="37"/>
      <c r="C3278" s="37"/>
      <c r="D3278" s="37"/>
      <c r="E3278" s="37"/>
      <c r="F3278" s="37"/>
      <c r="G3278" s="70"/>
    </row>
    <row r="3279" spans="2:7" x14ac:dyDescent="0.25">
      <c r="B3279" s="37"/>
      <c r="C3279" s="37"/>
      <c r="D3279" s="37"/>
      <c r="E3279" s="37"/>
      <c r="F3279" s="37"/>
      <c r="G3279" s="70"/>
    </row>
    <row r="3280" spans="2:7" x14ac:dyDescent="0.25">
      <c r="B3280" s="37"/>
      <c r="C3280" s="37"/>
      <c r="D3280" s="37"/>
      <c r="E3280" s="37"/>
      <c r="F3280" s="37"/>
      <c r="G3280" s="70"/>
    </row>
    <row r="3281" spans="2:7" x14ac:dyDescent="0.25">
      <c r="B3281" s="37"/>
      <c r="C3281" s="37"/>
      <c r="D3281" s="37"/>
      <c r="E3281" s="37"/>
      <c r="F3281" s="37"/>
      <c r="G3281" s="70"/>
    </row>
    <row r="3282" spans="2:7" x14ac:dyDescent="0.25">
      <c r="B3282" s="37"/>
      <c r="C3282" s="37"/>
      <c r="D3282" s="37"/>
      <c r="E3282" s="37"/>
      <c r="F3282" s="37"/>
      <c r="G3282" s="70"/>
    </row>
    <row r="3283" spans="2:7" x14ac:dyDescent="0.25">
      <c r="B3283" s="37"/>
      <c r="C3283" s="37"/>
      <c r="D3283" s="37"/>
      <c r="E3283" s="37"/>
      <c r="F3283" s="37"/>
      <c r="G3283" s="70"/>
    </row>
    <row r="3284" spans="2:7" x14ac:dyDescent="0.25">
      <c r="B3284" s="37"/>
      <c r="C3284" s="37"/>
      <c r="D3284" s="37"/>
      <c r="E3284" s="37"/>
      <c r="F3284" s="37"/>
      <c r="G3284" s="70"/>
    </row>
    <row r="3285" spans="2:7" x14ac:dyDescent="0.25">
      <c r="B3285" s="37"/>
      <c r="C3285" s="37"/>
      <c r="D3285" s="37"/>
      <c r="E3285" s="37"/>
      <c r="F3285" s="37"/>
      <c r="G3285" s="70"/>
    </row>
    <row r="3286" spans="2:7" x14ac:dyDescent="0.25">
      <c r="B3286" s="37"/>
      <c r="C3286" s="37"/>
      <c r="D3286" s="37"/>
      <c r="E3286" s="37"/>
      <c r="F3286" s="37"/>
      <c r="G3286" s="70"/>
    </row>
    <row r="3287" spans="2:7" x14ac:dyDescent="0.25">
      <c r="B3287" s="37"/>
      <c r="C3287" s="37"/>
      <c r="D3287" s="37"/>
      <c r="E3287" s="37"/>
      <c r="F3287" s="37"/>
      <c r="G3287" s="70"/>
    </row>
    <row r="3288" spans="2:7" x14ac:dyDescent="0.25">
      <c r="B3288" s="37"/>
      <c r="C3288" s="37"/>
      <c r="D3288" s="37"/>
      <c r="E3288" s="37"/>
      <c r="F3288" s="37"/>
      <c r="G3288" s="70"/>
    </row>
    <row r="3289" spans="2:7" x14ac:dyDescent="0.25">
      <c r="B3289" s="37"/>
      <c r="C3289" s="37"/>
      <c r="D3289" s="37"/>
      <c r="E3289" s="37"/>
      <c r="F3289" s="37"/>
      <c r="G3289" s="70"/>
    </row>
    <row r="3290" spans="2:7" x14ac:dyDescent="0.25">
      <c r="B3290" s="37"/>
      <c r="C3290" s="37"/>
      <c r="D3290" s="37"/>
      <c r="E3290" s="37"/>
      <c r="F3290" s="37"/>
      <c r="G3290" s="70"/>
    </row>
    <row r="3291" spans="2:7" x14ac:dyDescent="0.25">
      <c r="B3291" s="37"/>
      <c r="C3291" s="37"/>
      <c r="D3291" s="37"/>
      <c r="E3291" s="37"/>
      <c r="F3291" s="37"/>
      <c r="G3291" s="70"/>
    </row>
    <row r="3292" spans="2:7" x14ac:dyDescent="0.25">
      <c r="B3292" s="37"/>
      <c r="C3292" s="37"/>
      <c r="D3292" s="37"/>
      <c r="E3292" s="37"/>
      <c r="F3292" s="37"/>
      <c r="G3292" s="70"/>
    </row>
    <row r="3293" spans="2:7" x14ac:dyDescent="0.25">
      <c r="B3293" s="37"/>
      <c r="C3293" s="37"/>
      <c r="D3293" s="37"/>
      <c r="E3293" s="37"/>
      <c r="F3293" s="37"/>
      <c r="G3293" s="70"/>
    </row>
    <row r="3294" spans="2:7" x14ac:dyDescent="0.25">
      <c r="B3294" s="37"/>
      <c r="C3294" s="37"/>
      <c r="D3294" s="37"/>
      <c r="E3294" s="37"/>
      <c r="F3294" s="37"/>
      <c r="G3294" s="70"/>
    </row>
    <row r="3295" spans="2:7" x14ac:dyDescent="0.25">
      <c r="B3295" s="37"/>
      <c r="C3295" s="37"/>
      <c r="D3295" s="37"/>
      <c r="E3295" s="37"/>
      <c r="F3295" s="37"/>
      <c r="G3295" s="70"/>
    </row>
    <row r="3296" spans="2:7" x14ac:dyDescent="0.25">
      <c r="B3296" s="37"/>
      <c r="C3296" s="37"/>
      <c r="D3296" s="37"/>
      <c r="E3296" s="37"/>
      <c r="F3296" s="37"/>
      <c r="G3296" s="70"/>
    </row>
    <row r="3297" spans="2:7" x14ac:dyDescent="0.25">
      <c r="B3297" s="37"/>
      <c r="C3297" s="37"/>
      <c r="D3297" s="37"/>
      <c r="E3297" s="37"/>
      <c r="F3297" s="37"/>
      <c r="G3297" s="70"/>
    </row>
    <row r="3298" spans="2:7" x14ac:dyDescent="0.25">
      <c r="B3298" s="37"/>
      <c r="C3298" s="37"/>
      <c r="D3298" s="37"/>
      <c r="E3298" s="37"/>
      <c r="F3298" s="37"/>
      <c r="G3298" s="70"/>
    </row>
    <row r="3299" spans="2:7" x14ac:dyDescent="0.25">
      <c r="B3299" s="37"/>
      <c r="C3299" s="37"/>
      <c r="D3299" s="37"/>
      <c r="E3299" s="37"/>
      <c r="F3299" s="37"/>
      <c r="G3299" s="70"/>
    </row>
    <row r="3300" spans="2:7" x14ac:dyDescent="0.25">
      <c r="B3300" s="37"/>
      <c r="C3300" s="37"/>
      <c r="D3300" s="37"/>
      <c r="E3300" s="37"/>
      <c r="F3300" s="37"/>
      <c r="G3300" s="70"/>
    </row>
    <row r="3301" spans="2:7" x14ac:dyDescent="0.25">
      <c r="B3301" s="37"/>
      <c r="C3301" s="37"/>
      <c r="D3301" s="37"/>
      <c r="E3301" s="37"/>
      <c r="F3301" s="37"/>
      <c r="G3301" s="70"/>
    </row>
    <row r="3302" spans="2:7" x14ac:dyDescent="0.25">
      <c r="B3302" s="37"/>
      <c r="C3302" s="37"/>
      <c r="D3302" s="37"/>
      <c r="E3302" s="37"/>
      <c r="F3302" s="37"/>
      <c r="G3302" s="70"/>
    </row>
    <row r="3303" spans="2:7" x14ac:dyDescent="0.25">
      <c r="B3303" s="37"/>
      <c r="C3303" s="37"/>
      <c r="D3303" s="37"/>
      <c r="E3303" s="37"/>
      <c r="F3303" s="37"/>
      <c r="G3303" s="70"/>
    </row>
    <row r="3304" spans="2:7" x14ac:dyDescent="0.25">
      <c r="B3304" s="37"/>
      <c r="C3304" s="37"/>
      <c r="D3304" s="37"/>
      <c r="E3304" s="37"/>
      <c r="F3304" s="37"/>
      <c r="G3304" s="70"/>
    </row>
    <row r="3305" spans="2:7" x14ac:dyDescent="0.25">
      <c r="B3305" s="37"/>
      <c r="C3305" s="37"/>
      <c r="D3305" s="37"/>
      <c r="E3305" s="37"/>
      <c r="F3305" s="37"/>
      <c r="G3305" s="70"/>
    </row>
    <row r="3306" spans="2:7" x14ac:dyDescent="0.25">
      <c r="B3306" s="37"/>
      <c r="C3306" s="37"/>
      <c r="D3306" s="37"/>
      <c r="E3306" s="37"/>
      <c r="F3306" s="37"/>
      <c r="G3306" s="70"/>
    </row>
    <row r="3307" spans="2:7" x14ac:dyDescent="0.25">
      <c r="B3307" s="37"/>
      <c r="C3307" s="37"/>
      <c r="D3307" s="37"/>
      <c r="E3307" s="37"/>
      <c r="F3307" s="37"/>
      <c r="G3307" s="70"/>
    </row>
    <row r="3308" spans="2:7" x14ac:dyDescent="0.25">
      <c r="B3308" s="37"/>
      <c r="C3308" s="37"/>
      <c r="D3308" s="37"/>
      <c r="E3308" s="37"/>
      <c r="F3308" s="37"/>
      <c r="G3308" s="70"/>
    </row>
    <row r="3309" spans="2:7" x14ac:dyDescent="0.25">
      <c r="B3309" s="37"/>
      <c r="C3309" s="37"/>
      <c r="D3309" s="37"/>
      <c r="E3309" s="37"/>
      <c r="F3309" s="37"/>
      <c r="G3309" s="70"/>
    </row>
    <row r="3310" spans="2:7" x14ac:dyDescent="0.25">
      <c r="B3310" s="37"/>
      <c r="C3310" s="37"/>
      <c r="D3310" s="37"/>
      <c r="E3310" s="37"/>
      <c r="F3310" s="37"/>
      <c r="G3310" s="70"/>
    </row>
    <row r="3311" spans="2:7" x14ac:dyDescent="0.25">
      <c r="B3311" s="37"/>
      <c r="C3311" s="37"/>
      <c r="D3311" s="37"/>
      <c r="E3311" s="37"/>
      <c r="F3311" s="37"/>
      <c r="G3311" s="70"/>
    </row>
    <row r="3312" spans="2:7" x14ac:dyDescent="0.25">
      <c r="B3312" s="37"/>
      <c r="C3312" s="37"/>
      <c r="D3312" s="37"/>
      <c r="E3312" s="37"/>
      <c r="F3312" s="37"/>
      <c r="G3312" s="70"/>
    </row>
    <row r="3313" spans="2:7" x14ac:dyDescent="0.25">
      <c r="B3313" s="37"/>
      <c r="C3313" s="37"/>
      <c r="D3313" s="37"/>
      <c r="E3313" s="37"/>
      <c r="F3313" s="37"/>
      <c r="G3313" s="70"/>
    </row>
    <row r="3314" spans="2:7" x14ac:dyDescent="0.25">
      <c r="B3314" s="37"/>
      <c r="C3314" s="37"/>
      <c r="D3314" s="37"/>
      <c r="E3314" s="37"/>
      <c r="F3314" s="37"/>
      <c r="G3314" s="70"/>
    </row>
    <row r="3315" spans="2:7" x14ac:dyDescent="0.25">
      <c r="B3315" s="37"/>
      <c r="C3315" s="37"/>
      <c r="D3315" s="37"/>
      <c r="E3315" s="37"/>
      <c r="F3315" s="37"/>
      <c r="G3315" s="70"/>
    </row>
    <row r="3316" spans="2:7" x14ac:dyDescent="0.25">
      <c r="B3316" s="37"/>
      <c r="C3316" s="37"/>
      <c r="D3316" s="37"/>
      <c r="E3316" s="37"/>
      <c r="F3316" s="37"/>
      <c r="G3316" s="70"/>
    </row>
    <row r="3317" spans="2:7" x14ac:dyDescent="0.25">
      <c r="B3317" s="37"/>
      <c r="C3317" s="37"/>
      <c r="D3317" s="37"/>
      <c r="E3317" s="37"/>
      <c r="F3317" s="37"/>
      <c r="G3317" s="70"/>
    </row>
    <row r="3318" spans="2:7" x14ac:dyDescent="0.25">
      <c r="B3318" s="37"/>
      <c r="C3318" s="37"/>
      <c r="D3318" s="37"/>
      <c r="E3318" s="37"/>
      <c r="F3318" s="37"/>
      <c r="G3318" s="70"/>
    </row>
    <row r="3319" spans="2:7" x14ac:dyDescent="0.25">
      <c r="B3319" s="37"/>
      <c r="C3319" s="37"/>
      <c r="D3319" s="37"/>
      <c r="E3319" s="37"/>
      <c r="F3319" s="37"/>
      <c r="G3319" s="70"/>
    </row>
    <row r="3320" spans="2:7" x14ac:dyDescent="0.25">
      <c r="B3320" s="37"/>
      <c r="C3320" s="37"/>
      <c r="D3320" s="37"/>
      <c r="E3320" s="37"/>
      <c r="F3320" s="37"/>
      <c r="G3320" s="70"/>
    </row>
    <row r="3321" spans="2:7" x14ac:dyDescent="0.25">
      <c r="B3321" s="37"/>
      <c r="C3321" s="37"/>
      <c r="D3321" s="37"/>
      <c r="E3321" s="37"/>
      <c r="F3321" s="37"/>
      <c r="G3321" s="70"/>
    </row>
    <row r="3322" spans="2:7" x14ac:dyDescent="0.25">
      <c r="B3322" s="37"/>
      <c r="C3322" s="37"/>
      <c r="D3322" s="37"/>
      <c r="E3322" s="37"/>
      <c r="F3322" s="37"/>
      <c r="G3322" s="70"/>
    </row>
    <row r="3323" spans="2:7" x14ac:dyDescent="0.25">
      <c r="B3323" s="37"/>
      <c r="C3323" s="37"/>
      <c r="D3323" s="37"/>
      <c r="E3323" s="37"/>
      <c r="F3323" s="37"/>
      <c r="G3323" s="70"/>
    </row>
    <row r="3324" spans="2:7" x14ac:dyDescent="0.25">
      <c r="B3324" s="37"/>
      <c r="C3324" s="37"/>
      <c r="D3324" s="37"/>
      <c r="E3324" s="37"/>
      <c r="F3324" s="37"/>
      <c r="G3324" s="70"/>
    </row>
    <row r="3325" spans="2:7" x14ac:dyDescent="0.25">
      <c r="B3325" s="37"/>
      <c r="C3325" s="37"/>
      <c r="D3325" s="37"/>
      <c r="E3325" s="37"/>
      <c r="F3325" s="37"/>
      <c r="G3325" s="70"/>
    </row>
    <row r="3326" spans="2:7" x14ac:dyDescent="0.25">
      <c r="B3326" s="37"/>
      <c r="C3326" s="37"/>
      <c r="D3326" s="37"/>
      <c r="E3326" s="37"/>
      <c r="F3326" s="37"/>
      <c r="G3326" s="70"/>
    </row>
    <row r="3327" spans="2:7" x14ac:dyDescent="0.25">
      <c r="B3327" s="37"/>
      <c r="C3327" s="37"/>
      <c r="D3327" s="37"/>
      <c r="E3327" s="37"/>
      <c r="F3327" s="37"/>
      <c r="G3327" s="70"/>
    </row>
    <row r="3328" spans="2:7" x14ac:dyDescent="0.25">
      <c r="B3328" s="37"/>
      <c r="C3328" s="37"/>
      <c r="D3328" s="37"/>
      <c r="E3328" s="37"/>
      <c r="F3328" s="37"/>
      <c r="G3328" s="70"/>
    </row>
    <row r="3329" spans="2:7" x14ac:dyDescent="0.25">
      <c r="B3329" s="37"/>
      <c r="C3329" s="37"/>
      <c r="D3329" s="37"/>
      <c r="E3329" s="37"/>
      <c r="F3329" s="37"/>
      <c r="G3329" s="70"/>
    </row>
    <row r="3330" spans="2:7" x14ac:dyDescent="0.25">
      <c r="B3330" s="37"/>
      <c r="C3330" s="37"/>
      <c r="D3330" s="37"/>
      <c r="E3330" s="37"/>
      <c r="F3330" s="37"/>
      <c r="G3330" s="70"/>
    </row>
    <row r="3331" spans="2:7" x14ac:dyDescent="0.25">
      <c r="B3331" s="37"/>
      <c r="C3331" s="37"/>
      <c r="D3331" s="37"/>
      <c r="E3331" s="37"/>
      <c r="F3331" s="37"/>
      <c r="G3331" s="70"/>
    </row>
    <row r="3332" spans="2:7" x14ac:dyDescent="0.25">
      <c r="B3332" s="37"/>
      <c r="C3332" s="37"/>
      <c r="D3332" s="37"/>
      <c r="E3332" s="37"/>
      <c r="F3332" s="37"/>
      <c r="G3332" s="70"/>
    </row>
    <row r="3333" spans="2:7" x14ac:dyDescent="0.25">
      <c r="B3333" s="37"/>
      <c r="C3333" s="37"/>
      <c r="D3333" s="37"/>
      <c r="E3333" s="37"/>
      <c r="F3333" s="37"/>
      <c r="G3333" s="70"/>
    </row>
    <row r="3334" spans="2:7" x14ac:dyDescent="0.25">
      <c r="B3334" s="37"/>
      <c r="C3334" s="37"/>
      <c r="D3334" s="37"/>
      <c r="E3334" s="37"/>
      <c r="F3334" s="37"/>
      <c r="G3334" s="70"/>
    </row>
    <row r="3335" spans="2:7" x14ac:dyDescent="0.25">
      <c r="B3335" s="37"/>
      <c r="C3335" s="37"/>
      <c r="D3335" s="37"/>
      <c r="E3335" s="37"/>
      <c r="F3335" s="37"/>
      <c r="G3335" s="70"/>
    </row>
    <row r="3336" spans="2:7" x14ac:dyDescent="0.25">
      <c r="B3336" s="37"/>
      <c r="C3336" s="37"/>
      <c r="D3336" s="37"/>
      <c r="E3336" s="37"/>
      <c r="F3336" s="37"/>
      <c r="G3336" s="70"/>
    </row>
    <row r="3337" spans="2:7" x14ac:dyDescent="0.25">
      <c r="B3337" s="37"/>
      <c r="C3337" s="37"/>
      <c r="D3337" s="37"/>
      <c r="E3337" s="37"/>
      <c r="F3337" s="37"/>
      <c r="G3337" s="70"/>
    </row>
    <row r="3338" spans="2:7" x14ac:dyDescent="0.25">
      <c r="B3338" s="37"/>
      <c r="C3338" s="37"/>
      <c r="D3338" s="37"/>
      <c r="E3338" s="37"/>
      <c r="F3338" s="37"/>
      <c r="G3338" s="70"/>
    </row>
    <row r="3339" spans="2:7" x14ac:dyDescent="0.25">
      <c r="B3339" s="37"/>
      <c r="C3339" s="37"/>
      <c r="D3339" s="37"/>
      <c r="E3339" s="37"/>
      <c r="F3339" s="37"/>
      <c r="G3339" s="70"/>
    </row>
    <row r="3340" spans="2:7" x14ac:dyDescent="0.25">
      <c r="B3340" s="37"/>
      <c r="C3340" s="37"/>
      <c r="D3340" s="37"/>
      <c r="E3340" s="37"/>
      <c r="F3340" s="37"/>
      <c r="G3340" s="70"/>
    </row>
    <row r="3341" spans="2:7" x14ac:dyDescent="0.25">
      <c r="B3341" s="37"/>
      <c r="C3341" s="37"/>
      <c r="D3341" s="37"/>
      <c r="E3341" s="37"/>
      <c r="F3341" s="37"/>
      <c r="G3341" s="70"/>
    </row>
    <row r="3342" spans="2:7" x14ac:dyDescent="0.25">
      <c r="B3342" s="37"/>
      <c r="C3342" s="37"/>
      <c r="D3342" s="37"/>
      <c r="E3342" s="37"/>
      <c r="F3342" s="37"/>
      <c r="G3342" s="70"/>
    </row>
    <row r="3343" spans="2:7" x14ac:dyDescent="0.25">
      <c r="B3343" s="37"/>
      <c r="C3343" s="37"/>
      <c r="D3343" s="37"/>
      <c r="E3343" s="37"/>
      <c r="F3343" s="37"/>
      <c r="G3343" s="70"/>
    </row>
    <row r="3344" spans="2:7" x14ac:dyDescent="0.25">
      <c r="B3344" s="37"/>
      <c r="C3344" s="37"/>
      <c r="D3344" s="37"/>
      <c r="E3344" s="37"/>
      <c r="F3344" s="37"/>
      <c r="G3344" s="70"/>
    </row>
    <row r="3345" spans="2:7" x14ac:dyDescent="0.25">
      <c r="B3345" s="37"/>
      <c r="C3345" s="37"/>
      <c r="D3345" s="37"/>
      <c r="E3345" s="37"/>
      <c r="F3345" s="37"/>
      <c r="G3345" s="70"/>
    </row>
    <row r="3346" spans="2:7" x14ac:dyDescent="0.25">
      <c r="B3346" s="37"/>
      <c r="C3346" s="37"/>
      <c r="D3346" s="37"/>
      <c r="E3346" s="37"/>
      <c r="F3346" s="37"/>
      <c r="G3346" s="70"/>
    </row>
    <row r="3347" spans="2:7" x14ac:dyDescent="0.25">
      <c r="B3347" s="37"/>
      <c r="C3347" s="37"/>
      <c r="D3347" s="37"/>
      <c r="E3347" s="37"/>
      <c r="F3347" s="37"/>
      <c r="G3347" s="70"/>
    </row>
    <row r="3348" spans="2:7" x14ac:dyDescent="0.25">
      <c r="B3348" s="37"/>
      <c r="C3348" s="37"/>
      <c r="D3348" s="37"/>
      <c r="E3348" s="37"/>
      <c r="F3348" s="37"/>
      <c r="G3348" s="70"/>
    </row>
    <row r="3349" spans="2:7" x14ac:dyDescent="0.25">
      <c r="B3349" s="37"/>
      <c r="C3349" s="37"/>
      <c r="D3349" s="37"/>
      <c r="E3349" s="37"/>
      <c r="F3349" s="37"/>
      <c r="G3349" s="70"/>
    </row>
    <row r="3350" spans="2:7" x14ac:dyDescent="0.25">
      <c r="B3350" s="37"/>
      <c r="C3350" s="37"/>
      <c r="D3350" s="37"/>
      <c r="E3350" s="37"/>
      <c r="F3350" s="37"/>
      <c r="G3350" s="70"/>
    </row>
    <row r="3351" spans="2:7" x14ac:dyDescent="0.25">
      <c r="B3351" s="37"/>
      <c r="C3351" s="37"/>
      <c r="D3351" s="37"/>
      <c r="E3351" s="37"/>
      <c r="F3351" s="37"/>
      <c r="G3351" s="70"/>
    </row>
    <row r="3352" spans="2:7" x14ac:dyDescent="0.25">
      <c r="B3352" s="37"/>
      <c r="C3352" s="37"/>
      <c r="D3352" s="37"/>
      <c r="E3352" s="37"/>
      <c r="F3352" s="37"/>
      <c r="G3352" s="70"/>
    </row>
    <row r="3353" spans="2:7" x14ac:dyDescent="0.25">
      <c r="B3353" s="37"/>
      <c r="C3353" s="37"/>
      <c r="D3353" s="37"/>
      <c r="E3353" s="37"/>
      <c r="F3353" s="37"/>
      <c r="G3353" s="70"/>
    </row>
    <row r="3354" spans="2:7" x14ac:dyDescent="0.25">
      <c r="B3354" s="37"/>
      <c r="C3354" s="37"/>
      <c r="D3354" s="37"/>
      <c r="E3354" s="37"/>
      <c r="F3354" s="37"/>
      <c r="G3354" s="70"/>
    </row>
    <row r="3355" spans="2:7" x14ac:dyDescent="0.25">
      <c r="B3355" s="37"/>
      <c r="C3355" s="37"/>
      <c r="D3355" s="37"/>
      <c r="E3355" s="37"/>
      <c r="F3355" s="37"/>
      <c r="G3355" s="70"/>
    </row>
    <row r="3356" spans="2:7" x14ac:dyDescent="0.25">
      <c r="B3356" s="37"/>
      <c r="C3356" s="37"/>
      <c r="D3356" s="37"/>
      <c r="E3356" s="37"/>
      <c r="F3356" s="37"/>
      <c r="G3356" s="70"/>
    </row>
    <row r="3357" spans="2:7" x14ac:dyDescent="0.25">
      <c r="B3357" s="37"/>
      <c r="C3357" s="37"/>
      <c r="D3357" s="37"/>
      <c r="E3357" s="37"/>
      <c r="F3357" s="37"/>
      <c r="G3357" s="70"/>
    </row>
    <row r="3358" spans="2:7" x14ac:dyDescent="0.25">
      <c r="B3358" s="37"/>
      <c r="C3358" s="37"/>
      <c r="D3358" s="37"/>
      <c r="E3358" s="37"/>
      <c r="F3358" s="37"/>
      <c r="G3358" s="70"/>
    </row>
    <row r="3359" spans="2:7" x14ac:dyDescent="0.25">
      <c r="B3359" s="37"/>
      <c r="C3359" s="37"/>
      <c r="D3359" s="37"/>
      <c r="E3359" s="37"/>
      <c r="F3359" s="37"/>
      <c r="G3359" s="70"/>
    </row>
    <row r="3360" spans="2:7" x14ac:dyDescent="0.25">
      <c r="B3360" s="37"/>
      <c r="C3360" s="37"/>
      <c r="D3360" s="37"/>
      <c r="E3360" s="37"/>
      <c r="F3360" s="37"/>
      <c r="G3360" s="70"/>
    </row>
    <row r="3361" spans="2:7" x14ac:dyDescent="0.25">
      <c r="B3361" s="37"/>
      <c r="C3361" s="37"/>
      <c r="D3361" s="37"/>
      <c r="E3361" s="37"/>
      <c r="F3361" s="37"/>
      <c r="G3361" s="70"/>
    </row>
    <row r="3362" spans="2:7" x14ac:dyDescent="0.25">
      <c r="B3362" s="37"/>
      <c r="C3362" s="37"/>
      <c r="D3362" s="37"/>
      <c r="E3362" s="37"/>
      <c r="F3362" s="37"/>
      <c r="G3362" s="70"/>
    </row>
    <row r="3363" spans="2:7" x14ac:dyDescent="0.25">
      <c r="B3363" s="37"/>
      <c r="C3363" s="37"/>
      <c r="D3363" s="37"/>
      <c r="E3363" s="37"/>
      <c r="F3363" s="37"/>
      <c r="G3363" s="70"/>
    </row>
    <row r="3364" spans="2:7" x14ac:dyDescent="0.25">
      <c r="B3364" s="37"/>
      <c r="C3364" s="37"/>
      <c r="D3364" s="37"/>
      <c r="E3364" s="37"/>
      <c r="F3364" s="37"/>
      <c r="G3364" s="70"/>
    </row>
    <row r="3365" spans="2:7" x14ac:dyDescent="0.25">
      <c r="B3365" s="37"/>
      <c r="C3365" s="37"/>
      <c r="D3365" s="37"/>
      <c r="E3365" s="37"/>
      <c r="F3365" s="37"/>
      <c r="G3365" s="70"/>
    </row>
    <row r="3366" spans="2:7" x14ac:dyDescent="0.25">
      <c r="B3366" s="37"/>
      <c r="C3366" s="37"/>
      <c r="D3366" s="37"/>
      <c r="E3366" s="37"/>
      <c r="F3366" s="37"/>
      <c r="G3366" s="70"/>
    </row>
    <row r="3367" spans="2:7" x14ac:dyDescent="0.25">
      <c r="B3367" s="37"/>
      <c r="C3367" s="37"/>
      <c r="D3367" s="37"/>
      <c r="E3367" s="37"/>
      <c r="F3367" s="37"/>
      <c r="G3367" s="70"/>
    </row>
    <row r="3368" spans="2:7" x14ac:dyDescent="0.25">
      <c r="B3368" s="37"/>
      <c r="C3368" s="37"/>
      <c r="D3368" s="37"/>
      <c r="E3368" s="37"/>
      <c r="F3368" s="37"/>
      <c r="G3368" s="70"/>
    </row>
    <row r="3369" spans="2:7" x14ac:dyDescent="0.25">
      <c r="B3369" s="37"/>
      <c r="C3369" s="37"/>
      <c r="D3369" s="37"/>
      <c r="E3369" s="37"/>
      <c r="F3369" s="37"/>
      <c r="G3369" s="70"/>
    </row>
    <row r="3370" spans="2:7" x14ac:dyDescent="0.25">
      <c r="B3370" s="37"/>
      <c r="C3370" s="37"/>
      <c r="D3370" s="37"/>
      <c r="E3370" s="37"/>
      <c r="F3370" s="37"/>
      <c r="G3370" s="70"/>
    </row>
    <row r="3371" spans="2:7" x14ac:dyDescent="0.25">
      <c r="B3371" s="37"/>
      <c r="C3371" s="37"/>
      <c r="D3371" s="37"/>
      <c r="E3371" s="37"/>
      <c r="F3371" s="37"/>
      <c r="G3371" s="70"/>
    </row>
    <row r="3372" spans="2:7" x14ac:dyDescent="0.25">
      <c r="B3372" s="37"/>
      <c r="C3372" s="37"/>
      <c r="D3372" s="37"/>
      <c r="E3372" s="37"/>
      <c r="F3372" s="37"/>
      <c r="G3372" s="70"/>
    </row>
    <row r="3373" spans="2:7" x14ac:dyDescent="0.25">
      <c r="B3373" s="37"/>
      <c r="C3373" s="37"/>
      <c r="D3373" s="37"/>
      <c r="E3373" s="37"/>
      <c r="F3373" s="37"/>
      <c r="G3373" s="70"/>
    </row>
    <row r="3374" spans="2:7" x14ac:dyDescent="0.25">
      <c r="B3374" s="37"/>
      <c r="C3374" s="37"/>
      <c r="D3374" s="37"/>
      <c r="E3374" s="37"/>
      <c r="F3374" s="37"/>
      <c r="G3374" s="70"/>
    </row>
    <row r="3375" spans="2:7" x14ac:dyDescent="0.25">
      <c r="B3375" s="37"/>
      <c r="C3375" s="37"/>
      <c r="D3375" s="37"/>
      <c r="E3375" s="37"/>
      <c r="F3375" s="37"/>
      <c r="G3375" s="70"/>
    </row>
    <row r="3376" spans="2:7" x14ac:dyDescent="0.25">
      <c r="B3376" s="37"/>
      <c r="C3376" s="37"/>
      <c r="D3376" s="37"/>
      <c r="E3376" s="37"/>
      <c r="F3376" s="37"/>
      <c r="G3376" s="70"/>
    </row>
    <row r="3377" spans="2:7" x14ac:dyDescent="0.25">
      <c r="B3377" s="37"/>
      <c r="C3377" s="37"/>
      <c r="D3377" s="37"/>
      <c r="E3377" s="37"/>
      <c r="F3377" s="37"/>
      <c r="G3377" s="70"/>
    </row>
    <row r="3378" spans="2:7" x14ac:dyDescent="0.25">
      <c r="B3378" s="37"/>
      <c r="C3378" s="37"/>
      <c r="D3378" s="37"/>
      <c r="E3378" s="37"/>
      <c r="F3378" s="37"/>
      <c r="G3378" s="70"/>
    </row>
    <row r="3379" spans="2:7" x14ac:dyDescent="0.25">
      <c r="B3379" s="37"/>
      <c r="C3379" s="37"/>
      <c r="D3379" s="37"/>
      <c r="E3379" s="37"/>
      <c r="F3379" s="37"/>
      <c r="G3379" s="70"/>
    </row>
    <row r="3380" spans="2:7" x14ac:dyDescent="0.25">
      <c r="B3380" s="37"/>
      <c r="C3380" s="37"/>
      <c r="D3380" s="37"/>
      <c r="E3380" s="37"/>
      <c r="F3380" s="37"/>
      <c r="G3380" s="70"/>
    </row>
    <row r="3381" spans="2:7" x14ac:dyDescent="0.25">
      <c r="B3381" s="37"/>
      <c r="C3381" s="37"/>
      <c r="D3381" s="37"/>
      <c r="E3381" s="37"/>
      <c r="F3381" s="37"/>
      <c r="G3381" s="70"/>
    </row>
    <row r="3382" spans="2:7" x14ac:dyDescent="0.25">
      <c r="B3382" s="37"/>
      <c r="C3382" s="37"/>
      <c r="D3382" s="37"/>
      <c r="E3382" s="37"/>
      <c r="F3382" s="37"/>
      <c r="G3382" s="70"/>
    </row>
    <row r="3383" spans="2:7" x14ac:dyDescent="0.25">
      <c r="B3383" s="37"/>
      <c r="C3383" s="37"/>
      <c r="D3383" s="37"/>
      <c r="E3383" s="37"/>
      <c r="F3383" s="37"/>
      <c r="G3383" s="70"/>
    </row>
    <row r="3384" spans="2:7" x14ac:dyDescent="0.25">
      <c r="B3384" s="37"/>
      <c r="C3384" s="37"/>
      <c r="D3384" s="37"/>
      <c r="E3384" s="37"/>
      <c r="F3384" s="37"/>
      <c r="G3384" s="70"/>
    </row>
    <row r="3385" spans="2:7" x14ac:dyDescent="0.25">
      <c r="B3385" s="37"/>
      <c r="C3385" s="37"/>
      <c r="D3385" s="37"/>
      <c r="E3385" s="37"/>
      <c r="F3385" s="37"/>
      <c r="G3385" s="70"/>
    </row>
    <row r="3386" spans="2:7" x14ac:dyDescent="0.25">
      <c r="B3386" s="37"/>
      <c r="C3386" s="37"/>
      <c r="D3386" s="37"/>
      <c r="E3386" s="37"/>
      <c r="F3386" s="37"/>
      <c r="G3386" s="70"/>
    </row>
    <row r="3387" spans="2:7" x14ac:dyDescent="0.25">
      <c r="B3387" s="37"/>
      <c r="C3387" s="37"/>
      <c r="D3387" s="37"/>
      <c r="E3387" s="37"/>
      <c r="F3387" s="37"/>
      <c r="G3387" s="70"/>
    </row>
    <row r="3388" spans="2:7" x14ac:dyDescent="0.25">
      <c r="B3388" s="37"/>
      <c r="C3388" s="37"/>
      <c r="D3388" s="37"/>
      <c r="E3388" s="37"/>
      <c r="F3388" s="37"/>
      <c r="G3388" s="70"/>
    </row>
    <row r="3389" spans="2:7" x14ac:dyDescent="0.25">
      <c r="B3389" s="37"/>
      <c r="C3389" s="37"/>
      <c r="D3389" s="37"/>
      <c r="E3389" s="37"/>
      <c r="F3389" s="37"/>
      <c r="G3389" s="70"/>
    </row>
    <row r="3390" spans="2:7" x14ac:dyDescent="0.25">
      <c r="B3390" s="37"/>
      <c r="C3390" s="37"/>
      <c r="D3390" s="37"/>
      <c r="E3390" s="37"/>
      <c r="F3390" s="37"/>
      <c r="G3390" s="70"/>
    </row>
    <row r="3391" spans="2:7" x14ac:dyDescent="0.25">
      <c r="B3391" s="37"/>
      <c r="C3391" s="37"/>
      <c r="D3391" s="37"/>
      <c r="E3391" s="37"/>
      <c r="F3391" s="37"/>
      <c r="G3391" s="70"/>
    </row>
    <row r="3392" spans="2:7" x14ac:dyDescent="0.25">
      <c r="B3392" s="37"/>
      <c r="C3392" s="37"/>
      <c r="D3392" s="37"/>
      <c r="E3392" s="37"/>
      <c r="F3392" s="37"/>
      <c r="G3392" s="70"/>
    </row>
    <row r="3393" spans="2:7" x14ac:dyDescent="0.25">
      <c r="B3393" s="37"/>
      <c r="C3393" s="37"/>
      <c r="D3393" s="37"/>
      <c r="E3393" s="37"/>
      <c r="F3393" s="37"/>
      <c r="G3393" s="70"/>
    </row>
    <row r="3394" spans="2:7" x14ac:dyDescent="0.25">
      <c r="B3394" s="37"/>
      <c r="C3394" s="37"/>
      <c r="D3394" s="37"/>
      <c r="E3394" s="37"/>
      <c r="F3394" s="37"/>
      <c r="G3394" s="70"/>
    </row>
    <row r="3395" spans="2:7" x14ac:dyDescent="0.25">
      <c r="B3395" s="37"/>
      <c r="C3395" s="37"/>
      <c r="D3395" s="37"/>
      <c r="E3395" s="37"/>
      <c r="F3395" s="37"/>
      <c r="G3395" s="70"/>
    </row>
    <row r="3396" spans="2:7" x14ac:dyDescent="0.25">
      <c r="B3396" s="37"/>
      <c r="C3396" s="37"/>
      <c r="D3396" s="37"/>
      <c r="E3396" s="37"/>
      <c r="F3396" s="37"/>
      <c r="G3396" s="70"/>
    </row>
    <row r="3397" spans="2:7" x14ac:dyDescent="0.25">
      <c r="B3397" s="37"/>
      <c r="C3397" s="37"/>
      <c r="D3397" s="37"/>
      <c r="E3397" s="37"/>
      <c r="F3397" s="37"/>
      <c r="G3397" s="70"/>
    </row>
    <row r="3398" spans="2:7" x14ac:dyDescent="0.25">
      <c r="B3398" s="37"/>
      <c r="C3398" s="37"/>
      <c r="D3398" s="37"/>
      <c r="E3398" s="37"/>
      <c r="F3398" s="37"/>
      <c r="G3398" s="70"/>
    </row>
    <row r="3399" spans="2:7" x14ac:dyDescent="0.25">
      <c r="B3399" s="37"/>
      <c r="C3399" s="37"/>
      <c r="D3399" s="37"/>
      <c r="E3399" s="37"/>
      <c r="F3399" s="37"/>
      <c r="G3399" s="70"/>
    </row>
    <row r="3400" spans="2:7" x14ac:dyDescent="0.25">
      <c r="B3400" s="37"/>
      <c r="C3400" s="37"/>
      <c r="D3400" s="37"/>
      <c r="E3400" s="37"/>
      <c r="F3400" s="37"/>
      <c r="G3400" s="70"/>
    </row>
    <row r="3401" spans="2:7" x14ac:dyDescent="0.25">
      <c r="B3401" s="37"/>
      <c r="C3401" s="37"/>
      <c r="D3401" s="37"/>
      <c r="E3401" s="37"/>
      <c r="F3401" s="37"/>
      <c r="G3401" s="70"/>
    </row>
    <row r="3402" spans="2:7" x14ac:dyDescent="0.25">
      <c r="B3402" s="37"/>
      <c r="C3402" s="37"/>
      <c r="D3402" s="37"/>
      <c r="E3402" s="37"/>
      <c r="F3402" s="37"/>
      <c r="G3402" s="70"/>
    </row>
    <row r="3403" spans="2:7" x14ac:dyDescent="0.25">
      <c r="B3403" s="37"/>
      <c r="C3403" s="37"/>
      <c r="D3403" s="37"/>
      <c r="E3403" s="37"/>
      <c r="F3403" s="37"/>
      <c r="G3403" s="70"/>
    </row>
    <row r="3404" spans="2:7" x14ac:dyDescent="0.25">
      <c r="B3404" s="37"/>
      <c r="C3404" s="37"/>
      <c r="D3404" s="37"/>
      <c r="E3404" s="37"/>
      <c r="F3404" s="37"/>
      <c r="G3404" s="70"/>
    </row>
    <row r="3405" spans="2:7" x14ac:dyDescent="0.25">
      <c r="B3405" s="37"/>
      <c r="C3405" s="37"/>
      <c r="D3405" s="37"/>
      <c r="E3405" s="37"/>
      <c r="F3405" s="37"/>
      <c r="G3405" s="70"/>
    </row>
    <row r="3406" spans="2:7" x14ac:dyDescent="0.25">
      <c r="B3406" s="37"/>
      <c r="C3406" s="37"/>
      <c r="D3406" s="37"/>
      <c r="E3406" s="37"/>
      <c r="F3406" s="37"/>
      <c r="G3406" s="70"/>
    </row>
    <row r="3407" spans="2:7" x14ac:dyDescent="0.25">
      <c r="B3407" s="37"/>
      <c r="C3407" s="37"/>
      <c r="D3407" s="37"/>
      <c r="E3407" s="37"/>
      <c r="F3407" s="37"/>
      <c r="G3407" s="70"/>
    </row>
    <row r="3408" spans="2:7" x14ac:dyDescent="0.25">
      <c r="B3408" s="37"/>
      <c r="C3408" s="37"/>
      <c r="D3408" s="37"/>
      <c r="E3408" s="37"/>
      <c r="F3408" s="37"/>
      <c r="G3408" s="70"/>
    </row>
    <row r="3409" spans="2:7" x14ac:dyDescent="0.25">
      <c r="B3409" s="37"/>
      <c r="C3409" s="37"/>
      <c r="D3409" s="37"/>
      <c r="E3409" s="37"/>
      <c r="F3409" s="37"/>
      <c r="G3409" s="70"/>
    </row>
    <row r="3410" spans="2:7" x14ac:dyDescent="0.25">
      <c r="B3410" s="37"/>
      <c r="C3410" s="37"/>
      <c r="D3410" s="37"/>
      <c r="E3410" s="37"/>
      <c r="F3410" s="37"/>
      <c r="G3410" s="70"/>
    </row>
    <row r="3411" spans="2:7" x14ac:dyDescent="0.25">
      <c r="B3411" s="37"/>
      <c r="C3411" s="37"/>
      <c r="D3411" s="37"/>
      <c r="E3411" s="37"/>
      <c r="F3411" s="37"/>
      <c r="G3411" s="70"/>
    </row>
    <row r="3412" spans="2:7" x14ac:dyDescent="0.25">
      <c r="B3412" s="37"/>
      <c r="C3412" s="37"/>
      <c r="D3412" s="37"/>
      <c r="E3412" s="37"/>
      <c r="F3412" s="37"/>
      <c r="G3412" s="70"/>
    </row>
    <row r="3413" spans="2:7" x14ac:dyDescent="0.25">
      <c r="B3413" s="37"/>
      <c r="C3413" s="37"/>
      <c r="D3413" s="37"/>
      <c r="E3413" s="37"/>
      <c r="F3413" s="37"/>
      <c r="G3413" s="70"/>
    </row>
    <row r="3414" spans="2:7" x14ac:dyDescent="0.25">
      <c r="B3414" s="37"/>
      <c r="C3414" s="37"/>
      <c r="D3414" s="37"/>
      <c r="E3414" s="37"/>
      <c r="F3414" s="37"/>
      <c r="G3414" s="70"/>
    </row>
    <row r="3415" spans="2:7" x14ac:dyDescent="0.25">
      <c r="B3415" s="37"/>
      <c r="C3415" s="37"/>
      <c r="D3415" s="37"/>
      <c r="E3415" s="37"/>
      <c r="F3415" s="37"/>
      <c r="G3415" s="70"/>
    </row>
    <row r="3416" spans="2:7" x14ac:dyDescent="0.25">
      <c r="B3416" s="37"/>
      <c r="C3416" s="37"/>
      <c r="D3416" s="37"/>
      <c r="E3416" s="37"/>
      <c r="F3416" s="37"/>
      <c r="G3416" s="70"/>
    </row>
    <row r="3417" spans="2:7" x14ac:dyDescent="0.25">
      <c r="B3417" s="37"/>
      <c r="C3417" s="37"/>
      <c r="D3417" s="37"/>
      <c r="E3417" s="37"/>
      <c r="F3417" s="37"/>
      <c r="G3417" s="70"/>
    </row>
    <row r="3418" spans="2:7" x14ac:dyDescent="0.25">
      <c r="B3418" s="37"/>
      <c r="C3418" s="37"/>
      <c r="D3418" s="37"/>
      <c r="E3418" s="37"/>
      <c r="F3418" s="37"/>
      <c r="G3418" s="70"/>
    </row>
    <row r="3419" spans="2:7" x14ac:dyDescent="0.25">
      <c r="B3419" s="37"/>
      <c r="C3419" s="37"/>
      <c r="D3419" s="37"/>
      <c r="E3419" s="37"/>
      <c r="F3419" s="37"/>
      <c r="G3419" s="70"/>
    </row>
    <row r="3420" spans="2:7" x14ac:dyDescent="0.25">
      <c r="B3420" s="37"/>
      <c r="C3420" s="37"/>
      <c r="D3420" s="37"/>
      <c r="E3420" s="37"/>
      <c r="F3420" s="37"/>
      <c r="G3420" s="70"/>
    </row>
    <row r="3421" spans="2:7" x14ac:dyDescent="0.25">
      <c r="B3421" s="37"/>
      <c r="C3421" s="37"/>
      <c r="D3421" s="37"/>
      <c r="E3421" s="37"/>
      <c r="F3421" s="37"/>
      <c r="G3421" s="70"/>
    </row>
    <row r="3422" spans="2:7" x14ac:dyDescent="0.25">
      <c r="B3422" s="37"/>
      <c r="C3422" s="37"/>
      <c r="D3422" s="37"/>
      <c r="E3422" s="37"/>
      <c r="F3422" s="37"/>
      <c r="G3422" s="70"/>
    </row>
    <row r="3423" spans="2:7" x14ac:dyDescent="0.25">
      <c r="B3423" s="37"/>
      <c r="C3423" s="37"/>
      <c r="D3423" s="37"/>
      <c r="E3423" s="37"/>
      <c r="F3423" s="37"/>
      <c r="G3423" s="70"/>
    </row>
    <row r="3424" spans="2:7" x14ac:dyDescent="0.25">
      <c r="B3424" s="37"/>
      <c r="C3424" s="37"/>
      <c r="D3424" s="37"/>
      <c r="E3424" s="37"/>
      <c r="F3424" s="37"/>
      <c r="G3424" s="70"/>
    </row>
    <row r="3425" spans="2:7" x14ac:dyDescent="0.25">
      <c r="B3425" s="37"/>
      <c r="C3425" s="37"/>
      <c r="D3425" s="37"/>
      <c r="E3425" s="37"/>
      <c r="F3425" s="37"/>
      <c r="G3425" s="70"/>
    </row>
    <row r="3426" spans="2:7" x14ac:dyDescent="0.25">
      <c r="B3426" s="37"/>
      <c r="C3426" s="37"/>
      <c r="D3426" s="37"/>
      <c r="E3426" s="37"/>
      <c r="F3426" s="37"/>
      <c r="G3426" s="70"/>
    </row>
    <row r="3427" spans="2:7" x14ac:dyDescent="0.25">
      <c r="B3427" s="37"/>
      <c r="C3427" s="37"/>
      <c r="D3427" s="37"/>
      <c r="E3427" s="37"/>
      <c r="F3427" s="37"/>
      <c r="G3427" s="70"/>
    </row>
    <row r="3428" spans="2:7" x14ac:dyDescent="0.25">
      <c r="B3428" s="37"/>
      <c r="C3428" s="37"/>
      <c r="D3428" s="37"/>
      <c r="E3428" s="37"/>
      <c r="F3428" s="37"/>
      <c r="G3428" s="70"/>
    </row>
    <row r="3429" spans="2:7" x14ac:dyDescent="0.25">
      <c r="B3429" s="37"/>
      <c r="C3429" s="37"/>
      <c r="D3429" s="37"/>
      <c r="E3429" s="37"/>
      <c r="F3429" s="37"/>
      <c r="G3429" s="70"/>
    </row>
    <row r="3430" spans="2:7" x14ac:dyDescent="0.25">
      <c r="B3430" s="37"/>
      <c r="C3430" s="37"/>
      <c r="D3430" s="37"/>
      <c r="E3430" s="37"/>
      <c r="F3430" s="37"/>
      <c r="G3430" s="70"/>
    </row>
    <row r="3431" spans="2:7" x14ac:dyDescent="0.25">
      <c r="B3431" s="37"/>
      <c r="C3431" s="37"/>
      <c r="D3431" s="37"/>
      <c r="E3431" s="37"/>
      <c r="F3431" s="37"/>
      <c r="G3431" s="70"/>
    </row>
    <row r="3432" spans="2:7" x14ac:dyDescent="0.25">
      <c r="B3432" s="37"/>
      <c r="C3432" s="37"/>
      <c r="D3432" s="37"/>
      <c r="E3432" s="37"/>
      <c r="F3432" s="37"/>
      <c r="G3432" s="70"/>
    </row>
    <row r="3433" spans="2:7" x14ac:dyDescent="0.25">
      <c r="B3433" s="37"/>
      <c r="C3433" s="37"/>
      <c r="D3433" s="37"/>
      <c r="E3433" s="37"/>
      <c r="F3433" s="37"/>
      <c r="G3433" s="70"/>
    </row>
    <row r="3434" spans="2:7" x14ac:dyDescent="0.25">
      <c r="B3434" s="37"/>
      <c r="C3434" s="37"/>
      <c r="D3434" s="37"/>
      <c r="E3434" s="37"/>
      <c r="F3434" s="37"/>
      <c r="G3434" s="70"/>
    </row>
    <row r="3435" spans="2:7" x14ac:dyDescent="0.25">
      <c r="B3435" s="37"/>
      <c r="C3435" s="37"/>
      <c r="D3435" s="37"/>
      <c r="E3435" s="37"/>
      <c r="F3435" s="37"/>
      <c r="G3435" s="70"/>
    </row>
    <row r="3436" spans="2:7" x14ac:dyDescent="0.25">
      <c r="B3436" s="37"/>
      <c r="C3436" s="37"/>
      <c r="D3436" s="37"/>
      <c r="E3436" s="37"/>
      <c r="F3436" s="37"/>
      <c r="G3436" s="70"/>
    </row>
    <row r="3437" spans="2:7" x14ac:dyDescent="0.25">
      <c r="B3437" s="37"/>
      <c r="C3437" s="37"/>
      <c r="D3437" s="37"/>
      <c r="E3437" s="37"/>
      <c r="F3437" s="37"/>
      <c r="G3437" s="70"/>
    </row>
    <row r="3438" spans="2:7" x14ac:dyDescent="0.25">
      <c r="B3438" s="37"/>
      <c r="C3438" s="37"/>
      <c r="D3438" s="37"/>
      <c r="E3438" s="37"/>
      <c r="F3438" s="37"/>
      <c r="G3438" s="70"/>
    </row>
    <row r="3439" spans="2:7" x14ac:dyDescent="0.25">
      <c r="B3439" s="37"/>
      <c r="C3439" s="37"/>
      <c r="D3439" s="37"/>
      <c r="E3439" s="37"/>
      <c r="F3439" s="37"/>
      <c r="G3439" s="70"/>
    </row>
    <row r="3440" spans="2:7" x14ac:dyDescent="0.25">
      <c r="B3440" s="37"/>
      <c r="C3440" s="37"/>
      <c r="D3440" s="37"/>
      <c r="E3440" s="37"/>
      <c r="F3440" s="37"/>
      <c r="G3440" s="70"/>
    </row>
    <row r="3441" spans="2:7" x14ac:dyDescent="0.25">
      <c r="B3441" s="37"/>
      <c r="C3441" s="37"/>
      <c r="D3441" s="37"/>
      <c r="E3441" s="37"/>
      <c r="F3441" s="37"/>
      <c r="G3441" s="70"/>
    </row>
    <row r="3442" spans="2:7" x14ac:dyDescent="0.25">
      <c r="B3442" s="37"/>
      <c r="C3442" s="37"/>
      <c r="D3442" s="37"/>
      <c r="E3442" s="37"/>
      <c r="F3442" s="37"/>
      <c r="G3442" s="70"/>
    </row>
    <row r="3443" spans="2:7" x14ac:dyDescent="0.25">
      <c r="B3443" s="37"/>
      <c r="C3443" s="37"/>
      <c r="D3443" s="37"/>
      <c r="E3443" s="37"/>
      <c r="F3443" s="37"/>
      <c r="G3443" s="70"/>
    </row>
    <row r="3444" spans="2:7" x14ac:dyDescent="0.25">
      <c r="B3444" s="37"/>
      <c r="C3444" s="37"/>
      <c r="D3444" s="37"/>
      <c r="E3444" s="37"/>
      <c r="F3444" s="37"/>
      <c r="G3444" s="70"/>
    </row>
    <row r="3445" spans="2:7" x14ac:dyDescent="0.25">
      <c r="B3445" s="37"/>
      <c r="C3445" s="37"/>
      <c r="D3445" s="37"/>
      <c r="E3445" s="37"/>
      <c r="F3445" s="37"/>
      <c r="G3445" s="70"/>
    </row>
    <row r="3446" spans="2:7" x14ac:dyDescent="0.25">
      <c r="B3446" s="37"/>
      <c r="C3446" s="37"/>
      <c r="D3446" s="37"/>
      <c r="E3446" s="37"/>
      <c r="F3446" s="37"/>
      <c r="G3446" s="70"/>
    </row>
    <row r="3447" spans="2:7" x14ac:dyDescent="0.25">
      <c r="B3447" s="37"/>
      <c r="C3447" s="37"/>
      <c r="D3447" s="37"/>
      <c r="E3447" s="37"/>
      <c r="F3447" s="37"/>
      <c r="G3447" s="70"/>
    </row>
    <row r="3448" spans="2:7" x14ac:dyDescent="0.25">
      <c r="B3448" s="37"/>
      <c r="C3448" s="37"/>
      <c r="D3448" s="37"/>
      <c r="E3448" s="37"/>
      <c r="F3448" s="37"/>
      <c r="G3448" s="70"/>
    </row>
    <row r="3449" spans="2:7" x14ac:dyDescent="0.25">
      <c r="B3449" s="37"/>
      <c r="C3449" s="37"/>
      <c r="D3449" s="37"/>
      <c r="E3449" s="37"/>
      <c r="F3449" s="37"/>
      <c r="G3449" s="70"/>
    </row>
    <row r="3450" spans="2:7" x14ac:dyDescent="0.25">
      <c r="B3450" s="37"/>
      <c r="C3450" s="37"/>
      <c r="D3450" s="37"/>
      <c r="E3450" s="37"/>
      <c r="F3450" s="37"/>
      <c r="G3450" s="70"/>
    </row>
    <row r="3451" spans="2:7" x14ac:dyDescent="0.25">
      <c r="B3451" s="37"/>
      <c r="C3451" s="37"/>
      <c r="D3451" s="37"/>
      <c r="E3451" s="37"/>
      <c r="F3451" s="37"/>
      <c r="G3451" s="70"/>
    </row>
    <row r="3452" spans="2:7" x14ac:dyDescent="0.25">
      <c r="B3452" s="37"/>
      <c r="C3452" s="37"/>
      <c r="D3452" s="37"/>
      <c r="E3452" s="37"/>
      <c r="F3452" s="37"/>
      <c r="G3452" s="70"/>
    </row>
    <row r="3453" spans="2:7" x14ac:dyDescent="0.25">
      <c r="B3453" s="37"/>
      <c r="C3453" s="37"/>
      <c r="D3453" s="37"/>
      <c r="E3453" s="37"/>
      <c r="F3453" s="37"/>
      <c r="G3453" s="70"/>
    </row>
    <row r="3454" spans="2:7" x14ac:dyDescent="0.25">
      <c r="B3454" s="37"/>
      <c r="C3454" s="37"/>
      <c r="D3454" s="37"/>
      <c r="E3454" s="37"/>
      <c r="F3454" s="37"/>
      <c r="G3454" s="70"/>
    </row>
    <row r="3455" spans="2:7" x14ac:dyDescent="0.25">
      <c r="B3455" s="37"/>
      <c r="C3455" s="37"/>
      <c r="D3455" s="37"/>
      <c r="E3455" s="37"/>
      <c r="F3455" s="37"/>
      <c r="G3455" s="70"/>
    </row>
    <row r="3456" spans="2:7" x14ac:dyDescent="0.25">
      <c r="B3456" s="37"/>
      <c r="C3456" s="37"/>
      <c r="D3456" s="37"/>
      <c r="E3456" s="37"/>
      <c r="F3456" s="37"/>
      <c r="G3456" s="70"/>
    </row>
    <row r="3457" spans="2:7" x14ac:dyDescent="0.25">
      <c r="B3457" s="37"/>
      <c r="C3457" s="37"/>
      <c r="D3457" s="37"/>
      <c r="E3457" s="37"/>
      <c r="F3457" s="37"/>
      <c r="G3457" s="70"/>
    </row>
    <row r="3458" spans="2:7" x14ac:dyDescent="0.25">
      <c r="B3458" s="37"/>
      <c r="C3458" s="37"/>
      <c r="D3458" s="37"/>
      <c r="E3458" s="37"/>
      <c r="F3458" s="37"/>
      <c r="G3458" s="70"/>
    </row>
    <row r="3459" spans="2:7" x14ac:dyDescent="0.25">
      <c r="B3459" s="37"/>
      <c r="C3459" s="37"/>
      <c r="D3459" s="37"/>
      <c r="E3459" s="37"/>
      <c r="F3459" s="37"/>
      <c r="G3459" s="70"/>
    </row>
    <row r="3460" spans="2:7" x14ac:dyDescent="0.25">
      <c r="B3460" s="37"/>
      <c r="C3460" s="37"/>
      <c r="D3460" s="37"/>
      <c r="E3460" s="37"/>
      <c r="F3460" s="37"/>
      <c r="G3460" s="70"/>
    </row>
    <row r="3461" spans="2:7" x14ac:dyDescent="0.25">
      <c r="B3461" s="37"/>
      <c r="C3461" s="37"/>
      <c r="D3461" s="37"/>
      <c r="E3461" s="37"/>
      <c r="F3461" s="37"/>
      <c r="G3461" s="70"/>
    </row>
    <row r="3462" spans="2:7" x14ac:dyDescent="0.25">
      <c r="B3462" s="37"/>
      <c r="C3462" s="37"/>
      <c r="D3462" s="37"/>
      <c r="E3462" s="37"/>
      <c r="F3462" s="37"/>
      <c r="G3462" s="70"/>
    </row>
    <row r="3463" spans="2:7" x14ac:dyDescent="0.25">
      <c r="B3463" s="37"/>
      <c r="C3463" s="37"/>
      <c r="D3463" s="37"/>
      <c r="E3463" s="37"/>
      <c r="F3463" s="37"/>
      <c r="G3463" s="70"/>
    </row>
    <row r="3464" spans="2:7" x14ac:dyDescent="0.25">
      <c r="B3464" s="37"/>
      <c r="C3464" s="37"/>
      <c r="D3464" s="37"/>
      <c r="E3464" s="37"/>
      <c r="F3464" s="37"/>
      <c r="G3464" s="70"/>
    </row>
    <row r="3465" spans="2:7" x14ac:dyDescent="0.25">
      <c r="B3465" s="37"/>
      <c r="C3465" s="37"/>
      <c r="D3465" s="37"/>
      <c r="E3465" s="37"/>
      <c r="F3465" s="37"/>
      <c r="G3465" s="70"/>
    </row>
    <row r="3466" spans="2:7" x14ac:dyDescent="0.25">
      <c r="B3466" s="37"/>
      <c r="C3466" s="37"/>
      <c r="D3466" s="37"/>
      <c r="E3466" s="37"/>
      <c r="F3466" s="37"/>
      <c r="G3466" s="70"/>
    </row>
    <row r="3467" spans="2:7" x14ac:dyDescent="0.25">
      <c r="B3467" s="37"/>
      <c r="C3467" s="37"/>
      <c r="D3467" s="37"/>
      <c r="E3467" s="37"/>
      <c r="F3467" s="37"/>
      <c r="G3467" s="70"/>
    </row>
    <row r="3468" spans="2:7" x14ac:dyDescent="0.25">
      <c r="B3468" s="37"/>
      <c r="C3468" s="37"/>
      <c r="D3468" s="37"/>
      <c r="E3468" s="37"/>
      <c r="F3468" s="37"/>
      <c r="G3468" s="70"/>
    </row>
    <row r="3469" spans="2:7" x14ac:dyDescent="0.25">
      <c r="B3469" s="37"/>
      <c r="C3469" s="37"/>
      <c r="D3469" s="37"/>
      <c r="E3469" s="37"/>
      <c r="F3469" s="37"/>
      <c r="G3469" s="70"/>
    </row>
    <row r="3470" spans="2:7" x14ac:dyDescent="0.25">
      <c r="B3470" s="37"/>
      <c r="C3470" s="37"/>
      <c r="D3470" s="37"/>
      <c r="E3470" s="37"/>
      <c r="F3470" s="37"/>
      <c r="G3470" s="70"/>
    </row>
    <row r="3471" spans="2:7" x14ac:dyDescent="0.25">
      <c r="B3471" s="37"/>
      <c r="C3471" s="37"/>
      <c r="D3471" s="37"/>
      <c r="E3471" s="37"/>
      <c r="F3471" s="37"/>
      <c r="G3471" s="70"/>
    </row>
    <row r="3472" spans="2:7" x14ac:dyDescent="0.25">
      <c r="B3472" s="37"/>
      <c r="C3472" s="37"/>
      <c r="D3472" s="37"/>
      <c r="E3472" s="37"/>
      <c r="F3472" s="37"/>
      <c r="G3472" s="70"/>
    </row>
    <row r="3473" spans="2:7" x14ac:dyDescent="0.25">
      <c r="B3473" s="37"/>
      <c r="C3473" s="37"/>
      <c r="D3473" s="37"/>
      <c r="E3473" s="37"/>
      <c r="F3473" s="37"/>
      <c r="G3473" s="70"/>
    </row>
    <row r="3474" spans="2:7" x14ac:dyDescent="0.25">
      <c r="B3474" s="37"/>
      <c r="C3474" s="37"/>
      <c r="D3474" s="37"/>
      <c r="E3474" s="37"/>
      <c r="F3474" s="37"/>
      <c r="G3474" s="70"/>
    </row>
    <row r="3475" spans="2:7" x14ac:dyDescent="0.25">
      <c r="B3475" s="37"/>
      <c r="C3475" s="37"/>
      <c r="D3475" s="37"/>
      <c r="E3475" s="37"/>
      <c r="F3475" s="37"/>
      <c r="G3475" s="70"/>
    </row>
    <row r="3476" spans="2:7" x14ac:dyDescent="0.25">
      <c r="B3476" s="37"/>
      <c r="C3476" s="37"/>
      <c r="D3476" s="37"/>
      <c r="E3476" s="37"/>
      <c r="F3476" s="37"/>
      <c r="G3476" s="70"/>
    </row>
    <row r="3477" spans="2:7" x14ac:dyDescent="0.25">
      <c r="B3477" s="37"/>
      <c r="C3477" s="37"/>
      <c r="D3477" s="37"/>
      <c r="E3477" s="37"/>
      <c r="F3477" s="37"/>
      <c r="G3477" s="70"/>
    </row>
    <row r="3478" spans="2:7" x14ac:dyDescent="0.25">
      <c r="B3478" s="37"/>
      <c r="C3478" s="37"/>
      <c r="D3478" s="37"/>
      <c r="E3478" s="37"/>
      <c r="F3478" s="37"/>
      <c r="G3478" s="70"/>
    </row>
    <row r="3479" spans="2:7" x14ac:dyDescent="0.25">
      <c r="B3479" s="37"/>
      <c r="C3479" s="37"/>
      <c r="D3479" s="37"/>
      <c r="E3479" s="37"/>
      <c r="F3479" s="37"/>
      <c r="G3479" s="70"/>
    </row>
    <row r="3480" spans="2:7" x14ac:dyDescent="0.25">
      <c r="B3480" s="37"/>
      <c r="C3480" s="37"/>
      <c r="D3480" s="37"/>
      <c r="E3480" s="37"/>
      <c r="F3480" s="37"/>
      <c r="G3480" s="70"/>
    </row>
    <row r="3481" spans="2:7" x14ac:dyDescent="0.25">
      <c r="B3481" s="37"/>
      <c r="C3481" s="37"/>
      <c r="D3481" s="37"/>
      <c r="E3481" s="37"/>
      <c r="F3481" s="37"/>
      <c r="G3481" s="70"/>
    </row>
    <row r="3482" spans="2:7" x14ac:dyDescent="0.25">
      <c r="B3482" s="37"/>
      <c r="C3482" s="37"/>
      <c r="D3482" s="37"/>
      <c r="E3482" s="37"/>
      <c r="F3482" s="37"/>
      <c r="G3482" s="70"/>
    </row>
    <row r="3483" spans="2:7" x14ac:dyDescent="0.25">
      <c r="B3483" s="37"/>
      <c r="C3483" s="37"/>
      <c r="D3483" s="37"/>
      <c r="E3483" s="37"/>
      <c r="F3483" s="37"/>
      <c r="G3483" s="70"/>
    </row>
    <row r="3484" spans="2:7" x14ac:dyDescent="0.25">
      <c r="B3484" s="37"/>
      <c r="C3484" s="37"/>
      <c r="D3484" s="37"/>
      <c r="E3484" s="37"/>
      <c r="F3484" s="37"/>
      <c r="G3484" s="70"/>
    </row>
    <row r="3485" spans="2:7" x14ac:dyDescent="0.25">
      <c r="B3485" s="37"/>
      <c r="C3485" s="37"/>
      <c r="D3485" s="37"/>
      <c r="E3485" s="37"/>
      <c r="F3485" s="37"/>
      <c r="G3485" s="70"/>
    </row>
    <row r="3486" spans="2:7" x14ac:dyDescent="0.25">
      <c r="B3486" s="37"/>
      <c r="C3486" s="37"/>
      <c r="D3486" s="37"/>
      <c r="E3486" s="37"/>
      <c r="F3486" s="37"/>
      <c r="G3486" s="70"/>
    </row>
    <row r="3487" spans="2:7" x14ac:dyDescent="0.25">
      <c r="B3487" s="37"/>
      <c r="C3487" s="37"/>
      <c r="D3487" s="37"/>
      <c r="E3487" s="37"/>
      <c r="F3487" s="37"/>
      <c r="G3487" s="70"/>
    </row>
    <row r="3488" spans="2:7" x14ac:dyDescent="0.25">
      <c r="B3488" s="37"/>
      <c r="C3488" s="37"/>
      <c r="D3488" s="37"/>
      <c r="E3488" s="37"/>
      <c r="F3488" s="37"/>
      <c r="G3488" s="70"/>
    </row>
    <row r="3489" spans="2:7" x14ac:dyDescent="0.25">
      <c r="B3489" s="37"/>
      <c r="C3489" s="37"/>
      <c r="D3489" s="37"/>
      <c r="E3489" s="37"/>
      <c r="F3489" s="37"/>
      <c r="G3489" s="70"/>
    </row>
    <row r="3490" spans="2:7" x14ac:dyDescent="0.25">
      <c r="B3490" s="37"/>
      <c r="C3490" s="37"/>
      <c r="D3490" s="37"/>
      <c r="E3490" s="37"/>
      <c r="F3490" s="37"/>
      <c r="G3490" s="70"/>
    </row>
    <row r="3491" spans="2:7" x14ac:dyDescent="0.25">
      <c r="B3491" s="37"/>
      <c r="C3491" s="37"/>
      <c r="D3491" s="37"/>
      <c r="E3491" s="37"/>
      <c r="F3491" s="37"/>
      <c r="G3491" s="70"/>
    </row>
    <row r="3492" spans="2:7" x14ac:dyDescent="0.25">
      <c r="B3492" s="37"/>
      <c r="C3492" s="37"/>
      <c r="D3492" s="37"/>
      <c r="E3492" s="37"/>
      <c r="F3492" s="37"/>
      <c r="G3492" s="70"/>
    </row>
    <row r="3493" spans="2:7" x14ac:dyDescent="0.25">
      <c r="B3493" s="37"/>
      <c r="C3493" s="37"/>
      <c r="D3493" s="37"/>
      <c r="E3493" s="37"/>
      <c r="F3493" s="37"/>
      <c r="G3493" s="70"/>
    </row>
    <row r="3494" spans="2:7" x14ac:dyDescent="0.25">
      <c r="B3494" s="37"/>
      <c r="C3494" s="37"/>
      <c r="D3494" s="37"/>
      <c r="E3494" s="37"/>
      <c r="F3494" s="37"/>
      <c r="G3494" s="70"/>
    </row>
    <row r="3495" spans="2:7" x14ac:dyDescent="0.25">
      <c r="B3495" s="37"/>
      <c r="C3495" s="37"/>
      <c r="D3495" s="37"/>
      <c r="E3495" s="37"/>
      <c r="F3495" s="37"/>
      <c r="G3495" s="70"/>
    </row>
    <row r="3496" spans="2:7" x14ac:dyDescent="0.25">
      <c r="B3496" s="37"/>
      <c r="C3496" s="37"/>
      <c r="D3496" s="37"/>
      <c r="E3496" s="37"/>
      <c r="F3496" s="37"/>
      <c r="G3496" s="70"/>
    </row>
    <row r="3497" spans="2:7" x14ac:dyDescent="0.25">
      <c r="B3497" s="37"/>
      <c r="C3497" s="37"/>
      <c r="D3497" s="37"/>
      <c r="E3497" s="37"/>
      <c r="F3497" s="37"/>
      <c r="G3497" s="70"/>
    </row>
    <row r="3498" spans="2:7" x14ac:dyDescent="0.25">
      <c r="B3498" s="37"/>
      <c r="C3498" s="37"/>
      <c r="D3498" s="37"/>
      <c r="E3498" s="37"/>
      <c r="F3498" s="37"/>
      <c r="G3498" s="70"/>
    </row>
    <row r="3499" spans="2:7" x14ac:dyDescent="0.25">
      <c r="B3499" s="37"/>
      <c r="C3499" s="37"/>
      <c r="D3499" s="37"/>
      <c r="E3499" s="37"/>
      <c r="F3499" s="37"/>
      <c r="G3499" s="70"/>
    </row>
    <row r="3500" spans="2:7" x14ac:dyDescent="0.25">
      <c r="B3500" s="37"/>
      <c r="C3500" s="37"/>
      <c r="D3500" s="37"/>
      <c r="E3500" s="37"/>
      <c r="F3500" s="37"/>
      <c r="G3500" s="70"/>
    </row>
    <row r="3501" spans="2:7" x14ac:dyDescent="0.25">
      <c r="B3501" s="37"/>
      <c r="C3501" s="37"/>
      <c r="D3501" s="37"/>
      <c r="E3501" s="37"/>
      <c r="F3501" s="37"/>
      <c r="G3501" s="70"/>
    </row>
    <row r="3502" spans="2:7" x14ac:dyDescent="0.25">
      <c r="B3502" s="37"/>
      <c r="C3502" s="37"/>
      <c r="D3502" s="37"/>
      <c r="E3502" s="37"/>
      <c r="F3502" s="37"/>
      <c r="G3502" s="70"/>
    </row>
    <row r="3503" spans="2:7" x14ac:dyDescent="0.25">
      <c r="B3503" s="37"/>
      <c r="C3503" s="37"/>
      <c r="D3503" s="37"/>
      <c r="E3503" s="37"/>
      <c r="F3503" s="37"/>
      <c r="G3503" s="70"/>
    </row>
    <row r="3504" spans="2:7" x14ac:dyDescent="0.25">
      <c r="B3504" s="37"/>
      <c r="C3504" s="37"/>
      <c r="D3504" s="37"/>
      <c r="E3504" s="37"/>
      <c r="F3504" s="37"/>
      <c r="G3504" s="70"/>
    </row>
    <row r="3505" spans="2:7" x14ac:dyDescent="0.25">
      <c r="B3505" s="37"/>
      <c r="C3505" s="37"/>
      <c r="D3505" s="37"/>
      <c r="E3505" s="37"/>
      <c r="F3505" s="37"/>
      <c r="G3505" s="70"/>
    </row>
    <row r="3506" spans="2:7" x14ac:dyDescent="0.25">
      <c r="B3506" s="37"/>
      <c r="C3506" s="37"/>
      <c r="D3506" s="37"/>
      <c r="E3506" s="37"/>
      <c r="F3506" s="37"/>
      <c r="G3506" s="70"/>
    </row>
    <row r="3507" spans="2:7" x14ac:dyDescent="0.25">
      <c r="B3507" s="37"/>
      <c r="C3507" s="37"/>
      <c r="D3507" s="37"/>
      <c r="E3507" s="37"/>
      <c r="F3507" s="37"/>
      <c r="G3507" s="70"/>
    </row>
    <row r="3508" spans="2:7" x14ac:dyDescent="0.25">
      <c r="B3508" s="37"/>
      <c r="C3508" s="37"/>
      <c r="D3508" s="37"/>
      <c r="E3508" s="37"/>
      <c r="F3508" s="37"/>
      <c r="G3508" s="70"/>
    </row>
    <row r="3509" spans="2:7" x14ac:dyDescent="0.25">
      <c r="B3509" s="37"/>
      <c r="C3509" s="37"/>
      <c r="D3509" s="37"/>
      <c r="E3509" s="37"/>
      <c r="F3509" s="37"/>
      <c r="G3509" s="70"/>
    </row>
    <row r="3510" spans="2:7" x14ac:dyDescent="0.25">
      <c r="B3510" s="37"/>
      <c r="C3510" s="37"/>
      <c r="D3510" s="37"/>
      <c r="E3510" s="37"/>
      <c r="F3510" s="37"/>
      <c r="G3510" s="70"/>
    </row>
    <row r="3511" spans="2:7" x14ac:dyDescent="0.25">
      <c r="B3511" s="37"/>
      <c r="C3511" s="37"/>
      <c r="D3511" s="37"/>
      <c r="E3511" s="37"/>
      <c r="F3511" s="37"/>
      <c r="G3511" s="70"/>
    </row>
    <row r="3512" spans="2:7" x14ac:dyDescent="0.25">
      <c r="B3512" s="37"/>
      <c r="C3512" s="37"/>
      <c r="D3512" s="37"/>
      <c r="E3512" s="37"/>
      <c r="F3512" s="37"/>
      <c r="G3512" s="70"/>
    </row>
    <row r="3513" spans="2:7" x14ac:dyDescent="0.25">
      <c r="B3513" s="37"/>
      <c r="C3513" s="37"/>
      <c r="D3513" s="37"/>
      <c r="E3513" s="37"/>
      <c r="F3513" s="37"/>
      <c r="G3513" s="70"/>
    </row>
    <row r="3514" spans="2:7" x14ac:dyDescent="0.25">
      <c r="B3514" s="37"/>
      <c r="C3514" s="37"/>
      <c r="D3514" s="37"/>
      <c r="E3514" s="37"/>
      <c r="F3514" s="37"/>
      <c r="G3514" s="70"/>
    </row>
    <row r="3515" spans="2:7" x14ac:dyDescent="0.25">
      <c r="B3515" s="37"/>
      <c r="C3515" s="37"/>
      <c r="D3515" s="37"/>
      <c r="E3515" s="37"/>
      <c r="F3515" s="37"/>
      <c r="G3515" s="70"/>
    </row>
    <row r="3516" spans="2:7" x14ac:dyDescent="0.25">
      <c r="B3516" s="37"/>
      <c r="C3516" s="37"/>
      <c r="D3516" s="37"/>
      <c r="E3516" s="37"/>
      <c r="F3516" s="37"/>
      <c r="G3516" s="70"/>
    </row>
    <row r="3517" spans="2:7" x14ac:dyDescent="0.25">
      <c r="B3517" s="37"/>
      <c r="C3517" s="37"/>
      <c r="D3517" s="37"/>
      <c r="E3517" s="37"/>
      <c r="F3517" s="37"/>
      <c r="G3517" s="70"/>
    </row>
    <row r="3518" spans="2:7" x14ac:dyDescent="0.25">
      <c r="B3518" s="37"/>
      <c r="C3518" s="37"/>
      <c r="D3518" s="37"/>
      <c r="E3518" s="37"/>
      <c r="F3518" s="37"/>
      <c r="G3518" s="70"/>
    </row>
    <row r="3519" spans="2:7" x14ac:dyDescent="0.25">
      <c r="B3519" s="37"/>
      <c r="C3519" s="37"/>
      <c r="D3519" s="37"/>
      <c r="E3519" s="37"/>
      <c r="F3519" s="37"/>
      <c r="G3519" s="70"/>
    </row>
    <row r="3520" spans="2:7" x14ac:dyDescent="0.25">
      <c r="B3520" s="37"/>
      <c r="C3520" s="37"/>
      <c r="D3520" s="37"/>
      <c r="E3520" s="37"/>
      <c r="F3520" s="37"/>
      <c r="G3520" s="70"/>
    </row>
    <row r="3521" spans="2:7" x14ac:dyDescent="0.25">
      <c r="B3521" s="37"/>
      <c r="C3521" s="37"/>
      <c r="D3521" s="37"/>
      <c r="E3521" s="37"/>
      <c r="F3521" s="37"/>
      <c r="G3521" s="70"/>
    </row>
    <row r="3522" spans="2:7" x14ac:dyDescent="0.25">
      <c r="B3522" s="37"/>
      <c r="C3522" s="37"/>
      <c r="D3522" s="37"/>
      <c r="E3522" s="37"/>
      <c r="F3522" s="37"/>
      <c r="G3522" s="70"/>
    </row>
    <row r="3523" spans="2:7" x14ac:dyDescent="0.25">
      <c r="B3523" s="37"/>
      <c r="C3523" s="37"/>
      <c r="D3523" s="37"/>
      <c r="E3523" s="37"/>
      <c r="F3523" s="37"/>
      <c r="G3523" s="70"/>
    </row>
    <row r="3524" spans="2:7" x14ac:dyDescent="0.25">
      <c r="B3524" s="37"/>
      <c r="C3524" s="37"/>
      <c r="D3524" s="37"/>
      <c r="E3524" s="37"/>
      <c r="F3524" s="37"/>
      <c r="G3524" s="70"/>
    </row>
    <row r="3525" spans="2:7" x14ac:dyDescent="0.25">
      <c r="B3525" s="37"/>
      <c r="C3525" s="37"/>
      <c r="D3525" s="37"/>
      <c r="E3525" s="37"/>
      <c r="F3525" s="37"/>
      <c r="G3525" s="70"/>
    </row>
    <row r="3526" spans="2:7" x14ac:dyDescent="0.25">
      <c r="B3526" s="37"/>
      <c r="C3526" s="37"/>
      <c r="D3526" s="37"/>
      <c r="E3526" s="37"/>
      <c r="F3526" s="37"/>
      <c r="G3526" s="70"/>
    </row>
    <row r="3527" spans="2:7" x14ac:dyDescent="0.25">
      <c r="B3527" s="37"/>
      <c r="C3527" s="37"/>
      <c r="D3527" s="37"/>
      <c r="E3527" s="37"/>
      <c r="F3527" s="37"/>
      <c r="G3527" s="70"/>
    </row>
    <row r="3528" spans="2:7" x14ac:dyDescent="0.25">
      <c r="B3528" s="37"/>
      <c r="C3528" s="37"/>
      <c r="D3528" s="37"/>
      <c r="E3528" s="37"/>
      <c r="F3528" s="37"/>
      <c r="G3528" s="70"/>
    </row>
    <row r="3529" spans="2:7" x14ac:dyDescent="0.25">
      <c r="B3529" s="37"/>
      <c r="C3529" s="37"/>
      <c r="D3529" s="37"/>
      <c r="E3529" s="37"/>
      <c r="F3529" s="37"/>
      <c r="G3529" s="70"/>
    </row>
    <row r="3530" spans="2:7" x14ac:dyDescent="0.25">
      <c r="B3530" s="37"/>
      <c r="C3530" s="37"/>
      <c r="D3530" s="37"/>
      <c r="E3530" s="37"/>
      <c r="F3530" s="37"/>
      <c r="G3530" s="70"/>
    </row>
    <row r="3531" spans="2:7" x14ac:dyDescent="0.25">
      <c r="B3531" s="37"/>
      <c r="C3531" s="37"/>
      <c r="D3531" s="37"/>
      <c r="E3531" s="37"/>
      <c r="F3531" s="37"/>
      <c r="G3531" s="70"/>
    </row>
    <row r="3532" spans="2:7" x14ac:dyDescent="0.25">
      <c r="B3532" s="37"/>
      <c r="C3532" s="37"/>
      <c r="D3532" s="37"/>
      <c r="E3532" s="37"/>
      <c r="F3532" s="37"/>
      <c r="G3532" s="70"/>
    </row>
    <row r="3533" spans="2:7" x14ac:dyDescent="0.25">
      <c r="B3533" s="37"/>
      <c r="C3533" s="37"/>
      <c r="D3533" s="37"/>
      <c r="E3533" s="37"/>
      <c r="F3533" s="37"/>
      <c r="G3533" s="70"/>
    </row>
    <row r="3534" spans="2:7" x14ac:dyDescent="0.25">
      <c r="B3534" s="37"/>
      <c r="C3534" s="37"/>
      <c r="D3534" s="37"/>
      <c r="E3534" s="37"/>
      <c r="F3534" s="37"/>
      <c r="G3534" s="70"/>
    </row>
    <row r="3535" spans="2:7" x14ac:dyDescent="0.25">
      <c r="B3535" s="37"/>
      <c r="C3535" s="37"/>
      <c r="D3535" s="37"/>
      <c r="E3535" s="37"/>
      <c r="F3535" s="37"/>
      <c r="G3535" s="70"/>
    </row>
    <row r="3536" spans="2:7" x14ac:dyDescent="0.25">
      <c r="B3536" s="37"/>
      <c r="C3536" s="37"/>
      <c r="D3536" s="37"/>
      <c r="E3536" s="37"/>
      <c r="F3536" s="37"/>
      <c r="G3536" s="70"/>
    </row>
    <row r="3537" spans="2:7" x14ac:dyDescent="0.25">
      <c r="B3537" s="37"/>
      <c r="C3537" s="37"/>
      <c r="D3537" s="37"/>
      <c r="E3537" s="37"/>
      <c r="F3537" s="37"/>
      <c r="G3537" s="70"/>
    </row>
    <row r="3538" spans="2:7" x14ac:dyDescent="0.25">
      <c r="B3538" s="37"/>
      <c r="C3538" s="37"/>
      <c r="D3538" s="37"/>
      <c r="E3538" s="37"/>
      <c r="F3538" s="37"/>
      <c r="G3538" s="70"/>
    </row>
    <row r="3539" spans="2:7" x14ac:dyDescent="0.25">
      <c r="B3539" s="37"/>
      <c r="C3539" s="37"/>
      <c r="D3539" s="37"/>
      <c r="E3539" s="37"/>
      <c r="F3539" s="37"/>
      <c r="G3539" s="70"/>
    </row>
    <row r="3540" spans="2:7" x14ac:dyDescent="0.25">
      <c r="B3540" s="37"/>
      <c r="C3540" s="37"/>
      <c r="D3540" s="37"/>
      <c r="E3540" s="37"/>
      <c r="F3540" s="37"/>
      <c r="G3540" s="70"/>
    </row>
    <row r="3541" spans="2:7" x14ac:dyDescent="0.25">
      <c r="B3541" s="37"/>
      <c r="C3541" s="37"/>
      <c r="D3541" s="37"/>
      <c r="E3541" s="37"/>
      <c r="F3541" s="37"/>
      <c r="G3541" s="70"/>
    </row>
    <row r="3542" spans="2:7" x14ac:dyDescent="0.25">
      <c r="B3542" s="37"/>
      <c r="C3542" s="37"/>
      <c r="D3542" s="37"/>
      <c r="E3542" s="37"/>
      <c r="F3542" s="37"/>
      <c r="G3542" s="70"/>
    </row>
    <row r="3543" spans="2:7" x14ac:dyDescent="0.25">
      <c r="B3543" s="37"/>
      <c r="C3543" s="37"/>
      <c r="D3543" s="37"/>
      <c r="E3543" s="37"/>
      <c r="F3543" s="37"/>
      <c r="G3543" s="70"/>
    </row>
    <row r="3544" spans="2:7" x14ac:dyDescent="0.25">
      <c r="B3544" s="37"/>
      <c r="C3544" s="37"/>
      <c r="D3544" s="37"/>
      <c r="E3544" s="37"/>
      <c r="F3544" s="37"/>
      <c r="G3544" s="70"/>
    </row>
    <row r="3545" spans="2:7" x14ac:dyDescent="0.25">
      <c r="B3545" s="37"/>
      <c r="C3545" s="37"/>
      <c r="D3545" s="37"/>
      <c r="E3545" s="37"/>
      <c r="F3545" s="37"/>
      <c r="G3545" s="70"/>
    </row>
    <row r="3546" spans="2:7" x14ac:dyDescent="0.25">
      <c r="B3546" s="37"/>
      <c r="C3546" s="37"/>
      <c r="D3546" s="37"/>
      <c r="E3546" s="37"/>
      <c r="F3546" s="37"/>
      <c r="G3546" s="70"/>
    </row>
    <row r="3547" spans="2:7" x14ac:dyDescent="0.25">
      <c r="B3547" s="37"/>
      <c r="C3547" s="37"/>
      <c r="D3547" s="37"/>
      <c r="E3547" s="37"/>
      <c r="F3547" s="37"/>
      <c r="G3547" s="70"/>
    </row>
    <row r="3548" spans="2:7" x14ac:dyDescent="0.25">
      <c r="B3548" s="37"/>
      <c r="C3548" s="37"/>
      <c r="D3548" s="37"/>
      <c r="E3548" s="37"/>
      <c r="F3548" s="37"/>
      <c r="G3548" s="70"/>
    </row>
    <row r="3549" spans="2:7" x14ac:dyDescent="0.25">
      <c r="B3549" s="37"/>
      <c r="C3549" s="37"/>
      <c r="D3549" s="37"/>
      <c r="E3549" s="37"/>
      <c r="F3549" s="37"/>
      <c r="G3549" s="70"/>
    </row>
    <row r="3550" spans="2:7" x14ac:dyDescent="0.25">
      <c r="B3550" s="37"/>
      <c r="C3550" s="37"/>
      <c r="D3550" s="37"/>
      <c r="E3550" s="37"/>
      <c r="F3550" s="37"/>
      <c r="G3550" s="70"/>
    </row>
    <row r="3551" spans="2:7" x14ac:dyDescent="0.25">
      <c r="B3551" s="37"/>
      <c r="C3551" s="37"/>
      <c r="D3551" s="37"/>
      <c r="E3551" s="37"/>
      <c r="F3551" s="37"/>
      <c r="G3551" s="70"/>
    </row>
    <row r="3552" spans="2:7" x14ac:dyDescent="0.25">
      <c r="B3552" s="37"/>
      <c r="C3552" s="37"/>
      <c r="D3552" s="37"/>
      <c r="E3552" s="37"/>
      <c r="F3552" s="37"/>
      <c r="G3552" s="70"/>
    </row>
    <row r="3553" spans="2:7" x14ac:dyDescent="0.25">
      <c r="B3553" s="37"/>
      <c r="C3553" s="37"/>
      <c r="D3553" s="37"/>
      <c r="E3553" s="37"/>
      <c r="F3553" s="37"/>
      <c r="G3553" s="70"/>
    </row>
    <row r="3554" spans="2:7" x14ac:dyDescent="0.25">
      <c r="B3554" s="37"/>
      <c r="C3554" s="37"/>
      <c r="D3554" s="37"/>
      <c r="E3554" s="37"/>
      <c r="F3554" s="37"/>
      <c r="G3554" s="70"/>
    </row>
    <row r="3555" spans="2:7" x14ac:dyDescent="0.25">
      <c r="B3555" s="37"/>
      <c r="C3555" s="37"/>
      <c r="D3555" s="37"/>
      <c r="E3555" s="37"/>
      <c r="F3555" s="37"/>
      <c r="G3555" s="70"/>
    </row>
    <row r="3556" spans="2:7" x14ac:dyDescent="0.25">
      <c r="B3556" s="37"/>
      <c r="C3556" s="37"/>
      <c r="D3556" s="37"/>
      <c r="E3556" s="37"/>
      <c r="F3556" s="37"/>
      <c r="G3556" s="70"/>
    </row>
    <row r="3557" spans="2:7" x14ac:dyDescent="0.25">
      <c r="B3557" s="37"/>
      <c r="C3557" s="37"/>
      <c r="D3557" s="37"/>
      <c r="E3557" s="37"/>
      <c r="F3557" s="37"/>
      <c r="G3557" s="70"/>
    </row>
    <row r="3558" spans="2:7" x14ac:dyDescent="0.25">
      <c r="B3558" s="37"/>
      <c r="C3558" s="37"/>
      <c r="D3558" s="37"/>
      <c r="E3558" s="37"/>
      <c r="F3558" s="37"/>
      <c r="G3558" s="70"/>
    </row>
    <row r="3559" spans="2:7" x14ac:dyDescent="0.25">
      <c r="B3559" s="37"/>
      <c r="C3559" s="37"/>
      <c r="D3559" s="37"/>
      <c r="E3559" s="37"/>
      <c r="F3559" s="37"/>
      <c r="G3559" s="70"/>
    </row>
    <row r="3560" spans="2:7" x14ac:dyDescent="0.25">
      <c r="B3560" s="37"/>
      <c r="C3560" s="37"/>
      <c r="D3560" s="37"/>
      <c r="E3560" s="37"/>
      <c r="F3560" s="37"/>
      <c r="G3560" s="70"/>
    </row>
    <row r="3561" spans="2:7" x14ac:dyDescent="0.25">
      <c r="B3561" s="37"/>
      <c r="C3561" s="37"/>
      <c r="D3561" s="37"/>
      <c r="E3561" s="37"/>
      <c r="F3561" s="37"/>
      <c r="G3561" s="70"/>
    </row>
    <row r="3562" spans="2:7" x14ac:dyDescent="0.25">
      <c r="B3562" s="37"/>
      <c r="C3562" s="37"/>
      <c r="D3562" s="37"/>
      <c r="E3562" s="37"/>
      <c r="F3562" s="37"/>
      <c r="G3562" s="70"/>
    </row>
    <row r="3563" spans="2:7" x14ac:dyDescent="0.25">
      <c r="B3563" s="37"/>
      <c r="C3563" s="37"/>
      <c r="D3563" s="37"/>
      <c r="E3563" s="37"/>
      <c r="F3563" s="37"/>
      <c r="G3563" s="70"/>
    </row>
    <row r="3564" spans="2:7" x14ac:dyDescent="0.25">
      <c r="B3564" s="37"/>
      <c r="C3564" s="37"/>
      <c r="D3564" s="37"/>
      <c r="E3564" s="37"/>
      <c r="F3564" s="37"/>
      <c r="G3564" s="70"/>
    </row>
    <row r="3565" spans="2:7" x14ac:dyDescent="0.25">
      <c r="B3565" s="37"/>
      <c r="C3565" s="37"/>
      <c r="D3565" s="37"/>
      <c r="E3565" s="37"/>
      <c r="F3565" s="37"/>
      <c r="G3565" s="70"/>
    </row>
    <row r="3566" spans="2:7" x14ac:dyDescent="0.25">
      <c r="B3566" s="37"/>
      <c r="C3566" s="37"/>
      <c r="D3566" s="37"/>
      <c r="E3566" s="37"/>
      <c r="F3566" s="37"/>
      <c r="G3566" s="70"/>
    </row>
    <row r="3567" spans="2:7" x14ac:dyDescent="0.25">
      <c r="B3567" s="37"/>
      <c r="C3567" s="37"/>
      <c r="D3567" s="37"/>
      <c r="E3567" s="37"/>
      <c r="F3567" s="37"/>
      <c r="G3567" s="70"/>
    </row>
    <row r="3568" spans="2:7" x14ac:dyDescent="0.25">
      <c r="B3568" s="37"/>
      <c r="C3568" s="37"/>
      <c r="D3568" s="37"/>
      <c r="E3568" s="37"/>
      <c r="F3568" s="37"/>
      <c r="G3568" s="70"/>
    </row>
    <row r="3569" spans="2:7" x14ac:dyDescent="0.25">
      <c r="B3569" s="37"/>
      <c r="C3569" s="37"/>
      <c r="D3569" s="37"/>
      <c r="E3569" s="37"/>
      <c r="F3569" s="37"/>
      <c r="G3569" s="70"/>
    </row>
    <row r="3570" spans="2:7" x14ac:dyDescent="0.25">
      <c r="B3570" s="37"/>
      <c r="C3570" s="37"/>
      <c r="D3570" s="37"/>
      <c r="E3570" s="37"/>
      <c r="F3570" s="37"/>
      <c r="G3570" s="70"/>
    </row>
    <row r="3571" spans="2:7" x14ac:dyDescent="0.25">
      <c r="B3571" s="37"/>
      <c r="C3571" s="37"/>
      <c r="D3571" s="37"/>
      <c r="E3571" s="37"/>
      <c r="F3571" s="37"/>
      <c r="G3571" s="70"/>
    </row>
    <row r="3572" spans="2:7" x14ac:dyDescent="0.25">
      <c r="B3572" s="37"/>
      <c r="C3572" s="37"/>
      <c r="D3572" s="37"/>
      <c r="E3572" s="37"/>
      <c r="F3572" s="37"/>
      <c r="G3572" s="70"/>
    </row>
    <row r="3573" spans="2:7" x14ac:dyDescent="0.25">
      <c r="B3573" s="37"/>
      <c r="C3573" s="37"/>
      <c r="D3573" s="37"/>
      <c r="E3573" s="37"/>
      <c r="F3573" s="37"/>
      <c r="G3573" s="70"/>
    </row>
    <row r="3574" spans="2:7" x14ac:dyDescent="0.25">
      <c r="B3574" s="37"/>
      <c r="C3574" s="37"/>
      <c r="D3574" s="37"/>
      <c r="E3574" s="37"/>
      <c r="F3574" s="37"/>
      <c r="G3574" s="70"/>
    </row>
    <row r="3575" spans="2:7" x14ac:dyDescent="0.25">
      <c r="B3575" s="37"/>
      <c r="C3575" s="37"/>
      <c r="D3575" s="37"/>
      <c r="E3575" s="37"/>
      <c r="F3575" s="37"/>
      <c r="G3575" s="70"/>
    </row>
    <row r="3576" spans="2:7" x14ac:dyDescent="0.25">
      <c r="B3576" s="37"/>
      <c r="C3576" s="37"/>
      <c r="D3576" s="37"/>
      <c r="E3576" s="37"/>
      <c r="F3576" s="37"/>
      <c r="G3576" s="70"/>
    </row>
    <row r="3577" spans="2:7" x14ac:dyDescent="0.25">
      <c r="B3577" s="37"/>
      <c r="C3577" s="37"/>
      <c r="D3577" s="37"/>
      <c r="E3577" s="37"/>
      <c r="F3577" s="37"/>
      <c r="G3577" s="70"/>
    </row>
    <row r="3578" spans="2:7" x14ac:dyDescent="0.25">
      <c r="B3578" s="37"/>
      <c r="C3578" s="37"/>
      <c r="D3578" s="37"/>
      <c r="E3578" s="37"/>
      <c r="F3578" s="37"/>
      <c r="G3578" s="70"/>
    </row>
    <row r="3579" spans="2:7" x14ac:dyDescent="0.25">
      <c r="B3579" s="37"/>
      <c r="C3579" s="37"/>
      <c r="D3579" s="37"/>
      <c r="E3579" s="37"/>
      <c r="F3579" s="37"/>
      <c r="G3579" s="70"/>
    </row>
    <row r="3580" spans="2:7" x14ac:dyDescent="0.25">
      <c r="B3580" s="37"/>
      <c r="C3580" s="37"/>
      <c r="D3580" s="37"/>
      <c r="E3580" s="37"/>
      <c r="F3580" s="37"/>
      <c r="G3580" s="70"/>
    </row>
    <row r="3581" spans="2:7" x14ac:dyDescent="0.25">
      <c r="B3581" s="37"/>
      <c r="C3581" s="37"/>
      <c r="D3581" s="37"/>
      <c r="E3581" s="37"/>
      <c r="F3581" s="37"/>
      <c r="G3581" s="70"/>
    </row>
    <row r="3582" spans="2:7" x14ac:dyDescent="0.25">
      <c r="B3582" s="37"/>
      <c r="C3582" s="37"/>
      <c r="D3582" s="37"/>
      <c r="E3582" s="37"/>
      <c r="F3582" s="37"/>
      <c r="G3582" s="70"/>
    </row>
    <row r="3583" spans="2:7" x14ac:dyDescent="0.25">
      <c r="B3583" s="37"/>
      <c r="C3583" s="37"/>
      <c r="D3583" s="37"/>
      <c r="E3583" s="37"/>
      <c r="F3583" s="37"/>
      <c r="G3583" s="70"/>
    </row>
    <row r="3584" spans="2:7" x14ac:dyDescent="0.25">
      <c r="B3584" s="37"/>
      <c r="C3584" s="37"/>
      <c r="D3584" s="37"/>
      <c r="E3584" s="37"/>
      <c r="F3584" s="37"/>
      <c r="G3584" s="70"/>
    </row>
    <row r="3585" spans="2:7" x14ac:dyDescent="0.25">
      <c r="B3585" s="37"/>
      <c r="C3585" s="37"/>
      <c r="D3585" s="37"/>
      <c r="E3585" s="37"/>
      <c r="F3585" s="37"/>
      <c r="G3585" s="70"/>
    </row>
    <row r="3586" spans="2:7" x14ac:dyDescent="0.25">
      <c r="B3586" s="37"/>
      <c r="C3586" s="37"/>
      <c r="D3586" s="37"/>
      <c r="E3586" s="37"/>
      <c r="F3586" s="37"/>
      <c r="G3586" s="70"/>
    </row>
    <row r="3587" spans="2:7" x14ac:dyDescent="0.25">
      <c r="B3587" s="37"/>
      <c r="C3587" s="37"/>
      <c r="D3587" s="37"/>
      <c r="E3587" s="37"/>
      <c r="F3587" s="37"/>
      <c r="G3587" s="70"/>
    </row>
    <row r="3588" spans="2:7" x14ac:dyDescent="0.25">
      <c r="B3588" s="37"/>
      <c r="C3588" s="37"/>
      <c r="D3588" s="37"/>
      <c r="E3588" s="37"/>
      <c r="F3588" s="37"/>
      <c r="G3588" s="70"/>
    </row>
    <row r="3589" spans="2:7" x14ac:dyDescent="0.25">
      <c r="B3589" s="37"/>
      <c r="C3589" s="37"/>
      <c r="D3589" s="37"/>
      <c r="E3589" s="37"/>
      <c r="F3589" s="37"/>
      <c r="G3589" s="70"/>
    </row>
    <row r="3590" spans="2:7" x14ac:dyDescent="0.25">
      <c r="B3590" s="37"/>
      <c r="C3590" s="37"/>
      <c r="D3590" s="37"/>
      <c r="E3590" s="37"/>
      <c r="F3590" s="37"/>
      <c r="G3590" s="70"/>
    </row>
    <row r="3591" spans="2:7" x14ac:dyDescent="0.25">
      <c r="B3591" s="37"/>
      <c r="C3591" s="37"/>
      <c r="D3591" s="37"/>
      <c r="E3591" s="37"/>
      <c r="F3591" s="37"/>
      <c r="G3591" s="70"/>
    </row>
    <row r="3592" spans="2:7" x14ac:dyDescent="0.25">
      <c r="B3592" s="37"/>
      <c r="C3592" s="37"/>
      <c r="D3592" s="37"/>
      <c r="E3592" s="37"/>
      <c r="F3592" s="37"/>
      <c r="G3592" s="70"/>
    </row>
    <row r="3593" spans="2:7" x14ac:dyDescent="0.25">
      <c r="B3593" s="37"/>
      <c r="C3593" s="37"/>
      <c r="D3593" s="37"/>
      <c r="E3593" s="37"/>
      <c r="F3593" s="37"/>
      <c r="G3593" s="70"/>
    </row>
    <row r="3594" spans="2:7" x14ac:dyDescent="0.25">
      <c r="B3594" s="37"/>
      <c r="C3594" s="37"/>
      <c r="D3594" s="37"/>
      <c r="E3594" s="37"/>
      <c r="F3594" s="37"/>
      <c r="G3594" s="70"/>
    </row>
    <row r="3595" spans="2:7" x14ac:dyDescent="0.25">
      <c r="B3595" s="37"/>
      <c r="C3595" s="37"/>
      <c r="D3595" s="37"/>
      <c r="E3595" s="37"/>
      <c r="F3595" s="37"/>
      <c r="G3595" s="70"/>
    </row>
    <row r="3596" spans="2:7" x14ac:dyDescent="0.25">
      <c r="B3596" s="37"/>
      <c r="C3596" s="37"/>
      <c r="D3596" s="37"/>
      <c r="E3596" s="37"/>
      <c r="F3596" s="37"/>
      <c r="G3596" s="70"/>
    </row>
    <row r="3597" spans="2:7" x14ac:dyDescent="0.25">
      <c r="B3597" s="37"/>
      <c r="C3597" s="37"/>
      <c r="D3597" s="37"/>
      <c r="E3597" s="37"/>
      <c r="F3597" s="37"/>
      <c r="G3597" s="70"/>
    </row>
    <row r="3598" spans="2:7" x14ac:dyDescent="0.25">
      <c r="B3598" s="37"/>
      <c r="C3598" s="37"/>
      <c r="D3598" s="37"/>
      <c r="E3598" s="37"/>
      <c r="F3598" s="37"/>
      <c r="G3598" s="70"/>
    </row>
    <row r="3599" spans="2:7" x14ac:dyDescent="0.25">
      <c r="B3599" s="37"/>
      <c r="C3599" s="37"/>
      <c r="D3599" s="37"/>
      <c r="E3599" s="37"/>
      <c r="F3599" s="37"/>
      <c r="G3599" s="70"/>
    </row>
    <row r="3600" spans="2:7" x14ac:dyDescent="0.25">
      <c r="B3600" s="37"/>
      <c r="C3600" s="37"/>
      <c r="D3600" s="37"/>
      <c r="E3600" s="37"/>
      <c r="F3600" s="37"/>
      <c r="G3600" s="70"/>
    </row>
    <row r="3601" spans="2:7" x14ac:dyDescent="0.25">
      <c r="B3601" s="37"/>
      <c r="C3601" s="37"/>
      <c r="D3601" s="37"/>
      <c r="E3601" s="37"/>
      <c r="F3601" s="37"/>
      <c r="G3601" s="70"/>
    </row>
    <row r="3602" spans="2:7" x14ac:dyDescent="0.25">
      <c r="B3602" s="37"/>
      <c r="C3602" s="37"/>
      <c r="D3602" s="37"/>
      <c r="E3602" s="37"/>
      <c r="F3602" s="37"/>
      <c r="G3602" s="70"/>
    </row>
    <row r="3603" spans="2:7" x14ac:dyDescent="0.25">
      <c r="B3603" s="37"/>
      <c r="C3603" s="37"/>
      <c r="D3603" s="37"/>
      <c r="E3603" s="37"/>
      <c r="F3603" s="37"/>
      <c r="G3603" s="70"/>
    </row>
    <row r="3604" spans="2:7" x14ac:dyDescent="0.25">
      <c r="B3604" s="37"/>
      <c r="C3604" s="37"/>
      <c r="D3604" s="37"/>
      <c r="E3604" s="37"/>
      <c r="F3604" s="37"/>
      <c r="G3604" s="70"/>
    </row>
    <row r="3605" spans="2:7" x14ac:dyDescent="0.25">
      <c r="B3605" s="37"/>
      <c r="C3605" s="37"/>
      <c r="D3605" s="37"/>
      <c r="E3605" s="37"/>
      <c r="F3605" s="37"/>
      <c r="G3605" s="70"/>
    </row>
    <row r="3606" spans="2:7" x14ac:dyDescent="0.25">
      <c r="B3606" s="37"/>
      <c r="C3606" s="37"/>
      <c r="D3606" s="37"/>
      <c r="E3606" s="37"/>
      <c r="F3606" s="37"/>
      <c r="G3606" s="70"/>
    </row>
    <row r="3607" spans="2:7" x14ac:dyDescent="0.25">
      <c r="B3607" s="37"/>
      <c r="C3607" s="37"/>
      <c r="D3607" s="37"/>
      <c r="E3607" s="37"/>
      <c r="F3607" s="37"/>
      <c r="G3607" s="70"/>
    </row>
    <row r="3608" spans="2:7" x14ac:dyDescent="0.25">
      <c r="B3608" s="37"/>
      <c r="C3608" s="37"/>
      <c r="D3608" s="37"/>
      <c r="E3608" s="37"/>
      <c r="F3608" s="37"/>
      <c r="G3608" s="70"/>
    </row>
    <row r="3609" spans="2:7" x14ac:dyDescent="0.25">
      <c r="B3609" s="37"/>
      <c r="C3609" s="37"/>
      <c r="D3609" s="37"/>
      <c r="E3609" s="37"/>
      <c r="F3609" s="37"/>
      <c r="G3609" s="70"/>
    </row>
    <row r="3610" spans="2:7" x14ac:dyDescent="0.25">
      <c r="B3610" s="37"/>
      <c r="C3610" s="37"/>
      <c r="D3610" s="37"/>
      <c r="E3610" s="37"/>
      <c r="F3610" s="37"/>
      <c r="G3610" s="70"/>
    </row>
    <row r="3611" spans="2:7" x14ac:dyDescent="0.25">
      <c r="B3611" s="37"/>
      <c r="C3611" s="37"/>
      <c r="D3611" s="37"/>
      <c r="E3611" s="37"/>
      <c r="F3611" s="37"/>
      <c r="G3611" s="70"/>
    </row>
    <row r="3612" spans="2:7" x14ac:dyDescent="0.25">
      <c r="B3612" s="37"/>
      <c r="C3612" s="37"/>
      <c r="D3612" s="37"/>
      <c r="E3612" s="37"/>
      <c r="F3612" s="37"/>
      <c r="G3612" s="70"/>
    </row>
    <row r="3613" spans="2:7" x14ac:dyDescent="0.25">
      <c r="B3613" s="37"/>
      <c r="C3613" s="37"/>
      <c r="D3613" s="37"/>
      <c r="E3613" s="37"/>
      <c r="F3613" s="37"/>
      <c r="G3613" s="70"/>
    </row>
    <row r="3614" spans="2:7" x14ac:dyDescent="0.25">
      <c r="B3614" s="37"/>
      <c r="C3614" s="37"/>
      <c r="D3614" s="37"/>
      <c r="E3614" s="37"/>
      <c r="F3614" s="37"/>
      <c r="G3614" s="70"/>
    </row>
    <row r="3615" spans="2:7" x14ac:dyDescent="0.25">
      <c r="B3615" s="37"/>
      <c r="C3615" s="37"/>
      <c r="D3615" s="37"/>
      <c r="E3615" s="37"/>
      <c r="F3615" s="37"/>
      <c r="G3615" s="70"/>
    </row>
    <row r="3616" spans="2:7" x14ac:dyDescent="0.25">
      <c r="B3616" s="37"/>
      <c r="C3616" s="37"/>
      <c r="D3616" s="37"/>
      <c r="E3616" s="37"/>
      <c r="F3616" s="37"/>
      <c r="G3616" s="70"/>
    </row>
    <row r="3617" spans="2:7" x14ac:dyDescent="0.25">
      <c r="B3617" s="37"/>
      <c r="C3617" s="37"/>
      <c r="D3617" s="37"/>
      <c r="E3617" s="37"/>
      <c r="F3617" s="37"/>
      <c r="G3617" s="70"/>
    </row>
    <row r="3618" spans="2:7" x14ac:dyDescent="0.25">
      <c r="B3618" s="37"/>
      <c r="C3618" s="37"/>
      <c r="D3618" s="37"/>
      <c r="E3618" s="37"/>
      <c r="F3618" s="37"/>
      <c r="G3618" s="70"/>
    </row>
    <row r="3619" spans="2:7" x14ac:dyDescent="0.25">
      <c r="B3619" s="37"/>
      <c r="C3619" s="37"/>
      <c r="D3619" s="37"/>
      <c r="E3619" s="37"/>
      <c r="F3619" s="37"/>
      <c r="G3619" s="70"/>
    </row>
    <row r="3620" spans="2:7" x14ac:dyDescent="0.25">
      <c r="B3620" s="37"/>
      <c r="C3620" s="37"/>
      <c r="D3620" s="37"/>
      <c r="E3620" s="37"/>
      <c r="F3620" s="37"/>
      <c r="G3620" s="70"/>
    </row>
    <row r="3621" spans="2:7" x14ac:dyDescent="0.25">
      <c r="B3621" s="37"/>
      <c r="C3621" s="37"/>
      <c r="D3621" s="37"/>
      <c r="E3621" s="37"/>
      <c r="F3621" s="37"/>
      <c r="G3621" s="70"/>
    </row>
    <row r="3622" spans="2:7" x14ac:dyDescent="0.25">
      <c r="B3622" s="37"/>
      <c r="C3622" s="37"/>
      <c r="D3622" s="37"/>
      <c r="E3622" s="37"/>
      <c r="F3622" s="37"/>
      <c r="G3622" s="70"/>
    </row>
    <row r="3623" spans="2:7" x14ac:dyDescent="0.25">
      <c r="B3623" s="37"/>
      <c r="C3623" s="37"/>
      <c r="D3623" s="37"/>
      <c r="E3623" s="37"/>
      <c r="F3623" s="37"/>
      <c r="G3623" s="70"/>
    </row>
    <row r="3624" spans="2:7" x14ac:dyDescent="0.25">
      <c r="B3624" s="37"/>
      <c r="C3624" s="37"/>
      <c r="D3624" s="37"/>
      <c r="E3624" s="37"/>
      <c r="F3624" s="37"/>
      <c r="G3624" s="70"/>
    </row>
    <row r="3625" spans="2:7" x14ac:dyDescent="0.25">
      <c r="B3625" s="37"/>
      <c r="C3625" s="37"/>
      <c r="D3625" s="37"/>
      <c r="E3625" s="37"/>
      <c r="F3625" s="37"/>
      <c r="G3625" s="70"/>
    </row>
    <row r="3626" spans="2:7" x14ac:dyDescent="0.25">
      <c r="B3626" s="37"/>
      <c r="C3626" s="37"/>
      <c r="D3626" s="37"/>
      <c r="E3626" s="37"/>
      <c r="F3626" s="37"/>
      <c r="G3626" s="70"/>
    </row>
    <row r="3627" spans="2:7" x14ac:dyDescent="0.25">
      <c r="B3627" s="37"/>
      <c r="C3627" s="37"/>
      <c r="D3627" s="37"/>
      <c r="E3627" s="37"/>
      <c r="F3627" s="37"/>
      <c r="G3627" s="70"/>
    </row>
    <row r="3628" spans="2:7" x14ac:dyDescent="0.25">
      <c r="B3628" s="37"/>
      <c r="C3628" s="37"/>
      <c r="D3628" s="37"/>
      <c r="E3628" s="37"/>
      <c r="F3628" s="37"/>
      <c r="G3628" s="70"/>
    </row>
    <row r="3629" spans="2:7" x14ac:dyDescent="0.25">
      <c r="B3629" s="37"/>
      <c r="C3629" s="37"/>
      <c r="D3629" s="37"/>
      <c r="E3629" s="37"/>
      <c r="F3629" s="37"/>
      <c r="G3629" s="70"/>
    </row>
    <row r="3630" spans="2:7" x14ac:dyDescent="0.25">
      <c r="B3630" s="37"/>
      <c r="C3630" s="37"/>
      <c r="D3630" s="37"/>
      <c r="E3630" s="37"/>
      <c r="F3630" s="37"/>
      <c r="G3630" s="70"/>
    </row>
    <row r="3631" spans="2:7" x14ac:dyDescent="0.25">
      <c r="B3631" s="37"/>
      <c r="C3631" s="37"/>
      <c r="D3631" s="37"/>
      <c r="E3631" s="37"/>
      <c r="F3631" s="37"/>
      <c r="G3631" s="70"/>
    </row>
    <row r="3632" spans="2:7" x14ac:dyDescent="0.25">
      <c r="B3632" s="37"/>
      <c r="C3632" s="37"/>
      <c r="D3632" s="37"/>
      <c r="E3632" s="37"/>
      <c r="F3632" s="37"/>
      <c r="G3632" s="70"/>
    </row>
    <row r="3633" spans="2:7" x14ac:dyDescent="0.25">
      <c r="B3633" s="37"/>
      <c r="C3633" s="37"/>
      <c r="D3633" s="37"/>
      <c r="E3633" s="37"/>
      <c r="F3633" s="37"/>
      <c r="G3633" s="70"/>
    </row>
    <row r="3634" spans="2:7" x14ac:dyDescent="0.25">
      <c r="B3634" s="37"/>
      <c r="C3634" s="37"/>
      <c r="D3634" s="37"/>
      <c r="E3634" s="37"/>
      <c r="F3634" s="37"/>
      <c r="G3634" s="70"/>
    </row>
    <row r="3635" spans="2:7" x14ac:dyDescent="0.25">
      <c r="B3635" s="37"/>
      <c r="C3635" s="37"/>
      <c r="D3635" s="37"/>
      <c r="E3635" s="37"/>
      <c r="F3635" s="37"/>
      <c r="G3635" s="70"/>
    </row>
    <row r="3636" spans="2:7" x14ac:dyDescent="0.25">
      <c r="B3636" s="37"/>
      <c r="C3636" s="37"/>
      <c r="D3636" s="37"/>
      <c r="E3636" s="37"/>
      <c r="F3636" s="37"/>
      <c r="G3636" s="70"/>
    </row>
    <row r="3637" spans="2:7" x14ac:dyDescent="0.25">
      <c r="B3637" s="37"/>
      <c r="C3637" s="37"/>
      <c r="D3637" s="37"/>
      <c r="E3637" s="37"/>
      <c r="F3637" s="37"/>
      <c r="G3637" s="70"/>
    </row>
    <row r="3638" spans="2:7" x14ac:dyDescent="0.25">
      <c r="B3638" s="37"/>
      <c r="C3638" s="37"/>
      <c r="D3638" s="37"/>
      <c r="E3638" s="37"/>
      <c r="F3638" s="37"/>
      <c r="G3638" s="70"/>
    </row>
    <row r="3639" spans="2:7" x14ac:dyDescent="0.25">
      <c r="B3639" s="37"/>
      <c r="C3639" s="37"/>
      <c r="D3639" s="37"/>
      <c r="E3639" s="37"/>
      <c r="F3639" s="37"/>
      <c r="G3639" s="70"/>
    </row>
    <row r="3640" spans="2:7" x14ac:dyDescent="0.25">
      <c r="B3640" s="37"/>
      <c r="C3640" s="37"/>
      <c r="D3640" s="37"/>
      <c r="E3640" s="37"/>
      <c r="F3640" s="37"/>
      <c r="G3640" s="70"/>
    </row>
    <row r="3641" spans="2:7" x14ac:dyDescent="0.25">
      <c r="B3641" s="37"/>
      <c r="C3641" s="37"/>
      <c r="D3641" s="37"/>
      <c r="E3641" s="37"/>
      <c r="F3641" s="37"/>
      <c r="G3641" s="70"/>
    </row>
    <row r="3642" spans="2:7" x14ac:dyDescent="0.25">
      <c r="B3642" s="37"/>
      <c r="C3642" s="37"/>
      <c r="D3642" s="37"/>
      <c r="E3642" s="37"/>
      <c r="F3642" s="37"/>
      <c r="G3642" s="70"/>
    </row>
    <row r="3643" spans="2:7" x14ac:dyDescent="0.25">
      <c r="B3643" s="37"/>
      <c r="C3643" s="37"/>
      <c r="D3643" s="37"/>
      <c r="E3643" s="37"/>
      <c r="F3643" s="37"/>
      <c r="G3643" s="70"/>
    </row>
    <row r="3644" spans="2:7" x14ac:dyDescent="0.25">
      <c r="B3644" s="37"/>
      <c r="C3644" s="37"/>
      <c r="D3644" s="37"/>
      <c r="E3644" s="37"/>
      <c r="F3644" s="37"/>
      <c r="G3644" s="70"/>
    </row>
    <row r="3645" spans="2:7" x14ac:dyDescent="0.25">
      <c r="B3645" s="37"/>
      <c r="C3645" s="37"/>
      <c r="D3645" s="37"/>
      <c r="E3645" s="37"/>
      <c r="F3645" s="37"/>
      <c r="G3645" s="70"/>
    </row>
    <row r="3646" spans="2:7" x14ac:dyDescent="0.25">
      <c r="B3646" s="37"/>
      <c r="C3646" s="37"/>
      <c r="D3646" s="37"/>
      <c r="E3646" s="37"/>
      <c r="F3646" s="37"/>
      <c r="G3646" s="70"/>
    </row>
    <row r="3647" spans="2:7" x14ac:dyDescent="0.25">
      <c r="B3647" s="37"/>
      <c r="C3647" s="37"/>
      <c r="D3647" s="37"/>
      <c r="E3647" s="37"/>
      <c r="F3647" s="37"/>
      <c r="G3647" s="70"/>
    </row>
    <row r="3648" spans="2:7" x14ac:dyDescent="0.25">
      <c r="B3648" s="37"/>
      <c r="C3648" s="37"/>
      <c r="D3648" s="37"/>
      <c r="E3648" s="37"/>
      <c r="F3648" s="37"/>
      <c r="G3648" s="70"/>
    </row>
    <row r="3649" spans="2:7" x14ac:dyDescent="0.25">
      <c r="B3649" s="37"/>
      <c r="C3649" s="37"/>
      <c r="D3649" s="37"/>
      <c r="E3649" s="37"/>
      <c r="F3649" s="37"/>
      <c r="G3649" s="70"/>
    </row>
    <row r="3650" spans="2:7" x14ac:dyDescent="0.25">
      <c r="B3650" s="37"/>
      <c r="C3650" s="37"/>
      <c r="D3650" s="37"/>
      <c r="E3650" s="37"/>
      <c r="F3650" s="37"/>
      <c r="G3650" s="70"/>
    </row>
    <row r="3651" spans="2:7" x14ac:dyDescent="0.25">
      <c r="B3651" s="37"/>
      <c r="C3651" s="37"/>
      <c r="D3651" s="37"/>
      <c r="E3651" s="37"/>
      <c r="F3651" s="37"/>
      <c r="G3651" s="70"/>
    </row>
    <row r="3652" spans="2:7" x14ac:dyDescent="0.25">
      <c r="B3652" s="37"/>
      <c r="C3652" s="37"/>
      <c r="D3652" s="37"/>
      <c r="E3652" s="37"/>
      <c r="F3652" s="37"/>
      <c r="G3652" s="70"/>
    </row>
    <row r="3653" spans="2:7" x14ac:dyDescent="0.25">
      <c r="B3653" s="37"/>
      <c r="C3653" s="37"/>
      <c r="D3653" s="37"/>
      <c r="E3653" s="37"/>
      <c r="F3653" s="37"/>
      <c r="G3653" s="70"/>
    </row>
    <row r="3654" spans="2:7" x14ac:dyDescent="0.25">
      <c r="B3654" s="37"/>
      <c r="C3654" s="37"/>
      <c r="D3654" s="37"/>
      <c r="E3654" s="37"/>
      <c r="F3654" s="37"/>
      <c r="G3654" s="70"/>
    </row>
    <row r="3655" spans="2:7" x14ac:dyDescent="0.25">
      <c r="B3655" s="37"/>
      <c r="C3655" s="37"/>
      <c r="D3655" s="37"/>
      <c r="E3655" s="37"/>
      <c r="F3655" s="37"/>
      <c r="G3655" s="70"/>
    </row>
    <row r="3656" spans="2:7" x14ac:dyDescent="0.25">
      <c r="B3656" s="37"/>
      <c r="C3656" s="37"/>
      <c r="D3656" s="37"/>
      <c r="E3656" s="37"/>
      <c r="F3656" s="37"/>
      <c r="G3656" s="70"/>
    </row>
    <row r="3657" spans="2:7" x14ac:dyDescent="0.25">
      <c r="B3657" s="37"/>
      <c r="C3657" s="37"/>
      <c r="D3657" s="37"/>
      <c r="E3657" s="37"/>
      <c r="F3657" s="37"/>
      <c r="G3657" s="70"/>
    </row>
    <row r="3658" spans="2:7" x14ac:dyDescent="0.25">
      <c r="B3658" s="37"/>
      <c r="C3658" s="37"/>
      <c r="D3658" s="37"/>
      <c r="E3658" s="37"/>
      <c r="F3658" s="37"/>
      <c r="G3658" s="70"/>
    </row>
    <row r="3659" spans="2:7" x14ac:dyDescent="0.25">
      <c r="B3659" s="37"/>
      <c r="C3659" s="37"/>
      <c r="D3659" s="37"/>
      <c r="E3659" s="37"/>
      <c r="F3659" s="37"/>
      <c r="G3659" s="70"/>
    </row>
    <row r="3660" spans="2:7" x14ac:dyDescent="0.25">
      <c r="B3660" s="37"/>
      <c r="C3660" s="37"/>
      <c r="D3660" s="37"/>
      <c r="E3660" s="37"/>
      <c r="F3660" s="37"/>
      <c r="G3660" s="70"/>
    </row>
    <row r="3661" spans="2:7" x14ac:dyDescent="0.25">
      <c r="B3661" s="37"/>
      <c r="C3661" s="37"/>
      <c r="D3661" s="37"/>
      <c r="E3661" s="37"/>
      <c r="F3661" s="37"/>
      <c r="G3661" s="70"/>
    </row>
    <row r="3662" spans="2:7" x14ac:dyDescent="0.25">
      <c r="B3662" s="37"/>
      <c r="C3662" s="37"/>
      <c r="D3662" s="37"/>
      <c r="E3662" s="37"/>
      <c r="F3662" s="37"/>
      <c r="G3662" s="70"/>
    </row>
    <row r="3663" spans="2:7" x14ac:dyDescent="0.25">
      <c r="B3663" s="37"/>
      <c r="C3663" s="37"/>
      <c r="D3663" s="37"/>
      <c r="E3663" s="37"/>
      <c r="F3663" s="37"/>
      <c r="G3663" s="70"/>
    </row>
    <row r="3664" spans="2:7" x14ac:dyDescent="0.25">
      <c r="B3664" s="37"/>
      <c r="C3664" s="37"/>
      <c r="D3664" s="37"/>
      <c r="E3664" s="37"/>
      <c r="F3664" s="37"/>
      <c r="G3664" s="70"/>
    </row>
    <row r="3665" spans="2:7" x14ac:dyDescent="0.25">
      <c r="B3665" s="37"/>
      <c r="C3665" s="37"/>
      <c r="D3665" s="37"/>
      <c r="E3665" s="37"/>
      <c r="F3665" s="37"/>
      <c r="G3665" s="70"/>
    </row>
    <row r="3666" spans="2:7" x14ac:dyDescent="0.25">
      <c r="B3666" s="37"/>
      <c r="C3666" s="37"/>
      <c r="D3666" s="37"/>
      <c r="E3666" s="37"/>
      <c r="F3666" s="37"/>
      <c r="G3666" s="70"/>
    </row>
    <row r="3667" spans="2:7" x14ac:dyDescent="0.25">
      <c r="B3667" s="37"/>
      <c r="C3667" s="37"/>
      <c r="D3667" s="37"/>
      <c r="E3667" s="37"/>
      <c r="F3667" s="37"/>
      <c r="G3667" s="70"/>
    </row>
    <row r="3668" spans="2:7" x14ac:dyDescent="0.25">
      <c r="B3668" s="37"/>
      <c r="C3668" s="37"/>
      <c r="D3668" s="37"/>
      <c r="E3668" s="37"/>
      <c r="F3668" s="37"/>
      <c r="G3668" s="70"/>
    </row>
    <row r="3669" spans="2:7" x14ac:dyDescent="0.25">
      <c r="B3669" s="37"/>
      <c r="C3669" s="37"/>
      <c r="D3669" s="37"/>
      <c r="E3669" s="37"/>
      <c r="F3669" s="37"/>
      <c r="G3669" s="70"/>
    </row>
    <row r="3670" spans="2:7" x14ac:dyDescent="0.25">
      <c r="B3670" s="37"/>
      <c r="C3670" s="37"/>
      <c r="D3670" s="37"/>
      <c r="E3670" s="37"/>
      <c r="F3670" s="37"/>
      <c r="G3670" s="70"/>
    </row>
    <row r="3671" spans="2:7" x14ac:dyDescent="0.25">
      <c r="B3671" s="37"/>
      <c r="C3671" s="37"/>
      <c r="D3671" s="37"/>
      <c r="E3671" s="37"/>
      <c r="F3671" s="37"/>
      <c r="G3671" s="70"/>
    </row>
    <row r="3672" spans="2:7" x14ac:dyDescent="0.25">
      <c r="B3672" s="37"/>
      <c r="C3672" s="37"/>
      <c r="D3672" s="37"/>
      <c r="E3672" s="37"/>
      <c r="F3672" s="37"/>
      <c r="G3672" s="70"/>
    </row>
    <row r="3673" spans="2:7" x14ac:dyDescent="0.25">
      <c r="B3673" s="37"/>
      <c r="C3673" s="37"/>
      <c r="D3673" s="37"/>
      <c r="E3673" s="37"/>
      <c r="F3673" s="37"/>
      <c r="G3673" s="70"/>
    </row>
    <row r="3674" spans="2:7" x14ac:dyDescent="0.25">
      <c r="B3674" s="37"/>
      <c r="C3674" s="37"/>
      <c r="D3674" s="37"/>
      <c r="E3674" s="37"/>
      <c r="F3674" s="37"/>
      <c r="G3674" s="70"/>
    </row>
    <row r="3675" spans="2:7" x14ac:dyDescent="0.25">
      <c r="B3675" s="37"/>
      <c r="C3675" s="37"/>
      <c r="D3675" s="37"/>
      <c r="E3675" s="37"/>
      <c r="F3675" s="37"/>
      <c r="G3675" s="70"/>
    </row>
    <row r="3676" spans="2:7" x14ac:dyDescent="0.25">
      <c r="B3676" s="37"/>
      <c r="C3676" s="37"/>
      <c r="D3676" s="37"/>
      <c r="E3676" s="37"/>
      <c r="F3676" s="37"/>
      <c r="G3676" s="70"/>
    </row>
    <row r="3677" spans="2:7" x14ac:dyDescent="0.25">
      <c r="B3677" s="37"/>
      <c r="C3677" s="37"/>
      <c r="D3677" s="37"/>
      <c r="E3677" s="37"/>
      <c r="F3677" s="37"/>
      <c r="G3677" s="70"/>
    </row>
    <row r="3678" spans="2:7" x14ac:dyDescent="0.25">
      <c r="B3678" s="37"/>
      <c r="C3678" s="37"/>
      <c r="D3678" s="37"/>
      <c r="E3678" s="37"/>
      <c r="F3678" s="37"/>
      <c r="G3678" s="70"/>
    </row>
    <row r="3679" spans="2:7" x14ac:dyDescent="0.25">
      <c r="B3679" s="37"/>
      <c r="C3679" s="37"/>
      <c r="D3679" s="37"/>
      <c r="E3679" s="37"/>
      <c r="F3679" s="37"/>
      <c r="G3679" s="70"/>
    </row>
    <row r="3680" spans="2:7" x14ac:dyDescent="0.25">
      <c r="B3680" s="37"/>
      <c r="C3680" s="37"/>
      <c r="D3680" s="37"/>
      <c r="E3680" s="37"/>
      <c r="F3680" s="37"/>
      <c r="G3680" s="70"/>
    </row>
    <row r="3681" spans="2:7" x14ac:dyDescent="0.25">
      <c r="B3681" s="37"/>
      <c r="C3681" s="37"/>
      <c r="D3681" s="37"/>
      <c r="E3681" s="37"/>
      <c r="F3681" s="37"/>
      <c r="G3681" s="70"/>
    </row>
    <row r="3682" spans="2:7" x14ac:dyDescent="0.25">
      <c r="B3682" s="37"/>
      <c r="C3682" s="37"/>
      <c r="D3682" s="37"/>
      <c r="E3682" s="37"/>
      <c r="F3682" s="37"/>
      <c r="G3682" s="70"/>
    </row>
    <row r="3683" spans="2:7" x14ac:dyDescent="0.25">
      <c r="B3683" s="37"/>
      <c r="C3683" s="37"/>
      <c r="D3683" s="37"/>
      <c r="E3683" s="37"/>
      <c r="F3683" s="37"/>
      <c r="G3683" s="70"/>
    </row>
    <row r="3684" spans="2:7" x14ac:dyDescent="0.25">
      <c r="B3684" s="37"/>
      <c r="C3684" s="37"/>
      <c r="D3684" s="37"/>
      <c r="E3684" s="37"/>
      <c r="F3684" s="37"/>
      <c r="G3684" s="70"/>
    </row>
    <row r="3685" spans="2:7" x14ac:dyDescent="0.25">
      <c r="B3685" s="37"/>
      <c r="C3685" s="37"/>
      <c r="D3685" s="37"/>
      <c r="E3685" s="37"/>
      <c r="F3685" s="37"/>
      <c r="G3685" s="70"/>
    </row>
    <row r="3686" spans="2:7" x14ac:dyDescent="0.25">
      <c r="B3686" s="37"/>
      <c r="C3686" s="37"/>
      <c r="D3686" s="37"/>
      <c r="E3686" s="37"/>
      <c r="F3686" s="37"/>
      <c r="G3686" s="70"/>
    </row>
    <row r="3687" spans="2:7" x14ac:dyDescent="0.25">
      <c r="B3687" s="37"/>
      <c r="C3687" s="37"/>
      <c r="D3687" s="37"/>
      <c r="E3687" s="37"/>
      <c r="F3687" s="37"/>
      <c r="G3687" s="70"/>
    </row>
    <row r="3688" spans="2:7" x14ac:dyDescent="0.25">
      <c r="B3688" s="37"/>
      <c r="C3688" s="37"/>
      <c r="D3688" s="37"/>
      <c r="E3688" s="37"/>
      <c r="F3688" s="37"/>
      <c r="G3688" s="70"/>
    </row>
    <row r="3689" spans="2:7" x14ac:dyDescent="0.25">
      <c r="B3689" s="37"/>
      <c r="C3689" s="37"/>
      <c r="D3689" s="37"/>
      <c r="E3689" s="37"/>
      <c r="F3689" s="37"/>
      <c r="G3689" s="70"/>
    </row>
    <row r="3690" spans="2:7" x14ac:dyDescent="0.25">
      <c r="B3690" s="37"/>
      <c r="C3690" s="37"/>
      <c r="D3690" s="37"/>
      <c r="E3690" s="37"/>
      <c r="F3690" s="37"/>
      <c r="G3690" s="70"/>
    </row>
    <row r="3691" spans="2:7" x14ac:dyDescent="0.25">
      <c r="B3691" s="37"/>
      <c r="C3691" s="37"/>
      <c r="D3691" s="37"/>
      <c r="E3691" s="37"/>
      <c r="F3691" s="37"/>
      <c r="G3691" s="70"/>
    </row>
    <row r="3692" spans="2:7" x14ac:dyDescent="0.25">
      <c r="B3692" s="37"/>
      <c r="C3692" s="37"/>
      <c r="D3692" s="37"/>
      <c r="E3692" s="37"/>
      <c r="F3692" s="37"/>
      <c r="G3692" s="70"/>
    </row>
    <row r="3693" spans="2:7" x14ac:dyDescent="0.25">
      <c r="B3693" s="37"/>
      <c r="C3693" s="37"/>
      <c r="D3693" s="37"/>
      <c r="E3693" s="37"/>
      <c r="F3693" s="37"/>
      <c r="G3693" s="70"/>
    </row>
    <row r="3694" spans="2:7" x14ac:dyDescent="0.25">
      <c r="B3694" s="37"/>
      <c r="C3694" s="37"/>
      <c r="D3694" s="37"/>
      <c r="E3694" s="37"/>
      <c r="F3694" s="37"/>
      <c r="G3694" s="70"/>
    </row>
    <row r="3695" spans="2:7" x14ac:dyDescent="0.25">
      <c r="B3695" s="37"/>
      <c r="C3695" s="37"/>
      <c r="D3695" s="37"/>
      <c r="E3695" s="37"/>
      <c r="F3695" s="37"/>
      <c r="G3695" s="70"/>
    </row>
    <row r="3696" spans="2:7" x14ac:dyDescent="0.25">
      <c r="B3696" s="37"/>
      <c r="C3696" s="37"/>
      <c r="D3696" s="37"/>
      <c r="E3696" s="37"/>
      <c r="F3696" s="37"/>
      <c r="G3696" s="70"/>
    </row>
    <row r="3697" spans="2:7" x14ac:dyDescent="0.25">
      <c r="B3697" s="37"/>
      <c r="C3697" s="37"/>
      <c r="D3697" s="37"/>
      <c r="E3697" s="37"/>
      <c r="F3697" s="37"/>
      <c r="G3697" s="70"/>
    </row>
    <row r="3698" spans="2:7" x14ac:dyDescent="0.25">
      <c r="B3698" s="37"/>
      <c r="C3698" s="37"/>
      <c r="D3698" s="37"/>
      <c r="E3698" s="37"/>
      <c r="F3698" s="37"/>
      <c r="G3698" s="70"/>
    </row>
    <row r="3699" spans="2:7" x14ac:dyDescent="0.25">
      <c r="B3699" s="37"/>
      <c r="C3699" s="37"/>
      <c r="D3699" s="37"/>
      <c r="E3699" s="37"/>
      <c r="F3699" s="37"/>
      <c r="G3699" s="70"/>
    </row>
    <row r="3700" spans="2:7" x14ac:dyDescent="0.25">
      <c r="B3700" s="37"/>
      <c r="C3700" s="37"/>
      <c r="D3700" s="37"/>
      <c r="E3700" s="37"/>
      <c r="F3700" s="37"/>
      <c r="G3700" s="70"/>
    </row>
    <row r="3701" spans="2:7" x14ac:dyDescent="0.25">
      <c r="B3701" s="37"/>
      <c r="C3701" s="37"/>
      <c r="D3701" s="37"/>
      <c r="E3701" s="37"/>
      <c r="F3701" s="37"/>
      <c r="G3701" s="70"/>
    </row>
    <row r="3702" spans="2:7" x14ac:dyDescent="0.25">
      <c r="B3702" s="37"/>
      <c r="C3702" s="37"/>
      <c r="D3702" s="37"/>
      <c r="E3702" s="37"/>
      <c r="F3702" s="37"/>
      <c r="G3702" s="70"/>
    </row>
    <row r="3703" spans="2:7" x14ac:dyDescent="0.25">
      <c r="B3703" s="37"/>
      <c r="C3703" s="37"/>
      <c r="D3703" s="37"/>
      <c r="E3703" s="37"/>
      <c r="F3703" s="37"/>
      <c r="G3703" s="70"/>
    </row>
    <row r="3704" spans="2:7" x14ac:dyDescent="0.25">
      <c r="B3704" s="37"/>
      <c r="C3704" s="37"/>
      <c r="D3704" s="37"/>
      <c r="E3704" s="37"/>
      <c r="F3704" s="37"/>
      <c r="G3704" s="70"/>
    </row>
    <row r="3705" spans="2:7" x14ac:dyDescent="0.25">
      <c r="B3705" s="37"/>
      <c r="C3705" s="37"/>
      <c r="D3705" s="37"/>
      <c r="E3705" s="37"/>
      <c r="F3705" s="37"/>
      <c r="G3705" s="70"/>
    </row>
    <row r="3706" spans="2:7" x14ac:dyDescent="0.25">
      <c r="B3706" s="37"/>
      <c r="C3706" s="37"/>
      <c r="D3706" s="37"/>
      <c r="E3706" s="37"/>
      <c r="F3706" s="37"/>
      <c r="G3706" s="70"/>
    </row>
    <row r="3707" spans="2:7" x14ac:dyDescent="0.25">
      <c r="B3707" s="37"/>
      <c r="C3707" s="37"/>
      <c r="D3707" s="37"/>
      <c r="E3707" s="37"/>
      <c r="F3707" s="37"/>
      <c r="G3707" s="70"/>
    </row>
    <row r="3708" spans="2:7" x14ac:dyDescent="0.25">
      <c r="B3708" s="37"/>
      <c r="C3708" s="37"/>
      <c r="D3708" s="37"/>
      <c r="E3708" s="37"/>
      <c r="F3708" s="37"/>
      <c r="G3708" s="70"/>
    </row>
    <row r="3709" spans="2:7" x14ac:dyDescent="0.25">
      <c r="B3709" s="37"/>
      <c r="C3709" s="37"/>
      <c r="D3709" s="37"/>
      <c r="E3709" s="37"/>
      <c r="F3709" s="37"/>
      <c r="G3709" s="70"/>
    </row>
    <row r="3710" spans="2:7" x14ac:dyDescent="0.25">
      <c r="B3710" s="37"/>
      <c r="C3710" s="37"/>
      <c r="D3710" s="37"/>
      <c r="E3710" s="37"/>
      <c r="F3710" s="37"/>
      <c r="G3710" s="70"/>
    </row>
    <row r="3711" spans="2:7" x14ac:dyDescent="0.25">
      <c r="B3711" s="37"/>
      <c r="C3711" s="37"/>
      <c r="D3711" s="37"/>
      <c r="E3711" s="37"/>
      <c r="F3711" s="37"/>
      <c r="G3711" s="70"/>
    </row>
    <row r="3712" spans="2:7" x14ac:dyDescent="0.25">
      <c r="B3712" s="37"/>
      <c r="C3712" s="37"/>
      <c r="D3712" s="37"/>
      <c r="E3712" s="37"/>
      <c r="F3712" s="37"/>
      <c r="G3712" s="70"/>
    </row>
    <row r="3713" spans="2:7" x14ac:dyDescent="0.25">
      <c r="B3713" s="37"/>
      <c r="C3713" s="37"/>
      <c r="D3713" s="37"/>
      <c r="E3713" s="37"/>
      <c r="F3713" s="37"/>
      <c r="G3713" s="70"/>
    </row>
    <row r="3714" spans="2:7" x14ac:dyDescent="0.25">
      <c r="B3714" s="37"/>
      <c r="C3714" s="37"/>
      <c r="D3714" s="37"/>
      <c r="E3714" s="37"/>
      <c r="F3714" s="37"/>
      <c r="G3714" s="70"/>
    </row>
    <row r="3715" spans="2:7" x14ac:dyDescent="0.25">
      <c r="B3715" s="37"/>
      <c r="C3715" s="37"/>
      <c r="D3715" s="37"/>
      <c r="E3715" s="37"/>
      <c r="F3715" s="37"/>
      <c r="G3715" s="70"/>
    </row>
    <row r="3716" spans="2:7" x14ac:dyDescent="0.25">
      <c r="B3716" s="37"/>
      <c r="C3716" s="37"/>
      <c r="D3716" s="37"/>
      <c r="E3716" s="37"/>
      <c r="F3716" s="37"/>
      <c r="G3716" s="70"/>
    </row>
    <row r="3717" spans="2:7" x14ac:dyDescent="0.25">
      <c r="B3717" s="37"/>
      <c r="C3717" s="37"/>
      <c r="D3717" s="37"/>
      <c r="E3717" s="37"/>
      <c r="F3717" s="37"/>
      <c r="G3717" s="70"/>
    </row>
    <row r="3718" spans="2:7" x14ac:dyDescent="0.25">
      <c r="B3718" s="37"/>
      <c r="C3718" s="37"/>
      <c r="D3718" s="37"/>
      <c r="E3718" s="37"/>
      <c r="F3718" s="37"/>
      <c r="G3718" s="70"/>
    </row>
    <row r="3719" spans="2:7" x14ac:dyDescent="0.25">
      <c r="B3719" s="37"/>
      <c r="C3719" s="37"/>
      <c r="D3719" s="37"/>
      <c r="E3719" s="37"/>
      <c r="F3719" s="37"/>
      <c r="G3719" s="70"/>
    </row>
    <row r="3720" spans="2:7" x14ac:dyDescent="0.25">
      <c r="B3720" s="37"/>
      <c r="C3720" s="37"/>
      <c r="D3720" s="37"/>
      <c r="E3720" s="37"/>
      <c r="F3720" s="37"/>
      <c r="G3720" s="70"/>
    </row>
    <row r="3721" spans="2:7" x14ac:dyDescent="0.25">
      <c r="B3721" s="37"/>
      <c r="C3721" s="37"/>
      <c r="D3721" s="37"/>
      <c r="E3721" s="37"/>
      <c r="F3721" s="37"/>
      <c r="G3721" s="70"/>
    </row>
    <row r="3722" spans="2:7" x14ac:dyDescent="0.25">
      <c r="B3722" s="37"/>
      <c r="C3722" s="37"/>
      <c r="D3722" s="37"/>
      <c r="E3722" s="37"/>
      <c r="F3722" s="37"/>
      <c r="G3722" s="70"/>
    </row>
    <row r="3723" spans="2:7" x14ac:dyDescent="0.25">
      <c r="B3723" s="37"/>
      <c r="C3723" s="37"/>
      <c r="D3723" s="37"/>
      <c r="E3723" s="37"/>
      <c r="F3723" s="37"/>
      <c r="G3723" s="70"/>
    </row>
    <row r="3724" spans="2:7" x14ac:dyDescent="0.25">
      <c r="B3724" s="37"/>
      <c r="C3724" s="37"/>
      <c r="D3724" s="37"/>
      <c r="E3724" s="37"/>
      <c r="F3724" s="37"/>
      <c r="G3724" s="70"/>
    </row>
    <row r="3725" spans="2:7" x14ac:dyDescent="0.25">
      <c r="B3725" s="37"/>
      <c r="C3725" s="37"/>
      <c r="D3725" s="37"/>
      <c r="E3725" s="37"/>
      <c r="F3725" s="37"/>
      <c r="G3725" s="70"/>
    </row>
    <row r="3726" spans="2:7" x14ac:dyDescent="0.25">
      <c r="B3726" s="37"/>
      <c r="C3726" s="37"/>
      <c r="D3726" s="37"/>
      <c r="E3726" s="37"/>
      <c r="F3726" s="37"/>
      <c r="G3726" s="70"/>
    </row>
    <row r="3727" spans="2:7" x14ac:dyDescent="0.25">
      <c r="B3727" s="37"/>
      <c r="C3727" s="37"/>
      <c r="D3727" s="37"/>
      <c r="E3727" s="37"/>
      <c r="F3727" s="37"/>
      <c r="G3727" s="70"/>
    </row>
    <row r="3728" spans="2:7" x14ac:dyDescent="0.25">
      <c r="B3728" s="37"/>
      <c r="C3728" s="37"/>
      <c r="D3728" s="37"/>
      <c r="E3728" s="37"/>
      <c r="F3728" s="37"/>
      <c r="G3728" s="70"/>
    </row>
    <row r="3729" spans="2:7" x14ac:dyDescent="0.25">
      <c r="B3729" s="37"/>
      <c r="C3729" s="37"/>
      <c r="D3729" s="37"/>
      <c r="E3729" s="37"/>
      <c r="F3729" s="37"/>
      <c r="G3729" s="70"/>
    </row>
    <row r="3730" spans="2:7" x14ac:dyDescent="0.25">
      <c r="B3730" s="37"/>
      <c r="C3730" s="37"/>
      <c r="D3730" s="37"/>
      <c r="E3730" s="37"/>
      <c r="F3730" s="37"/>
      <c r="G3730" s="70"/>
    </row>
    <row r="3731" spans="2:7" x14ac:dyDescent="0.25">
      <c r="B3731" s="37"/>
      <c r="C3731" s="37"/>
      <c r="D3731" s="37"/>
      <c r="E3731" s="37"/>
      <c r="F3731" s="37"/>
      <c r="G3731" s="70"/>
    </row>
    <row r="3732" spans="2:7" x14ac:dyDescent="0.25">
      <c r="B3732" s="37"/>
      <c r="C3732" s="37"/>
      <c r="D3732" s="37"/>
      <c r="E3732" s="37"/>
      <c r="F3732" s="37"/>
      <c r="G3732" s="70"/>
    </row>
    <row r="3733" spans="2:7" x14ac:dyDescent="0.25">
      <c r="B3733" s="37"/>
      <c r="C3733" s="37"/>
      <c r="D3733" s="37"/>
      <c r="E3733" s="37"/>
      <c r="F3733" s="37"/>
      <c r="G3733" s="70"/>
    </row>
    <row r="3734" spans="2:7" x14ac:dyDescent="0.25">
      <c r="B3734" s="37"/>
      <c r="C3734" s="37"/>
      <c r="D3734" s="37"/>
      <c r="E3734" s="37"/>
      <c r="F3734" s="37"/>
      <c r="G3734" s="70"/>
    </row>
    <row r="3735" spans="2:7" x14ac:dyDescent="0.25">
      <c r="B3735" s="37"/>
      <c r="C3735" s="37"/>
      <c r="D3735" s="37"/>
      <c r="E3735" s="37"/>
      <c r="F3735" s="37"/>
      <c r="G3735" s="70"/>
    </row>
    <row r="3736" spans="2:7" x14ac:dyDescent="0.25">
      <c r="B3736" s="37"/>
      <c r="C3736" s="37"/>
      <c r="D3736" s="37"/>
      <c r="E3736" s="37"/>
      <c r="F3736" s="37"/>
      <c r="G3736" s="70"/>
    </row>
    <row r="3737" spans="2:7" x14ac:dyDescent="0.25">
      <c r="B3737" s="37"/>
      <c r="C3737" s="37"/>
      <c r="D3737" s="37"/>
      <c r="E3737" s="37"/>
      <c r="F3737" s="37"/>
      <c r="G3737" s="70"/>
    </row>
    <row r="3738" spans="2:7" x14ac:dyDescent="0.25">
      <c r="B3738" s="37"/>
      <c r="C3738" s="37"/>
      <c r="D3738" s="37"/>
      <c r="E3738" s="37"/>
      <c r="F3738" s="37"/>
      <c r="G3738" s="70"/>
    </row>
    <row r="3739" spans="2:7" x14ac:dyDescent="0.25">
      <c r="B3739" s="37"/>
      <c r="C3739" s="37"/>
      <c r="D3739" s="37"/>
      <c r="E3739" s="37"/>
      <c r="F3739" s="37"/>
      <c r="G3739" s="70"/>
    </row>
    <row r="3740" spans="2:7" x14ac:dyDescent="0.25">
      <c r="B3740" s="37"/>
      <c r="C3740" s="37"/>
      <c r="D3740" s="37"/>
      <c r="E3740" s="37"/>
      <c r="F3740" s="37"/>
      <c r="G3740" s="70"/>
    </row>
    <row r="3741" spans="2:7" x14ac:dyDescent="0.25">
      <c r="B3741" s="37"/>
      <c r="C3741" s="37"/>
      <c r="D3741" s="37"/>
      <c r="E3741" s="37"/>
      <c r="F3741" s="37"/>
      <c r="G3741" s="70"/>
    </row>
    <row r="3742" spans="2:7" x14ac:dyDescent="0.25">
      <c r="B3742" s="37"/>
      <c r="C3742" s="37"/>
      <c r="D3742" s="37"/>
      <c r="E3742" s="37"/>
      <c r="F3742" s="37"/>
      <c r="G3742" s="70"/>
    </row>
    <row r="3743" spans="2:7" x14ac:dyDescent="0.25">
      <c r="B3743" s="37"/>
      <c r="C3743" s="37"/>
      <c r="D3743" s="37"/>
      <c r="E3743" s="37"/>
      <c r="F3743" s="37"/>
      <c r="G3743" s="70"/>
    </row>
    <row r="3744" spans="2:7" x14ac:dyDescent="0.25">
      <c r="B3744" s="37"/>
      <c r="C3744" s="37"/>
      <c r="D3744" s="37"/>
      <c r="E3744" s="37"/>
      <c r="F3744" s="37"/>
      <c r="G3744" s="70"/>
    </row>
    <row r="3745" spans="2:7" x14ac:dyDescent="0.25">
      <c r="B3745" s="37"/>
      <c r="C3745" s="37"/>
      <c r="D3745" s="37"/>
      <c r="E3745" s="37"/>
      <c r="F3745" s="37"/>
      <c r="G3745" s="70"/>
    </row>
    <row r="3746" spans="2:7" x14ac:dyDescent="0.25">
      <c r="B3746" s="37"/>
      <c r="C3746" s="37"/>
      <c r="D3746" s="37"/>
      <c r="E3746" s="37"/>
      <c r="F3746" s="37"/>
      <c r="G3746" s="70"/>
    </row>
    <row r="3747" spans="2:7" x14ac:dyDescent="0.25">
      <c r="B3747" s="37"/>
      <c r="C3747" s="37"/>
      <c r="D3747" s="37"/>
      <c r="E3747" s="37"/>
      <c r="F3747" s="37"/>
      <c r="G3747" s="70"/>
    </row>
    <row r="3748" spans="2:7" x14ac:dyDescent="0.25">
      <c r="B3748" s="37"/>
      <c r="C3748" s="37"/>
      <c r="D3748" s="37"/>
      <c r="E3748" s="37"/>
      <c r="F3748" s="37"/>
      <c r="G3748" s="70"/>
    </row>
    <row r="3749" spans="2:7" x14ac:dyDescent="0.25">
      <c r="B3749" s="37"/>
      <c r="C3749" s="37"/>
      <c r="D3749" s="37"/>
      <c r="E3749" s="37"/>
      <c r="F3749" s="37"/>
      <c r="G3749" s="70"/>
    </row>
    <row r="3750" spans="2:7" x14ac:dyDescent="0.25">
      <c r="B3750" s="37"/>
      <c r="C3750" s="37"/>
      <c r="D3750" s="37"/>
      <c r="E3750" s="37"/>
      <c r="F3750" s="37"/>
      <c r="G3750" s="70"/>
    </row>
    <row r="3751" spans="2:7" x14ac:dyDescent="0.25">
      <c r="B3751" s="37"/>
      <c r="C3751" s="37"/>
      <c r="D3751" s="37"/>
      <c r="E3751" s="37"/>
      <c r="F3751" s="37"/>
      <c r="G3751" s="70"/>
    </row>
    <row r="3752" spans="2:7" x14ac:dyDescent="0.25">
      <c r="B3752" s="37"/>
      <c r="C3752" s="37"/>
      <c r="D3752" s="37"/>
      <c r="E3752" s="37"/>
      <c r="F3752" s="37"/>
      <c r="G3752" s="70"/>
    </row>
    <row r="3753" spans="2:7" x14ac:dyDescent="0.25">
      <c r="B3753" s="37"/>
      <c r="C3753" s="37"/>
      <c r="D3753" s="37"/>
      <c r="E3753" s="37"/>
      <c r="F3753" s="37"/>
      <c r="G3753" s="70"/>
    </row>
    <row r="3754" spans="2:7" x14ac:dyDescent="0.25">
      <c r="B3754" s="37"/>
      <c r="C3754" s="37"/>
      <c r="D3754" s="37"/>
      <c r="E3754" s="37"/>
      <c r="F3754" s="37"/>
      <c r="G3754" s="70"/>
    </row>
    <row r="3755" spans="2:7" x14ac:dyDescent="0.25">
      <c r="B3755" s="37"/>
      <c r="C3755" s="37"/>
      <c r="D3755" s="37"/>
      <c r="E3755" s="37"/>
      <c r="F3755" s="37"/>
      <c r="G3755" s="70"/>
    </row>
    <row r="3756" spans="2:7" x14ac:dyDescent="0.25">
      <c r="B3756" s="37"/>
      <c r="C3756" s="37"/>
      <c r="D3756" s="37"/>
      <c r="E3756" s="37"/>
      <c r="F3756" s="37"/>
      <c r="G3756" s="70"/>
    </row>
    <row r="3757" spans="2:7" x14ac:dyDescent="0.25">
      <c r="B3757" s="37"/>
      <c r="C3757" s="37"/>
      <c r="D3757" s="37"/>
      <c r="E3757" s="37"/>
      <c r="F3757" s="37"/>
      <c r="G3757" s="70"/>
    </row>
    <row r="3758" spans="2:7" x14ac:dyDescent="0.25">
      <c r="B3758" s="37"/>
      <c r="C3758" s="37"/>
      <c r="D3758" s="37"/>
      <c r="E3758" s="37"/>
      <c r="F3758" s="37"/>
      <c r="G3758" s="70"/>
    </row>
    <row r="3759" spans="2:7" x14ac:dyDescent="0.25">
      <c r="B3759" s="37"/>
      <c r="C3759" s="37"/>
      <c r="D3759" s="37"/>
      <c r="E3759" s="37"/>
      <c r="F3759" s="37"/>
      <c r="G3759" s="70"/>
    </row>
    <row r="3760" spans="2:7" x14ac:dyDescent="0.25">
      <c r="B3760" s="37"/>
      <c r="C3760" s="37"/>
      <c r="D3760" s="37"/>
      <c r="E3760" s="37"/>
      <c r="F3760" s="37"/>
      <c r="G3760" s="70"/>
    </row>
    <row r="3761" spans="2:7" x14ac:dyDescent="0.25">
      <c r="B3761" s="37"/>
      <c r="C3761" s="37"/>
      <c r="D3761" s="37"/>
      <c r="E3761" s="37"/>
      <c r="F3761" s="37"/>
      <c r="G3761" s="70"/>
    </row>
    <row r="3762" spans="2:7" x14ac:dyDescent="0.25">
      <c r="B3762" s="37"/>
      <c r="C3762" s="37"/>
      <c r="D3762" s="37"/>
      <c r="E3762" s="37"/>
      <c r="F3762" s="37"/>
      <c r="G3762" s="70"/>
    </row>
    <row r="3763" spans="2:7" x14ac:dyDescent="0.25">
      <c r="B3763" s="37"/>
      <c r="C3763" s="37"/>
      <c r="D3763" s="37"/>
      <c r="E3763" s="37"/>
      <c r="F3763" s="37"/>
      <c r="G3763" s="70"/>
    </row>
    <row r="3764" spans="2:7" x14ac:dyDescent="0.25">
      <c r="B3764" s="37"/>
      <c r="C3764" s="37"/>
      <c r="D3764" s="37"/>
      <c r="E3764" s="37"/>
      <c r="F3764" s="37"/>
      <c r="G3764" s="70"/>
    </row>
    <row r="3765" spans="2:7" x14ac:dyDescent="0.25">
      <c r="B3765" s="37"/>
      <c r="C3765" s="37"/>
      <c r="D3765" s="37"/>
      <c r="E3765" s="37"/>
      <c r="F3765" s="37"/>
      <c r="G3765" s="70"/>
    </row>
    <row r="3766" spans="2:7" x14ac:dyDescent="0.25">
      <c r="B3766" s="37"/>
      <c r="C3766" s="37"/>
      <c r="D3766" s="37"/>
      <c r="E3766" s="37"/>
      <c r="F3766" s="37"/>
      <c r="G3766" s="70"/>
    </row>
    <row r="3767" spans="2:7" x14ac:dyDescent="0.25">
      <c r="B3767" s="37"/>
      <c r="C3767" s="37"/>
      <c r="D3767" s="37"/>
      <c r="E3767" s="37"/>
      <c r="F3767" s="37"/>
      <c r="G3767" s="70"/>
    </row>
    <row r="3768" spans="2:7" x14ac:dyDescent="0.25">
      <c r="B3768" s="37"/>
      <c r="C3768" s="37"/>
      <c r="D3768" s="37"/>
      <c r="E3768" s="37"/>
      <c r="F3768" s="37"/>
      <c r="G3768" s="70"/>
    </row>
    <row r="3769" spans="2:7" x14ac:dyDescent="0.25">
      <c r="B3769" s="37"/>
      <c r="C3769" s="37"/>
      <c r="D3769" s="37"/>
      <c r="E3769" s="37"/>
      <c r="F3769" s="37"/>
      <c r="G3769" s="70"/>
    </row>
    <row r="3770" spans="2:7" x14ac:dyDescent="0.25">
      <c r="B3770" s="37"/>
      <c r="C3770" s="37"/>
      <c r="D3770" s="37"/>
      <c r="E3770" s="37"/>
      <c r="F3770" s="37"/>
      <c r="G3770" s="70"/>
    </row>
    <row r="3771" spans="2:7" x14ac:dyDescent="0.25">
      <c r="B3771" s="37"/>
      <c r="C3771" s="37"/>
      <c r="D3771" s="37"/>
      <c r="E3771" s="37"/>
      <c r="F3771" s="37"/>
      <c r="G3771" s="70"/>
    </row>
    <row r="3772" spans="2:7" x14ac:dyDescent="0.25">
      <c r="B3772" s="37"/>
      <c r="C3772" s="37"/>
      <c r="D3772" s="37"/>
      <c r="E3772" s="37"/>
      <c r="F3772" s="37"/>
      <c r="G3772" s="70"/>
    </row>
    <row r="3773" spans="2:7" x14ac:dyDescent="0.25">
      <c r="B3773" s="37"/>
      <c r="C3773" s="37"/>
      <c r="D3773" s="37"/>
      <c r="E3773" s="37"/>
      <c r="F3773" s="37"/>
      <c r="G3773" s="70"/>
    </row>
    <row r="3774" spans="2:7" x14ac:dyDescent="0.25">
      <c r="B3774" s="37"/>
      <c r="C3774" s="37"/>
      <c r="D3774" s="37"/>
      <c r="E3774" s="37"/>
      <c r="F3774" s="37"/>
      <c r="G3774" s="70"/>
    </row>
    <row r="3775" spans="2:7" x14ac:dyDescent="0.25">
      <c r="B3775" s="37"/>
      <c r="C3775" s="37"/>
      <c r="D3775" s="37"/>
      <c r="E3775" s="37"/>
      <c r="F3775" s="37"/>
      <c r="G3775" s="70"/>
    </row>
    <row r="3776" spans="2:7" x14ac:dyDescent="0.25">
      <c r="B3776" s="37"/>
      <c r="C3776" s="37"/>
      <c r="D3776" s="37"/>
      <c r="E3776" s="37"/>
      <c r="F3776" s="37"/>
      <c r="G3776" s="70"/>
    </row>
    <row r="3777" spans="2:7" x14ac:dyDescent="0.25">
      <c r="B3777" s="37"/>
      <c r="C3777" s="37"/>
      <c r="D3777" s="37"/>
      <c r="E3777" s="37"/>
      <c r="F3777" s="37"/>
      <c r="G3777" s="70"/>
    </row>
    <row r="3778" spans="2:7" x14ac:dyDescent="0.25">
      <c r="B3778" s="37"/>
      <c r="C3778" s="37"/>
      <c r="D3778" s="37"/>
      <c r="E3778" s="37"/>
      <c r="F3778" s="37"/>
      <c r="G3778" s="70"/>
    </row>
    <row r="3779" spans="2:7" x14ac:dyDescent="0.25">
      <c r="B3779" s="37"/>
      <c r="C3779" s="37"/>
      <c r="D3779" s="37"/>
      <c r="E3779" s="37"/>
      <c r="F3779" s="37"/>
      <c r="G3779" s="70"/>
    </row>
    <row r="3780" spans="2:7" x14ac:dyDescent="0.25">
      <c r="B3780" s="37"/>
      <c r="C3780" s="37"/>
      <c r="D3780" s="37"/>
      <c r="E3780" s="37"/>
      <c r="F3780" s="37"/>
      <c r="G3780" s="70"/>
    </row>
    <row r="3781" spans="2:7" x14ac:dyDescent="0.25">
      <c r="B3781" s="37"/>
      <c r="C3781" s="37"/>
      <c r="D3781" s="37"/>
      <c r="E3781" s="37"/>
      <c r="F3781" s="37"/>
      <c r="G3781" s="70"/>
    </row>
    <row r="3782" spans="2:7" x14ac:dyDescent="0.25">
      <c r="B3782" s="37"/>
      <c r="C3782" s="37"/>
      <c r="D3782" s="37"/>
      <c r="E3782" s="37"/>
      <c r="F3782" s="37"/>
      <c r="G3782" s="70"/>
    </row>
    <row r="3783" spans="2:7" x14ac:dyDescent="0.25">
      <c r="B3783" s="37"/>
      <c r="C3783" s="37"/>
      <c r="D3783" s="37"/>
      <c r="E3783" s="37"/>
      <c r="F3783" s="37"/>
      <c r="G3783" s="70"/>
    </row>
    <row r="3784" spans="2:7" x14ac:dyDescent="0.25">
      <c r="B3784" s="37"/>
      <c r="C3784" s="37"/>
      <c r="D3784" s="37"/>
      <c r="E3784" s="37"/>
      <c r="F3784" s="37"/>
      <c r="G3784" s="70"/>
    </row>
    <row r="3785" spans="2:7" x14ac:dyDescent="0.25">
      <c r="B3785" s="37"/>
      <c r="C3785" s="37"/>
      <c r="D3785" s="37"/>
      <c r="E3785" s="37"/>
      <c r="F3785" s="37"/>
      <c r="G3785" s="70"/>
    </row>
    <row r="3786" spans="2:7" x14ac:dyDescent="0.25">
      <c r="B3786" s="37"/>
      <c r="C3786" s="37"/>
      <c r="D3786" s="37"/>
      <c r="E3786" s="37"/>
      <c r="F3786" s="37"/>
      <c r="G3786" s="70"/>
    </row>
    <row r="3787" spans="2:7" x14ac:dyDescent="0.25">
      <c r="B3787" s="37"/>
      <c r="C3787" s="37"/>
      <c r="D3787" s="37"/>
      <c r="E3787" s="37"/>
      <c r="F3787" s="37"/>
      <c r="G3787" s="70"/>
    </row>
    <row r="3788" spans="2:7" x14ac:dyDescent="0.25">
      <c r="B3788" s="37"/>
      <c r="C3788" s="37"/>
      <c r="D3788" s="37"/>
      <c r="E3788" s="37"/>
      <c r="F3788" s="37"/>
      <c r="G3788" s="70"/>
    </row>
    <row r="3789" spans="2:7" x14ac:dyDescent="0.25">
      <c r="B3789" s="37"/>
      <c r="C3789" s="37"/>
      <c r="D3789" s="37"/>
      <c r="E3789" s="37"/>
      <c r="F3789" s="37"/>
      <c r="G3789" s="70"/>
    </row>
    <row r="3790" spans="2:7" x14ac:dyDescent="0.25">
      <c r="B3790" s="37"/>
      <c r="C3790" s="37"/>
      <c r="D3790" s="37"/>
      <c r="E3790" s="37"/>
      <c r="F3790" s="37"/>
      <c r="G3790" s="70"/>
    </row>
    <row r="3791" spans="2:7" x14ac:dyDescent="0.25">
      <c r="B3791" s="37"/>
      <c r="C3791" s="37"/>
      <c r="D3791" s="37"/>
      <c r="E3791" s="37"/>
      <c r="F3791" s="37"/>
      <c r="G3791" s="70"/>
    </row>
    <row r="3792" spans="2:7" x14ac:dyDescent="0.25">
      <c r="B3792" s="37"/>
      <c r="C3792" s="37"/>
      <c r="D3792" s="37"/>
      <c r="E3792" s="37"/>
      <c r="F3792" s="37"/>
      <c r="G3792" s="70"/>
    </row>
    <row r="3793" spans="2:7" x14ac:dyDescent="0.25">
      <c r="B3793" s="37"/>
      <c r="C3793" s="37"/>
      <c r="D3793" s="37"/>
      <c r="E3793" s="37"/>
      <c r="F3793" s="37"/>
      <c r="G3793" s="70"/>
    </row>
    <row r="3794" spans="2:7" x14ac:dyDescent="0.25">
      <c r="B3794" s="37"/>
      <c r="C3794" s="37"/>
      <c r="D3794" s="37"/>
      <c r="E3794" s="37"/>
      <c r="F3794" s="37"/>
      <c r="G3794" s="70"/>
    </row>
    <row r="3795" spans="2:7" x14ac:dyDescent="0.25">
      <c r="B3795" s="37"/>
      <c r="C3795" s="37"/>
      <c r="D3795" s="37"/>
      <c r="E3795" s="37"/>
      <c r="F3795" s="37"/>
      <c r="G3795" s="70"/>
    </row>
    <row r="3796" spans="2:7" x14ac:dyDescent="0.25">
      <c r="B3796" s="37"/>
      <c r="C3796" s="37"/>
      <c r="D3796" s="37"/>
      <c r="E3796" s="37"/>
      <c r="F3796" s="37"/>
      <c r="G3796" s="70"/>
    </row>
    <row r="3797" spans="2:7" x14ac:dyDescent="0.25">
      <c r="B3797" s="37"/>
      <c r="C3797" s="37"/>
      <c r="D3797" s="37"/>
      <c r="E3797" s="37"/>
      <c r="F3797" s="37"/>
      <c r="G3797" s="70"/>
    </row>
    <row r="3798" spans="2:7" x14ac:dyDescent="0.25">
      <c r="B3798" s="37"/>
      <c r="C3798" s="37"/>
      <c r="D3798" s="37"/>
      <c r="E3798" s="37"/>
      <c r="F3798" s="37"/>
      <c r="G3798" s="70"/>
    </row>
    <row r="3799" spans="2:7" x14ac:dyDescent="0.25">
      <c r="B3799" s="37"/>
      <c r="C3799" s="37"/>
      <c r="D3799" s="37"/>
      <c r="E3799" s="37"/>
      <c r="F3799" s="37"/>
      <c r="G3799" s="70"/>
    </row>
    <row r="3800" spans="2:7" x14ac:dyDescent="0.25">
      <c r="B3800" s="37"/>
      <c r="C3800" s="37"/>
      <c r="D3800" s="37"/>
      <c r="E3800" s="37"/>
      <c r="F3800" s="37"/>
      <c r="G3800" s="70"/>
    </row>
    <row r="3801" spans="2:7" x14ac:dyDescent="0.25">
      <c r="B3801" s="37"/>
      <c r="C3801" s="37"/>
      <c r="D3801" s="37"/>
      <c r="E3801" s="37"/>
      <c r="F3801" s="37"/>
      <c r="G3801" s="70"/>
    </row>
    <row r="3802" spans="2:7" x14ac:dyDescent="0.25">
      <c r="B3802" s="37"/>
      <c r="C3802" s="37"/>
      <c r="D3802" s="37"/>
      <c r="E3802" s="37"/>
      <c r="F3802" s="37"/>
      <c r="G3802" s="70"/>
    </row>
    <row r="3803" spans="2:7" x14ac:dyDescent="0.25">
      <c r="B3803" s="37"/>
      <c r="C3803" s="37"/>
      <c r="D3803" s="37"/>
      <c r="E3803" s="37"/>
      <c r="F3803" s="37"/>
      <c r="G3803" s="70"/>
    </row>
    <row r="3804" spans="2:7" x14ac:dyDescent="0.25">
      <c r="B3804" s="37"/>
      <c r="C3804" s="37"/>
      <c r="D3804" s="37"/>
      <c r="E3804" s="37"/>
      <c r="F3804" s="37"/>
      <c r="G3804" s="70"/>
    </row>
    <row r="3805" spans="2:7" x14ac:dyDescent="0.25">
      <c r="B3805" s="37"/>
      <c r="C3805" s="37"/>
      <c r="D3805" s="37"/>
      <c r="E3805" s="37"/>
      <c r="F3805" s="37"/>
      <c r="G3805" s="70"/>
    </row>
    <row r="3806" spans="2:7" x14ac:dyDescent="0.25">
      <c r="B3806" s="37"/>
      <c r="C3806" s="37"/>
      <c r="D3806" s="37"/>
      <c r="E3806" s="37"/>
      <c r="F3806" s="37"/>
      <c r="G3806" s="70"/>
    </row>
    <row r="3807" spans="2:7" x14ac:dyDescent="0.25">
      <c r="B3807" s="37"/>
      <c r="C3807" s="37"/>
      <c r="D3807" s="37"/>
      <c r="E3807" s="37"/>
      <c r="F3807" s="37"/>
      <c r="G3807" s="70"/>
    </row>
    <row r="3808" spans="2:7" x14ac:dyDescent="0.25">
      <c r="B3808" s="37"/>
      <c r="C3808" s="37"/>
      <c r="D3808" s="37"/>
      <c r="E3808" s="37"/>
      <c r="F3808" s="37"/>
      <c r="G3808" s="70"/>
    </row>
    <row r="3809" spans="2:7" x14ac:dyDescent="0.25">
      <c r="B3809" s="37"/>
      <c r="C3809" s="37"/>
      <c r="D3809" s="37"/>
      <c r="E3809" s="37"/>
      <c r="F3809" s="37"/>
      <c r="G3809" s="70"/>
    </row>
    <row r="3810" spans="2:7" x14ac:dyDescent="0.25">
      <c r="B3810" s="37"/>
      <c r="C3810" s="37"/>
      <c r="D3810" s="37"/>
      <c r="E3810" s="37"/>
      <c r="F3810" s="37"/>
      <c r="G3810" s="70"/>
    </row>
    <row r="3811" spans="2:7" x14ac:dyDescent="0.25">
      <c r="B3811" s="37"/>
      <c r="C3811" s="37"/>
      <c r="D3811" s="37"/>
      <c r="E3811" s="37"/>
      <c r="F3811" s="37"/>
      <c r="G3811" s="70"/>
    </row>
    <row r="3812" spans="2:7" x14ac:dyDescent="0.25">
      <c r="B3812" s="37"/>
      <c r="C3812" s="37"/>
      <c r="D3812" s="37"/>
      <c r="E3812" s="37"/>
      <c r="F3812" s="37"/>
      <c r="G3812" s="70"/>
    </row>
    <row r="3813" spans="2:7" x14ac:dyDescent="0.25">
      <c r="B3813" s="37"/>
      <c r="C3813" s="37"/>
      <c r="D3813" s="37"/>
      <c r="E3813" s="37"/>
      <c r="F3813" s="37"/>
      <c r="G3813" s="70"/>
    </row>
    <row r="3814" spans="2:7" x14ac:dyDescent="0.25">
      <c r="B3814" s="37"/>
      <c r="C3814" s="37"/>
      <c r="D3814" s="37"/>
      <c r="E3814" s="37"/>
      <c r="F3814" s="37"/>
      <c r="G3814" s="70"/>
    </row>
    <row r="3815" spans="2:7" x14ac:dyDescent="0.25">
      <c r="B3815" s="37"/>
      <c r="C3815" s="37"/>
      <c r="D3815" s="37"/>
      <c r="E3815" s="37"/>
      <c r="F3815" s="37"/>
      <c r="G3815" s="70"/>
    </row>
    <row r="3816" spans="2:7" x14ac:dyDescent="0.25">
      <c r="B3816" s="37"/>
      <c r="C3816" s="37"/>
      <c r="D3816" s="37"/>
      <c r="E3816" s="37"/>
      <c r="F3816" s="37"/>
      <c r="G3816" s="70"/>
    </row>
    <row r="3817" spans="2:7" x14ac:dyDescent="0.25">
      <c r="B3817" s="37"/>
      <c r="C3817" s="37"/>
      <c r="D3817" s="37"/>
      <c r="E3817" s="37"/>
      <c r="F3817" s="37"/>
      <c r="G3817" s="70"/>
    </row>
    <row r="3818" spans="2:7" x14ac:dyDescent="0.25">
      <c r="B3818" s="37"/>
      <c r="C3818" s="37"/>
      <c r="D3818" s="37"/>
      <c r="E3818" s="37"/>
      <c r="F3818" s="37"/>
      <c r="G3818" s="70"/>
    </row>
    <row r="3819" spans="2:7" x14ac:dyDescent="0.25">
      <c r="B3819" s="37"/>
      <c r="C3819" s="37"/>
      <c r="D3819" s="37"/>
      <c r="E3819" s="37"/>
      <c r="F3819" s="37"/>
      <c r="G3819" s="70"/>
    </row>
    <row r="3820" spans="2:7" x14ac:dyDescent="0.25">
      <c r="B3820" s="37"/>
      <c r="C3820" s="37"/>
      <c r="D3820" s="37"/>
      <c r="E3820" s="37"/>
      <c r="F3820" s="37"/>
      <c r="G3820" s="70"/>
    </row>
    <row r="3821" spans="2:7" x14ac:dyDescent="0.25">
      <c r="B3821" s="37"/>
      <c r="C3821" s="37"/>
      <c r="D3821" s="37"/>
      <c r="E3821" s="37"/>
      <c r="F3821" s="37"/>
      <c r="G3821" s="70"/>
    </row>
    <row r="3822" spans="2:7" x14ac:dyDescent="0.25">
      <c r="B3822" s="37"/>
      <c r="C3822" s="37"/>
      <c r="D3822" s="37"/>
      <c r="E3822" s="37"/>
      <c r="F3822" s="37"/>
      <c r="G3822" s="70"/>
    </row>
    <row r="3823" spans="2:7" x14ac:dyDescent="0.25">
      <c r="B3823" s="37"/>
      <c r="C3823" s="37"/>
      <c r="D3823" s="37"/>
      <c r="E3823" s="37"/>
      <c r="F3823" s="37"/>
      <c r="G3823" s="70"/>
    </row>
    <row r="3824" spans="2:7" x14ac:dyDescent="0.25">
      <c r="B3824" s="37"/>
      <c r="C3824" s="37"/>
      <c r="D3824" s="37"/>
      <c r="E3824" s="37"/>
      <c r="F3824" s="37"/>
      <c r="G3824" s="70"/>
    </row>
    <row r="3825" spans="2:7" x14ac:dyDescent="0.25">
      <c r="B3825" s="37"/>
      <c r="C3825" s="37"/>
      <c r="D3825" s="37"/>
      <c r="E3825" s="37"/>
      <c r="F3825" s="37"/>
      <c r="G3825" s="70"/>
    </row>
    <row r="3826" spans="2:7" x14ac:dyDescent="0.25">
      <c r="B3826" s="37"/>
      <c r="C3826" s="37"/>
      <c r="D3826" s="37"/>
      <c r="E3826" s="37"/>
      <c r="F3826" s="37"/>
      <c r="G3826" s="70"/>
    </row>
    <row r="3827" spans="2:7" x14ac:dyDescent="0.25">
      <c r="B3827" s="37"/>
      <c r="C3827" s="37"/>
      <c r="D3827" s="37"/>
      <c r="E3827" s="37"/>
      <c r="F3827" s="37"/>
      <c r="G3827" s="70"/>
    </row>
    <row r="3828" spans="2:7" x14ac:dyDescent="0.25">
      <c r="B3828" s="37"/>
      <c r="C3828" s="37"/>
      <c r="D3828" s="37"/>
      <c r="E3828" s="37"/>
      <c r="F3828" s="37"/>
      <c r="G3828" s="70"/>
    </row>
    <row r="3829" spans="2:7" x14ac:dyDescent="0.25">
      <c r="B3829" s="37"/>
      <c r="C3829" s="37"/>
      <c r="D3829" s="37"/>
      <c r="E3829" s="37"/>
      <c r="F3829" s="37"/>
      <c r="G3829" s="70"/>
    </row>
    <row r="3830" spans="2:7" x14ac:dyDescent="0.25">
      <c r="B3830" s="37"/>
      <c r="C3830" s="37"/>
      <c r="D3830" s="37"/>
      <c r="E3830" s="37"/>
      <c r="F3830" s="37"/>
      <c r="G3830" s="70"/>
    </row>
    <row r="3831" spans="2:7" x14ac:dyDescent="0.25">
      <c r="B3831" s="37"/>
      <c r="C3831" s="37"/>
      <c r="D3831" s="37"/>
      <c r="E3831" s="37"/>
      <c r="F3831" s="37"/>
      <c r="G3831" s="70"/>
    </row>
    <row r="3832" spans="2:7" x14ac:dyDescent="0.25">
      <c r="B3832" s="37"/>
      <c r="C3832" s="37"/>
      <c r="D3832" s="37"/>
      <c r="E3832" s="37"/>
      <c r="F3832" s="37"/>
      <c r="G3832" s="70"/>
    </row>
    <row r="3833" spans="2:7" x14ac:dyDescent="0.25">
      <c r="B3833" s="37"/>
      <c r="C3833" s="37"/>
      <c r="D3833" s="37"/>
      <c r="E3833" s="37"/>
      <c r="F3833" s="37"/>
      <c r="G3833" s="70"/>
    </row>
    <row r="3834" spans="2:7" x14ac:dyDescent="0.25">
      <c r="B3834" s="37"/>
      <c r="C3834" s="37"/>
      <c r="D3834" s="37"/>
      <c r="E3834" s="37"/>
      <c r="F3834" s="37"/>
      <c r="G3834" s="70"/>
    </row>
    <row r="3835" spans="2:7" x14ac:dyDescent="0.25">
      <c r="B3835" s="37"/>
      <c r="C3835" s="37"/>
      <c r="D3835" s="37"/>
      <c r="E3835" s="37"/>
      <c r="F3835" s="37"/>
      <c r="G3835" s="70"/>
    </row>
    <row r="3836" spans="2:7" x14ac:dyDescent="0.25">
      <c r="B3836" s="37"/>
      <c r="C3836" s="37"/>
      <c r="D3836" s="37"/>
      <c r="E3836" s="37"/>
      <c r="F3836" s="37"/>
      <c r="G3836" s="70"/>
    </row>
    <row r="3837" spans="2:7" x14ac:dyDescent="0.25">
      <c r="B3837" s="37"/>
      <c r="C3837" s="37"/>
      <c r="D3837" s="37"/>
      <c r="E3837" s="37"/>
      <c r="F3837" s="37"/>
      <c r="G3837" s="70"/>
    </row>
    <row r="3838" spans="2:7" x14ac:dyDescent="0.25">
      <c r="B3838" s="37"/>
      <c r="C3838" s="37"/>
      <c r="D3838" s="37"/>
      <c r="E3838" s="37"/>
      <c r="F3838" s="37"/>
      <c r="G3838" s="70"/>
    </row>
    <row r="3839" spans="2:7" x14ac:dyDescent="0.25">
      <c r="B3839" s="37"/>
      <c r="C3839" s="37"/>
      <c r="D3839" s="37"/>
      <c r="E3839" s="37"/>
      <c r="F3839" s="37"/>
      <c r="G3839" s="70"/>
    </row>
    <row r="3840" spans="2:7" x14ac:dyDescent="0.25">
      <c r="B3840" s="37"/>
      <c r="C3840" s="37"/>
      <c r="D3840" s="37"/>
      <c r="E3840" s="37"/>
      <c r="F3840" s="37"/>
      <c r="G3840" s="70"/>
    </row>
    <row r="3841" spans="2:7" x14ac:dyDescent="0.25">
      <c r="B3841" s="37"/>
      <c r="C3841" s="37"/>
      <c r="D3841" s="37"/>
      <c r="E3841" s="37"/>
      <c r="F3841" s="37"/>
      <c r="G3841" s="70"/>
    </row>
    <row r="3842" spans="2:7" x14ac:dyDescent="0.25">
      <c r="B3842" s="37"/>
      <c r="C3842" s="37"/>
      <c r="D3842" s="37"/>
      <c r="E3842" s="37"/>
      <c r="F3842" s="37"/>
      <c r="G3842" s="70"/>
    </row>
    <row r="3843" spans="2:7" x14ac:dyDescent="0.25">
      <c r="B3843" s="37"/>
      <c r="C3843" s="37"/>
      <c r="D3843" s="37"/>
      <c r="E3843" s="37"/>
      <c r="F3843" s="37"/>
      <c r="G3843" s="70"/>
    </row>
    <row r="3844" spans="2:7" x14ac:dyDescent="0.25">
      <c r="B3844" s="37"/>
      <c r="C3844" s="37"/>
      <c r="D3844" s="37"/>
      <c r="E3844" s="37"/>
      <c r="F3844" s="37"/>
      <c r="G3844" s="70"/>
    </row>
    <row r="3845" spans="2:7" x14ac:dyDescent="0.25">
      <c r="B3845" s="37"/>
      <c r="C3845" s="37"/>
      <c r="D3845" s="37"/>
      <c r="E3845" s="37"/>
      <c r="F3845" s="37"/>
      <c r="G3845" s="70"/>
    </row>
    <row r="3846" spans="2:7" x14ac:dyDescent="0.25">
      <c r="B3846" s="37"/>
      <c r="C3846" s="37"/>
      <c r="D3846" s="37"/>
      <c r="E3846" s="37"/>
      <c r="F3846" s="37"/>
      <c r="G3846" s="70"/>
    </row>
    <row r="3847" spans="2:7" x14ac:dyDescent="0.25">
      <c r="B3847" s="37"/>
      <c r="C3847" s="37"/>
      <c r="D3847" s="37"/>
      <c r="E3847" s="37"/>
      <c r="F3847" s="37"/>
      <c r="G3847" s="70"/>
    </row>
    <row r="3848" spans="2:7" x14ac:dyDescent="0.25">
      <c r="B3848" s="37"/>
      <c r="C3848" s="37"/>
      <c r="D3848" s="37"/>
      <c r="E3848" s="37"/>
      <c r="F3848" s="37"/>
      <c r="G3848" s="70"/>
    </row>
    <row r="3849" spans="2:7" x14ac:dyDescent="0.25">
      <c r="B3849" s="37"/>
      <c r="C3849" s="37"/>
      <c r="D3849" s="37"/>
      <c r="E3849" s="37"/>
      <c r="F3849" s="37"/>
      <c r="G3849" s="70"/>
    </row>
    <row r="3850" spans="2:7" x14ac:dyDescent="0.25">
      <c r="B3850" s="37"/>
      <c r="C3850" s="37"/>
      <c r="D3850" s="37"/>
      <c r="E3850" s="37"/>
      <c r="F3850" s="37"/>
      <c r="G3850" s="70"/>
    </row>
    <row r="3851" spans="2:7" x14ac:dyDescent="0.25">
      <c r="B3851" s="37"/>
      <c r="C3851" s="37"/>
      <c r="D3851" s="37"/>
      <c r="E3851" s="37"/>
      <c r="F3851" s="37"/>
      <c r="G3851" s="70"/>
    </row>
    <row r="3852" spans="2:7" x14ac:dyDescent="0.25">
      <c r="B3852" s="37"/>
      <c r="C3852" s="37"/>
      <c r="D3852" s="37"/>
      <c r="E3852" s="37"/>
      <c r="F3852" s="37"/>
      <c r="G3852" s="70"/>
    </row>
    <row r="3853" spans="2:7" x14ac:dyDescent="0.25">
      <c r="B3853" s="37"/>
      <c r="C3853" s="37"/>
      <c r="D3853" s="37"/>
      <c r="E3853" s="37"/>
      <c r="F3853" s="37"/>
      <c r="G3853" s="70"/>
    </row>
    <row r="3854" spans="2:7" x14ac:dyDescent="0.25">
      <c r="B3854" s="37"/>
      <c r="C3854" s="37"/>
      <c r="D3854" s="37"/>
      <c r="E3854" s="37"/>
      <c r="F3854" s="37"/>
      <c r="G3854" s="70"/>
    </row>
    <row r="3855" spans="2:7" x14ac:dyDescent="0.25">
      <c r="B3855" s="37"/>
      <c r="C3855" s="37"/>
      <c r="D3855" s="37"/>
      <c r="E3855" s="37"/>
      <c r="F3855" s="37"/>
      <c r="G3855" s="70"/>
    </row>
    <row r="3856" spans="2:7" x14ac:dyDescent="0.25">
      <c r="B3856" s="37"/>
      <c r="C3856" s="37"/>
      <c r="D3856" s="37"/>
      <c r="E3856" s="37"/>
      <c r="F3856" s="37"/>
      <c r="G3856" s="70"/>
    </row>
    <row r="3857" spans="2:7" x14ac:dyDescent="0.25">
      <c r="B3857" s="37"/>
      <c r="C3857" s="37"/>
      <c r="D3857" s="37"/>
      <c r="E3857" s="37"/>
      <c r="F3857" s="37"/>
      <c r="G3857" s="70"/>
    </row>
    <row r="3858" spans="2:7" x14ac:dyDescent="0.25">
      <c r="B3858" s="37"/>
      <c r="C3858" s="37"/>
      <c r="D3858" s="37"/>
      <c r="E3858" s="37"/>
      <c r="F3858" s="37"/>
      <c r="G3858" s="70"/>
    </row>
    <row r="3859" spans="2:7" x14ac:dyDescent="0.25">
      <c r="B3859" s="37"/>
      <c r="C3859" s="37"/>
      <c r="D3859" s="37"/>
      <c r="E3859" s="37"/>
      <c r="F3859" s="37"/>
      <c r="G3859" s="70"/>
    </row>
    <row r="3860" spans="2:7" x14ac:dyDescent="0.25">
      <c r="B3860" s="37"/>
      <c r="C3860" s="37"/>
      <c r="D3860" s="37"/>
      <c r="E3860" s="37"/>
      <c r="F3860" s="37"/>
      <c r="G3860" s="70"/>
    </row>
    <row r="3861" spans="2:7" x14ac:dyDescent="0.25">
      <c r="B3861" s="37"/>
      <c r="C3861" s="37"/>
      <c r="D3861" s="37"/>
      <c r="E3861" s="37"/>
      <c r="F3861" s="37"/>
      <c r="G3861" s="70"/>
    </row>
    <row r="3862" spans="2:7" x14ac:dyDescent="0.25">
      <c r="B3862" s="37"/>
      <c r="C3862" s="37"/>
      <c r="D3862" s="37"/>
      <c r="E3862" s="37"/>
      <c r="F3862" s="37"/>
      <c r="G3862" s="70"/>
    </row>
    <row r="3863" spans="2:7" x14ac:dyDescent="0.25">
      <c r="B3863" s="37"/>
      <c r="C3863" s="37"/>
      <c r="D3863" s="37"/>
      <c r="E3863" s="37"/>
      <c r="F3863" s="37"/>
      <c r="G3863" s="70"/>
    </row>
    <row r="3864" spans="2:7" x14ac:dyDescent="0.25">
      <c r="B3864" s="37"/>
      <c r="C3864" s="37"/>
      <c r="D3864" s="37"/>
      <c r="E3864" s="37"/>
      <c r="F3864" s="37"/>
      <c r="G3864" s="70"/>
    </row>
    <row r="3865" spans="2:7" x14ac:dyDescent="0.25">
      <c r="B3865" s="37"/>
      <c r="C3865" s="37"/>
      <c r="D3865" s="37"/>
      <c r="E3865" s="37"/>
      <c r="F3865" s="37"/>
      <c r="G3865" s="70"/>
    </row>
    <row r="3866" spans="2:7" x14ac:dyDescent="0.25">
      <c r="B3866" s="37"/>
      <c r="C3866" s="37"/>
      <c r="D3866" s="37"/>
      <c r="E3866" s="37"/>
      <c r="F3866" s="37"/>
      <c r="G3866" s="70"/>
    </row>
    <row r="3867" spans="2:7" x14ac:dyDescent="0.25">
      <c r="B3867" s="37"/>
      <c r="C3867" s="37"/>
      <c r="D3867" s="37"/>
      <c r="E3867" s="37"/>
      <c r="F3867" s="37"/>
      <c r="G3867" s="70"/>
    </row>
    <row r="3868" spans="2:7" x14ac:dyDescent="0.25">
      <c r="B3868" s="37"/>
      <c r="C3868" s="37"/>
      <c r="D3868" s="37"/>
      <c r="E3868" s="37"/>
      <c r="F3868" s="37"/>
      <c r="G3868" s="70"/>
    </row>
    <row r="3869" spans="2:7" x14ac:dyDescent="0.25">
      <c r="B3869" s="37"/>
      <c r="C3869" s="37"/>
      <c r="D3869" s="37"/>
      <c r="E3869" s="37"/>
      <c r="F3869" s="37"/>
      <c r="G3869" s="70"/>
    </row>
    <row r="3870" spans="2:7" x14ac:dyDescent="0.25">
      <c r="B3870" s="37"/>
      <c r="C3870" s="37"/>
      <c r="D3870" s="37"/>
      <c r="E3870" s="37"/>
      <c r="F3870" s="37"/>
      <c r="G3870" s="70"/>
    </row>
    <row r="3871" spans="2:7" x14ac:dyDescent="0.25">
      <c r="B3871" s="37"/>
      <c r="C3871" s="37"/>
      <c r="D3871" s="37"/>
      <c r="E3871" s="37"/>
      <c r="F3871" s="37"/>
      <c r="G3871" s="70"/>
    </row>
    <row r="3872" spans="2:7" x14ac:dyDescent="0.25">
      <c r="B3872" s="37"/>
      <c r="C3872" s="37"/>
      <c r="D3872" s="37"/>
      <c r="E3872" s="37"/>
      <c r="F3872" s="37"/>
      <c r="G3872" s="70"/>
    </row>
    <row r="3873" spans="2:7" x14ac:dyDescent="0.25">
      <c r="B3873" s="37"/>
      <c r="C3873" s="37"/>
      <c r="D3873" s="37"/>
      <c r="E3873" s="37"/>
      <c r="F3873" s="37"/>
      <c r="G3873" s="70"/>
    </row>
    <row r="3874" spans="2:7" x14ac:dyDescent="0.25">
      <c r="B3874" s="37"/>
      <c r="C3874" s="37"/>
      <c r="D3874" s="37"/>
      <c r="E3874" s="37"/>
      <c r="F3874" s="37"/>
      <c r="G3874" s="70"/>
    </row>
    <row r="3875" spans="2:7" x14ac:dyDescent="0.25">
      <c r="B3875" s="37"/>
      <c r="C3875" s="37"/>
      <c r="D3875" s="37"/>
      <c r="E3875" s="37"/>
      <c r="F3875" s="37"/>
      <c r="G3875" s="70"/>
    </row>
    <row r="3876" spans="2:7" x14ac:dyDescent="0.25">
      <c r="B3876" s="37"/>
      <c r="C3876" s="37"/>
      <c r="D3876" s="37"/>
      <c r="E3876" s="37"/>
      <c r="F3876" s="37"/>
      <c r="G3876" s="70"/>
    </row>
    <row r="3877" spans="2:7" x14ac:dyDescent="0.25">
      <c r="B3877" s="37"/>
      <c r="C3877" s="37"/>
      <c r="D3877" s="37"/>
      <c r="E3877" s="37"/>
      <c r="F3877" s="37"/>
      <c r="G3877" s="70"/>
    </row>
    <row r="3878" spans="2:7" x14ac:dyDescent="0.25">
      <c r="B3878" s="37"/>
      <c r="C3878" s="37"/>
      <c r="D3878" s="37"/>
      <c r="E3878" s="37"/>
      <c r="F3878" s="37"/>
      <c r="G3878" s="70"/>
    </row>
    <row r="3879" spans="2:7" x14ac:dyDescent="0.25">
      <c r="B3879" s="37"/>
      <c r="C3879" s="37"/>
      <c r="D3879" s="37"/>
      <c r="E3879" s="37"/>
      <c r="F3879" s="37"/>
      <c r="G3879" s="70"/>
    </row>
    <row r="3880" spans="2:7" x14ac:dyDescent="0.25">
      <c r="B3880" s="37"/>
      <c r="C3880" s="37"/>
      <c r="D3880" s="37"/>
      <c r="E3880" s="37"/>
      <c r="F3880" s="37"/>
      <c r="G3880" s="70"/>
    </row>
    <row r="3881" spans="2:7" x14ac:dyDescent="0.25">
      <c r="B3881" s="37"/>
      <c r="C3881" s="37"/>
      <c r="D3881" s="37"/>
      <c r="E3881" s="37"/>
      <c r="F3881" s="37"/>
      <c r="G3881" s="70"/>
    </row>
    <row r="3882" spans="2:7" x14ac:dyDescent="0.25">
      <c r="B3882" s="37"/>
      <c r="C3882" s="37"/>
      <c r="D3882" s="37"/>
      <c r="E3882" s="37"/>
      <c r="F3882" s="37"/>
      <c r="G3882" s="70"/>
    </row>
    <row r="3883" spans="2:7" x14ac:dyDescent="0.25">
      <c r="B3883" s="37"/>
      <c r="C3883" s="37"/>
      <c r="D3883" s="37"/>
      <c r="E3883" s="37"/>
      <c r="F3883" s="37"/>
      <c r="G3883" s="70"/>
    </row>
    <row r="3884" spans="2:7" x14ac:dyDescent="0.25">
      <c r="B3884" s="37"/>
      <c r="C3884" s="37"/>
      <c r="D3884" s="37"/>
      <c r="E3884" s="37"/>
      <c r="F3884" s="37"/>
      <c r="G3884" s="70"/>
    </row>
    <row r="3885" spans="2:7" x14ac:dyDescent="0.25">
      <c r="B3885" s="37"/>
      <c r="C3885" s="37"/>
      <c r="D3885" s="37"/>
      <c r="E3885" s="37"/>
      <c r="F3885" s="37"/>
      <c r="G3885" s="70"/>
    </row>
    <row r="3886" spans="2:7" x14ac:dyDescent="0.25">
      <c r="B3886" s="37"/>
      <c r="C3886" s="37"/>
      <c r="D3886" s="37"/>
      <c r="E3886" s="37"/>
      <c r="F3886" s="37"/>
      <c r="G3886" s="70"/>
    </row>
    <row r="3887" spans="2:7" x14ac:dyDescent="0.25">
      <c r="B3887" s="37"/>
      <c r="C3887" s="37"/>
      <c r="D3887" s="37"/>
      <c r="E3887" s="37"/>
      <c r="F3887" s="37"/>
      <c r="G3887" s="70"/>
    </row>
    <row r="3888" spans="2:7" x14ac:dyDescent="0.25">
      <c r="B3888" s="37"/>
      <c r="C3888" s="37"/>
      <c r="D3888" s="37"/>
      <c r="E3888" s="37"/>
      <c r="F3888" s="37"/>
      <c r="G3888" s="70"/>
    </row>
    <row r="3889" spans="2:7" x14ac:dyDescent="0.25">
      <c r="B3889" s="37"/>
      <c r="C3889" s="37"/>
      <c r="D3889" s="37"/>
      <c r="E3889" s="37"/>
      <c r="F3889" s="37"/>
      <c r="G3889" s="70"/>
    </row>
    <row r="3890" spans="2:7" x14ac:dyDescent="0.25">
      <c r="B3890" s="37"/>
      <c r="C3890" s="37"/>
      <c r="D3890" s="37"/>
      <c r="E3890" s="37"/>
      <c r="F3890" s="37"/>
      <c r="G3890" s="70"/>
    </row>
    <row r="3891" spans="2:7" x14ac:dyDescent="0.25">
      <c r="B3891" s="37"/>
      <c r="C3891" s="37"/>
      <c r="D3891" s="37"/>
      <c r="E3891" s="37"/>
      <c r="F3891" s="37"/>
      <c r="G3891" s="70"/>
    </row>
    <row r="3892" spans="2:7" x14ac:dyDescent="0.25">
      <c r="B3892" s="37"/>
      <c r="C3892" s="37"/>
      <c r="D3892" s="37"/>
      <c r="E3892" s="37"/>
      <c r="F3892" s="37"/>
      <c r="G3892" s="70"/>
    </row>
    <row r="3893" spans="2:7" x14ac:dyDescent="0.25">
      <c r="B3893" s="37"/>
      <c r="C3893" s="37"/>
      <c r="D3893" s="37"/>
      <c r="E3893" s="37"/>
      <c r="F3893" s="37"/>
      <c r="G3893" s="70"/>
    </row>
    <row r="3894" spans="2:7" x14ac:dyDescent="0.25">
      <c r="B3894" s="37"/>
      <c r="C3894" s="37"/>
      <c r="D3894" s="37"/>
      <c r="E3894" s="37"/>
      <c r="F3894" s="37"/>
      <c r="G3894" s="70"/>
    </row>
    <row r="3895" spans="2:7" x14ac:dyDescent="0.25">
      <c r="B3895" s="37"/>
      <c r="C3895" s="37"/>
      <c r="D3895" s="37"/>
      <c r="E3895" s="37"/>
      <c r="F3895" s="37"/>
      <c r="G3895" s="70"/>
    </row>
    <row r="3896" spans="2:7" x14ac:dyDescent="0.25">
      <c r="B3896" s="37"/>
      <c r="C3896" s="37"/>
      <c r="D3896" s="37"/>
      <c r="E3896" s="37"/>
      <c r="F3896" s="37"/>
      <c r="G3896" s="70"/>
    </row>
    <row r="3897" spans="2:7" x14ac:dyDescent="0.25">
      <c r="B3897" s="37"/>
      <c r="C3897" s="37"/>
      <c r="D3897" s="37"/>
      <c r="E3897" s="37"/>
      <c r="F3897" s="37"/>
      <c r="G3897" s="70"/>
    </row>
    <row r="3898" spans="2:7" x14ac:dyDescent="0.25">
      <c r="B3898" s="37"/>
      <c r="C3898" s="37"/>
      <c r="D3898" s="37"/>
      <c r="E3898" s="37"/>
      <c r="F3898" s="37"/>
      <c r="G3898" s="70"/>
    </row>
    <row r="3899" spans="2:7" x14ac:dyDescent="0.25">
      <c r="B3899" s="37"/>
      <c r="C3899" s="37"/>
      <c r="D3899" s="37"/>
      <c r="E3899" s="37"/>
      <c r="F3899" s="37"/>
      <c r="G3899" s="70"/>
    </row>
    <row r="3900" spans="2:7" x14ac:dyDescent="0.25">
      <c r="B3900" s="37"/>
      <c r="C3900" s="37"/>
      <c r="D3900" s="37"/>
      <c r="E3900" s="37"/>
      <c r="F3900" s="37"/>
      <c r="G3900" s="70"/>
    </row>
    <row r="3901" spans="2:7" x14ac:dyDescent="0.25">
      <c r="B3901" s="37"/>
      <c r="C3901" s="37"/>
      <c r="D3901" s="37"/>
      <c r="E3901" s="37"/>
      <c r="F3901" s="37"/>
      <c r="G3901" s="70"/>
    </row>
    <row r="3902" spans="2:7" x14ac:dyDescent="0.25">
      <c r="B3902" s="37"/>
      <c r="C3902" s="37"/>
      <c r="D3902" s="37"/>
      <c r="E3902" s="37"/>
      <c r="F3902" s="37"/>
      <c r="G3902" s="70"/>
    </row>
    <row r="3903" spans="2:7" x14ac:dyDescent="0.25">
      <c r="B3903" s="37"/>
      <c r="C3903" s="37"/>
      <c r="D3903" s="37"/>
      <c r="E3903" s="37"/>
      <c r="F3903" s="37"/>
      <c r="G3903" s="70"/>
    </row>
    <row r="3904" spans="2:7" x14ac:dyDescent="0.25">
      <c r="B3904" s="37"/>
      <c r="C3904" s="37"/>
      <c r="D3904" s="37"/>
      <c r="E3904" s="37"/>
      <c r="F3904" s="37"/>
      <c r="G3904" s="70"/>
    </row>
    <row r="3905" spans="2:7" x14ac:dyDescent="0.25">
      <c r="B3905" s="37"/>
      <c r="C3905" s="37"/>
      <c r="D3905" s="37"/>
      <c r="E3905" s="37"/>
      <c r="F3905" s="37"/>
      <c r="G3905" s="70"/>
    </row>
    <row r="3906" spans="2:7" x14ac:dyDescent="0.25">
      <c r="B3906" s="37"/>
      <c r="C3906" s="37"/>
      <c r="D3906" s="37"/>
      <c r="E3906" s="37"/>
      <c r="F3906" s="37"/>
      <c r="G3906" s="70"/>
    </row>
    <row r="3907" spans="2:7" x14ac:dyDescent="0.25">
      <c r="B3907" s="37"/>
      <c r="C3907" s="37"/>
      <c r="D3907" s="37"/>
      <c r="E3907" s="37"/>
      <c r="F3907" s="37"/>
      <c r="G3907" s="70"/>
    </row>
    <row r="3908" spans="2:7" x14ac:dyDescent="0.25">
      <c r="B3908" s="37"/>
      <c r="C3908" s="37"/>
      <c r="D3908" s="37"/>
      <c r="E3908" s="37"/>
      <c r="F3908" s="37"/>
      <c r="G3908" s="70"/>
    </row>
    <row r="3909" spans="2:7" x14ac:dyDescent="0.25">
      <c r="B3909" s="37"/>
      <c r="C3909" s="37"/>
      <c r="D3909" s="37"/>
      <c r="E3909" s="37"/>
      <c r="F3909" s="37"/>
      <c r="G3909" s="70"/>
    </row>
    <row r="3910" spans="2:7" x14ac:dyDescent="0.25">
      <c r="B3910" s="37"/>
      <c r="C3910" s="37"/>
      <c r="D3910" s="37"/>
      <c r="E3910" s="37"/>
      <c r="F3910" s="37"/>
      <c r="G3910" s="70"/>
    </row>
    <row r="3911" spans="2:7" x14ac:dyDescent="0.25">
      <c r="B3911" s="37"/>
      <c r="C3911" s="37"/>
      <c r="D3911" s="37"/>
      <c r="E3911" s="37"/>
      <c r="F3911" s="37"/>
      <c r="G3911" s="70"/>
    </row>
    <row r="3912" spans="2:7" x14ac:dyDescent="0.25">
      <c r="B3912" s="37"/>
      <c r="C3912" s="37"/>
      <c r="D3912" s="37"/>
      <c r="E3912" s="37"/>
      <c r="F3912" s="37"/>
      <c r="G3912" s="70"/>
    </row>
    <row r="3913" spans="2:7" x14ac:dyDescent="0.25">
      <c r="B3913" s="37"/>
      <c r="C3913" s="37"/>
      <c r="D3913" s="37"/>
      <c r="E3913" s="37"/>
      <c r="F3913" s="37"/>
      <c r="G3913" s="70"/>
    </row>
    <row r="3914" spans="2:7" x14ac:dyDescent="0.25">
      <c r="B3914" s="37"/>
      <c r="C3914" s="37"/>
      <c r="D3914" s="37"/>
      <c r="E3914" s="37"/>
      <c r="F3914" s="37"/>
      <c r="G3914" s="70"/>
    </row>
    <row r="3915" spans="2:7" x14ac:dyDescent="0.25">
      <c r="B3915" s="37"/>
      <c r="C3915" s="37"/>
      <c r="D3915" s="37"/>
      <c r="E3915" s="37"/>
      <c r="F3915" s="37"/>
      <c r="G3915" s="70"/>
    </row>
    <row r="3916" spans="2:7" x14ac:dyDescent="0.25">
      <c r="B3916" s="37"/>
      <c r="C3916" s="37"/>
      <c r="D3916" s="37"/>
      <c r="E3916" s="37"/>
      <c r="F3916" s="37"/>
      <c r="G3916" s="70"/>
    </row>
    <row r="3917" spans="2:7" x14ac:dyDescent="0.25">
      <c r="B3917" s="37"/>
      <c r="C3917" s="37"/>
      <c r="D3917" s="37"/>
      <c r="E3917" s="37"/>
      <c r="F3917" s="37"/>
      <c r="G3917" s="70"/>
    </row>
    <row r="3918" spans="2:7" x14ac:dyDescent="0.25">
      <c r="B3918" s="37"/>
      <c r="C3918" s="37"/>
      <c r="D3918" s="37"/>
      <c r="E3918" s="37"/>
      <c r="F3918" s="37"/>
      <c r="G3918" s="70"/>
    </row>
    <row r="3919" spans="2:7" x14ac:dyDescent="0.25">
      <c r="B3919" s="37"/>
      <c r="C3919" s="37"/>
      <c r="D3919" s="37"/>
      <c r="E3919" s="37"/>
      <c r="F3919" s="37"/>
      <c r="G3919" s="70"/>
    </row>
    <row r="3920" spans="2:7" x14ac:dyDescent="0.25">
      <c r="B3920" s="37"/>
      <c r="C3920" s="37"/>
      <c r="D3920" s="37"/>
      <c r="E3920" s="37"/>
      <c r="F3920" s="37"/>
      <c r="G3920" s="70"/>
    </row>
    <row r="3921" spans="2:7" x14ac:dyDescent="0.25">
      <c r="B3921" s="37"/>
      <c r="C3921" s="37"/>
      <c r="D3921" s="37"/>
      <c r="E3921" s="37"/>
      <c r="F3921" s="37"/>
      <c r="G3921" s="70"/>
    </row>
    <row r="3922" spans="2:7" x14ac:dyDescent="0.25">
      <c r="B3922" s="37"/>
      <c r="C3922" s="37"/>
      <c r="D3922" s="37"/>
      <c r="E3922" s="37"/>
      <c r="F3922" s="37"/>
      <c r="G3922" s="70"/>
    </row>
    <row r="3923" spans="2:7" x14ac:dyDescent="0.25">
      <c r="B3923" s="37"/>
      <c r="C3923" s="37"/>
      <c r="D3923" s="37"/>
      <c r="E3923" s="37"/>
      <c r="F3923" s="37"/>
      <c r="G3923" s="70"/>
    </row>
    <row r="3924" spans="2:7" x14ac:dyDescent="0.25">
      <c r="B3924" s="37"/>
      <c r="C3924" s="37"/>
      <c r="D3924" s="37"/>
      <c r="E3924" s="37"/>
      <c r="F3924" s="37"/>
      <c r="G3924" s="70"/>
    </row>
    <row r="3925" spans="2:7" x14ac:dyDescent="0.25">
      <c r="B3925" s="37"/>
      <c r="C3925" s="37"/>
      <c r="D3925" s="37"/>
      <c r="E3925" s="37"/>
      <c r="F3925" s="37"/>
      <c r="G3925" s="70"/>
    </row>
    <row r="3926" spans="2:7" x14ac:dyDescent="0.25">
      <c r="B3926" s="37"/>
      <c r="C3926" s="37"/>
      <c r="D3926" s="37"/>
      <c r="E3926" s="37"/>
      <c r="F3926" s="37"/>
      <c r="G3926" s="70"/>
    </row>
    <row r="3927" spans="2:7" x14ac:dyDescent="0.25">
      <c r="B3927" s="37"/>
      <c r="C3927" s="37"/>
      <c r="D3927" s="37"/>
      <c r="E3927" s="37"/>
      <c r="F3927" s="37"/>
      <c r="G3927" s="70"/>
    </row>
    <row r="3928" spans="2:7" x14ac:dyDescent="0.25">
      <c r="B3928" s="37"/>
      <c r="C3928" s="37"/>
      <c r="D3928" s="37"/>
      <c r="E3928" s="37"/>
      <c r="F3928" s="37"/>
      <c r="G3928" s="70"/>
    </row>
    <row r="3929" spans="2:7" x14ac:dyDescent="0.25">
      <c r="B3929" s="37"/>
      <c r="C3929" s="37"/>
      <c r="D3929" s="37"/>
      <c r="E3929" s="37"/>
      <c r="F3929" s="37"/>
      <c r="G3929" s="70"/>
    </row>
    <row r="3930" spans="2:7" x14ac:dyDescent="0.25">
      <c r="B3930" s="37"/>
      <c r="C3930" s="37"/>
      <c r="D3930" s="37"/>
      <c r="E3930" s="37"/>
      <c r="F3930" s="37"/>
      <c r="G3930" s="70"/>
    </row>
    <row r="3931" spans="2:7" x14ac:dyDescent="0.25">
      <c r="B3931" s="37"/>
      <c r="C3931" s="37"/>
      <c r="D3931" s="37"/>
      <c r="E3931" s="37"/>
      <c r="F3931" s="37"/>
      <c r="G3931" s="70"/>
    </row>
    <row r="3932" spans="2:7" x14ac:dyDescent="0.25">
      <c r="B3932" s="37"/>
      <c r="C3932" s="37"/>
      <c r="D3932" s="37"/>
      <c r="E3932" s="37"/>
      <c r="F3932" s="37"/>
      <c r="G3932" s="70"/>
    </row>
    <row r="3933" spans="2:7" x14ac:dyDescent="0.25">
      <c r="B3933" s="37"/>
      <c r="C3933" s="37"/>
      <c r="D3933" s="37"/>
      <c r="E3933" s="37"/>
      <c r="F3933" s="37"/>
      <c r="G3933" s="70"/>
    </row>
    <row r="3934" spans="2:7" x14ac:dyDescent="0.25">
      <c r="B3934" s="37"/>
      <c r="C3934" s="37"/>
      <c r="D3934" s="37"/>
      <c r="E3934" s="37"/>
      <c r="F3934" s="37"/>
      <c r="G3934" s="70"/>
    </row>
    <row r="3935" spans="2:7" x14ac:dyDescent="0.25">
      <c r="B3935" s="37"/>
      <c r="C3935" s="37"/>
      <c r="D3935" s="37"/>
      <c r="E3935" s="37"/>
      <c r="F3935" s="37"/>
      <c r="G3935" s="70"/>
    </row>
    <row r="3936" spans="2:7" x14ac:dyDescent="0.25">
      <c r="B3936" s="37"/>
      <c r="C3936" s="37"/>
      <c r="D3936" s="37"/>
      <c r="E3936" s="37"/>
      <c r="F3936" s="37"/>
      <c r="G3936" s="70"/>
    </row>
    <row r="3937" spans="2:7" x14ac:dyDescent="0.25">
      <c r="B3937" s="37"/>
      <c r="C3937" s="37"/>
      <c r="D3937" s="37"/>
      <c r="E3937" s="37"/>
      <c r="F3937" s="37"/>
      <c r="G3937" s="70"/>
    </row>
    <row r="3938" spans="2:7" x14ac:dyDescent="0.25">
      <c r="B3938" s="37"/>
      <c r="C3938" s="37"/>
      <c r="D3938" s="37"/>
      <c r="E3938" s="37"/>
      <c r="F3938" s="37"/>
      <c r="G3938" s="70"/>
    </row>
    <row r="3939" spans="2:7" x14ac:dyDescent="0.25">
      <c r="B3939" s="37"/>
      <c r="C3939" s="37"/>
      <c r="D3939" s="37"/>
      <c r="E3939" s="37"/>
      <c r="F3939" s="37"/>
      <c r="G3939" s="70"/>
    </row>
    <row r="3940" spans="2:7" x14ac:dyDescent="0.25">
      <c r="B3940" s="37"/>
      <c r="C3940" s="37"/>
      <c r="D3940" s="37"/>
      <c r="E3940" s="37"/>
      <c r="F3940" s="37"/>
      <c r="G3940" s="70"/>
    </row>
    <row r="3941" spans="2:7" x14ac:dyDescent="0.25">
      <c r="B3941" s="37"/>
      <c r="C3941" s="37"/>
      <c r="D3941" s="37"/>
      <c r="E3941" s="37"/>
      <c r="F3941" s="37"/>
      <c r="G3941" s="70"/>
    </row>
    <row r="3942" spans="2:7" x14ac:dyDescent="0.25">
      <c r="B3942" s="37"/>
      <c r="C3942" s="37"/>
      <c r="D3942" s="37"/>
      <c r="E3942" s="37"/>
      <c r="F3942" s="37"/>
      <c r="G3942" s="70"/>
    </row>
    <row r="3943" spans="2:7" x14ac:dyDescent="0.25">
      <c r="B3943" s="37"/>
      <c r="C3943" s="37"/>
      <c r="D3943" s="37"/>
      <c r="E3943" s="37"/>
      <c r="F3943" s="37"/>
      <c r="G3943" s="70"/>
    </row>
    <row r="3944" spans="2:7" x14ac:dyDescent="0.25">
      <c r="B3944" s="37"/>
      <c r="C3944" s="37"/>
      <c r="D3944" s="37"/>
      <c r="E3944" s="37"/>
      <c r="F3944" s="37"/>
      <c r="G3944" s="70"/>
    </row>
    <row r="3945" spans="2:7" x14ac:dyDescent="0.25">
      <c r="B3945" s="37"/>
      <c r="C3945" s="37"/>
      <c r="D3945" s="37"/>
      <c r="E3945" s="37"/>
      <c r="F3945" s="37"/>
      <c r="G3945" s="70"/>
    </row>
    <row r="3946" spans="2:7" x14ac:dyDescent="0.25">
      <c r="B3946" s="37"/>
      <c r="C3946" s="37"/>
      <c r="D3946" s="37"/>
      <c r="E3946" s="37"/>
      <c r="F3946" s="37"/>
      <c r="G3946" s="70"/>
    </row>
    <row r="3947" spans="2:7" x14ac:dyDescent="0.25">
      <c r="B3947" s="37"/>
      <c r="C3947" s="37"/>
      <c r="D3947" s="37"/>
      <c r="E3947" s="37"/>
      <c r="F3947" s="37"/>
      <c r="G3947" s="70"/>
    </row>
    <row r="3948" spans="2:7" x14ac:dyDescent="0.25">
      <c r="B3948" s="37"/>
      <c r="C3948" s="37"/>
      <c r="D3948" s="37"/>
      <c r="E3948" s="37"/>
      <c r="F3948" s="37"/>
      <c r="G3948" s="70"/>
    </row>
    <row r="3949" spans="2:7" x14ac:dyDescent="0.25">
      <c r="B3949" s="37"/>
      <c r="C3949" s="37"/>
      <c r="D3949" s="37"/>
      <c r="E3949" s="37"/>
      <c r="F3949" s="37"/>
      <c r="G3949" s="70"/>
    </row>
    <row r="3950" spans="2:7" x14ac:dyDescent="0.25">
      <c r="B3950" s="37"/>
      <c r="C3950" s="37"/>
      <c r="D3950" s="37"/>
      <c r="E3950" s="37"/>
      <c r="F3950" s="37"/>
      <c r="G3950" s="70"/>
    </row>
    <row r="3951" spans="2:7" x14ac:dyDescent="0.25">
      <c r="B3951" s="37"/>
      <c r="C3951" s="37"/>
      <c r="D3951" s="37"/>
      <c r="E3951" s="37"/>
      <c r="F3951" s="37"/>
      <c r="G3951" s="70"/>
    </row>
    <row r="3952" spans="2:7" x14ac:dyDescent="0.25">
      <c r="B3952" s="37"/>
      <c r="C3952" s="37"/>
      <c r="D3952" s="37"/>
      <c r="E3952" s="37"/>
      <c r="F3952" s="37"/>
      <c r="G3952" s="70"/>
    </row>
    <row r="3953" spans="2:7" x14ac:dyDescent="0.25">
      <c r="B3953" s="37"/>
      <c r="C3953" s="37"/>
      <c r="D3953" s="37"/>
      <c r="E3953" s="37"/>
      <c r="F3953" s="37"/>
      <c r="G3953" s="70"/>
    </row>
    <row r="3954" spans="2:7" x14ac:dyDescent="0.25">
      <c r="B3954" s="37"/>
      <c r="C3954" s="37"/>
      <c r="D3954" s="37"/>
      <c r="E3954" s="37"/>
      <c r="F3954" s="37"/>
      <c r="G3954" s="70"/>
    </row>
    <row r="3955" spans="2:7" x14ac:dyDescent="0.25">
      <c r="B3955" s="37"/>
      <c r="C3955" s="37"/>
      <c r="D3955" s="37"/>
      <c r="E3955" s="37"/>
      <c r="F3955" s="37"/>
      <c r="G3955" s="70"/>
    </row>
    <row r="3956" spans="2:7" x14ac:dyDescent="0.25">
      <c r="B3956" s="37"/>
      <c r="C3956" s="37"/>
      <c r="D3956" s="37"/>
      <c r="E3956" s="37"/>
      <c r="F3956" s="37"/>
      <c r="G3956" s="70"/>
    </row>
    <row r="3957" spans="2:7" x14ac:dyDescent="0.25">
      <c r="B3957" s="37"/>
      <c r="C3957" s="37"/>
      <c r="D3957" s="37"/>
      <c r="E3957" s="37"/>
      <c r="F3957" s="37"/>
      <c r="G3957" s="70"/>
    </row>
    <row r="3958" spans="2:7" x14ac:dyDescent="0.25">
      <c r="B3958" s="37"/>
      <c r="C3958" s="37"/>
      <c r="D3958" s="37"/>
      <c r="E3958" s="37"/>
      <c r="F3958" s="37"/>
      <c r="G3958" s="70"/>
    </row>
    <row r="3959" spans="2:7" x14ac:dyDescent="0.25">
      <c r="B3959" s="37"/>
      <c r="C3959" s="37"/>
      <c r="D3959" s="37"/>
      <c r="E3959" s="37"/>
      <c r="F3959" s="37"/>
      <c r="G3959" s="70"/>
    </row>
    <row r="3960" spans="2:7" x14ac:dyDescent="0.25">
      <c r="B3960" s="37"/>
      <c r="C3960" s="37"/>
      <c r="D3960" s="37"/>
      <c r="E3960" s="37"/>
      <c r="F3960" s="37"/>
      <c r="G3960" s="70"/>
    </row>
    <row r="3961" spans="2:7" x14ac:dyDescent="0.25">
      <c r="B3961" s="37"/>
      <c r="C3961" s="37"/>
      <c r="D3961" s="37"/>
      <c r="E3961" s="37"/>
      <c r="F3961" s="37"/>
      <c r="G3961" s="70"/>
    </row>
    <row r="3962" spans="2:7" x14ac:dyDescent="0.25">
      <c r="B3962" s="37"/>
      <c r="C3962" s="37"/>
      <c r="D3962" s="37"/>
      <c r="E3962" s="37"/>
      <c r="F3962" s="37"/>
      <c r="G3962" s="70"/>
    </row>
    <row r="3963" spans="2:7" x14ac:dyDescent="0.25">
      <c r="B3963" s="37"/>
      <c r="C3963" s="37"/>
      <c r="D3963" s="37"/>
      <c r="E3963" s="37"/>
      <c r="F3963" s="37"/>
      <c r="G3963" s="70"/>
    </row>
    <row r="3964" spans="2:7" x14ac:dyDescent="0.25">
      <c r="B3964" s="37"/>
      <c r="C3964" s="37"/>
      <c r="D3964" s="37"/>
      <c r="E3964" s="37"/>
      <c r="F3964" s="37"/>
      <c r="G3964" s="70"/>
    </row>
    <row r="3965" spans="2:7" x14ac:dyDescent="0.25">
      <c r="B3965" s="37"/>
      <c r="C3965" s="37"/>
      <c r="D3965" s="37"/>
      <c r="E3965" s="37"/>
      <c r="F3965" s="37"/>
      <c r="G3965" s="70"/>
    </row>
    <row r="3966" spans="2:7" x14ac:dyDescent="0.25">
      <c r="B3966" s="37"/>
      <c r="C3966" s="37"/>
      <c r="D3966" s="37"/>
      <c r="E3966" s="37"/>
      <c r="F3966" s="37"/>
      <c r="G3966" s="70"/>
    </row>
    <row r="3967" spans="2:7" x14ac:dyDescent="0.25">
      <c r="B3967" s="37"/>
      <c r="C3967" s="37"/>
      <c r="D3967" s="37"/>
      <c r="E3967" s="37"/>
      <c r="F3967" s="37"/>
      <c r="G3967" s="70"/>
    </row>
    <row r="3968" spans="2:7" x14ac:dyDescent="0.25">
      <c r="B3968" s="37"/>
      <c r="C3968" s="37"/>
      <c r="D3968" s="37"/>
      <c r="E3968" s="37"/>
      <c r="F3968" s="37"/>
      <c r="G3968" s="70"/>
    </row>
    <row r="3969" spans="2:7" x14ac:dyDescent="0.25">
      <c r="B3969" s="37"/>
      <c r="C3969" s="37"/>
      <c r="D3969" s="37"/>
      <c r="E3969" s="37"/>
      <c r="F3969" s="37"/>
      <c r="G3969" s="70"/>
    </row>
    <row r="3970" spans="2:7" x14ac:dyDescent="0.25">
      <c r="B3970" s="37"/>
      <c r="C3970" s="37"/>
      <c r="D3970" s="37"/>
      <c r="E3970" s="37"/>
      <c r="F3970" s="37"/>
      <c r="G3970" s="70"/>
    </row>
    <row r="3971" spans="2:7" x14ac:dyDescent="0.25">
      <c r="B3971" s="37"/>
      <c r="C3971" s="37"/>
      <c r="D3971" s="37"/>
      <c r="E3971" s="37"/>
      <c r="F3971" s="37"/>
      <c r="G3971" s="70"/>
    </row>
    <row r="3972" spans="2:7" x14ac:dyDescent="0.25">
      <c r="B3972" s="37"/>
      <c r="C3972" s="37"/>
      <c r="D3972" s="37"/>
      <c r="E3972" s="37"/>
      <c r="F3972" s="37"/>
      <c r="G3972" s="70"/>
    </row>
    <row r="3973" spans="2:7" x14ac:dyDescent="0.25">
      <c r="B3973" s="37"/>
      <c r="C3973" s="37"/>
      <c r="D3973" s="37"/>
      <c r="E3973" s="37"/>
      <c r="F3973" s="37"/>
      <c r="G3973" s="70"/>
    </row>
    <row r="3974" spans="2:7" x14ac:dyDescent="0.25">
      <c r="B3974" s="37"/>
      <c r="C3974" s="37"/>
      <c r="D3974" s="37"/>
      <c r="E3974" s="37"/>
      <c r="F3974" s="37"/>
      <c r="G3974" s="70"/>
    </row>
    <row r="3975" spans="2:7" x14ac:dyDescent="0.25">
      <c r="B3975" s="37"/>
      <c r="C3975" s="37"/>
      <c r="D3975" s="37"/>
      <c r="E3975" s="37"/>
      <c r="F3975" s="37"/>
      <c r="G3975" s="70"/>
    </row>
    <row r="3976" spans="2:7" x14ac:dyDescent="0.25">
      <c r="B3976" s="37"/>
      <c r="C3976" s="37"/>
      <c r="D3976" s="37"/>
      <c r="E3976" s="37"/>
      <c r="F3976" s="37"/>
      <c r="G3976" s="70"/>
    </row>
    <row r="3977" spans="2:7" x14ac:dyDescent="0.25">
      <c r="B3977" s="37"/>
      <c r="C3977" s="37"/>
      <c r="D3977" s="37"/>
      <c r="E3977" s="37"/>
      <c r="F3977" s="37"/>
      <c r="G3977" s="70"/>
    </row>
    <row r="3978" spans="2:7" x14ac:dyDescent="0.25">
      <c r="B3978" s="37"/>
      <c r="C3978" s="37"/>
      <c r="D3978" s="37"/>
      <c r="E3978" s="37"/>
      <c r="F3978" s="37"/>
      <c r="G3978" s="70"/>
    </row>
    <row r="3979" spans="2:7" x14ac:dyDescent="0.25">
      <c r="B3979" s="37"/>
      <c r="C3979" s="37"/>
      <c r="D3979" s="37"/>
      <c r="E3979" s="37"/>
      <c r="F3979" s="37"/>
      <c r="G3979" s="70"/>
    </row>
    <row r="3980" spans="2:7" x14ac:dyDescent="0.25">
      <c r="B3980" s="37"/>
      <c r="C3980" s="37"/>
      <c r="D3980" s="37"/>
      <c r="E3980" s="37"/>
      <c r="F3980" s="37"/>
      <c r="G3980" s="70"/>
    </row>
    <row r="3981" spans="2:7" x14ac:dyDescent="0.25">
      <c r="B3981" s="37"/>
      <c r="C3981" s="37"/>
      <c r="D3981" s="37"/>
      <c r="E3981" s="37"/>
      <c r="F3981" s="37"/>
      <c r="G3981" s="70"/>
    </row>
    <row r="3982" spans="2:7" x14ac:dyDescent="0.25">
      <c r="B3982" s="37"/>
      <c r="C3982" s="37"/>
      <c r="D3982" s="37"/>
      <c r="E3982" s="37"/>
      <c r="F3982" s="37"/>
      <c r="G3982" s="70"/>
    </row>
    <row r="3983" spans="2:7" x14ac:dyDescent="0.25">
      <c r="B3983" s="37"/>
      <c r="C3983" s="37"/>
      <c r="D3983" s="37"/>
      <c r="E3983" s="37"/>
      <c r="F3983" s="37"/>
      <c r="G3983" s="70"/>
    </row>
    <row r="3984" spans="2:7" x14ac:dyDescent="0.25">
      <c r="B3984" s="37"/>
      <c r="C3984" s="37"/>
      <c r="D3984" s="37"/>
      <c r="E3984" s="37"/>
      <c r="F3984" s="37"/>
      <c r="G3984" s="70"/>
    </row>
    <row r="3985" spans="2:7" x14ac:dyDescent="0.25">
      <c r="B3985" s="37"/>
      <c r="C3985" s="37"/>
      <c r="D3985" s="37"/>
      <c r="E3985" s="37"/>
      <c r="F3985" s="37"/>
      <c r="G3985" s="70"/>
    </row>
    <row r="3986" spans="2:7" x14ac:dyDescent="0.25">
      <c r="B3986" s="37"/>
      <c r="C3986" s="37"/>
      <c r="D3986" s="37"/>
      <c r="E3986" s="37"/>
      <c r="F3986" s="37"/>
      <c r="G3986" s="70"/>
    </row>
    <row r="3987" spans="2:7" x14ac:dyDescent="0.25">
      <c r="B3987" s="37"/>
      <c r="C3987" s="37"/>
      <c r="D3987" s="37"/>
      <c r="E3987" s="37"/>
      <c r="F3987" s="37"/>
      <c r="G3987" s="70"/>
    </row>
    <row r="3988" spans="2:7" x14ac:dyDescent="0.25">
      <c r="B3988" s="37"/>
      <c r="C3988" s="37"/>
      <c r="D3988" s="37"/>
      <c r="E3988" s="37"/>
      <c r="F3988" s="37"/>
      <c r="G3988" s="70"/>
    </row>
    <row r="3989" spans="2:7" x14ac:dyDescent="0.25">
      <c r="B3989" s="37"/>
      <c r="C3989" s="37"/>
      <c r="D3989" s="37"/>
      <c r="E3989" s="37"/>
      <c r="F3989" s="37"/>
      <c r="G3989" s="70"/>
    </row>
    <row r="3990" spans="2:7" x14ac:dyDescent="0.25">
      <c r="B3990" s="37"/>
      <c r="C3990" s="37"/>
      <c r="D3990" s="37"/>
      <c r="E3990" s="37"/>
      <c r="F3990" s="37"/>
      <c r="G3990" s="70"/>
    </row>
    <row r="3991" spans="2:7" x14ac:dyDescent="0.25">
      <c r="B3991" s="37"/>
      <c r="C3991" s="37"/>
      <c r="D3991" s="37"/>
      <c r="E3991" s="37"/>
      <c r="F3991" s="37"/>
      <c r="G3991" s="70"/>
    </row>
    <row r="3992" spans="2:7" x14ac:dyDescent="0.25">
      <c r="B3992" s="37"/>
      <c r="C3992" s="37"/>
      <c r="D3992" s="37"/>
      <c r="E3992" s="37"/>
      <c r="F3992" s="37"/>
      <c r="G3992" s="70"/>
    </row>
    <row r="3993" spans="2:7" x14ac:dyDescent="0.25">
      <c r="B3993" s="37"/>
      <c r="C3993" s="37"/>
      <c r="D3993" s="37"/>
      <c r="E3993" s="37"/>
      <c r="F3993" s="37"/>
      <c r="G3993" s="70"/>
    </row>
    <row r="3994" spans="2:7" x14ac:dyDescent="0.25">
      <c r="B3994" s="37"/>
      <c r="C3994" s="37"/>
      <c r="D3994" s="37"/>
      <c r="E3994" s="37"/>
      <c r="F3994" s="37"/>
      <c r="G3994" s="70"/>
    </row>
    <row r="3995" spans="2:7" x14ac:dyDescent="0.25">
      <c r="B3995" s="37"/>
      <c r="C3995" s="37"/>
      <c r="D3995" s="37"/>
      <c r="E3995" s="37"/>
      <c r="F3995" s="37"/>
      <c r="G3995" s="70"/>
    </row>
    <row r="3996" spans="2:7" x14ac:dyDescent="0.25">
      <c r="B3996" s="37"/>
      <c r="C3996" s="37"/>
      <c r="D3996" s="37"/>
      <c r="E3996" s="37"/>
      <c r="F3996" s="37"/>
      <c r="G3996" s="70"/>
    </row>
    <row r="3997" spans="2:7" x14ac:dyDescent="0.25">
      <c r="B3997" s="37"/>
      <c r="C3997" s="37"/>
      <c r="D3997" s="37"/>
      <c r="E3997" s="37"/>
      <c r="F3997" s="37"/>
      <c r="G3997" s="70"/>
    </row>
    <row r="3998" spans="2:7" x14ac:dyDescent="0.25">
      <c r="B3998" s="37"/>
      <c r="C3998" s="37"/>
      <c r="D3998" s="37"/>
      <c r="E3998" s="37"/>
      <c r="F3998" s="37"/>
      <c r="G3998" s="70"/>
    </row>
    <row r="3999" spans="2:7" x14ac:dyDescent="0.25">
      <c r="B3999" s="37"/>
      <c r="C3999" s="37"/>
      <c r="D3999" s="37"/>
      <c r="E3999" s="37"/>
      <c r="F3999" s="37"/>
      <c r="G3999" s="70"/>
    </row>
    <row r="4000" spans="2:7" x14ac:dyDescent="0.25">
      <c r="B4000" s="37"/>
      <c r="C4000" s="37"/>
      <c r="D4000" s="37"/>
      <c r="E4000" s="37"/>
      <c r="F4000" s="37"/>
      <c r="G4000" s="70"/>
    </row>
    <row r="4001" spans="2:7" x14ac:dyDescent="0.25">
      <c r="B4001" s="37"/>
      <c r="C4001" s="37"/>
      <c r="D4001" s="37"/>
      <c r="E4001" s="37"/>
      <c r="F4001" s="37"/>
      <c r="G4001" s="70"/>
    </row>
    <row r="4002" spans="2:7" x14ac:dyDescent="0.25">
      <c r="B4002" s="37"/>
      <c r="C4002" s="37"/>
      <c r="D4002" s="37"/>
      <c r="E4002" s="37"/>
      <c r="F4002" s="37"/>
      <c r="G4002" s="70"/>
    </row>
    <row r="4003" spans="2:7" x14ac:dyDescent="0.25">
      <c r="B4003" s="37"/>
      <c r="C4003" s="37"/>
      <c r="D4003" s="37"/>
      <c r="E4003" s="37"/>
      <c r="F4003" s="37"/>
      <c r="G4003" s="70"/>
    </row>
    <row r="4004" spans="2:7" x14ac:dyDescent="0.25">
      <c r="B4004" s="37"/>
      <c r="C4004" s="37"/>
      <c r="D4004" s="37"/>
      <c r="E4004" s="37"/>
      <c r="F4004" s="37"/>
      <c r="G4004" s="70"/>
    </row>
    <row r="4005" spans="2:7" x14ac:dyDescent="0.25">
      <c r="B4005" s="37"/>
      <c r="C4005" s="37"/>
      <c r="D4005" s="37"/>
      <c r="E4005" s="37"/>
      <c r="F4005" s="37"/>
      <c r="G4005" s="70"/>
    </row>
    <row r="4006" spans="2:7" x14ac:dyDescent="0.25">
      <c r="B4006" s="37"/>
      <c r="C4006" s="37"/>
      <c r="D4006" s="37"/>
      <c r="E4006" s="37"/>
      <c r="F4006" s="37"/>
      <c r="G4006" s="70"/>
    </row>
    <row r="4007" spans="2:7" x14ac:dyDescent="0.25">
      <c r="B4007" s="37"/>
      <c r="C4007" s="37"/>
      <c r="D4007" s="37"/>
      <c r="E4007" s="37"/>
      <c r="F4007" s="37"/>
      <c r="G4007" s="70"/>
    </row>
    <row r="4008" spans="2:7" x14ac:dyDescent="0.25">
      <c r="B4008" s="37"/>
      <c r="C4008" s="37"/>
      <c r="D4008" s="37"/>
      <c r="E4008" s="37"/>
      <c r="F4008" s="37"/>
      <c r="G4008" s="70"/>
    </row>
    <row r="4009" spans="2:7" x14ac:dyDescent="0.25">
      <c r="B4009" s="37"/>
      <c r="C4009" s="37"/>
      <c r="D4009" s="37"/>
      <c r="E4009" s="37"/>
      <c r="F4009" s="37"/>
      <c r="G4009" s="70"/>
    </row>
    <row r="4010" spans="2:7" x14ac:dyDescent="0.25">
      <c r="B4010" s="37"/>
      <c r="C4010" s="37"/>
      <c r="D4010" s="37"/>
      <c r="E4010" s="37"/>
      <c r="F4010" s="37"/>
      <c r="G4010" s="70"/>
    </row>
    <row r="4011" spans="2:7" x14ac:dyDescent="0.25">
      <c r="B4011" s="37"/>
      <c r="C4011" s="37"/>
      <c r="D4011" s="37"/>
      <c r="E4011" s="37"/>
      <c r="F4011" s="37"/>
      <c r="G4011" s="70"/>
    </row>
    <row r="4012" spans="2:7" x14ac:dyDescent="0.25">
      <c r="B4012" s="37"/>
      <c r="C4012" s="37"/>
      <c r="D4012" s="37"/>
      <c r="E4012" s="37"/>
      <c r="F4012" s="37"/>
      <c r="G4012" s="70"/>
    </row>
    <row r="4013" spans="2:7" x14ac:dyDescent="0.25">
      <c r="B4013" s="37"/>
      <c r="C4013" s="37"/>
      <c r="D4013" s="37"/>
      <c r="E4013" s="37"/>
      <c r="F4013" s="37"/>
      <c r="G4013" s="70"/>
    </row>
    <row r="4014" spans="2:7" x14ac:dyDescent="0.25">
      <c r="B4014" s="37"/>
      <c r="C4014" s="37"/>
      <c r="D4014" s="37"/>
      <c r="E4014" s="37"/>
      <c r="F4014" s="37"/>
      <c r="G4014" s="70"/>
    </row>
    <row r="4015" spans="2:7" x14ac:dyDescent="0.25">
      <c r="B4015" s="37"/>
      <c r="C4015" s="37"/>
      <c r="D4015" s="37"/>
      <c r="E4015" s="37"/>
      <c r="F4015" s="37"/>
      <c r="G4015" s="70"/>
    </row>
    <row r="4016" spans="2:7" x14ac:dyDescent="0.25">
      <c r="B4016" s="37"/>
      <c r="C4016" s="37"/>
      <c r="D4016" s="37"/>
      <c r="E4016" s="37"/>
      <c r="F4016" s="37"/>
      <c r="G4016" s="70"/>
    </row>
    <row r="4017" spans="2:7" x14ac:dyDescent="0.25">
      <c r="B4017" s="37"/>
      <c r="C4017" s="37"/>
      <c r="D4017" s="37"/>
      <c r="E4017" s="37"/>
      <c r="F4017" s="37"/>
      <c r="G4017" s="70"/>
    </row>
    <row r="4018" spans="2:7" x14ac:dyDescent="0.25">
      <c r="B4018" s="37"/>
      <c r="C4018" s="37"/>
      <c r="D4018" s="37"/>
      <c r="E4018" s="37"/>
      <c r="F4018" s="37"/>
      <c r="G4018" s="70"/>
    </row>
    <row r="4019" spans="2:7" x14ac:dyDescent="0.25">
      <c r="B4019" s="37"/>
      <c r="C4019" s="37"/>
      <c r="D4019" s="37"/>
      <c r="E4019" s="37"/>
      <c r="F4019" s="37"/>
      <c r="G4019" s="70"/>
    </row>
    <row r="4020" spans="2:7" x14ac:dyDescent="0.25">
      <c r="B4020" s="37"/>
      <c r="C4020" s="37"/>
      <c r="D4020" s="37"/>
      <c r="E4020" s="37"/>
      <c r="F4020" s="37"/>
      <c r="G4020" s="70"/>
    </row>
    <row r="4021" spans="2:7" x14ac:dyDescent="0.25">
      <c r="B4021" s="37"/>
      <c r="C4021" s="37"/>
      <c r="D4021" s="37"/>
      <c r="E4021" s="37"/>
      <c r="F4021" s="37"/>
      <c r="G4021" s="70"/>
    </row>
    <row r="4022" spans="2:7" x14ac:dyDescent="0.25">
      <c r="B4022" s="37"/>
      <c r="C4022" s="37"/>
      <c r="D4022" s="37"/>
      <c r="E4022" s="37"/>
      <c r="F4022" s="37"/>
      <c r="G4022" s="70"/>
    </row>
    <row r="4023" spans="2:7" x14ac:dyDescent="0.25">
      <c r="B4023" s="37"/>
      <c r="C4023" s="37"/>
      <c r="D4023" s="37"/>
      <c r="E4023" s="37"/>
      <c r="F4023" s="37"/>
      <c r="G4023" s="70"/>
    </row>
    <row r="4024" spans="2:7" x14ac:dyDescent="0.25">
      <c r="B4024" s="37"/>
      <c r="C4024" s="37"/>
      <c r="D4024" s="37"/>
      <c r="E4024" s="37"/>
      <c r="F4024" s="37"/>
      <c r="G4024" s="70"/>
    </row>
    <row r="4025" spans="2:7" x14ac:dyDescent="0.25">
      <c r="B4025" s="37"/>
      <c r="C4025" s="37"/>
      <c r="D4025" s="37"/>
      <c r="E4025" s="37"/>
      <c r="F4025" s="37"/>
      <c r="G4025" s="70"/>
    </row>
    <row r="4026" spans="2:7" x14ac:dyDescent="0.25">
      <c r="B4026" s="37"/>
      <c r="C4026" s="37"/>
      <c r="D4026" s="37"/>
      <c r="E4026" s="37"/>
      <c r="F4026" s="37"/>
      <c r="G4026" s="70"/>
    </row>
    <row r="4027" spans="2:7" x14ac:dyDescent="0.25">
      <c r="B4027" s="37"/>
      <c r="C4027" s="37"/>
      <c r="D4027" s="37"/>
      <c r="E4027" s="37"/>
      <c r="F4027" s="37"/>
      <c r="G4027" s="70"/>
    </row>
    <row r="4028" spans="2:7" x14ac:dyDescent="0.25">
      <c r="B4028" s="37"/>
      <c r="C4028" s="37"/>
      <c r="D4028" s="37"/>
      <c r="E4028" s="37"/>
      <c r="F4028" s="37"/>
      <c r="G4028" s="70"/>
    </row>
    <row r="4029" spans="2:7" x14ac:dyDescent="0.25">
      <c r="B4029" s="37"/>
      <c r="C4029" s="37"/>
      <c r="D4029" s="37"/>
      <c r="E4029" s="37"/>
      <c r="F4029" s="37"/>
      <c r="G4029" s="70"/>
    </row>
    <row r="4030" spans="2:7" x14ac:dyDescent="0.25">
      <c r="B4030" s="37"/>
      <c r="C4030" s="37"/>
      <c r="D4030" s="37"/>
      <c r="E4030" s="37"/>
      <c r="F4030" s="37"/>
      <c r="G4030" s="70"/>
    </row>
    <row r="4031" spans="2:7" x14ac:dyDescent="0.25">
      <c r="B4031" s="37"/>
      <c r="C4031" s="37"/>
      <c r="D4031" s="37"/>
      <c r="E4031" s="37"/>
      <c r="F4031" s="37"/>
      <c r="G4031" s="70"/>
    </row>
    <row r="4032" spans="2:7" x14ac:dyDescent="0.25">
      <c r="B4032" s="37"/>
      <c r="C4032" s="37"/>
      <c r="D4032" s="37"/>
      <c r="E4032" s="37"/>
      <c r="F4032" s="37"/>
      <c r="G4032" s="70"/>
    </row>
    <row r="4033" spans="2:7" x14ac:dyDescent="0.25">
      <c r="B4033" s="37"/>
      <c r="C4033" s="37"/>
      <c r="D4033" s="37"/>
      <c r="E4033" s="37"/>
      <c r="F4033" s="37"/>
      <c r="G4033" s="70"/>
    </row>
    <row r="4034" spans="2:7" x14ac:dyDescent="0.25">
      <c r="B4034" s="37"/>
      <c r="C4034" s="37"/>
      <c r="D4034" s="37"/>
      <c r="E4034" s="37"/>
      <c r="F4034" s="37"/>
      <c r="G4034" s="70"/>
    </row>
    <row r="4035" spans="2:7" x14ac:dyDescent="0.25">
      <c r="B4035" s="37"/>
      <c r="C4035" s="37"/>
      <c r="D4035" s="37"/>
      <c r="E4035" s="37"/>
      <c r="F4035" s="37"/>
      <c r="G4035" s="70"/>
    </row>
    <row r="4036" spans="2:7" x14ac:dyDescent="0.25">
      <c r="B4036" s="37"/>
      <c r="C4036" s="37"/>
      <c r="D4036" s="37"/>
      <c r="E4036" s="37"/>
      <c r="F4036" s="37"/>
      <c r="G4036" s="70"/>
    </row>
    <row r="4037" spans="2:7" x14ac:dyDescent="0.25">
      <c r="B4037" s="37"/>
      <c r="C4037" s="37"/>
      <c r="D4037" s="37"/>
      <c r="E4037" s="37"/>
      <c r="F4037" s="37"/>
      <c r="G4037" s="70"/>
    </row>
    <row r="4038" spans="2:7" x14ac:dyDescent="0.25">
      <c r="B4038" s="37"/>
      <c r="C4038" s="37"/>
      <c r="D4038" s="37"/>
      <c r="E4038" s="37"/>
      <c r="F4038" s="37"/>
      <c r="G4038" s="70"/>
    </row>
    <row r="4039" spans="2:7" x14ac:dyDescent="0.25">
      <c r="B4039" s="37"/>
      <c r="C4039" s="37"/>
      <c r="D4039" s="37"/>
      <c r="E4039" s="37"/>
      <c r="F4039" s="37"/>
      <c r="G4039" s="70"/>
    </row>
    <row r="4040" spans="2:7" x14ac:dyDescent="0.25">
      <c r="B4040" s="37"/>
      <c r="C4040" s="37"/>
      <c r="D4040" s="37"/>
      <c r="E4040" s="37"/>
      <c r="F4040" s="37"/>
      <c r="G4040" s="70"/>
    </row>
    <row r="4041" spans="2:7" x14ac:dyDescent="0.25">
      <c r="B4041" s="37"/>
      <c r="C4041" s="37"/>
      <c r="D4041" s="37"/>
      <c r="E4041" s="37"/>
      <c r="F4041" s="37"/>
      <c r="G4041" s="70"/>
    </row>
    <row r="4042" spans="2:7" x14ac:dyDescent="0.25">
      <c r="B4042" s="37"/>
      <c r="C4042" s="37"/>
      <c r="D4042" s="37"/>
      <c r="E4042" s="37"/>
      <c r="F4042" s="37"/>
      <c r="G4042" s="70"/>
    </row>
    <row r="4043" spans="2:7" x14ac:dyDescent="0.25">
      <c r="B4043" s="37"/>
      <c r="C4043" s="37"/>
      <c r="D4043" s="37"/>
      <c r="E4043" s="37"/>
      <c r="F4043" s="37"/>
      <c r="G4043" s="70"/>
    </row>
    <row r="4044" spans="2:7" x14ac:dyDescent="0.25">
      <c r="B4044" s="37"/>
      <c r="C4044" s="37"/>
      <c r="D4044" s="37"/>
      <c r="E4044" s="37"/>
      <c r="F4044" s="37"/>
      <c r="G4044" s="70"/>
    </row>
    <row r="4045" spans="2:7" x14ac:dyDescent="0.25">
      <c r="B4045" s="37"/>
      <c r="C4045" s="37"/>
      <c r="D4045" s="37"/>
      <c r="E4045" s="37"/>
      <c r="F4045" s="37"/>
      <c r="G4045" s="70"/>
    </row>
    <row r="4046" spans="2:7" x14ac:dyDescent="0.25">
      <c r="B4046" s="37"/>
      <c r="C4046" s="37"/>
      <c r="D4046" s="37"/>
      <c r="E4046" s="37"/>
      <c r="F4046" s="37"/>
      <c r="G4046" s="70"/>
    </row>
    <row r="4047" spans="2:7" x14ac:dyDescent="0.25">
      <c r="B4047" s="37"/>
      <c r="C4047" s="37"/>
      <c r="D4047" s="37"/>
      <c r="E4047" s="37"/>
      <c r="F4047" s="37"/>
      <c r="G4047" s="70"/>
    </row>
    <row r="4048" spans="2:7" x14ac:dyDescent="0.25">
      <c r="B4048" s="37"/>
      <c r="C4048" s="37"/>
      <c r="D4048" s="37"/>
      <c r="E4048" s="37"/>
      <c r="F4048" s="37"/>
      <c r="G4048" s="70"/>
    </row>
    <row r="4049" spans="2:7" x14ac:dyDescent="0.25">
      <c r="B4049" s="37"/>
      <c r="C4049" s="37"/>
      <c r="D4049" s="37"/>
      <c r="E4049" s="37"/>
      <c r="F4049" s="37"/>
      <c r="G4049" s="70"/>
    </row>
    <row r="4050" spans="2:7" x14ac:dyDescent="0.25">
      <c r="B4050" s="37"/>
      <c r="C4050" s="37"/>
      <c r="D4050" s="37"/>
      <c r="E4050" s="37"/>
      <c r="F4050" s="37"/>
      <c r="G4050" s="70"/>
    </row>
    <row r="4051" spans="2:7" x14ac:dyDescent="0.25">
      <c r="B4051" s="37"/>
      <c r="C4051" s="37"/>
      <c r="D4051" s="37"/>
      <c r="E4051" s="37"/>
      <c r="F4051" s="37"/>
      <c r="G4051" s="70"/>
    </row>
    <row r="4052" spans="2:7" x14ac:dyDescent="0.25">
      <c r="B4052" s="37"/>
      <c r="C4052" s="37"/>
      <c r="D4052" s="37"/>
      <c r="E4052" s="37"/>
      <c r="F4052" s="37"/>
      <c r="G4052" s="70"/>
    </row>
    <row r="4053" spans="2:7" x14ac:dyDescent="0.25">
      <c r="B4053" s="37"/>
      <c r="C4053" s="37"/>
      <c r="D4053" s="37"/>
      <c r="E4053" s="37"/>
      <c r="F4053" s="37"/>
      <c r="G4053" s="70"/>
    </row>
    <row r="4054" spans="2:7" x14ac:dyDescent="0.25">
      <c r="B4054" s="37"/>
      <c r="C4054" s="37"/>
      <c r="D4054" s="37"/>
      <c r="E4054" s="37"/>
      <c r="F4054" s="37"/>
      <c r="G4054" s="70"/>
    </row>
    <row r="4055" spans="2:7" x14ac:dyDescent="0.25">
      <c r="B4055" s="37"/>
      <c r="C4055" s="37"/>
      <c r="D4055" s="37"/>
      <c r="E4055" s="37"/>
      <c r="F4055" s="37"/>
      <c r="G4055" s="70"/>
    </row>
    <row r="4056" spans="2:7" x14ac:dyDescent="0.25">
      <c r="B4056" s="37"/>
      <c r="C4056" s="37"/>
      <c r="D4056" s="37"/>
      <c r="E4056" s="37"/>
      <c r="F4056" s="37"/>
      <c r="G4056" s="70"/>
    </row>
    <row r="4057" spans="2:7" x14ac:dyDescent="0.25">
      <c r="B4057" s="37"/>
      <c r="C4057" s="37"/>
      <c r="D4057" s="37"/>
      <c r="E4057" s="37"/>
      <c r="F4057" s="37"/>
      <c r="G4057" s="70"/>
    </row>
    <row r="4058" spans="2:7" x14ac:dyDescent="0.25">
      <c r="B4058" s="37"/>
      <c r="C4058" s="37"/>
      <c r="D4058" s="37"/>
      <c r="E4058" s="37"/>
      <c r="F4058" s="37"/>
      <c r="G4058" s="70"/>
    </row>
    <row r="4059" spans="2:7" x14ac:dyDescent="0.25">
      <c r="B4059" s="37"/>
      <c r="C4059" s="37"/>
      <c r="D4059" s="37"/>
      <c r="E4059" s="37"/>
      <c r="F4059" s="37"/>
      <c r="G4059" s="70"/>
    </row>
    <row r="4060" spans="2:7" x14ac:dyDescent="0.25">
      <c r="B4060" s="37"/>
      <c r="C4060" s="37"/>
      <c r="D4060" s="37"/>
      <c r="E4060" s="37"/>
      <c r="F4060" s="37"/>
      <c r="G4060" s="70"/>
    </row>
    <row r="4061" spans="2:7" x14ac:dyDescent="0.25">
      <c r="B4061" s="37"/>
      <c r="C4061" s="37"/>
      <c r="D4061" s="37"/>
      <c r="E4061" s="37"/>
      <c r="F4061" s="37"/>
      <c r="G4061" s="70"/>
    </row>
    <row r="4062" spans="2:7" x14ac:dyDescent="0.25">
      <c r="B4062" s="37"/>
      <c r="C4062" s="37"/>
      <c r="D4062" s="37"/>
      <c r="E4062" s="37"/>
      <c r="F4062" s="37"/>
      <c r="G4062" s="70"/>
    </row>
    <row r="4063" spans="2:7" x14ac:dyDescent="0.25">
      <c r="B4063" s="37"/>
      <c r="C4063" s="37"/>
      <c r="D4063" s="37"/>
      <c r="E4063" s="37"/>
      <c r="F4063" s="37"/>
      <c r="G4063" s="70"/>
    </row>
    <row r="4064" spans="2:7" x14ac:dyDescent="0.25">
      <c r="B4064" s="37"/>
      <c r="C4064" s="37"/>
      <c r="D4064" s="37"/>
      <c r="E4064" s="37"/>
      <c r="F4064" s="37"/>
      <c r="G4064" s="70"/>
    </row>
    <row r="4065" spans="2:7" x14ac:dyDescent="0.25">
      <c r="B4065" s="37"/>
      <c r="C4065" s="37"/>
      <c r="D4065" s="37"/>
      <c r="E4065" s="37"/>
      <c r="F4065" s="37"/>
      <c r="G4065" s="70"/>
    </row>
    <row r="4066" spans="2:7" x14ac:dyDescent="0.25">
      <c r="B4066" s="37"/>
      <c r="C4066" s="37"/>
      <c r="D4066" s="37"/>
      <c r="E4066" s="37"/>
      <c r="F4066" s="37"/>
      <c r="G4066" s="70"/>
    </row>
    <row r="4067" spans="2:7" x14ac:dyDescent="0.25">
      <c r="B4067" s="37"/>
      <c r="C4067" s="37"/>
      <c r="D4067" s="37"/>
      <c r="E4067" s="37"/>
      <c r="F4067" s="37"/>
      <c r="G4067" s="70"/>
    </row>
    <row r="4068" spans="2:7" x14ac:dyDescent="0.25">
      <c r="B4068" s="37"/>
      <c r="C4068" s="37"/>
      <c r="D4068" s="37"/>
      <c r="E4068" s="37"/>
      <c r="F4068" s="37"/>
      <c r="G4068" s="70"/>
    </row>
    <row r="4069" spans="2:7" x14ac:dyDescent="0.25">
      <c r="B4069" s="37"/>
      <c r="C4069" s="37"/>
      <c r="D4069" s="37"/>
      <c r="E4069" s="37"/>
      <c r="F4069" s="37"/>
      <c r="G4069" s="70"/>
    </row>
    <row r="4070" spans="2:7" x14ac:dyDescent="0.25">
      <c r="B4070" s="37"/>
      <c r="C4070" s="37"/>
      <c r="D4070" s="37"/>
      <c r="E4070" s="37"/>
      <c r="F4070" s="37"/>
      <c r="G4070" s="70"/>
    </row>
    <row r="4071" spans="2:7" x14ac:dyDescent="0.25">
      <c r="B4071" s="37"/>
      <c r="C4071" s="37"/>
      <c r="D4071" s="37"/>
      <c r="E4071" s="37"/>
      <c r="F4071" s="37"/>
      <c r="G4071" s="70"/>
    </row>
    <row r="4072" spans="2:7" x14ac:dyDescent="0.25">
      <c r="B4072" s="37"/>
      <c r="C4072" s="37"/>
      <c r="D4072" s="37"/>
      <c r="E4072" s="37"/>
      <c r="F4072" s="37"/>
      <c r="G4072" s="70"/>
    </row>
    <row r="4073" spans="2:7" x14ac:dyDescent="0.25">
      <c r="B4073" s="37"/>
      <c r="C4073" s="37"/>
      <c r="D4073" s="37"/>
      <c r="E4073" s="37"/>
      <c r="F4073" s="37"/>
      <c r="G4073" s="70"/>
    </row>
    <row r="4074" spans="2:7" x14ac:dyDescent="0.25">
      <c r="B4074" s="37"/>
      <c r="C4074" s="37"/>
      <c r="D4074" s="37"/>
      <c r="E4074" s="37"/>
      <c r="F4074" s="37"/>
      <c r="G4074" s="70"/>
    </row>
    <row r="4075" spans="2:7" x14ac:dyDescent="0.25">
      <c r="B4075" s="37"/>
      <c r="C4075" s="37"/>
      <c r="D4075" s="37"/>
      <c r="E4075" s="37"/>
      <c r="F4075" s="37"/>
      <c r="G4075" s="70"/>
    </row>
    <row r="4076" spans="2:7" x14ac:dyDescent="0.25">
      <c r="B4076" s="37"/>
      <c r="C4076" s="37"/>
      <c r="D4076" s="37"/>
      <c r="E4076" s="37"/>
      <c r="F4076" s="37"/>
      <c r="G4076" s="70"/>
    </row>
    <row r="4077" spans="2:7" x14ac:dyDescent="0.25">
      <c r="B4077" s="37"/>
      <c r="C4077" s="37"/>
      <c r="D4077" s="37"/>
      <c r="E4077" s="37"/>
      <c r="F4077" s="37"/>
      <c r="G4077" s="70"/>
    </row>
    <row r="4078" spans="2:7" x14ac:dyDescent="0.25">
      <c r="B4078" s="37"/>
      <c r="C4078" s="37"/>
      <c r="D4078" s="37"/>
      <c r="E4078" s="37"/>
      <c r="F4078" s="37"/>
      <c r="G4078" s="70"/>
    </row>
    <row r="4079" spans="2:7" x14ac:dyDescent="0.25">
      <c r="B4079" s="37"/>
      <c r="C4079" s="37"/>
      <c r="D4079" s="37"/>
      <c r="E4079" s="37"/>
      <c r="F4079" s="37"/>
      <c r="G4079" s="70"/>
    </row>
    <row r="4080" spans="2:7" x14ac:dyDescent="0.25">
      <c r="B4080" s="37"/>
      <c r="C4080" s="37"/>
      <c r="D4080" s="37"/>
      <c r="E4080" s="37"/>
      <c r="F4080" s="37"/>
      <c r="G4080" s="70"/>
    </row>
    <row r="4081" spans="2:7" x14ac:dyDescent="0.25">
      <c r="B4081" s="37"/>
      <c r="C4081" s="37"/>
      <c r="D4081" s="37"/>
      <c r="E4081" s="37"/>
      <c r="F4081" s="37"/>
      <c r="G4081" s="70"/>
    </row>
    <row r="4082" spans="2:7" x14ac:dyDescent="0.25">
      <c r="B4082" s="37"/>
      <c r="C4082" s="37"/>
      <c r="D4082" s="37"/>
      <c r="E4082" s="37"/>
      <c r="F4082" s="37"/>
      <c r="G4082" s="70"/>
    </row>
    <row r="4083" spans="2:7" x14ac:dyDescent="0.25">
      <c r="B4083" s="37"/>
      <c r="C4083" s="37"/>
      <c r="D4083" s="37"/>
      <c r="E4083" s="37"/>
      <c r="F4083" s="37"/>
      <c r="G4083" s="70"/>
    </row>
    <row r="4084" spans="2:7" x14ac:dyDescent="0.25">
      <c r="B4084" s="37"/>
      <c r="C4084" s="37"/>
      <c r="D4084" s="37"/>
      <c r="E4084" s="37"/>
      <c r="F4084" s="37"/>
      <c r="G4084" s="70"/>
    </row>
    <row r="4085" spans="2:7" x14ac:dyDescent="0.25">
      <c r="B4085" s="37"/>
      <c r="C4085" s="37"/>
      <c r="D4085" s="37"/>
      <c r="E4085" s="37"/>
      <c r="F4085" s="37"/>
      <c r="G4085" s="70"/>
    </row>
    <row r="4086" spans="2:7" x14ac:dyDescent="0.25">
      <c r="B4086" s="37"/>
      <c r="C4086" s="37"/>
      <c r="D4086" s="37"/>
      <c r="E4086" s="37"/>
      <c r="F4086" s="37"/>
      <c r="G4086" s="70"/>
    </row>
    <row r="4087" spans="2:7" x14ac:dyDescent="0.25">
      <c r="B4087" s="37"/>
      <c r="C4087" s="37"/>
      <c r="D4087" s="37"/>
      <c r="E4087" s="37"/>
      <c r="F4087" s="37"/>
      <c r="G4087" s="70"/>
    </row>
    <row r="4088" spans="2:7" x14ac:dyDescent="0.25">
      <c r="B4088" s="37"/>
      <c r="C4088" s="37"/>
      <c r="D4088" s="37"/>
      <c r="E4088" s="37"/>
      <c r="F4088" s="37"/>
      <c r="G4088" s="70"/>
    </row>
    <row r="4089" spans="2:7" x14ac:dyDescent="0.25">
      <c r="B4089" s="37"/>
      <c r="C4089" s="37"/>
      <c r="D4089" s="37"/>
      <c r="E4089" s="37"/>
      <c r="F4089" s="37"/>
      <c r="G4089" s="70"/>
    </row>
    <row r="4090" spans="2:7" x14ac:dyDescent="0.25">
      <c r="B4090" s="37"/>
      <c r="C4090" s="37"/>
      <c r="D4090" s="37"/>
      <c r="E4090" s="37"/>
      <c r="F4090" s="37"/>
      <c r="G4090" s="70"/>
    </row>
    <row r="4091" spans="2:7" x14ac:dyDescent="0.25">
      <c r="B4091" s="37"/>
      <c r="C4091" s="37"/>
      <c r="D4091" s="37"/>
      <c r="E4091" s="37"/>
      <c r="F4091" s="37"/>
      <c r="G4091" s="70"/>
    </row>
    <row r="4092" spans="2:7" x14ac:dyDescent="0.25">
      <c r="B4092" s="37"/>
      <c r="C4092" s="37"/>
      <c r="D4092" s="37"/>
      <c r="E4092" s="37"/>
      <c r="F4092" s="37"/>
      <c r="G4092" s="70"/>
    </row>
    <row r="4093" spans="2:7" x14ac:dyDescent="0.25">
      <c r="B4093" s="37"/>
      <c r="C4093" s="37"/>
      <c r="D4093" s="37"/>
      <c r="E4093" s="37"/>
      <c r="F4093" s="37"/>
      <c r="G4093" s="70"/>
    </row>
    <row r="4094" spans="2:7" x14ac:dyDescent="0.25">
      <c r="B4094" s="37"/>
      <c r="C4094" s="37"/>
      <c r="D4094" s="37"/>
      <c r="E4094" s="37"/>
      <c r="F4094" s="37"/>
      <c r="G4094" s="70"/>
    </row>
    <row r="4095" spans="2:7" x14ac:dyDescent="0.25">
      <c r="B4095" s="37"/>
      <c r="C4095" s="37"/>
      <c r="D4095" s="37"/>
      <c r="E4095" s="37"/>
      <c r="F4095" s="37"/>
      <c r="G4095" s="70"/>
    </row>
    <row r="4096" spans="2:7" x14ac:dyDescent="0.25">
      <c r="B4096" s="37"/>
      <c r="C4096" s="37"/>
      <c r="D4096" s="37"/>
      <c r="E4096" s="37"/>
      <c r="F4096" s="37"/>
      <c r="G4096" s="70"/>
    </row>
    <row r="4097" spans="2:7" x14ac:dyDescent="0.25">
      <c r="B4097" s="37"/>
      <c r="C4097" s="37"/>
      <c r="D4097" s="37"/>
      <c r="E4097" s="37"/>
      <c r="F4097" s="37"/>
      <c r="G4097" s="70"/>
    </row>
    <row r="4098" spans="2:7" x14ac:dyDescent="0.25">
      <c r="B4098" s="37"/>
      <c r="C4098" s="37"/>
      <c r="D4098" s="37"/>
      <c r="E4098" s="37"/>
      <c r="F4098" s="37"/>
      <c r="G4098" s="70"/>
    </row>
    <row r="4099" spans="2:7" x14ac:dyDescent="0.25">
      <c r="B4099" s="37"/>
      <c r="C4099" s="37"/>
      <c r="D4099" s="37"/>
      <c r="E4099" s="37"/>
      <c r="F4099" s="37"/>
      <c r="G4099" s="70"/>
    </row>
    <row r="4100" spans="2:7" x14ac:dyDescent="0.25">
      <c r="B4100" s="37"/>
      <c r="C4100" s="37"/>
      <c r="D4100" s="37"/>
      <c r="E4100" s="37"/>
      <c r="F4100" s="37"/>
      <c r="G4100" s="70"/>
    </row>
    <row r="4101" spans="2:7" x14ac:dyDescent="0.25">
      <c r="B4101" s="37"/>
      <c r="C4101" s="37"/>
      <c r="D4101" s="37"/>
      <c r="E4101" s="37"/>
      <c r="F4101" s="37"/>
      <c r="G4101" s="70"/>
    </row>
    <row r="4102" spans="2:7" x14ac:dyDescent="0.25">
      <c r="B4102" s="37"/>
      <c r="C4102" s="37"/>
      <c r="D4102" s="37"/>
      <c r="E4102" s="37"/>
      <c r="F4102" s="37"/>
      <c r="G4102" s="70"/>
    </row>
    <row r="4103" spans="2:7" x14ac:dyDescent="0.25">
      <c r="B4103" s="37"/>
      <c r="C4103" s="37"/>
      <c r="D4103" s="37"/>
      <c r="E4103" s="37"/>
      <c r="F4103" s="37"/>
      <c r="G4103" s="70"/>
    </row>
    <row r="4104" spans="2:7" x14ac:dyDescent="0.25">
      <c r="B4104" s="37"/>
      <c r="C4104" s="37"/>
      <c r="D4104" s="37"/>
      <c r="E4104" s="37"/>
      <c r="F4104" s="37"/>
      <c r="G4104" s="70"/>
    </row>
    <row r="4105" spans="2:7" x14ac:dyDescent="0.25">
      <c r="B4105" s="37"/>
      <c r="C4105" s="37"/>
      <c r="D4105" s="37"/>
      <c r="E4105" s="37"/>
      <c r="F4105" s="37"/>
      <c r="G4105" s="70"/>
    </row>
    <row r="4106" spans="2:7" x14ac:dyDescent="0.25">
      <c r="B4106" s="37"/>
      <c r="C4106" s="37"/>
      <c r="D4106" s="37"/>
      <c r="E4106" s="37"/>
      <c r="F4106" s="37"/>
      <c r="G4106" s="70"/>
    </row>
    <row r="4107" spans="2:7" x14ac:dyDescent="0.25">
      <c r="B4107" s="37"/>
      <c r="C4107" s="37"/>
      <c r="D4107" s="37"/>
      <c r="E4107" s="37"/>
      <c r="F4107" s="37"/>
      <c r="G4107" s="70"/>
    </row>
    <row r="4108" spans="2:7" x14ac:dyDescent="0.25">
      <c r="B4108" s="37"/>
      <c r="C4108" s="37"/>
      <c r="D4108" s="37"/>
      <c r="E4108" s="37"/>
      <c r="F4108" s="37"/>
      <c r="G4108" s="70"/>
    </row>
    <row r="4109" spans="2:7" x14ac:dyDescent="0.25">
      <c r="B4109" s="37"/>
      <c r="C4109" s="37"/>
      <c r="D4109" s="37"/>
      <c r="E4109" s="37"/>
      <c r="F4109" s="37"/>
      <c r="G4109" s="70"/>
    </row>
    <row r="4110" spans="2:7" x14ac:dyDescent="0.25">
      <c r="B4110" s="37"/>
      <c r="C4110" s="37"/>
      <c r="D4110" s="37"/>
      <c r="E4110" s="37"/>
      <c r="F4110" s="37"/>
      <c r="G4110" s="70"/>
    </row>
    <row r="4111" spans="2:7" x14ac:dyDescent="0.25">
      <c r="B4111" s="37"/>
      <c r="C4111" s="37"/>
      <c r="D4111" s="37"/>
      <c r="E4111" s="37"/>
      <c r="F4111" s="37"/>
      <c r="G4111" s="70"/>
    </row>
    <row r="4112" spans="2:7" x14ac:dyDescent="0.25">
      <c r="B4112" s="37"/>
      <c r="C4112" s="37"/>
      <c r="D4112" s="37"/>
      <c r="E4112" s="37"/>
      <c r="F4112" s="37"/>
      <c r="G4112" s="70"/>
    </row>
    <row r="4113" spans="2:7" x14ac:dyDescent="0.25">
      <c r="B4113" s="37"/>
      <c r="C4113" s="37"/>
      <c r="D4113" s="37"/>
      <c r="E4113" s="37"/>
      <c r="F4113" s="37"/>
      <c r="G4113" s="70"/>
    </row>
    <row r="4114" spans="2:7" x14ac:dyDescent="0.25">
      <c r="B4114" s="37"/>
      <c r="C4114" s="37"/>
      <c r="D4114" s="37"/>
      <c r="E4114" s="37"/>
      <c r="F4114" s="37"/>
      <c r="G4114" s="70"/>
    </row>
    <row r="4115" spans="2:7" x14ac:dyDescent="0.25">
      <c r="B4115" s="37"/>
      <c r="C4115" s="37"/>
      <c r="D4115" s="37"/>
      <c r="E4115" s="37"/>
      <c r="F4115" s="37"/>
      <c r="G4115" s="70"/>
    </row>
    <row r="4116" spans="2:7" x14ac:dyDescent="0.25">
      <c r="B4116" s="37"/>
      <c r="C4116" s="37"/>
      <c r="D4116" s="37"/>
      <c r="E4116" s="37"/>
      <c r="F4116" s="37"/>
      <c r="G4116" s="70"/>
    </row>
    <row r="4117" spans="2:7" x14ac:dyDescent="0.25">
      <c r="B4117" s="37"/>
      <c r="C4117" s="37"/>
      <c r="D4117" s="37"/>
      <c r="E4117" s="37"/>
      <c r="F4117" s="37"/>
      <c r="G4117" s="70"/>
    </row>
    <row r="4118" spans="2:7" x14ac:dyDescent="0.25">
      <c r="B4118" s="37"/>
      <c r="C4118" s="37"/>
      <c r="D4118" s="37"/>
      <c r="E4118" s="37"/>
      <c r="F4118" s="37"/>
      <c r="G4118" s="70"/>
    </row>
    <row r="4119" spans="2:7" x14ac:dyDescent="0.25">
      <c r="B4119" s="37"/>
      <c r="C4119" s="37"/>
      <c r="D4119" s="37"/>
      <c r="E4119" s="37"/>
      <c r="F4119" s="37"/>
      <c r="G4119" s="70"/>
    </row>
    <row r="4120" spans="2:7" x14ac:dyDescent="0.25">
      <c r="B4120" s="37"/>
      <c r="C4120" s="37"/>
      <c r="D4120" s="37"/>
      <c r="E4120" s="37"/>
      <c r="F4120" s="37"/>
      <c r="G4120" s="70"/>
    </row>
    <row r="4121" spans="2:7" x14ac:dyDescent="0.25">
      <c r="B4121" s="37"/>
      <c r="C4121" s="37"/>
      <c r="D4121" s="37"/>
      <c r="E4121" s="37"/>
      <c r="F4121" s="37"/>
      <c r="G4121" s="70"/>
    </row>
    <row r="4122" spans="2:7" x14ac:dyDescent="0.25">
      <c r="B4122" s="37"/>
      <c r="C4122" s="37"/>
      <c r="D4122" s="37"/>
      <c r="E4122" s="37"/>
      <c r="F4122" s="37"/>
      <c r="G4122" s="70"/>
    </row>
    <row r="4123" spans="2:7" x14ac:dyDescent="0.25">
      <c r="B4123" s="37"/>
      <c r="C4123" s="37"/>
      <c r="D4123" s="37"/>
      <c r="E4123" s="37"/>
      <c r="F4123" s="37"/>
      <c r="G4123" s="70"/>
    </row>
    <row r="4124" spans="2:7" x14ac:dyDescent="0.25">
      <c r="B4124" s="37"/>
      <c r="C4124" s="37"/>
      <c r="D4124" s="37"/>
      <c r="E4124" s="37"/>
      <c r="F4124" s="37"/>
      <c r="G4124" s="70"/>
    </row>
    <row r="4125" spans="2:7" x14ac:dyDescent="0.25">
      <c r="B4125" s="37"/>
      <c r="C4125" s="37"/>
      <c r="D4125" s="37"/>
      <c r="E4125" s="37"/>
      <c r="F4125" s="37"/>
      <c r="G4125" s="70"/>
    </row>
    <row r="4126" spans="2:7" x14ac:dyDescent="0.25">
      <c r="B4126" s="37"/>
      <c r="C4126" s="37"/>
      <c r="D4126" s="37"/>
      <c r="E4126" s="37"/>
      <c r="F4126" s="37"/>
      <c r="G4126" s="70"/>
    </row>
    <row r="4127" spans="2:7" x14ac:dyDescent="0.25">
      <c r="B4127" s="37"/>
      <c r="C4127" s="37"/>
      <c r="D4127" s="37"/>
      <c r="E4127" s="37"/>
      <c r="F4127" s="37"/>
      <c r="G4127" s="70"/>
    </row>
    <row r="4128" spans="2:7" x14ac:dyDescent="0.25">
      <c r="B4128" s="37"/>
      <c r="C4128" s="37"/>
      <c r="D4128" s="37"/>
      <c r="E4128" s="37"/>
      <c r="F4128" s="37"/>
      <c r="G4128" s="70"/>
    </row>
    <row r="4129" spans="2:7" x14ac:dyDescent="0.25">
      <c r="B4129" s="37"/>
      <c r="C4129" s="37"/>
      <c r="D4129" s="37"/>
      <c r="E4129" s="37"/>
      <c r="F4129" s="37"/>
      <c r="G4129" s="70"/>
    </row>
    <row r="4130" spans="2:7" x14ac:dyDescent="0.25">
      <c r="B4130" s="37"/>
      <c r="C4130" s="37"/>
      <c r="D4130" s="37"/>
      <c r="E4130" s="37"/>
      <c r="F4130" s="37"/>
      <c r="G4130" s="70"/>
    </row>
    <row r="4131" spans="2:7" x14ac:dyDescent="0.25">
      <c r="B4131" s="37"/>
      <c r="C4131" s="37"/>
      <c r="D4131" s="37"/>
      <c r="E4131" s="37"/>
      <c r="F4131" s="37"/>
      <c r="G4131" s="70"/>
    </row>
    <row r="4132" spans="2:7" x14ac:dyDescent="0.25">
      <c r="B4132" s="37"/>
      <c r="C4132" s="37"/>
      <c r="D4132" s="37"/>
      <c r="E4132" s="37"/>
      <c r="F4132" s="37"/>
      <c r="G4132" s="70"/>
    </row>
    <row r="4133" spans="2:7" x14ac:dyDescent="0.25">
      <c r="B4133" s="37"/>
      <c r="C4133" s="37"/>
      <c r="D4133" s="37"/>
      <c r="E4133" s="37"/>
      <c r="F4133" s="37"/>
      <c r="G4133" s="70"/>
    </row>
    <row r="4134" spans="2:7" x14ac:dyDescent="0.25">
      <c r="B4134" s="37"/>
      <c r="C4134" s="37"/>
      <c r="D4134" s="37"/>
      <c r="E4134" s="37"/>
      <c r="F4134" s="37"/>
      <c r="G4134" s="70"/>
    </row>
    <row r="4135" spans="2:7" x14ac:dyDescent="0.25">
      <c r="B4135" s="37"/>
      <c r="C4135" s="37"/>
      <c r="D4135" s="37"/>
      <c r="E4135" s="37"/>
      <c r="F4135" s="37"/>
      <c r="G4135" s="70"/>
    </row>
    <row r="4136" spans="2:7" x14ac:dyDescent="0.25">
      <c r="B4136" s="37"/>
      <c r="C4136" s="37"/>
      <c r="D4136" s="37"/>
      <c r="E4136" s="37"/>
      <c r="F4136" s="37"/>
      <c r="G4136" s="70"/>
    </row>
    <row r="4137" spans="2:7" x14ac:dyDescent="0.25">
      <c r="B4137" s="37"/>
      <c r="C4137" s="37"/>
      <c r="D4137" s="37"/>
      <c r="E4137" s="37"/>
      <c r="F4137" s="37"/>
      <c r="G4137" s="70"/>
    </row>
    <row r="4138" spans="2:7" x14ac:dyDescent="0.25">
      <c r="B4138" s="37"/>
      <c r="C4138" s="37"/>
      <c r="D4138" s="37"/>
      <c r="E4138" s="37"/>
      <c r="F4138" s="37"/>
      <c r="G4138" s="70"/>
    </row>
    <row r="4139" spans="2:7" x14ac:dyDescent="0.25">
      <c r="B4139" s="37"/>
      <c r="C4139" s="37"/>
      <c r="D4139" s="37"/>
      <c r="E4139" s="37"/>
      <c r="F4139" s="37"/>
      <c r="G4139" s="70"/>
    </row>
    <row r="4140" spans="2:7" x14ac:dyDescent="0.25">
      <c r="B4140" s="37"/>
      <c r="C4140" s="37"/>
      <c r="D4140" s="37"/>
      <c r="E4140" s="37"/>
      <c r="F4140" s="37"/>
      <c r="G4140" s="70"/>
    </row>
    <row r="4141" spans="2:7" x14ac:dyDescent="0.25">
      <c r="B4141" s="37"/>
      <c r="C4141" s="37"/>
      <c r="D4141" s="37"/>
      <c r="E4141" s="37"/>
      <c r="F4141" s="37"/>
      <c r="G4141" s="70"/>
    </row>
    <row r="4142" spans="2:7" x14ac:dyDescent="0.25">
      <c r="B4142" s="37"/>
      <c r="C4142" s="37"/>
      <c r="D4142" s="37"/>
      <c r="E4142" s="37"/>
      <c r="F4142" s="37"/>
      <c r="G4142" s="70"/>
    </row>
    <row r="4143" spans="2:7" x14ac:dyDescent="0.25">
      <c r="B4143" s="37"/>
      <c r="C4143" s="37"/>
      <c r="D4143" s="37"/>
      <c r="E4143" s="37"/>
      <c r="F4143" s="37"/>
      <c r="G4143" s="70"/>
    </row>
    <row r="4144" spans="2:7" x14ac:dyDescent="0.25">
      <c r="B4144" s="37"/>
      <c r="C4144" s="37"/>
      <c r="D4144" s="37"/>
      <c r="E4144" s="37"/>
      <c r="F4144" s="37"/>
      <c r="G4144" s="70"/>
    </row>
    <row r="4145" spans="2:7" x14ac:dyDescent="0.25">
      <c r="B4145" s="37"/>
      <c r="C4145" s="37"/>
      <c r="D4145" s="37"/>
      <c r="E4145" s="37"/>
      <c r="F4145" s="37"/>
      <c r="G4145" s="70"/>
    </row>
    <row r="4146" spans="2:7" x14ac:dyDescent="0.25">
      <c r="B4146" s="37"/>
      <c r="C4146" s="37"/>
      <c r="D4146" s="37"/>
      <c r="E4146" s="37"/>
      <c r="F4146" s="37"/>
      <c r="G4146" s="70"/>
    </row>
    <row r="4147" spans="2:7" x14ac:dyDescent="0.25">
      <c r="B4147" s="37"/>
      <c r="C4147" s="37"/>
      <c r="D4147" s="37"/>
      <c r="E4147" s="37"/>
      <c r="F4147" s="37"/>
      <c r="G4147" s="70"/>
    </row>
    <row r="4148" spans="2:7" x14ac:dyDescent="0.25">
      <c r="B4148" s="37"/>
      <c r="C4148" s="37"/>
      <c r="D4148" s="37"/>
      <c r="E4148" s="37"/>
      <c r="F4148" s="37"/>
      <c r="G4148" s="70"/>
    </row>
    <row r="4149" spans="2:7" x14ac:dyDescent="0.25">
      <c r="B4149" s="37"/>
      <c r="C4149" s="37"/>
      <c r="D4149" s="37"/>
      <c r="E4149" s="37"/>
      <c r="F4149" s="37"/>
      <c r="G4149" s="70"/>
    </row>
    <row r="4150" spans="2:7" x14ac:dyDescent="0.25">
      <c r="B4150" s="37"/>
      <c r="C4150" s="37"/>
      <c r="D4150" s="37"/>
      <c r="E4150" s="37"/>
      <c r="F4150" s="37"/>
      <c r="G4150" s="70"/>
    </row>
    <row r="4151" spans="2:7" x14ac:dyDescent="0.25">
      <c r="B4151" s="37"/>
      <c r="C4151" s="37"/>
      <c r="D4151" s="37"/>
      <c r="E4151" s="37"/>
      <c r="F4151" s="37"/>
      <c r="G4151" s="70"/>
    </row>
    <row r="4152" spans="2:7" x14ac:dyDescent="0.25">
      <c r="B4152" s="37"/>
      <c r="C4152" s="37"/>
      <c r="D4152" s="37"/>
      <c r="E4152" s="37"/>
      <c r="F4152" s="37"/>
      <c r="G4152" s="70"/>
    </row>
    <row r="4153" spans="2:7" x14ac:dyDescent="0.25">
      <c r="B4153" s="37"/>
      <c r="C4153" s="37"/>
      <c r="D4153" s="37"/>
      <c r="E4153" s="37"/>
      <c r="F4153" s="37"/>
      <c r="G4153" s="70"/>
    </row>
    <row r="4154" spans="2:7" x14ac:dyDescent="0.25">
      <c r="B4154" s="37"/>
      <c r="C4154" s="37"/>
      <c r="D4154" s="37"/>
      <c r="E4154" s="37"/>
      <c r="F4154" s="37"/>
      <c r="G4154" s="70"/>
    </row>
    <row r="4155" spans="2:7" x14ac:dyDescent="0.25">
      <c r="B4155" s="37"/>
      <c r="C4155" s="37"/>
      <c r="D4155" s="37"/>
      <c r="E4155" s="37"/>
      <c r="F4155" s="37"/>
      <c r="G4155" s="70"/>
    </row>
    <row r="4156" spans="2:7" x14ac:dyDescent="0.25">
      <c r="B4156" s="37"/>
      <c r="C4156" s="37"/>
      <c r="D4156" s="37"/>
      <c r="E4156" s="37"/>
      <c r="F4156" s="37"/>
      <c r="G4156" s="70"/>
    </row>
    <row r="4157" spans="2:7" x14ac:dyDescent="0.25">
      <c r="B4157" s="37"/>
      <c r="C4157" s="37"/>
      <c r="D4157" s="37"/>
      <c r="E4157" s="37"/>
      <c r="F4157" s="37"/>
      <c r="G4157" s="70"/>
    </row>
    <row r="4158" spans="2:7" x14ac:dyDescent="0.25">
      <c r="B4158" s="37"/>
      <c r="C4158" s="37"/>
      <c r="D4158" s="37"/>
      <c r="E4158" s="37"/>
      <c r="F4158" s="37"/>
      <c r="G4158" s="70"/>
    </row>
    <row r="4159" spans="2:7" x14ac:dyDescent="0.25">
      <c r="B4159" s="37"/>
      <c r="C4159" s="37"/>
      <c r="D4159" s="37"/>
      <c r="E4159" s="37"/>
      <c r="F4159" s="37"/>
      <c r="G4159" s="70"/>
    </row>
    <row r="4160" spans="2:7" x14ac:dyDescent="0.25">
      <c r="B4160" s="37"/>
      <c r="C4160" s="37"/>
      <c r="D4160" s="37"/>
      <c r="E4160" s="37"/>
      <c r="F4160" s="37"/>
      <c r="G4160" s="70"/>
    </row>
    <row r="4161" spans="2:7" x14ac:dyDescent="0.25">
      <c r="B4161" s="37"/>
      <c r="C4161" s="37"/>
      <c r="D4161" s="37"/>
      <c r="E4161" s="37"/>
      <c r="F4161" s="37"/>
      <c r="G4161" s="70"/>
    </row>
    <row r="4162" spans="2:7" x14ac:dyDescent="0.25">
      <c r="B4162" s="37"/>
      <c r="C4162" s="37"/>
      <c r="D4162" s="37"/>
      <c r="E4162" s="37"/>
      <c r="F4162" s="37"/>
      <c r="G4162" s="70"/>
    </row>
    <row r="4163" spans="2:7" x14ac:dyDescent="0.25">
      <c r="B4163" s="37"/>
      <c r="C4163" s="37"/>
      <c r="D4163" s="37"/>
      <c r="E4163" s="37"/>
      <c r="F4163" s="37"/>
      <c r="G4163" s="70"/>
    </row>
    <row r="4164" spans="2:7" x14ac:dyDescent="0.25">
      <c r="B4164" s="37"/>
      <c r="C4164" s="37"/>
      <c r="D4164" s="37"/>
      <c r="E4164" s="37"/>
      <c r="F4164" s="37"/>
      <c r="G4164" s="70"/>
    </row>
    <row r="4165" spans="2:7" x14ac:dyDescent="0.25">
      <c r="B4165" s="37"/>
      <c r="C4165" s="37"/>
      <c r="D4165" s="37"/>
      <c r="E4165" s="37"/>
      <c r="F4165" s="37"/>
      <c r="G4165" s="70"/>
    </row>
    <row r="4166" spans="2:7" x14ac:dyDescent="0.25">
      <c r="B4166" s="37"/>
      <c r="C4166" s="37"/>
      <c r="D4166" s="37"/>
      <c r="E4166" s="37"/>
      <c r="F4166" s="37"/>
      <c r="G4166" s="70"/>
    </row>
    <row r="4167" spans="2:7" x14ac:dyDescent="0.25">
      <c r="B4167" s="37"/>
      <c r="C4167" s="37"/>
      <c r="D4167" s="37"/>
      <c r="E4167" s="37"/>
      <c r="F4167" s="37"/>
      <c r="G4167" s="70"/>
    </row>
    <row r="4168" spans="2:7" x14ac:dyDescent="0.25">
      <c r="B4168" s="37"/>
      <c r="C4168" s="37"/>
      <c r="D4168" s="37"/>
      <c r="E4168" s="37"/>
      <c r="F4168" s="37"/>
      <c r="G4168" s="70"/>
    </row>
    <row r="4169" spans="2:7" x14ac:dyDescent="0.25">
      <c r="B4169" s="37"/>
      <c r="C4169" s="37"/>
      <c r="D4169" s="37"/>
      <c r="E4169" s="37"/>
      <c r="F4169" s="37"/>
      <c r="G4169" s="70"/>
    </row>
    <row r="4170" spans="2:7" x14ac:dyDescent="0.25">
      <c r="B4170" s="37"/>
      <c r="C4170" s="37"/>
      <c r="D4170" s="37"/>
      <c r="E4170" s="37"/>
      <c r="F4170" s="37"/>
      <c r="G4170" s="70"/>
    </row>
    <row r="4171" spans="2:7" x14ac:dyDescent="0.25">
      <c r="B4171" s="37"/>
      <c r="C4171" s="37"/>
      <c r="D4171" s="37"/>
      <c r="E4171" s="37"/>
      <c r="F4171" s="37"/>
      <c r="G4171" s="70"/>
    </row>
    <row r="4172" spans="2:7" x14ac:dyDescent="0.25">
      <c r="B4172" s="37"/>
      <c r="C4172" s="37"/>
      <c r="D4172" s="37"/>
      <c r="E4172" s="37"/>
      <c r="F4172" s="37"/>
      <c r="G4172" s="70"/>
    </row>
    <row r="4173" spans="2:7" x14ac:dyDescent="0.25">
      <c r="B4173" s="37"/>
      <c r="C4173" s="37"/>
      <c r="D4173" s="37"/>
      <c r="E4173" s="37"/>
      <c r="F4173" s="37"/>
      <c r="G4173" s="70"/>
    </row>
    <row r="4174" spans="2:7" x14ac:dyDescent="0.25">
      <c r="B4174" s="37"/>
      <c r="C4174" s="37"/>
      <c r="D4174" s="37"/>
      <c r="E4174" s="37"/>
      <c r="F4174" s="37"/>
      <c r="G4174" s="70"/>
    </row>
    <row r="4175" spans="2:7" x14ac:dyDescent="0.25">
      <c r="B4175" s="37"/>
      <c r="C4175" s="37"/>
      <c r="D4175" s="37"/>
      <c r="E4175" s="37"/>
      <c r="F4175" s="37"/>
      <c r="G4175" s="70"/>
    </row>
    <row r="4176" spans="2:7" x14ac:dyDescent="0.25">
      <c r="B4176" s="37"/>
      <c r="C4176" s="37"/>
      <c r="D4176" s="37"/>
      <c r="E4176" s="37"/>
      <c r="F4176" s="37"/>
      <c r="G4176" s="70"/>
    </row>
    <row r="4177" spans="2:7" x14ac:dyDescent="0.25">
      <c r="B4177" s="37"/>
      <c r="C4177" s="37"/>
      <c r="D4177" s="37"/>
      <c r="E4177" s="37"/>
      <c r="F4177" s="37"/>
      <c r="G4177" s="70"/>
    </row>
    <row r="4178" spans="2:7" x14ac:dyDescent="0.25">
      <c r="B4178" s="37"/>
      <c r="C4178" s="37"/>
      <c r="D4178" s="37"/>
      <c r="E4178" s="37"/>
      <c r="F4178" s="37"/>
      <c r="G4178" s="70"/>
    </row>
    <row r="4179" spans="2:7" x14ac:dyDescent="0.25">
      <c r="B4179" s="37"/>
      <c r="C4179" s="37"/>
      <c r="D4179" s="37"/>
      <c r="E4179" s="37"/>
      <c r="F4179" s="37"/>
      <c r="G4179" s="70"/>
    </row>
    <row r="4180" spans="2:7" x14ac:dyDescent="0.25">
      <c r="B4180" s="37"/>
      <c r="C4180" s="37"/>
      <c r="D4180" s="37"/>
      <c r="E4180" s="37"/>
      <c r="F4180" s="37"/>
      <c r="G4180" s="70"/>
    </row>
    <row r="4181" spans="2:7" x14ac:dyDescent="0.25">
      <c r="B4181" s="37"/>
      <c r="C4181" s="37"/>
      <c r="D4181" s="37"/>
      <c r="E4181" s="37"/>
      <c r="F4181" s="37"/>
      <c r="G4181" s="70"/>
    </row>
    <row r="4182" spans="2:7" x14ac:dyDescent="0.25">
      <c r="B4182" s="37"/>
      <c r="C4182" s="37"/>
      <c r="D4182" s="37"/>
      <c r="E4182" s="37"/>
      <c r="F4182" s="37"/>
      <c r="G4182" s="70"/>
    </row>
    <row r="4183" spans="2:7" x14ac:dyDescent="0.25">
      <c r="B4183" s="37"/>
      <c r="C4183" s="37"/>
      <c r="D4183" s="37"/>
      <c r="E4183" s="37"/>
      <c r="F4183" s="37"/>
      <c r="G4183" s="70"/>
    </row>
    <row r="4184" spans="2:7" x14ac:dyDescent="0.25">
      <c r="B4184" s="37"/>
      <c r="C4184" s="37"/>
      <c r="D4184" s="37"/>
      <c r="E4184" s="37"/>
      <c r="F4184" s="37"/>
      <c r="G4184" s="70"/>
    </row>
    <row r="4185" spans="2:7" x14ac:dyDescent="0.25">
      <c r="B4185" s="37"/>
      <c r="C4185" s="37"/>
      <c r="D4185" s="37"/>
      <c r="E4185" s="37"/>
      <c r="F4185" s="37"/>
      <c r="G4185" s="70"/>
    </row>
    <row r="4186" spans="2:7" x14ac:dyDescent="0.25">
      <c r="B4186" s="37"/>
      <c r="C4186" s="37"/>
      <c r="D4186" s="37"/>
      <c r="E4186" s="37"/>
      <c r="F4186" s="37"/>
      <c r="G4186" s="70"/>
    </row>
    <row r="4187" spans="2:7" x14ac:dyDescent="0.25">
      <c r="B4187" s="37"/>
      <c r="C4187" s="37"/>
      <c r="D4187" s="37"/>
      <c r="E4187" s="37"/>
      <c r="F4187" s="37"/>
      <c r="G4187" s="70"/>
    </row>
    <row r="4188" spans="2:7" x14ac:dyDescent="0.25">
      <c r="B4188" s="37"/>
      <c r="C4188" s="37"/>
      <c r="D4188" s="37"/>
      <c r="E4188" s="37"/>
      <c r="F4188" s="37"/>
      <c r="G4188" s="70"/>
    </row>
    <row r="4189" spans="2:7" x14ac:dyDescent="0.25">
      <c r="B4189" s="37"/>
      <c r="C4189" s="37"/>
      <c r="D4189" s="37"/>
      <c r="E4189" s="37"/>
      <c r="F4189" s="37"/>
      <c r="G4189" s="70"/>
    </row>
    <row r="4190" spans="2:7" x14ac:dyDescent="0.25">
      <c r="B4190" s="37"/>
      <c r="C4190" s="37"/>
      <c r="D4190" s="37"/>
      <c r="E4190" s="37"/>
      <c r="F4190" s="37"/>
      <c r="G4190" s="70"/>
    </row>
    <row r="4191" spans="2:7" x14ac:dyDescent="0.25">
      <c r="B4191" s="37"/>
      <c r="C4191" s="37"/>
      <c r="D4191" s="37"/>
      <c r="E4191" s="37"/>
      <c r="F4191" s="37"/>
      <c r="G4191" s="70"/>
    </row>
    <row r="4192" spans="2:7" x14ac:dyDescent="0.25">
      <c r="B4192" s="37"/>
      <c r="C4192" s="37"/>
      <c r="D4192" s="37"/>
      <c r="E4192" s="37"/>
      <c r="F4192" s="37"/>
      <c r="G4192" s="70"/>
    </row>
    <row r="4193" spans="2:7" x14ac:dyDescent="0.25">
      <c r="B4193" s="37"/>
      <c r="C4193" s="37"/>
      <c r="D4193" s="37"/>
      <c r="E4193" s="37"/>
      <c r="F4193" s="37"/>
      <c r="G4193" s="70"/>
    </row>
    <row r="4194" spans="2:7" x14ac:dyDescent="0.25">
      <c r="B4194" s="37"/>
      <c r="C4194" s="37"/>
      <c r="D4194" s="37"/>
      <c r="E4194" s="37"/>
      <c r="F4194" s="37"/>
      <c r="G4194" s="70"/>
    </row>
    <row r="4195" spans="2:7" x14ac:dyDescent="0.25">
      <c r="B4195" s="37"/>
      <c r="C4195" s="37"/>
      <c r="D4195" s="37"/>
      <c r="E4195" s="37"/>
      <c r="F4195" s="37"/>
      <c r="G4195" s="70"/>
    </row>
    <row r="4196" spans="2:7" x14ac:dyDescent="0.25">
      <c r="B4196" s="37"/>
      <c r="C4196" s="37"/>
      <c r="D4196" s="37"/>
      <c r="E4196" s="37"/>
      <c r="F4196" s="37"/>
      <c r="G4196" s="70"/>
    </row>
    <row r="4197" spans="2:7" x14ac:dyDescent="0.25">
      <c r="B4197" s="37"/>
      <c r="C4197" s="37"/>
      <c r="D4197" s="37"/>
      <c r="E4197" s="37"/>
      <c r="F4197" s="37"/>
      <c r="G4197" s="70"/>
    </row>
    <row r="4198" spans="2:7" x14ac:dyDescent="0.25">
      <c r="B4198" s="37"/>
      <c r="C4198" s="37"/>
      <c r="D4198" s="37"/>
      <c r="E4198" s="37"/>
      <c r="F4198" s="37"/>
      <c r="G4198" s="70"/>
    </row>
    <row r="4199" spans="2:7" x14ac:dyDescent="0.25">
      <c r="B4199" s="37"/>
      <c r="C4199" s="37"/>
      <c r="D4199" s="37"/>
      <c r="E4199" s="37"/>
      <c r="F4199" s="37"/>
      <c r="G4199" s="70"/>
    </row>
    <row r="4200" spans="2:7" x14ac:dyDescent="0.25">
      <c r="B4200" s="37"/>
      <c r="C4200" s="37"/>
      <c r="D4200" s="37"/>
      <c r="E4200" s="37"/>
      <c r="F4200" s="37"/>
      <c r="G4200" s="70"/>
    </row>
    <row r="4201" spans="2:7" x14ac:dyDescent="0.25">
      <c r="B4201" s="37"/>
      <c r="C4201" s="37"/>
      <c r="D4201" s="37"/>
      <c r="E4201" s="37"/>
      <c r="F4201" s="37"/>
      <c r="G4201" s="70"/>
    </row>
    <row r="4202" spans="2:7" x14ac:dyDescent="0.25">
      <c r="B4202" s="37"/>
      <c r="C4202" s="37"/>
      <c r="D4202" s="37"/>
      <c r="E4202" s="37"/>
      <c r="F4202" s="37"/>
      <c r="G4202" s="70"/>
    </row>
    <row r="4203" spans="2:7" x14ac:dyDescent="0.25">
      <c r="B4203" s="37"/>
      <c r="C4203" s="37"/>
      <c r="D4203" s="37"/>
      <c r="E4203" s="37"/>
      <c r="F4203" s="37"/>
      <c r="G4203" s="70"/>
    </row>
    <row r="4204" spans="2:7" x14ac:dyDescent="0.25">
      <c r="B4204" s="37"/>
      <c r="C4204" s="37"/>
      <c r="D4204" s="37"/>
      <c r="E4204" s="37"/>
      <c r="F4204" s="37"/>
      <c r="G4204" s="70"/>
    </row>
    <row r="4205" spans="2:7" x14ac:dyDescent="0.25">
      <c r="B4205" s="37"/>
      <c r="C4205" s="37"/>
      <c r="D4205" s="37"/>
      <c r="E4205" s="37"/>
      <c r="F4205" s="37"/>
      <c r="G4205" s="70"/>
    </row>
    <row r="4206" spans="2:7" x14ac:dyDescent="0.25">
      <c r="B4206" s="37"/>
      <c r="C4206" s="37"/>
      <c r="D4206" s="37"/>
      <c r="E4206" s="37"/>
      <c r="F4206" s="37"/>
      <c r="G4206" s="70"/>
    </row>
    <row r="4207" spans="2:7" x14ac:dyDescent="0.25">
      <c r="B4207" s="37"/>
      <c r="C4207" s="37"/>
      <c r="D4207" s="37"/>
      <c r="E4207" s="37"/>
      <c r="F4207" s="37"/>
      <c r="G4207" s="70"/>
    </row>
    <row r="4208" spans="2:7" x14ac:dyDescent="0.25">
      <c r="B4208" s="37"/>
      <c r="C4208" s="37"/>
      <c r="D4208" s="37"/>
      <c r="E4208" s="37"/>
      <c r="F4208" s="37"/>
      <c r="G4208" s="70"/>
    </row>
    <row r="4209" spans="2:7" x14ac:dyDescent="0.25">
      <c r="B4209" s="37"/>
      <c r="C4209" s="37"/>
      <c r="D4209" s="37"/>
      <c r="E4209" s="37"/>
      <c r="F4209" s="37"/>
      <c r="G4209" s="70"/>
    </row>
    <row r="4210" spans="2:7" x14ac:dyDescent="0.25">
      <c r="B4210" s="37"/>
      <c r="C4210" s="37"/>
      <c r="D4210" s="37"/>
      <c r="E4210" s="37"/>
      <c r="F4210" s="37"/>
      <c r="G4210" s="70"/>
    </row>
    <row r="4211" spans="2:7" x14ac:dyDescent="0.25">
      <c r="B4211" s="37"/>
      <c r="C4211" s="37"/>
      <c r="D4211" s="37"/>
      <c r="E4211" s="37"/>
      <c r="F4211" s="37"/>
      <c r="G4211" s="70"/>
    </row>
    <row r="4212" spans="2:7" x14ac:dyDescent="0.25">
      <c r="B4212" s="37"/>
      <c r="C4212" s="37"/>
      <c r="D4212" s="37"/>
      <c r="E4212" s="37"/>
      <c r="F4212" s="37"/>
      <c r="G4212" s="70"/>
    </row>
    <row r="4213" spans="2:7" x14ac:dyDescent="0.25">
      <c r="B4213" s="37"/>
      <c r="C4213" s="37"/>
      <c r="D4213" s="37"/>
      <c r="E4213" s="37"/>
      <c r="F4213" s="37"/>
      <c r="G4213" s="70"/>
    </row>
    <row r="4214" spans="2:7" x14ac:dyDescent="0.25">
      <c r="B4214" s="37"/>
      <c r="C4214" s="37"/>
      <c r="D4214" s="37"/>
      <c r="E4214" s="37"/>
      <c r="F4214" s="37"/>
      <c r="G4214" s="70"/>
    </row>
    <row r="4215" spans="2:7" x14ac:dyDescent="0.25">
      <c r="B4215" s="37"/>
      <c r="C4215" s="37"/>
      <c r="D4215" s="37"/>
      <c r="E4215" s="37"/>
      <c r="F4215" s="37"/>
      <c r="G4215" s="70"/>
    </row>
    <row r="4216" spans="2:7" x14ac:dyDescent="0.25">
      <c r="B4216" s="37"/>
      <c r="C4216" s="37"/>
      <c r="D4216" s="37"/>
      <c r="E4216" s="37"/>
      <c r="F4216" s="37"/>
      <c r="G4216" s="70"/>
    </row>
    <row r="4217" spans="2:7" x14ac:dyDescent="0.25">
      <c r="B4217" s="37"/>
      <c r="C4217" s="37"/>
      <c r="D4217" s="37"/>
      <c r="E4217" s="37"/>
      <c r="F4217" s="37"/>
      <c r="G4217" s="70"/>
    </row>
    <row r="4218" spans="2:7" x14ac:dyDescent="0.25">
      <c r="B4218" s="37"/>
      <c r="C4218" s="37"/>
      <c r="D4218" s="37"/>
      <c r="E4218" s="37"/>
      <c r="F4218" s="37"/>
      <c r="G4218" s="70"/>
    </row>
    <row r="4219" spans="2:7" x14ac:dyDescent="0.25">
      <c r="B4219" s="37"/>
      <c r="C4219" s="37"/>
      <c r="D4219" s="37"/>
      <c r="E4219" s="37"/>
      <c r="F4219" s="37"/>
      <c r="G4219" s="70"/>
    </row>
    <row r="4220" spans="2:7" x14ac:dyDescent="0.25">
      <c r="B4220" s="37"/>
      <c r="C4220" s="37"/>
      <c r="D4220" s="37"/>
      <c r="E4220" s="37"/>
      <c r="F4220" s="37"/>
      <c r="G4220" s="70"/>
    </row>
    <row r="4221" spans="2:7" x14ac:dyDescent="0.25">
      <c r="B4221" s="37"/>
      <c r="C4221" s="37"/>
      <c r="D4221" s="37"/>
      <c r="E4221" s="37"/>
      <c r="F4221" s="37"/>
      <c r="G4221" s="70"/>
    </row>
    <row r="4222" spans="2:7" x14ac:dyDescent="0.25">
      <c r="B4222" s="37"/>
      <c r="C4222" s="37"/>
      <c r="D4222" s="37"/>
      <c r="E4222" s="37"/>
      <c r="F4222" s="37"/>
      <c r="G4222" s="70"/>
    </row>
    <row r="4223" spans="2:7" x14ac:dyDescent="0.25">
      <c r="B4223" s="37"/>
      <c r="C4223" s="37"/>
      <c r="D4223" s="37"/>
      <c r="E4223" s="37"/>
      <c r="F4223" s="37"/>
      <c r="G4223" s="70"/>
    </row>
    <row r="4224" spans="2:7" x14ac:dyDescent="0.25">
      <c r="B4224" s="37"/>
      <c r="C4224" s="37"/>
      <c r="D4224" s="37"/>
      <c r="E4224" s="37"/>
      <c r="F4224" s="37"/>
      <c r="G4224" s="70"/>
    </row>
    <row r="4225" spans="2:7" x14ac:dyDescent="0.25">
      <c r="B4225" s="37"/>
      <c r="C4225" s="37"/>
      <c r="D4225" s="37"/>
      <c r="E4225" s="37"/>
      <c r="F4225" s="37"/>
      <c r="G4225" s="70"/>
    </row>
    <row r="4226" spans="2:7" x14ac:dyDescent="0.25">
      <c r="B4226" s="37"/>
      <c r="C4226" s="37"/>
      <c r="D4226" s="37"/>
      <c r="E4226" s="37"/>
      <c r="F4226" s="37"/>
      <c r="G4226" s="70"/>
    </row>
    <row r="4227" spans="2:7" x14ac:dyDescent="0.25">
      <c r="B4227" s="37"/>
      <c r="C4227" s="37"/>
      <c r="D4227" s="37"/>
      <c r="E4227" s="37"/>
      <c r="F4227" s="37"/>
      <c r="G4227" s="70"/>
    </row>
    <row r="4228" spans="2:7" x14ac:dyDescent="0.25">
      <c r="B4228" s="37"/>
      <c r="C4228" s="37"/>
      <c r="D4228" s="37"/>
      <c r="E4228" s="37"/>
      <c r="F4228" s="37"/>
      <c r="G4228" s="70"/>
    </row>
    <row r="4229" spans="2:7" x14ac:dyDescent="0.25">
      <c r="B4229" s="37"/>
      <c r="C4229" s="37"/>
      <c r="D4229" s="37"/>
      <c r="E4229" s="37"/>
      <c r="F4229" s="37"/>
      <c r="G4229" s="70"/>
    </row>
    <row r="4230" spans="2:7" x14ac:dyDescent="0.25">
      <c r="B4230" s="37"/>
      <c r="C4230" s="37"/>
      <c r="D4230" s="37"/>
      <c r="E4230" s="37"/>
      <c r="F4230" s="37"/>
      <c r="G4230" s="70"/>
    </row>
    <row r="4231" spans="2:7" x14ac:dyDescent="0.25">
      <c r="B4231" s="37"/>
      <c r="C4231" s="37"/>
      <c r="D4231" s="37"/>
      <c r="E4231" s="37"/>
      <c r="F4231" s="37"/>
      <c r="G4231" s="70"/>
    </row>
    <row r="4232" spans="2:7" x14ac:dyDescent="0.25">
      <c r="B4232" s="37"/>
      <c r="C4232" s="37"/>
      <c r="D4232" s="37"/>
      <c r="E4232" s="37"/>
      <c r="F4232" s="37"/>
      <c r="G4232" s="70"/>
    </row>
    <row r="4233" spans="2:7" x14ac:dyDescent="0.25">
      <c r="B4233" s="37"/>
      <c r="C4233" s="37"/>
      <c r="D4233" s="37"/>
      <c r="E4233" s="37"/>
      <c r="F4233" s="37"/>
      <c r="G4233" s="70"/>
    </row>
    <row r="4234" spans="2:7" x14ac:dyDescent="0.25">
      <c r="B4234" s="37"/>
      <c r="C4234" s="37"/>
      <c r="D4234" s="37"/>
      <c r="E4234" s="37"/>
      <c r="F4234" s="37"/>
      <c r="G4234" s="70"/>
    </row>
    <row r="4235" spans="2:7" x14ac:dyDescent="0.25">
      <c r="B4235" s="37"/>
      <c r="C4235" s="37"/>
      <c r="D4235" s="37"/>
      <c r="E4235" s="37"/>
      <c r="F4235" s="37"/>
      <c r="G4235" s="70"/>
    </row>
    <row r="4236" spans="2:7" x14ac:dyDescent="0.25">
      <c r="B4236" s="37"/>
      <c r="C4236" s="37"/>
      <c r="D4236" s="37"/>
      <c r="E4236" s="37"/>
      <c r="F4236" s="37"/>
      <c r="G4236" s="70"/>
    </row>
    <row r="4237" spans="2:7" x14ac:dyDescent="0.25">
      <c r="B4237" s="37"/>
      <c r="C4237" s="37"/>
      <c r="D4237" s="37"/>
      <c r="E4237" s="37"/>
      <c r="F4237" s="37"/>
      <c r="G4237" s="70"/>
    </row>
    <row r="4238" spans="2:7" x14ac:dyDescent="0.25">
      <c r="B4238" s="37"/>
      <c r="C4238" s="37"/>
      <c r="D4238" s="37"/>
      <c r="E4238" s="37"/>
      <c r="F4238" s="37"/>
      <c r="G4238" s="70"/>
    </row>
    <row r="4239" spans="2:7" x14ac:dyDescent="0.25">
      <c r="B4239" s="37"/>
      <c r="C4239" s="37"/>
      <c r="D4239" s="37"/>
      <c r="E4239" s="37"/>
      <c r="F4239" s="37"/>
      <c r="G4239" s="70"/>
    </row>
    <row r="4240" spans="2:7" x14ac:dyDescent="0.25">
      <c r="B4240" s="37"/>
      <c r="C4240" s="37"/>
      <c r="D4240" s="37"/>
      <c r="E4240" s="37"/>
      <c r="F4240" s="37"/>
      <c r="G4240" s="70"/>
    </row>
    <row r="4241" spans="2:7" x14ac:dyDescent="0.25">
      <c r="B4241" s="37"/>
      <c r="C4241" s="37"/>
      <c r="D4241" s="37"/>
      <c r="E4241" s="37"/>
      <c r="F4241" s="37"/>
      <c r="G4241" s="70"/>
    </row>
    <row r="4242" spans="2:7" x14ac:dyDescent="0.25">
      <c r="B4242" s="37"/>
      <c r="C4242" s="37"/>
      <c r="D4242" s="37"/>
      <c r="E4242" s="37"/>
      <c r="F4242" s="37"/>
      <c r="G4242" s="70"/>
    </row>
    <row r="4243" spans="2:7" x14ac:dyDescent="0.25">
      <c r="B4243" s="37"/>
      <c r="C4243" s="37"/>
      <c r="D4243" s="37"/>
      <c r="E4243" s="37"/>
      <c r="F4243" s="37"/>
      <c r="G4243" s="70"/>
    </row>
    <row r="4244" spans="2:7" x14ac:dyDescent="0.25">
      <c r="B4244" s="37"/>
      <c r="C4244" s="37"/>
      <c r="D4244" s="37"/>
      <c r="E4244" s="37"/>
      <c r="F4244" s="37"/>
      <c r="G4244" s="70"/>
    </row>
    <row r="4245" spans="2:7" x14ac:dyDescent="0.25">
      <c r="B4245" s="37"/>
      <c r="C4245" s="37"/>
      <c r="D4245" s="37"/>
      <c r="E4245" s="37"/>
      <c r="F4245" s="37"/>
      <c r="G4245" s="70"/>
    </row>
    <row r="4246" spans="2:7" x14ac:dyDescent="0.25">
      <c r="B4246" s="37"/>
      <c r="C4246" s="37"/>
      <c r="D4246" s="37"/>
      <c r="E4246" s="37"/>
      <c r="F4246" s="37"/>
      <c r="G4246" s="70"/>
    </row>
    <row r="4247" spans="2:7" x14ac:dyDescent="0.25">
      <c r="B4247" s="37"/>
      <c r="C4247" s="37"/>
      <c r="D4247" s="37"/>
      <c r="E4247" s="37"/>
      <c r="F4247" s="37"/>
      <c r="G4247" s="70"/>
    </row>
    <row r="4248" spans="2:7" x14ac:dyDescent="0.25">
      <c r="B4248" s="37"/>
      <c r="C4248" s="37"/>
      <c r="D4248" s="37"/>
      <c r="E4248" s="37"/>
      <c r="F4248" s="37"/>
      <c r="G4248" s="70"/>
    </row>
    <row r="4249" spans="2:7" x14ac:dyDescent="0.25">
      <c r="B4249" s="37"/>
      <c r="C4249" s="37"/>
      <c r="D4249" s="37"/>
      <c r="E4249" s="37"/>
      <c r="F4249" s="37"/>
      <c r="G4249" s="70"/>
    </row>
    <row r="4250" spans="2:7" x14ac:dyDescent="0.25">
      <c r="B4250" s="37"/>
      <c r="C4250" s="37"/>
      <c r="D4250" s="37"/>
      <c r="E4250" s="37"/>
      <c r="F4250" s="37"/>
      <c r="G4250" s="70"/>
    </row>
    <row r="4251" spans="2:7" x14ac:dyDescent="0.25">
      <c r="B4251" s="37"/>
      <c r="C4251" s="37"/>
      <c r="D4251" s="37"/>
      <c r="E4251" s="37"/>
      <c r="F4251" s="37"/>
      <c r="G4251" s="70"/>
    </row>
    <row r="4252" spans="2:7" x14ac:dyDescent="0.25">
      <c r="B4252" s="37"/>
      <c r="C4252" s="37"/>
      <c r="D4252" s="37"/>
      <c r="E4252" s="37"/>
      <c r="F4252" s="37"/>
      <c r="G4252" s="70"/>
    </row>
    <row r="4253" spans="2:7" x14ac:dyDescent="0.25">
      <c r="B4253" s="37"/>
      <c r="C4253" s="37"/>
      <c r="D4253" s="37"/>
      <c r="E4253" s="37"/>
      <c r="F4253" s="37"/>
      <c r="G4253" s="70"/>
    </row>
    <row r="4254" spans="2:7" x14ac:dyDescent="0.25">
      <c r="B4254" s="37"/>
      <c r="C4254" s="37"/>
      <c r="D4254" s="37"/>
      <c r="E4254" s="37"/>
      <c r="F4254" s="37"/>
      <c r="G4254" s="70"/>
    </row>
    <row r="4255" spans="2:7" x14ac:dyDescent="0.25">
      <c r="B4255" s="37"/>
      <c r="C4255" s="37"/>
      <c r="D4255" s="37"/>
      <c r="E4255" s="37"/>
      <c r="F4255" s="37"/>
      <c r="G4255" s="70"/>
    </row>
    <row r="4256" spans="2:7" x14ac:dyDescent="0.25">
      <c r="B4256" s="37"/>
      <c r="C4256" s="37"/>
      <c r="D4256" s="37"/>
      <c r="E4256" s="37"/>
      <c r="F4256" s="37"/>
      <c r="G4256" s="70"/>
    </row>
    <row r="4257" spans="2:7" x14ac:dyDescent="0.25">
      <c r="B4257" s="37"/>
      <c r="C4257" s="37"/>
      <c r="D4257" s="37"/>
      <c r="E4257" s="37"/>
      <c r="F4257" s="37"/>
      <c r="G4257" s="70"/>
    </row>
    <row r="4258" spans="2:7" x14ac:dyDescent="0.25">
      <c r="B4258" s="37"/>
      <c r="C4258" s="37"/>
      <c r="D4258" s="37"/>
      <c r="E4258" s="37"/>
      <c r="F4258" s="37"/>
      <c r="G4258" s="70"/>
    </row>
    <row r="4259" spans="2:7" x14ac:dyDescent="0.25">
      <c r="B4259" s="37"/>
      <c r="C4259" s="37"/>
      <c r="D4259" s="37"/>
      <c r="E4259" s="37"/>
      <c r="F4259" s="37"/>
      <c r="G4259" s="70"/>
    </row>
    <row r="4260" spans="2:7" x14ac:dyDescent="0.25">
      <c r="B4260" s="37"/>
      <c r="C4260" s="37"/>
      <c r="D4260" s="37"/>
      <c r="E4260" s="37"/>
      <c r="F4260" s="37"/>
      <c r="G4260" s="70"/>
    </row>
    <row r="4261" spans="2:7" x14ac:dyDescent="0.25">
      <c r="B4261" s="37"/>
      <c r="C4261" s="37"/>
      <c r="D4261" s="37"/>
      <c r="E4261" s="37"/>
      <c r="F4261" s="37"/>
      <c r="G4261" s="70"/>
    </row>
    <row r="4262" spans="2:7" x14ac:dyDescent="0.25">
      <c r="B4262" s="37"/>
      <c r="C4262" s="37"/>
      <c r="D4262" s="37"/>
      <c r="E4262" s="37"/>
      <c r="F4262" s="37"/>
      <c r="G4262" s="70"/>
    </row>
    <row r="4263" spans="2:7" x14ac:dyDescent="0.25">
      <c r="B4263" s="37"/>
      <c r="C4263" s="37"/>
      <c r="D4263" s="37"/>
      <c r="E4263" s="37"/>
      <c r="F4263" s="37"/>
      <c r="G4263" s="70"/>
    </row>
    <row r="4264" spans="2:7" x14ac:dyDescent="0.25">
      <c r="B4264" s="37"/>
      <c r="C4264" s="37"/>
      <c r="D4264" s="37"/>
      <c r="E4264" s="37"/>
      <c r="F4264" s="37"/>
      <c r="G4264" s="70"/>
    </row>
    <row r="4265" spans="2:7" x14ac:dyDescent="0.25">
      <c r="B4265" s="37"/>
      <c r="C4265" s="37"/>
      <c r="D4265" s="37"/>
      <c r="E4265" s="37"/>
      <c r="F4265" s="37"/>
      <c r="G4265" s="70"/>
    </row>
    <row r="4266" spans="2:7" x14ac:dyDescent="0.25">
      <c r="B4266" s="37"/>
      <c r="C4266" s="37"/>
      <c r="D4266" s="37"/>
      <c r="E4266" s="37"/>
      <c r="F4266" s="37"/>
      <c r="G4266" s="70"/>
    </row>
    <row r="4267" spans="2:7" x14ac:dyDescent="0.25">
      <c r="B4267" s="37"/>
      <c r="C4267" s="37"/>
      <c r="D4267" s="37"/>
      <c r="E4267" s="37"/>
      <c r="F4267" s="37"/>
      <c r="G4267" s="70"/>
    </row>
    <row r="4268" spans="2:7" x14ac:dyDescent="0.25">
      <c r="B4268" s="37"/>
      <c r="C4268" s="37"/>
      <c r="D4268" s="37"/>
      <c r="E4268" s="37"/>
      <c r="F4268" s="37"/>
      <c r="G4268" s="70"/>
    </row>
    <row r="4269" spans="2:7" x14ac:dyDescent="0.25">
      <c r="B4269" s="37"/>
      <c r="C4269" s="37"/>
      <c r="D4269" s="37"/>
      <c r="E4269" s="37"/>
      <c r="F4269" s="37"/>
      <c r="G4269" s="70"/>
    </row>
    <row r="4270" spans="2:7" x14ac:dyDescent="0.25">
      <c r="B4270" s="37"/>
      <c r="C4270" s="37"/>
      <c r="D4270" s="37"/>
      <c r="E4270" s="37"/>
      <c r="F4270" s="37"/>
      <c r="G4270" s="70"/>
    </row>
    <row r="4271" spans="2:7" x14ac:dyDescent="0.25">
      <c r="B4271" s="37"/>
      <c r="C4271" s="37"/>
      <c r="D4271" s="37"/>
      <c r="E4271" s="37"/>
      <c r="F4271" s="37"/>
      <c r="G4271" s="70"/>
    </row>
    <row r="4272" spans="2:7" x14ac:dyDescent="0.25">
      <c r="B4272" s="37"/>
      <c r="C4272" s="37"/>
      <c r="D4272" s="37"/>
      <c r="E4272" s="37"/>
      <c r="F4272" s="37"/>
      <c r="G4272" s="70"/>
    </row>
    <row r="4273" spans="2:7" x14ac:dyDescent="0.25">
      <c r="B4273" s="37"/>
      <c r="C4273" s="37"/>
      <c r="D4273" s="37"/>
      <c r="E4273" s="37"/>
      <c r="F4273" s="37"/>
      <c r="G4273" s="70"/>
    </row>
    <row r="4274" spans="2:7" x14ac:dyDescent="0.25">
      <c r="B4274" s="37"/>
      <c r="C4274" s="37"/>
      <c r="D4274" s="37"/>
      <c r="E4274" s="37"/>
      <c r="F4274" s="37"/>
      <c r="G4274" s="70"/>
    </row>
    <row r="4275" spans="2:7" x14ac:dyDescent="0.25">
      <c r="B4275" s="37"/>
      <c r="C4275" s="37"/>
      <c r="D4275" s="37"/>
      <c r="E4275" s="37"/>
      <c r="F4275" s="37"/>
      <c r="G4275" s="70"/>
    </row>
    <row r="4276" spans="2:7" x14ac:dyDescent="0.25">
      <c r="B4276" s="37"/>
      <c r="C4276" s="37"/>
      <c r="D4276" s="37"/>
      <c r="E4276" s="37"/>
      <c r="F4276" s="37"/>
      <c r="G4276" s="70"/>
    </row>
    <row r="4277" spans="2:7" x14ac:dyDescent="0.25">
      <c r="B4277" s="37"/>
      <c r="C4277" s="37"/>
      <c r="D4277" s="37"/>
      <c r="E4277" s="37"/>
      <c r="F4277" s="37"/>
      <c r="G4277" s="70"/>
    </row>
    <row r="4278" spans="2:7" x14ac:dyDescent="0.25">
      <c r="B4278" s="37"/>
      <c r="C4278" s="37"/>
      <c r="D4278" s="37"/>
      <c r="E4278" s="37"/>
      <c r="F4278" s="37"/>
      <c r="G4278" s="70"/>
    </row>
    <row r="4279" spans="2:7" x14ac:dyDescent="0.25">
      <c r="B4279" s="37"/>
      <c r="C4279" s="37"/>
      <c r="D4279" s="37"/>
      <c r="E4279" s="37"/>
      <c r="F4279" s="37"/>
      <c r="G4279" s="70"/>
    </row>
    <row r="4280" spans="2:7" x14ac:dyDescent="0.25">
      <c r="B4280" s="37"/>
      <c r="C4280" s="37"/>
      <c r="D4280" s="37"/>
      <c r="E4280" s="37"/>
      <c r="F4280" s="37"/>
      <c r="G4280" s="70"/>
    </row>
    <row r="4281" spans="2:7" x14ac:dyDescent="0.25">
      <c r="B4281" s="37"/>
      <c r="C4281" s="37"/>
      <c r="D4281" s="37"/>
      <c r="E4281" s="37"/>
      <c r="F4281" s="37"/>
      <c r="G4281" s="70"/>
    </row>
    <row r="4282" spans="2:7" x14ac:dyDescent="0.25">
      <c r="B4282" s="37"/>
      <c r="C4282" s="37"/>
      <c r="D4282" s="37"/>
      <c r="E4282" s="37"/>
      <c r="F4282" s="37"/>
      <c r="G4282" s="70"/>
    </row>
    <row r="4283" spans="2:7" x14ac:dyDescent="0.25">
      <c r="B4283" s="37"/>
      <c r="C4283" s="37"/>
      <c r="D4283" s="37"/>
      <c r="E4283" s="37"/>
      <c r="F4283" s="37"/>
      <c r="G4283" s="70"/>
    </row>
    <row r="4284" spans="2:7" x14ac:dyDescent="0.25">
      <c r="B4284" s="37"/>
      <c r="C4284" s="37"/>
      <c r="D4284" s="37"/>
      <c r="E4284" s="37"/>
      <c r="F4284" s="37"/>
      <c r="G4284" s="70"/>
    </row>
    <row r="4285" spans="2:7" x14ac:dyDescent="0.25">
      <c r="B4285" s="37"/>
      <c r="C4285" s="37"/>
      <c r="D4285" s="37"/>
      <c r="E4285" s="37"/>
      <c r="F4285" s="37"/>
      <c r="G4285" s="70"/>
    </row>
    <row r="4286" spans="2:7" x14ac:dyDescent="0.25">
      <c r="B4286" s="37"/>
      <c r="C4286" s="37"/>
      <c r="D4286" s="37"/>
      <c r="E4286" s="37"/>
      <c r="F4286" s="37"/>
      <c r="G4286" s="70"/>
    </row>
    <row r="4287" spans="2:7" x14ac:dyDescent="0.25">
      <c r="B4287" s="37"/>
      <c r="C4287" s="37"/>
      <c r="D4287" s="37"/>
      <c r="E4287" s="37"/>
      <c r="F4287" s="37"/>
      <c r="G4287" s="70"/>
    </row>
    <row r="4288" spans="2:7" x14ac:dyDescent="0.25">
      <c r="B4288" s="37"/>
      <c r="C4288" s="37"/>
      <c r="D4288" s="37"/>
      <c r="E4288" s="37"/>
      <c r="F4288" s="37"/>
      <c r="G4288" s="70"/>
    </row>
    <row r="4289" spans="2:7" x14ac:dyDescent="0.25">
      <c r="B4289" s="37"/>
      <c r="C4289" s="37"/>
      <c r="D4289" s="37"/>
      <c r="E4289" s="37"/>
      <c r="F4289" s="37"/>
      <c r="G4289" s="70"/>
    </row>
    <row r="4290" spans="2:7" x14ac:dyDescent="0.25">
      <c r="B4290" s="37"/>
      <c r="C4290" s="37"/>
      <c r="D4290" s="37"/>
      <c r="E4290" s="37"/>
      <c r="F4290" s="37"/>
      <c r="G4290" s="70"/>
    </row>
    <row r="4291" spans="2:7" x14ac:dyDescent="0.25">
      <c r="B4291" s="37"/>
      <c r="C4291" s="37"/>
      <c r="D4291" s="37"/>
      <c r="E4291" s="37"/>
      <c r="F4291" s="37"/>
      <c r="G4291" s="70"/>
    </row>
    <row r="4292" spans="2:7" x14ac:dyDescent="0.25">
      <c r="B4292" s="37"/>
      <c r="C4292" s="37"/>
      <c r="D4292" s="37"/>
      <c r="E4292" s="37"/>
      <c r="F4292" s="37"/>
      <c r="G4292" s="70"/>
    </row>
    <row r="4293" spans="2:7" x14ac:dyDescent="0.25">
      <c r="B4293" s="37"/>
      <c r="C4293" s="37"/>
      <c r="D4293" s="37"/>
      <c r="E4293" s="37"/>
      <c r="F4293" s="37"/>
      <c r="G4293" s="70"/>
    </row>
    <row r="4294" spans="2:7" x14ac:dyDescent="0.25">
      <c r="B4294" s="37"/>
      <c r="C4294" s="37"/>
      <c r="D4294" s="37"/>
      <c r="E4294" s="37"/>
      <c r="F4294" s="37"/>
      <c r="G4294" s="70"/>
    </row>
    <row r="4295" spans="2:7" x14ac:dyDescent="0.25">
      <c r="B4295" s="37"/>
      <c r="C4295" s="37"/>
      <c r="D4295" s="37"/>
      <c r="E4295" s="37"/>
      <c r="F4295" s="37"/>
      <c r="G4295" s="70"/>
    </row>
    <row r="4296" spans="2:7" x14ac:dyDescent="0.25">
      <c r="B4296" s="37"/>
      <c r="C4296" s="37"/>
      <c r="D4296" s="37"/>
      <c r="E4296" s="37"/>
      <c r="F4296" s="37"/>
      <c r="G4296" s="70"/>
    </row>
    <row r="4297" spans="2:7" x14ac:dyDescent="0.25">
      <c r="B4297" s="37"/>
      <c r="C4297" s="37"/>
      <c r="D4297" s="37"/>
      <c r="E4297" s="37"/>
      <c r="F4297" s="37"/>
      <c r="G4297" s="70"/>
    </row>
    <row r="4298" spans="2:7" x14ac:dyDescent="0.25">
      <c r="B4298" s="37"/>
      <c r="C4298" s="37"/>
      <c r="D4298" s="37"/>
      <c r="E4298" s="37"/>
      <c r="F4298" s="37"/>
      <c r="G4298" s="70"/>
    </row>
    <row r="4299" spans="2:7" x14ac:dyDescent="0.25">
      <c r="B4299" s="37"/>
      <c r="C4299" s="37"/>
      <c r="D4299" s="37"/>
      <c r="E4299" s="37"/>
      <c r="F4299" s="37"/>
      <c r="G4299" s="70"/>
    </row>
    <row r="4300" spans="2:7" x14ac:dyDescent="0.25">
      <c r="B4300" s="37"/>
      <c r="C4300" s="37"/>
      <c r="D4300" s="37"/>
      <c r="E4300" s="37"/>
      <c r="F4300" s="37"/>
      <c r="G4300" s="70"/>
    </row>
    <row r="4301" spans="2:7" x14ac:dyDescent="0.25">
      <c r="B4301" s="37"/>
      <c r="C4301" s="37"/>
      <c r="D4301" s="37"/>
      <c r="E4301" s="37"/>
      <c r="F4301" s="37"/>
      <c r="G4301" s="70"/>
    </row>
    <row r="4302" spans="2:7" x14ac:dyDescent="0.25">
      <c r="B4302" s="37"/>
      <c r="C4302" s="37"/>
      <c r="D4302" s="37"/>
      <c r="E4302" s="37"/>
      <c r="F4302" s="37"/>
      <c r="G4302" s="70"/>
    </row>
    <row r="4303" spans="2:7" x14ac:dyDescent="0.25">
      <c r="B4303" s="37"/>
      <c r="C4303" s="37"/>
      <c r="D4303" s="37"/>
      <c r="E4303" s="37"/>
      <c r="F4303" s="37"/>
      <c r="G4303" s="70"/>
    </row>
    <row r="4304" spans="2:7" x14ac:dyDescent="0.25">
      <c r="B4304" s="37"/>
      <c r="C4304" s="37"/>
      <c r="D4304" s="37"/>
      <c r="E4304" s="37"/>
      <c r="F4304" s="37"/>
      <c r="G4304" s="70"/>
    </row>
    <row r="4305" spans="2:7" x14ac:dyDescent="0.25">
      <c r="B4305" s="37"/>
      <c r="C4305" s="37"/>
      <c r="D4305" s="37"/>
      <c r="E4305" s="37"/>
      <c r="F4305" s="37"/>
      <c r="G4305" s="70"/>
    </row>
    <row r="4306" spans="2:7" x14ac:dyDescent="0.25">
      <c r="B4306" s="37"/>
      <c r="C4306" s="37"/>
      <c r="D4306" s="37"/>
      <c r="E4306" s="37"/>
      <c r="F4306" s="37"/>
      <c r="G4306" s="70"/>
    </row>
    <row r="4307" spans="2:7" x14ac:dyDescent="0.25">
      <c r="B4307" s="37"/>
      <c r="C4307" s="37"/>
      <c r="D4307" s="37"/>
      <c r="E4307" s="37"/>
      <c r="F4307" s="37"/>
      <c r="G4307" s="70"/>
    </row>
    <row r="4308" spans="2:7" x14ac:dyDescent="0.25">
      <c r="B4308" s="37"/>
      <c r="C4308" s="37"/>
      <c r="D4308" s="37"/>
      <c r="E4308" s="37"/>
      <c r="F4308" s="37"/>
      <c r="G4308" s="70"/>
    </row>
    <row r="4309" spans="2:7" x14ac:dyDescent="0.25">
      <c r="B4309" s="37"/>
      <c r="C4309" s="37"/>
      <c r="D4309" s="37"/>
      <c r="E4309" s="37"/>
      <c r="F4309" s="37"/>
      <c r="G4309" s="70"/>
    </row>
    <row r="4310" spans="2:7" x14ac:dyDescent="0.25">
      <c r="B4310" s="37"/>
      <c r="C4310" s="37"/>
      <c r="D4310" s="37"/>
      <c r="E4310" s="37"/>
      <c r="F4310" s="37"/>
      <c r="G4310" s="70"/>
    </row>
    <row r="4311" spans="2:7" x14ac:dyDescent="0.25">
      <c r="B4311" s="37"/>
      <c r="C4311" s="37"/>
      <c r="D4311" s="37"/>
      <c r="E4311" s="37"/>
      <c r="F4311" s="37"/>
      <c r="G4311" s="70"/>
    </row>
    <row r="4312" spans="2:7" x14ac:dyDescent="0.25">
      <c r="B4312" s="37"/>
      <c r="C4312" s="37"/>
      <c r="D4312" s="37"/>
      <c r="E4312" s="37"/>
      <c r="F4312" s="37"/>
      <c r="G4312" s="70"/>
    </row>
    <row r="4313" spans="2:7" x14ac:dyDescent="0.25">
      <c r="B4313" s="37"/>
      <c r="C4313" s="37"/>
      <c r="D4313" s="37"/>
      <c r="E4313" s="37"/>
      <c r="F4313" s="37"/>
      <c r="G4313" s="70"/>
    </row>
    <row r="4314" spans="2:7" x14ac:dyDescent="0.25">
      <c r="B4314" s="37"/>
      <c r="C4314" s="37"/>
      <c r="D4314" s="37"/>
      <c r="E4314" s="37"/>
      <c r="F4314" s="37"/>
      <c r="G4314" s="70"/>
    </row>
    <row r="4315" spans="2:7" x14ac:dyDescent="0.25">
      <c r="B4315" s="37"/>
      <c r="C4315" s="37"/>
      <c r="D4315" s="37"/>
      <c r="E4315" s="37"/>
      <c r="F4315" s="37"/>
      <c r="G4315" s="70"/>
    </row>
    <row r="4316" spans="2:7" x14ac:dyDescent="0.25">
      <c r="B4316" s="37"/>
      <c r="C4316" s="37"/>
      <c r="D4316" s="37"/>
      <c r="E4316" s="37"/>
      <c r="F4316" s="37"/>
      <c r="G4316" s="70"/>
    </row>
    <row r="4317" spans="2:7" x14ac:dyDescent="0.25">
      <c r="B4317" s="37"/>
      <c r="C4317" s="37"/>
      <c r="D4317" s="37"/>
      <c r="E4317" s="37"/>
      <c r="F4317" s="37"/>
      <c r="G4317" s="70"/>
    </row>
    <row r="4318" spans="2:7" x14ac:dyDescent="0.25">
      <c r="B4318" s="37"/>
      <c r="C4318" s="37"/>
      <c r="D4318" s="37"/>
      <c r="E4318" s="37"/>
      <c r="F4318" s="37"/>
      <c r="G4318" s="70"/>
    </row>
    <row r="4319" spans="2:7" x14ac:dyDescent="0.25">
      <c r="B4319" s="37"/>
      <c r="C4319" s="37"/>
      <c r="D4319" s="37"/>
      <c r="E4319" s="37"/>
      <c r="F4319" s="37"/>
      <c r="G4319" s="70"/>
    </row>
    <row r="4320" spans="2:7" x14ac:dyDescent="0.25">
      <c r="B4320" s="37"/>
      <c r="C4320" s="37"/>
      <c r="D4320" s="37"/>
      <c r="E4320" s="37"/>
      <c r="F4320" s="37"/>
      <c r="G4320" s="70"/>
    </row>
    <row r="4321" spans="2:7" x14ac:dyDescent="0.25">
      <c r="B4321" s="37"/>
      <c r="C4321" s="37"/>
      <c r="D4321" s="37"/>
      <c r="E4321" s="37"/>
      <c r="F4321" s="37"/>
      <c r="G4321" s="70"/>
    </row>
    <row r="4322" spans="2:7" x14ac:dyDescent="0.25">
      <c r="B4322" s="37"/>
      <c r="C4322" s="37"/>
      <c r="D4322" s="37"/>
      <c r="E4322" s="37"/>
      <c r="F4322" s="37"/>
      <c r="G4322" s="70"/>
    </row>
    <row r="4323" spans="2:7" x14ac:dyDescent="0.25">
      <c r="B4323" s="37"/>
      <c r="C4323" s="37"/>
      <c r="D4323" s="37"/>
      <c r="E4323" s="37"/>
      <c r="F4323" s="37"/>
      <c r="G4323" s="70"/>
    </row>
    <row r="4324" spans="2:7" x14ac:dyDescent="0.25">
      <c r="B4324" s="37"/>
      <c r="C4324" s="37"/>
      <c r="D4324" s="37"/>
      <c r="E4324" s="37"/>
      <c r="F4324" s="37"/>
      <c r="G4324" s="70"/>
    </row>
    <row r="4325" spans="2:7" x14ac:dyDescent="0.25">
      <c r="B4325" s="37"/>
      <c r="C4325" s="37"/>
      <c r="D4325" s="37"/>
      <c r="E4325" s="37"/>
      <c r="F4325" s="37"/>
      <c r="G4325" s="70"/>
    </row>
    <row r="4326" spans="2:7" x14ac:dyDescent="0.25">
      <c r="B4326" s="37"/>
      <c r="C4326" s="37"/>
      <c r="D4326" s="37"/>
      <c r="E4326" s="37"/>
      <c r="F4326" s="37"/>
      <c r="G4326" s="70"/>
    </row>
    <row r="4327" spans="2:7" x14ac:dyDescent="0.25">
      <c r="B4327" s="37"/>
      <c r="C4327" s="37"/>
      <c r="D4327" s="37"/>
      <c r="E4327" s="37"/>
      <c r="F4327" s="37"/>
      <c r="G4327" s="70"/>
    </row>
    <row r="4328" spans="2:7" x14ac:dyDescent="0.25">
      <c r="B4328" s="37"/>
      <c r="C4328" s="37"/>
      <c r="D4328" s="37"/>
      <c r="E4328" s="37"/>
      <c r="F4328" s="37"/>
      <c r="G4328" s="70"/>
    </row>
    <row r="4329" spans="2:7" x14ac:dyDescent="0.25">
      <c r="B4329" s="37"/>
      <c r="C4329" s="37"/>
      <c r="D4329" s="37"/>
      <c r="E4329" s="37"/>
      <c r="F4329" s="37"/>
      <c r="G4329" s="70"/>
    </row>
    <row r="4330" spans="2:7" x14ac:dyDescent="0.25">
      <c r="B4330" s="37"/>
      <c r="C4330" s="37"/>
      <c r="D4330" s="37"/>
      <c r="E4330" s="37"/>
      <c r="F4330" s="37"/>
      <c r="G4330" s="70"/>
    </row>
    <row r="4331" spans="2:7" x14ac:dyDescent="0.25">
      <c r="B4331" s="37"/>
      <c r="C4331" s="37"/>
      <c r="D4331" s="37"/>
      <c r="E4331" s="37"/>
      <c r="F4331" s="37"/>
      <c r="G4331" s="70"/>
    </row>
    <row r="4332" spans="2:7" x14ac:dyDescent="0.25">
      <c r="B4332" s="37"/>
      <c r="C4332" s="37"/>
      <c r="D4332" s="37"/>
      <c r="E4332" s="37"/>
      <c r="F4332" s="37"/>
      <c r="G4332" s="70"/>
    </row>
    <row r="4333" spans="2:7" x14ac:dyDescent="0.25">
      <c r="B4333" s="37"/>
      <c r="C4333" s="37"/>
      <c r="D4333" s="37"/>
      <c r="E4333" s="37"/>
      <c r="F4333" s="37"/>
      <c r="G4333" s="70"/>
    </row>
    <row r="4334" spans="2:7" x14ac:dyDescent="0.25">
      <c r="B4334" s="37"/>
      <c r="C4334" s="37"/>
      <c r="D4334" s="37"/>
      <c r="E4334" s="37"/>
      <c r="F4334" s="37"/>
      <c r="G4334" s="70"/>
    </row>
    <row r="4335" spans="2:7" x14ac:dyDescent="0.25">
      <c r="B4335" s="37"/>
      <c r="C4335" s="37"/>
      <c r="D4335" s="37"/>
      <c r="E4335" s="37"/>
      <c r="F4335" s="37"/>
      <c r="G4335" s="70"/>
    </row>
    <row r="4336" spans="2:7" x14ac:dyDescent="0.25">
      <c r="B4336" s="37"/>
      <c r="C4336" s="37"/>
      <c r="D4336" s="37"/>
      <c r="E4336" s="37"/>
      <c r="F4336" s="37"/>
      <c r="G4336" s="70"/>
    </row>
    <row r="4337" spans="2:7" x14ac:dyDescent="0.25">
      <c r="B4337" s="37"/>
      <c r="C4337" s="37"/>
      <c r="D4337" s="37"/>
      <c r="E4337" s="37"/>
      <c r="F4337" s="37"/>
      <c r="G4337" s="70"/>
    </row>
    <row r="4338" spans="2:7" x14ac:dyDescent="0.25">
      <c r="B4338" s="37"/>
      <c r="C4338" s="37"/>
      <c r="D4338" s="37"/>
      <c r="E4338" s="37"/>
      <c r="F4338" s="37"/>
      <c r="G4338" s="70"/>
    </row>
    <row r="4339" spans="2:7" x14ac:dyDescent="0.25">
      <c r="B4339" s="37"/>
      <c r="C4339" s="37"/>
      <c r="D4339" s="37"/>
      <c r="E4339" s="37"/>
      <c r="F4339" s="37"/>
      <c r="G4339" s="70"/>
    </row>
    <row r="4340" spans="2:7" x14ac:dyDescent="0.25">
      <c r="B4340" s="37"/>
      <c r="C4340" s="37"/>
      <c r="D4340" s="37"/>
      <c r="E4340" s="37"/>
      <c r="F4340" s="37"/>
      <c r="G4340" s="70"/>
    </row>
    <row r="4341" spans="2:7" x14ac:dyDescent="0.25">
      <c r="B4341" s="37"/>
      <c r="C4341" s="37"/>
      <c r="D4341" s="37"/>
      <c r="E4341" s="37"/>
      <c r="F4341" s="37"/>
      <c r="G4341" s="70"/>
    </row>
    <row r="4342" spans="2:7" x14ac:dyDescent="0.25">
      <c r="B4342" s="37"/>
      <c r="C4342" s="37"/>
      <c r="D4342" s="37"/>
      <c r="E4342" s="37"/>
      <c r="F4342" s="37"/>
      <c r="G4342" s="70"/>
    </row>
    <row r="4343" spans="2:7" x14ac:dyDescent="0.25">
      <c r="B4343" s="37"/>
      <c r="C4343" s="37"/>
      <c r="D4343" s="37"/>
      <c r="E4343" s="37"/>
      <c r="F4343" s="37"/>
      <c r="G4343" s="70"/>
    </row>
    <row r="4344" spans="2:7" x14ac:dyDescent="0.25">
      <c r="B4344" s="37"/>
      <c r="C4344" s="37"/>
      <c r="D4344" s="37"/>
      <c r="E4344" s="37"/>
      <c r="F4344" s="37"/>
      <c r="G4344" s="70"/>
    </row>
    <row r="4345" spans="2:7" x14ac:dyDescent="0.25">
      <c r="B4345" s="37"/>
      <c r="C4345" s="37"/>
      <c r="D4345" s="37"/>
      <c r="E4345" s="37"/>
      <c r="F4345" s="37"/>
      <c r="G4345" s="70"/>
    </row>
    <row r="4346" spans="2:7" x14ac:dyDescent="0.25">
      <c r="B4346" s="37"/>
      <c r="C4346" s="37"/>
      <c r="D4346" s="37"/>
      <c r="E4346" s="37"/>
      <c r="F4346" s="37"/>
      <c r="G4346" s="70"/>
    </row>
    <row r="4347" spans="2:7" x14ac:dyDescent="0.25">
      <c r="B4347" s="37"/>
      <c r="C4347" s="37"/>
      <c r="D4347" s="37"/>
      <c r="E4347" s="37"/>
      <c r="F4347" s="37"/>
      <c r="G4347" s="70"/>
    </row>
    <row r="4348" spans="2:7" x14ac:dyDescent="0.25">
      <c r="B4348" s="37"/>
      <c r="C4348" s="37"/>
      <c r="D4348" s="37"/>
      <c r="E4348" s="37"/>
      <c r="F4348" s="37"/>
      <c r="G4348" s="70"/>
    </row>
    <row r="4349" spans="2:7" x14ac:dyDescent="0.25">
      <c r="B4349" s="37"/>
      <c r="C4349" s="37"/>
      <c r="D4349" s="37"/>
      <c r="E4349" s="37"/>
      <c r="F4349" s="37"/>
      <c r="G4349" s="70"/>
    </row>
    <row r="4350" spans="2:7" x14ac:dyDescent="0.25">
      <c r="B4350" s="37"/>
      <c r="C4350" s="37"/>
      <c r="D4350" s="37"/>
      <c r="E4350" s="37"/>
      <c r="F4350" s="37"/>
      <c r="G4350" s="70"/>
    </row>
    <row r="4351" spans="2:7" x14ac:dyDescent="0.25">
      <c r="B4351" s="37"/>
      <c r="C4351" s="37"/>
      <c r="D4351" s="37"/>
      <c r="E4351" s="37"/>
      <c r="F4351" s="37"/>
      <c r="G4351" s="70"/>
    </row>
    <row r="4352" spans="2:7" x14ac:dyDescent="0.25">
      <c r="B4352" s="37"/>
      <c r="C4352" s="37"/>
      <c r="D4352" s="37"/>
      <c r="E4352" s="37"/>
      <c r="F4352" s="37"/>
      <c r="G4352" s="70"/>
    </row>
    <row r="4353" spans="2:7" x14ac:dyDescent="0.25">
      <c r="B4353" s="37"/>
      <c r="C4353" s="37"/>
      <c r="D4353" s="37"/>
      <c r="E4353" s="37"/>
      <c r="F4353" s="37"/>
      <c r="G4353" s="70"/>
    </row>
    <row r="4354" spans="2:7" x14ac:dyDescent="0.25">
      <c r="B4354" s="37"/>
      <c r="C4354" s="37"/>
      <c r="D4354" s="37"/>
      <c r="E4354" s="37"/>
      <c r="F4354" s="37"/>
      <c r="G4354" s="70"/>
    </row>
    <row r="4355" spans="2:7" x14ac:dyDescent="0.25">
      <c r="B4355" s="37"/>
      <c r="C4355" s="37"/>
      <c r="D4355" s="37"/>
      <c r="E4355" s="37"/>
      <c r="F4355" s="37"/>
      <c r="G4355" s="70"/>
    </row>
    <row r="4356" spans="2:7" x14ac:dyDescent="0.25">
      <c r="B4356" s="37"/>
      <c r="C4356" s="37"/>
      <c r="D4356" s="37"/>
      <c r="E4356" s="37"/>
      <c r="F4356" s="37"/>
      <c r="G4356" s="70"/>
    </row>
    <row r="4357" spans="2:7" x14ac:dyDescent="0.25">
      <c r="B4357" s="37"/>
      <c r="C4357" s="37"/>
      <c r="D4357" s="37"/>
      <c r="E4357" s="37"/>
      <c r="F4357" s="37"/>
      <c r="G4357" s="70"/>
    </row>
    <row r="4358" spans="2:7" x14ac:dyDescent="0.25">
      <c r="B4358" s="37"/>
      <c r="C4358" s="37"/>
      <c r="D4358" s="37"/>
      <c r="E4358" s="37"/>
      <c r="F4358" s="37"/>
      <c r="G4358" s="70"/>
    </row>
    <row r="4359" spans="2:7" x14ac:dyDescent="0.25">
      <c r="B4359" s="37"/>
      <c r="C4359" s="37"/>
      <c r="D4359" s="37"/>
      <c r="E4359" s="37"/>
      <c r="F4359" s="37"/>
      <c r="G4359" s="70"/>
    </row>
    <row r="4360" spans="2:7" x14ac:dyDescent="0.25">
      <c r="B4360" s="37"/>
      <c r="C4360" s="37"/>
      <c r="D4360" s="37"/>
      <c r="E4360" s="37"/>
      <c r="F4360" s="37"/>
      <c r="G4360" s="70"/>
    </row>
    <row r="4361" spans="2:7" x14ac:dyDescent="0.25">
      <c r="B4361" s="37"/>
      <c r="C4361" s="37"/>
      <c r="D4361" s="37"/>
      <c r="E4361" s="37"/>
      <c r="F4361" s="37"/>
      <c r="G4361" s="70"/>
    </row>
    <row r="4362" spans="2:7" x14ac:dyDescent="0.25">
      <c r="B4362" s="37"/>
      <c r="C4362" s="37"/>
      <c r="D4362" s="37"/>
      <c r="E4362" s="37"/>
      <c r="F4362" s="37"/>
      <c r="G4362" s="70"/>
    </row>
    <row r="4363" spans="2:7" x14ac:dyDescent="0.25">
      <c r="B4363" s="37"/>
      <c r="C4363" s="37"/>
      <c r="D4363" s="37"/>
      <c r="E4363" s="37"/>
      <c r="F4363" s="37"/>
      <c r="G4363" s="70"/>
    </row>
    <row r="4364" spans="2:7" x14ac:dyDescent="0.25">
      <c r="B4364" s="37"/>
      <c r="C4364" s="37"/>
      <c r="D4364" s="37"/>
      <c r="E4364" s="37"/>
      <c r="F4364" s="37"/>
      <c r="G4364" s="70"/>
    </row>
    <row r="4365" spans="2:7" x14ac:dyDescent="0.25">
      <c r="B4365" s="37"/>
      <c r="C4365" s="37"/>
      <c r="D4365" s="37"/>
      <c r="E4365" s="37"/>
      <c r="F4365" s="37"/>
      <c r="G4365" s="70"/>
    </row>
    <row r="4366" spans="2:7" x14ac:dyDescent="0.25">
      <c r="B4366" s="37"/>
      <c r="C4366" s="37"/>
      <c r="D4366" s="37"/>
      <c r="E4366" s="37"/>
      <c r="F4366" s="37"/>
      <c r="G4366" s="70"/>
    </row>
    <row r="4367" spans="2:7" x14ac:dyDescent="0.25">
      <c r="B4367" s="37"/>
      <c r="C4367" s="37"/>
      <c r="D4367" s="37"/>
      <c r="E4367" s="37"/>
      <c r="F4367" s="37"/>
      <c r="G4367" s="70"/>
    </row>
    <row r="4368" spans="2:7" x14ac:dyDescent="0.25">
      <c r="B4368" s="37"/>
      <c r="C4368" s="37"/>
      <c r="D4368" s="37"/>
      <c r="E4368" s="37"/>
      <c r="F4368" s="37"/>
      <c r="G4368" s="70"/>
    </row>
    <row r="4369" spans="2:7" x14ac:dyDescent="0.25">
      <c r="B4369" s="37"/>
      <c r="C4369" s="37"/>
      <c r="D4369" s="37"/>
      <c r="E4369" s="37"/>
      <c r="F4369" s="37"/>
      <c r="G4369" s="70"/>
    </row>
    <row r="4370" spans="2:7" x14ac:dyDescent="0.25">
      <c r="B4370" s="37"/>
      <c r="C4370" s="37"/>
      <c r="D4370" s="37"/>
      <c r="E4370" s="37"/>
      <c r="F4370" s="37"/>
      <c r="G4370" s="70"/>
    </row>
    <row r="4371" spans="2:7" x14ac:dyDescent="0.25">
      <c r="B4371" s="37"/>
      <c r="C4371" s="37"/>
      <c r="D4371" s="37"/>
      <c r="E4371" s="37"/>
      <c r="F4371" s="37"/>
      <c r="G4371" s="70"/>
    </row>
    <row r="4372" spans="2:7" x14ac:dyDescent="0.25">
      <c r="B4372" s="37"/>
      <c r="C4372" s="37"/>
      <c r="D4372" s="37"/>
      <c r="E4372" s="37"/>
      <c r="F4372" s="37"/>
      <c r="G4372" s="70"/>
    </row>
    <row r="4373" spans="2:7" x14ac:dyDescent="0.25">
      <c r="B4373" s="37"/>
      <c r="C4373" s="37"/>
      <c r="D4373" s="37"/>
      <c r="E4373" s="37"/>
      <c r="F4373" s="37"/>
      <c r="G4373" s="70"/>
    </row>
    <row r="4374" spans="2:7" x14ac:dyDescent="0.25">
      <c r="B4374" s="37"/>
      <c r="C4374" s="37"/>
      <c r="D4374" s="37"/>
      <c r="E4374" s="37"/>
      <c r="F4374" s="37"/>
      <c r="G4374" s="70"/>
    </row>
    <row r="4375" spans="2:7" x14ac:dyDescent="0.25">
      <c r="B4375" s="37"/>
      <c r="C4375" s="37"/>
      <c r="D4375" s="37"/>
      <c r="E4375" s="37"/>
      <c r="F4375" s="37"/>
      <c r="G4375" s="70"/>
    </row>
    <row r="4376" spans="2:7" x14ac:dyDescent="0.25">
      <c r="B4376" s="37"/>
      <c r="C4376" s="37"/>
      <c r="D4376" s="37"/>
      <c r="E4376" s="37"/>
      <c r="F4376" s="37"/>
      <c r="G4376" s="70"/>
    </row>
    <row r="4377" spans="2:7" x14ac:dyDescent="0.25">
      <c r="B4377" s="37"/>
      <c r="C4377" s="37"/>
      <c r="D4377" s="37"/>
      <c r="E4377" s="37"/>
      <c r="F4377" s="37"/>
      <c r="G4377" s="70"/>
    </row>
    <row r="4378" spans="2:7" x14ac:dyDescent="0.25">
      <c r="B4378" s="37"/>
      <c r="C4378" s="37"/>
      <c r="D4378" s="37"/>
      <c r="E4378" s="37"/>
      <c r="F4378" s="37"/>
      <c r="G4378" s="70"/>
    </row>
    <row r="4379" spans="2:7" x14ac:dyDescent="0.25">
      <c r="B4379" s="37"/>
      <c r="C4379" s="37"/>
      <c r="D4379" s="37"/>
      <c r="E4379" s="37"/>
      <c r="F4379" s="37"/>
      <c r="G4379" s="70"/>
    </row>
    <row r="4380" spans="2:7" x14ac:dyDescent="0.25">
      <c r="B4380" s="37"/>
      <c r="C4380" s="37"/>
      <c r="D4380" s="37"/>
      <c r="E4380" s="37"/>
      <c r="F4380" s="37"/>
      <c r="G4380" s="70"/>
    </row>
    <row r="4381" spans="2:7" x14ac:dyDescent="0.25">
      <c r="B4381" s="37"/>
      <c r="C4381" s="37"/>
      <c r="D4381" s="37"/>
      <c r="E4381" s="37"/>
      <c r="F4381" s="37"/>
      <c r="G4381" s="70"/>
    </row>
    <row r="4382" spans="2:7" x14ac:dyDescent="0.25">
      <c r="B4382" s="37"/>
      <c r="C4382" s="37"/>
      <c r="D4382" s="37"/>
      <c r="E4382" s="37"/>
      <c r="F4382" s="37"/>
      <c r="G4382" s="70"/>
    </row>
    <row r="4383" spans="2:7" x14ac:dyDescent="0.25">
      <c r="B4383" s="37"/>
      <c r="C4383" s="37"/>
      <c r="D4383" s="37"/>
      <c r="E4383" s="37"/>
      <c r="F4383" s="37"/>
      <c r="G4383" s="70"/>
    </row>
    <row r="4384" spans="2:7" x14ac:dyDescent="0.25">
      <c r="B4384" s="37"/>
      <c r="C4384" s="37"/>
      <c r="D4384" s="37"/>
      <c r="E4384" s="37"/>
      <c r="F4384" s="37"/>
      <c r="G4384" s="70"/>
    </row>
    <row r="4385" spans="2:7" x14ac:dyDescent="0.25">
      <c r="B4385" s="37"/>
      <c r="C4385" s="37"/>
      <c r="D4385" s="37"/>
      <c r="E4385" s="37"/>
      <c r="F4385" s="37"/>
      <c r="G4385" s="70"/>
    </row>
    <row r="4386" spans="2:7" x14ac:dyDescent="0.25">
      <c r="B4386" s="37"/>
      <c r="C4386" s="37"/>
      <c r="D4386" s="37"/>
      <c r="E4386" s="37"/>
      <c r="F4386" s="37"/>
      <c r="G4386" s="70"/>
    </row>
    <row r="4387" spans="2:7" x14ac:dyDescent="0.25">
      <c r="B4387" s="37"/>
      <c r="C4387" s="37"/>
      <c r="D4387" s="37"/>
      <c r="E4387" s="37"/>
      <c r="F4387" s="37"/>
      <c r="G4387" s="70"/>
    </row>
    <row r="4388" spans="2:7" x14ac:dyDescent="0.25">
      <c r="B4388" s="37"/>
      <c r="C4388" s="37"/>
      <c r="D4388" s="37"/>
      <c r="E4388" s="37"/>
      <c r="F4388" s="37"/>
      <c r="G4388" s="70"/>
    </row>
    <row r="4389" spans="2:7" x14ac:dyDescent="0.25">
      <c r="B4389" s="37"/>
      <c r="C4389" s="37"/>
      <c r="D4389" s="37"/>
      <c r="E4389" s="37"/>
      <c r="F4389" s="37"/>
      <c r="G4389" s="70"/>
    </row>
    <row r="4390" spans="2:7" x14ac:dyDescent="0.25">
      <c r="B4390" s="37"/>
      <c r="C4390" s="37"/>
      <c r="D4390" s="37"/>
      <c r="E4390" s="37"/>
      <c r="F4390" s="37"/>
      <c r="G4390" s="70"/>
    </row>
    <row r="4391" spans="2:7" x14ac:dyDescent="0.25">
      <c r="B4391" s="37"/>
      <c r="C4391" s="37"/>
      <c r="D4391" s="37"/>
      <c r="E4391" s="37"/>
      <c r="F4391" s="37"/>
      <c r="G4391" s="70"/>
    </row>
    <row r="4392" spans="2:7" x14ac:dyDescent="0.25">
      <c r="B4392" s="37"/>
      <c r="C4392" s="37"/>
      <c r="D4392" s="37"/>
      <c r="E4392" s="37"/>
      <c r="F4392" s="37"/>
      <c r="G4392" s="70"/>
    </row>
    <row r="4393" spans="2:7" x14ac:dyDescent="0.25">
      <c r="B4393" s="37"/>
      <c r="C4393" s="37"/>
      <c r="D4393" s="37"/>
      <c r="E4393" s="37"/>
      <c r="F4393" s="37"/>
      <c r="G4393" s="70"/>
    </row>
    <row r="4394" spans="2:7" x14ac:dyDescent="0.25">
      <c r="B4394" s="37"/>
      <c r="C4394" s="37"/>
      <c r="D4394" s="37"/>
      <c r="E4394" s="37"/>
      <c r="F4394" s="37"/>
      <c r="G4394" s="70"/>
    </row>
    <row r="4395" spans="2:7" x14ac:dyDescent="0.25">
      <c r="B4395" s="37"/>
      <c r="C4395" s="37"/>
      <c r="D4395" s="37"/>
      <c r="E4395" s="37"/>
      <c r="F4395" s="37"/>
      <c r="G4395" s="70"/>
    </row>
    <row r="4396" spans="2:7" x14ac:dyDescent="0.25">
      <c r="B4396" s="37"/>
      <c r="C4396" s="37"/>
      <c r="D4396" s="37"/>
      <c r="E4396" s="37"/>
      <c r="F4396" s="37"/>
      <c r="G4396" s="70"/>
    </row>
    <row r="4397" spans="2:7" x14ac:dyDescent="0.25">
      <c r="B4397" s="37"/>
      <c r="C4397" s="37"/>
      <c r="D4397" s="37"/>
      <c r="E4397" s="37"/>
      <c r="F4397" s="37"/>
      <c r="G4397" s="70"/>
    </row>
    <row r="4398" spans="2:7" x14ac:dyDescent="0.25">
      <c r="B4398" s="37"/>
      <c r="C4398" s="37"/>
      <c r="D4398" s="37"/>
      <c r="E4398" s="37"/>
      <c r="F4398" s="37"/>
      <c r="G4398" s="70"/>
    </row>
    <row r="4399" spans="2:7" x14ac:dyDescent="0.25">
      <c r="B4399" s="37"/>
      <c r="C4399" s="37"/>
      <c r="D4399" s="37"/>
      <c r="E4399" s="37"/>
      <c r="F4399" s="37"/>
      <c r="G4399" s="70"/>
    </row>
    <row r="4400" spans="2:7" x14ac:dyDescent="0.25">
      <c r="B4400" s="37"/>
      <c r="C4400" s="37"/>
      <c r="D4400" s="37"/>
      <c r="E4400" s="37"/>
      <c r="F4400" s="37"/>
      <c r="G4400" s="70"/>
    </row>
    <row r="4401" spans="2:7" x14ac:dyDescent="0.25">
      <c r="B4401" s="37"/>
      <c r="C4401" s="37"/>
      <c r="D4401" s="37"/>
      <c r="E4401" s="37"/>
      <c r="F4401" s="37"/>
      <c r="G4401" s="70"/>
    </row>
    <row r="4402" spans="2:7" x14ac:dyDescent="0.25">
      <c r="B4402" s="37"/>
      <c r="C4402" s="37"/>
      <c r="D4402" s="37"/>
      <c r="E4402" s="37"/>
      <c r="F4402" s="37"/>
      <c r="G4402" s="70"/>
    </row>
    <row r="4403" spans="2:7" x14ac:dyDescent="0.25">
      <c r="B4403" s="37"/>
      <c r="C4403" s="37"/>
      <c r="D4403" s="37"/>
      <c r="E4403" s="37"/>
      <c r="F4403" s="37"/>
      <c r="G4403" s="70"/>
    </row>
    <row r="4404" spans="2:7" x14ac:dyDescent="0.25">
      <c r="B4404" s="37"/>
      <c r="C4404" s="37"/>
      <c r="D4404" s="37"/>
      <c r="E4404" s="37"/>
      <c r="F4404" s="37"/>
      <c r="G4404" s="70"/>
    </row>
    <row r="4405" spans="2:7" x14ac:dyDescent="0.25">
      <c r="B4405" s="37"/>
      <c r="C4405" s="37"/>
      <c r="D4405" s="37"/>
      <c r="E4405" s="37"/>
      <c r="F4405" s="37"/>
      <c r="G4405" s="70"/>
    </row>
    <row r="4406" spans="2:7" x14ac:dyDescent="0.25">
      <c r="B4406" s="37"/>
      <c r="C4406" s="37"/>
      <c r="D4406" s="37"/>
      <c r="E4406" s="37"/>
      <c r="F4406" s="37"/>
      <c r="G4406" s="70"/>
    </row>
    <row r="4407" spans="2:7" x14ac:dyDescent="0.25">
      <c r="B4407" s="37"/>
      <c r="C4407" s="37"/>
      <c r="D4407" s="37"/>
      <c r="E4407" s="37"/>
      <c r="F4407" s="37"/>
      <c r="G4407" s="70"/>
    </row>
    <row r="4408" spans="2:7" x14ac:dyDescent="0.25">
      <c r="B4408" s="37"/>
      <c r="C4408" s="37"/>
      <c r="D4408" s="37"/>
      <c r="E4408" s="37"/>
      <c r="F4408" s="37"/>
      <c r="G4408" s="70"/>
    </row>
    <row r="4409" spans="2:7" x14ac:dyDescent="0.25">
      <c r="B4409" s="37"/>
      <c r="C4409" s="37"/>
      <c r="D4409" s="37"/>
      <c r="E4409" s="37"/>
      <c r="F4409" s="37"/>
      <c r="G4409" s="70"/>
    </row>
    <row r="4410" spans="2:7" x14ac:dyDescent="0.25">
      <c r="B4410" s="37"/>
      <c r="C4410" s="37"/>
      <c r="D4410" s="37"/>
      <c r="E4410" s="37"/>
      <c r="F4410" s="37"/>
      <c r="G4410" s="70"/>
    </row>
    <row r="4411" spans="2:7" x14ac:dyDescent="0.25">
      <c r="B4411" s="37"/>
      <c r="C4411" s="37"/>
      <c r="D4411" s="37"/>
      <c r="E4411" s="37"/>
      <c r="F4411" s="37"/>
      <c r="G4411" s="70"/>
    </row>
    <row r="4412" spans="2:7" x14ac:dyDescent="0.25">
      <c r="B4412" s="37"/>
      <c r="C4412" s="37"/>
      <c r="D4412" s="37"/>
      <c r="E4412" s="37"/>
      <c r="F4412" s="37"/>
      <c r="G4412" s="70"/>
    </row>
    <row r="4413" spans="2:7" x14ac:dyDescent="0.25">
      <c r="B4413" s="37"/>
      <c r="C4413" s="37"/>
      <c r="D4413" s="37"/>
      <c r="E4413" s="37"/>
      <c r="F4413" s="37"/>
      <c r="G4413" s="70"/>
    </row>
    <row r="4414" spans="2:7" x14ac:dyDescent="0.25">
      <c r="B4414" s="37"/>
      <c r="C4414" s="37"/>
      <c r="D4414" s="37"/>
      <c r="E4414" s="37"/>
      <c r="F4414" s="37"/>
      <c r="G4414" s="70"/>
    </row>
    <row r="4415" spans="2:7" x14ac:dyDescent="0.25">
      <c r="B4415" s="37"/>
      <c r="C4415" s="37"/>
      <c r="D4415" s="37"/>
      <c r="E4415" s="37"/>
      <c r="F4415" s="37"/>
      <c r="G4415" s="70"/>
    </row>
    <row r="4416" spans="2:7" x14ac:dyDescent="0.25">
      <c r="B4416" s="37"/>
      <c r="C4416" s="37"/>
      <c r="D4416" s="37"/>
      <c r="E4416" s="37"/>
      <c r="F4416" s="37"/>
      <c r="G4416" s="70"/>
    </row>
    <row r="4417" spans="2:7" x14ac:dyDescent="0.25">
      <c r="B4417" s="37"/>
      <c r="C4417" s="37"/>
      <c r="D4417" s="37"/>
      <c r="E4417" s="37"/>
      <c r="F4417" s="37"/>
      <c r="G4417" s="70"/>
    </row>
    <row r="4418" spans="2:7" x14ac:dyDescent="0.25">
      <c r="B4418" s="37"/>
      <c r="C4418" s="37"/>
      <c r="D4418" s="37"/>
      <c r="E4418" s="37"/>
      <c r="F4418" s="37"/>
      <c r="G4418" s="70"/>
    </row>
    <row r="4419" spans="2:7" x14ac:dyDescent="0.25">
      <c r="B4419" s="37"/>
      <c r="C4419" s="37"/>
      <c r="D4419" s="37"/>
      <c r="E4419" s="37"/>
      <c r="F4419" s="37"/>
      <c r="G4419" s="70"/>
    </row>
    <row r="4420" spans="2:7" x14ac:dyDescent="0.25">
      <c r="B4420" s="37"/>
      <c r="C4420" s="37"/>
      <c r="D4420" s="37"/>
      <c r="E4420" s="37"/>
      <c r="F4420" s="37"/>
      <c r="G4420" s="70"/>
    </row>
    <row r="4421" spans="2:7" x14ac:dyDescent="0.25">
      <c r="B4421" s="37"/>
      <c r="C4421" s="37"/>
      <c r="D4421" s="37"/>
      <c r="E4421" s="37"/>
      <c r="F4421" s="37"/>
      <c r="G4421" s="70"/>
    </row>
    <row r="4422" spans="2:7" x14ac:dyDescent="0.25">
      <c r="B4422" s="37"/>
      <c r="C4422" s="37"/>
      <c r="D4422" s="37"/>
      <c r="E4422" s="37"/>
      <c r="F4422" s="37"/>
      <c r="G4422" s="70"/>
    </row>
    <row r="4423" spans="2:7" x14ac:dyDescent="0.25">
      <c r="B4423" s="37"/>
      <c r="C4423" s="37"/>
      <c r="D4423" s="37"/>
      <c r="E4423" s="37"/>
      <c r="F4423" s="37"/>
      <c r="G4423" s="70"/>
    </row>
    <row r="4424" spans="2:7" x14ac:dyDescent="0.25">
      <c r="B4424" s="37"/>
      <c r="C4424" s="37"/>
      <c r="D4424" s="37"/>
      <c r="E4424" s="37"/>
      <c r="F4424" s="37"/>
      <c r="G4424" s="70"/>
    </row>
    <row r="4425" spans="2:7" x14ac:dyDescent="0.25">
      <c r="B4425" s="37"/>
      <c r="C4425" s="37"/>
      <c r="D4425" s="37"/>
      <c r="E4425" s="37"/>
      <c r="F4425" s="37"/>
      <c r="G4425" s="70"/>
    </row>
    <row r="4426" spans="2:7" x14ac:dyDescent="0.25">
      <c r="B4426" s="37"/>
      <c r="C4426" s="37"/>
      <c r="D4426" s="37"/>
      <c r="E4426" s="37"/>
      <c r="F4426" s="37"/>
      <c r="G4426" s="70"/>
    </row>
    <row r="4427" spans="2:7" x14ac:dyDescent="0.25">
      <c r="B4427" s="37"/>
      <c r="C4427" s="37"/>
      <c r="D4427" s="37"/>
      <c r="E4427" s="37"/>
      <c r="F4427" s="37"/>
      <c r="G4427" s="70"/>
    </row>
    <row r="4428" spans="2:7" x14ac:dyDescent="0.25">
      <c r="B4428" s="37"/>
      <c r="C4428" s="37"/>
      <c r="D4428" s="37"/>
      <c r="E4428" s="37"/>
      <c r="F4428" s="37"/>
      <c r="G4428" s="70"/>
    </row>
    <row r="4429" spans="2:7" x14ac:dyDescent="0.25">
      <c r="B4429" s="37"/>
      <c r="C4429" s="37"/>
      <c r="D4429" s="37"/>
      <c r="E4429" s="37"/>
      <c r="F4429" s="37"/>
      <c r="G4429" s="70"/>
    </row>
    <row r="4430" spans="2:7" x14ac:dyDescent="0.25">
      <c r="B4430" s="37"/>
      <c r="C4430" s="37"/>
      <c r="D4430" s="37"/>
      <c r="E4430" s="37"/>
      <c r="F4430" s="37"/>
      <c r="G4430" s="70"/>
    </row>
    <row r="4431" spans="2:7" x14ac:dyDescent="0.25">
      <c r="B4431" s="37"/>
      <c r="C4431" s="37"/>
      <c r="D4431" s="37"/>
      <c r="E4431" s="37"/>
      <c r="F4431" s="37"/>
      <c r="G4431" s="70"/>
    </row>
    <row r="4432" spans="2:7" x14ac:dyDescent="0.25">
      <c r="B4432" s="37"/>
      <c r="C4432" s="37"/>
      <c r="D4432" s="37"/>
      <c r="E4432" s="37"/>
      <c r="F4432" s="37"/>
      <c r="G4432" s="70"/>
    </row>
    <row r="4433" spans="2:7" x14ac:dyDescent="0.25">
      <c r="B4433" s="37"/>
      <c r="C4433" s="37"/>
      <c r="D4433" s="37"/>
      <c r="E4433" s="37"/>
      <c r="F4433" s="37"/>
      <c r="G4433" s="70"/>
    </row>
    <row r="4434" spans="2:7" x14ac:dyDescent="0.25">
      <c r="B4434" s="37"/>
      <c r="C4434" s="37"/>
      <c r="D4434" s="37"/>
      <c r="E4434" s="37"/>
      <c r="F4434" s="37"/>
      <c r="G4434" s="70"/>
    </row>
    <row r="4435" spans="2:7" x14ac:dyDescent="0.25">
      <c r="B4435" s="37"/>
      <c r="C4435" s="37"/>
      <c r="D4435" s="37"/>
      <c r="E4435" s="37"/>
      <c r="F4435" s="37"/>
      <c r="G4435" s="70"/>
    </row>
    <row r="4436" spans="2:7" x14ac:dyDescent="0.25">
      <c r="B4436" s="37"/>
      <c r="C4436" s="37"/>
      <c r="D4436" s="37"/>
      <c r="E4436" s="37"/>
      <c r="F4436" s="37"/>
      <c r="G4436" s="70"/>
    </row>
    <row r="4437" spans="2:7" x14ac:dyDescent="0.25">
      <c r="B4437" s="37"/>
      <c r="C4437" s="37"/>
      <c r="D4437" s="37"/>
      <c r="E4437" s="37"/>
      <c r="F4437" s="37"/>
      <c r="G4437" s="70"/>
    </row>
    <row r="4438" spans="2:7" x14ac:dyDescent="0.25">
      <c r="B4438" s="37"/>
      <c r="C4438" s="37"/>
      <c r="D4438" s="37"/>
      <c r="E4438" s="37"/>
      <c r="F4438" s="37"/>
      <c r="G4438" s="70"/>
    </row>
    <row r="4439" spans="2:7" x14ac:dyDescent="0.25">
      <c r="B4439" s="37"/>
      <c r="C4439" s="37"/>
      <c r="D4439" s="37"/>
      <c r="E4439" s="37"/>
      <c r="F4439" s="37"/>
      <c r="G4439" s="70"/>
    </row>
    <row r="4440" spans="2:7" x14ac:dyDescent="0.25">
      <c r="B4440" s="37"/>
      <c r="C4440" s="37"/>
      <c r="D4440" s="37"/>
      <c r="E4440" s="37"/>
      <c r="F4440" s="37"/>
      <c r="G4440" s="70"/>
    </row>
    <row r="4441" spans="2:7" x14ac:dyDescent="0.25">
      <c r="B4441" s="37"/>
      <c r="C4441" s="37"/>
      <c r="D4441" s="37"/>
      <c r="E4441" s="37"/>
      <c r="F4441" s="37"/>
      <c r="G4441" s="70"/>
    </row>
    <row r="4442" spans="2:7" x14ac:dyDescent="0.25">
      <c r="B4442" s="37"/>
      <c r="C4442" s="37"/>
      <c r="D4442" s="37"/>
      <c r="E4442" s="37"/>
      <c r="F4442" s="37"/>
      <c r="G4442" s="70"/>
    </row>
    <row r="4443" spans="2:7" x14ac:dyDescent="0.25">
      <c r="B4443" s="37"/>
      <c r="C4443" s="37"/>
      <c r="D4443" s="37"/>
      <c r="E4443" s="37"/>
      <c r="F4443" s="37"/>
      <c r="G4443" s="70"/>
    </row>
    <row r="4444" spans="2:7" x14ac:dyDescent="0.25">
      <c r="B4444" s="37"/>
      <c r="C4444" s="37"/>
      <c r="D4444" s="37"/>
      <c r="E4444" s="37"/>
      <c r="F4444" s="37"/>
      <c r="G4444" s="70"/>
    </row>
    <row r="4445" spans="2:7" x14ac:dyDescent="0.25">
      <c r="B4445" s="37"/>
      <c r="C4445" s="37"/>
      <c r="D4445" s="37"/>
      <c r="E4445" s="37"/>
      <c r="F4445" s="37"/>
      <c r="G4445" s="70"/>
    </row>
    <row r="4446" spans="2:7" x14ac:dyDescent="0.25">
      <c r="B4446" s="37"/>
      <c r="C4446" s="37"/>
      <c r="D4446" s="37"/>
      <c r="E4446" s="37"/>
      <c r="F4446" s="37"/>
      <c r="G4446" s="70"/>
    </row>
    <row r="4447" spans="2:7" x14ac:dyDescent="0.25">
      <c r="B4447" s="37"/>
      <c r="C4447" s="37"/>
      <c r="D4447" s="37"/>
      <c r="E4447" s="37"/>
      <c r="F4447" s="37"/>
      <c r="G4447" s="70"/>
    </row>
    <row r="4448" spans="2:7" x14ac:dyDescent="0.25">
      <c r="B4448" s="37"/>
      <c r="C4448" s="37"/>
      <c r="D4448" s="37"/>
      <c r="E4448" s="37"/>
      <c r="F4448" s="37"/>
      <c r="G4448" s="70"/>
    </row>
    <row r="4449" spans="2:7" x14ac:dyDescent="0.25">
      <c r="B4449" s="37"/>
      <c r="C4449" s="37"/>
      <c r="D4449" s="37"/>
      <c r="E4449" s="37"/>
      <c r="F4449" s="37"/>
      <c r="G4449" s="70"/>
    </row>
    <row r="4450" spans="2:7" x14ac:dyDescent="0.25">
      <c r="B4450" s="37"/>
      <c r="C4450" s="37"/>
      <c r="D4450" s="37"/>
      <c r="E4450" s="37"/>
      <c r="F4450" s="37"/>
      <c r="G4450" s="70"/>
    </row>
    <row r="4451" spans="2:7" x14ac:dyDescent="0.25">
      <c r="B4451" s="37"/>
      <c r="C4451" s="37"/>
      <c r="D4451" s="37"/>
      <c r="E4451" s="37"/>
      <c r="F4451" s="37"/>
      <c r="G4451" s="70"/>
    </row>
    <row r="4452" spans="2:7" x14ac:dyDescent="0.25">
      <c r="B4452" s="37"/>
      <c r="C4452" s="37"/>
      <c r="D4452" s="37"/>
      <c r="E4452" s="37"/>
      <c r="F4452" s="37"/>
      <c r="G4452" s="70"/>
    </row>
    <row r="4453" spans="2:7" x14ac:dyDescent="0.25">
      <c r="B4453" s="37"/>
      <c r="C4453" s="37"/>
      <c r="D4453" s="37"/>
      <c r="E4453" s="37"/>
      <c r="F4453" s="37"/>
      <c r="G4453" s="70"/>
    </row>
    <row r="4454" spans="2:7" x14ac:dyDescent="0.25">
      <c r="B4454" s="37"/>
      <c r="C4454" s="37"/>
      <c r="D4454" s="37"/>
      <c r="E4454" s="37"/>
      <c r="F4454" s="37"/>
      <c r="G4454" s="70"/>
    </row>
    <row r="4455" spans="2:7" x14ac:dyDescent="0.25">
      <c r="B4455" s="37"/>
      <c r="C4455" s="37"/>
      <c r="D4455" s="37"/>
      <c r="E4455" s="37"/>
      <c r="F4455" s="37"/>
      <c r="G4455" s="70"/>
    </row>
    <row r="4456" spans="2:7" x14ac:dyDescent="0.25">
      <c r="B4456" s="37"/>
      <c r="C4456" s="37"/>
      <c r="D4456" s="37"/>
      <c r="E4456" s="37"/>
      <c r="F4456" s="37"/>
      <c r="G4456" s="70"/>
    </row>
    <row r="4457" spans="2:7" x14ac:dyDescent="0.25">
      <c r="B4457" s="37"/>
      <c r="C4457" s="37"/>
      <c r="D4457" s="37"/>
      <c r="E4457" s="37"/>
      <c r="F4457" s="37"/>
      <c r="G4457" s="70"/>
    </row>
    <row r="4458" spans="2:7" x14ac:dyDescent="0.25">
      <c r="B4458" s="37"/>
      <c r="C4458" s="37"/>
      <c r="D4458" s="37"/>
      <c r="E4458" s="37"/>
      <c r="F4458" s="37"/>
      <c r="G4458" s="70"/>
    </row>
    <row r="4459" spans="2:7" x14ac:dyDescent="0.25">
      <c r="B4459" s="37"/>
      <c r="C4459" s="37"/>
      <c r="D4459" s="37"/>
      <c r="E4459" s="37"/>
      <c r="F4459" s="37"/>
      <c r="G4459" s="70"/>
    </row>
    <row r="4460" spans="2:7" x14ac:dyDescent="0.25">
      <c r="B4460" s="37"/>
      <c r="C4460" s="37"/>
      <c r="D4460" s="37"/>
      <c r="E4460" s="37"/>
      <c r="F4460" s="37"/>
      <c r="G4460" s="70"/>
    </row>
    <row r="4461" spans="2:7" x14ac:dyDescent="0.25">
      <c r="B4461" s="37"/>
      <c r="C4461" s="37"/>
      <c r="D4461" s="37"/>
      <c r="E4461" s="37"/>
      <c r="F4461" s="37"/>
      <c r="G4461" s="70"/>
    </row>
    <row r="4462" spans="2:7" x14ac:dyDescent="0.25">
      <c r="B4462" s="37"/>
      <c r="C4462" s="37"/>
      <c r="D4462" s="37"/>
      <c r="E4462" s="37"/>
      <c r="F4462" s="37"/>
      <c r="G4462" s="70"/>
    </row>
    <row r="4463" spans="2:7" x14ac:dyDescent="0.25">
      <c r="B4463" s="37"/>
      <c r="C4463" s="37"/>
      <c r="D4463" s="37"/>
      <c r="E4463" s="37"/>
      <c r="F4463" s="37"/>
      <c r="G4463" s="70"/>
    </row>
    <row r="4464" spans="2:7" x14ac:dyDescent="0.25">
      <c r="B4464" s="37"/>
      <c r="C4464" s="37"/>
      <c r="D4464" s="37"/>
      <c r="E4464" s="37"/>
      <c r="F4464" s="37"/>
      <c r="G4464" s="70"/>
    </row>
    <row r="4465" spans="2:7" x14ac:dyDescent="0.25">
      <c r="B4465" s="37"/>
      <c r="C4465" s="37"/>
      <c r="D4465" s="37"/>
      <c r="E4465" s="37"/>
      <c r="F4465" s="37"/>
      <c r="G4465" s="70"/>
    </row>
    <row r="4466" spans="2:7" x14ac:dyDescent="0.25">
      <c r="B4466" s="37"/>
      <c r="C4466" s="37"/>
      <c r="D4466" s="37"/>
      <c r="E4466" s="37"/>
      <c r="F4466" s="37"/>
      <c r="G4466" s="70"/>
    </row>
    <row r="4467" spans="2:7" x14ac:dyDescent="0.25">
      <c r="B4467" s="37"/>
      <c r="C4467" s="37"/>
      <c r="D4467" s="37"/>
      <c r="E4467" s="37"/>
      <c r="F4467" s="37"/>
      <c r="G4467" s="70"/>
    </row>
    <row r="4468" spans="2:7" x14ac:dyDescent="0.25">
      <c r="B4468" s="37"/>
      <c r="C4468" s="37"/>
      <c r="D4468" s="37"/>
      <c r="E4468" s="37"/>
      <c r="F4468" s="37"/>
      <c r="G4468" s="70"/>
    </row>
    <row r="4469" spans="2:7" x14ac:dyDescent="0.25">
      <c r="B4469" s="37"/>
      <c r="C4469" s="37"/>
      <c r="D4469" s="37"/>
      <c r="E4469" s="37"/>
      <c r="F4469" s="37"/>
      <c r="G4469" s="70"/>
    </row>
    <row r="4470" spans="2:7" x14ac:dyDescent="0.25">
      <c r="B4470" s="37"/>
      <c r="C4470" s="37"/>
      <c r="D4470" s="37"/>
      <c r="E4470" s="37"/>
      <c r="F4470" s="37"/>
      <c r="G4470" s="70"/>
    </row>
    <row r="4471" spans="2:7" x14ac:dyDescent="0.25">
      <c r="B4471" s="37"/>
      <c r="C4471" s="37"/>
      <c r="D4471" s="37"/>
      <c r="E4471" s="37"/>
      <c r="F4471" s="37"/>
      <c r="G4471" s="70"/>
    </row>
    <row r="4472" spans="2:7" x14ac:dyDescent="0.25">
      <c r="B4472" s="37"/>
      <c r="C4472" s="37"/>
      <c r="D4472" s="37"/>
      <c r="E4472" s="37"/>
      <c r="F4472" s="37"/>
      <c r="G4472" s="70"/>
    </row>
    <row r="4473" spans="2:7" x14ac:dyDescent="0.25">
      <c r="B4473" s="37"/>
      <c r="C4473" s="37"/>
      <c r="D4473" s="37"/>
      <c r="E4473" s="37"/>
      <c r="F4473" s="37"/>
      <c r="G4473" s="70"/>
    </row>
    <row r="4474" spans="2:7" x14ac:dyDescent="0.25">
      <c r="B4474" s="37"/>
      <c r="C4474" s="37"/>
      <c r="D4474" s="37"/>
      <c r="E4474" s="37"/>
      <c r="F4474" s="37"/>
      <c r="G4474" s="70"/>
    </row>
    <row r="4475" spans="2:7" x14ac:dyDescent="0.25">
      <c r="B4475" s="37"/>
      <c r="C4475" s="37"/>
      <c r="D4475" s="37"/>
      <c r="E4475" s="37"/>
      <c r="F4475" s="37"/>
      <c r="G4475" s="70"/>
    </row>
    <row r="4476" spans="2:7" x14ac:dyDescent="0.25">
      <c r="B4476" s="37"/>
      <c r="C4476" s="37"/>
      <c r="D4476" s="37"/>
      <c r="E4476" s="37"/>
      <c r="F4476" s="37"/>
      <c r="G4476" s="70"/>
    </row>
    <row r="4477" spans="2:7" x14ac:dyDescent="0.25">
      <c r="B4477" s="37"/>
      <c r="C4477" s="37"/>
      <c r="D4477" s="37"/>
      <c r="E4477" s="37"/>
      <c r="F4477" s="37"/>
      <c r="G4477" s="70"/>
    </row>
    <row r="4478" spans="2:7" x14ac:dyDescent="0.25">
      <c r="B4478" s="37"/>
      <c r="C4478" s="37"/>
      <c r="D4478" s="37"/>
      <c r="E4478" s="37"/>
      <c r="F4478" s="37"/>
      <c r="G4478" s="70"/>
    </row>
    <row r="4479" spans="2:7" x14ac:dyDescent="0.25">
      <c r="B4479" s="37"/>
      <c r="C4479" s="37"/>
      <c r="D4479" s="37"/>
      <c r="E4479" s="37"/>
      <c r="F4479" s="37"/>
      <c r="G4479" s="70"/>
    </row>
    <row r="4480" spans="2:7" x14ac:dyDescent="0.25">
      <c r="B4480" s="37"/>
      <c r="C4480" s="37"/>
      <c r="D4480" s="37"/>
      <c r="E4480" s="37"/>
      <c r="F4480" s="37"/>
      <c r="G4480" s="70"/>
    </row>
    <row r="4481" spans="2:7" x14ac:dyDescent="0.25">
      <c r="B4481" s="37"/>
      <c r="C4481" s="37"/>
      <c r="D4481" s="37"/>
      <c r="E4481" s="37"/>
      <c r="F4481" s="37"/>
      <c r="G4481" s="70"/>
    </row>
    <row r="4482" spans="2:7" x14ac:dyDescent="0.25">
      <c r="B4482" s="37"/>
      <c r="C4482" s="37"/>
      <c r="D4482" s="37"/>
      <c r="E4482" s="37"/>
      <c r="F4482" s="37"/>
      <c r="G4482" s="70"/>
    </row>
    <row r="4483" spans="2:7" x14ac:dyDescent="0.25">
      <c r="B4483" s="37"/>
      <c r="C4483" s="37"/>
      <c r="D4483" s="37"/>
      <c r="E4483" s="37"/>
      <c r="F4483" s="37"/>
      <c r="G4483" s="70"/>
    </row>
    <row r="4484" spans="2:7" x14ac:dyDescent="0.25">
      <c r="B4484" s="37"/>
      <c r="C4484" s="37"/>
      <c r="D4484" s="37"/>
      <c r="E4484" s="37"/>
      <c r="F4484" s="37"/>
      <c r="G4484" s="70"/>
    </row>
    <row r="4485" spans="2:7" x14ac:dyDescent="0.25">
      <c r="B4485" s="37"/>
      <c r="C4485" s="37"/>
      <c r="D4485" s="37"/>
      <c r="E4485" s="37"/>
      <c r="F4485" s="37"/>
      <c r="G4485" s="70"/>
    </row>
    <row r="4486" spans="2:7" x14ac:dyDescent="0.25">
      <c r="B4486" s="37"/>
      <c r="C4486" s="37"/>
      <c r="D4486" s="37"/>
      <c r="E4486" s="37"/>
      <c r="F4486" s="37"/>
      <c r="G4486" s="70"/>
    </row>
    <row r="4487" spans="2:7" x14ac:dyDescent="0.25">
      <c r="B4487" s="37"/>
      <c r="C4487" s="37"/>
      <c r="D4487" s="37"/>
      <c r="E4487" s="37"/>
      <c r="F4487" s="37"/>
      <c r="G4487" s="70"/>
    </row>
    <row r="4488" spans="2:7" x14ac:dyDescent="0.25">
      <c r="B4488" s="37"/>
      <c r="C4488" s="37"/>
      <c r="D4488" s="37"/>
      <c r="E4488" s="37"/>
      <c r="F4488" s="37"/>
      <c r="G4488" s="70"/>
    </row>
    <row r="4489" spans="2:7" x14ac:dyDescent="0.25">
      <c r="B4489" s="37"/>
      <c r="C4489" s="37"/>
      <c r="D4489" s="37"/>
      <c r="E4489" s="37"/>
      <c r="F4489" s="37"/>
      <c r="G4489" s="70"/>
    </row>
    <row r="4490" spans="2:7" x14ac:dyDescent="0.25">
      <c r="B4490" s="37"/>
      <c r="C4490" s="37"/>
      <c r="D4490" s="37"/>
      <c r="E4490" s="37"/>
      <c r="F4490" s="37"/>
      <c r="G4490" s="70"/>
    </row>
    <row r="4491" spans="2:7" x14ac:dyDescent="0.25">
      <c r="B4491" s="37"/>
      <c r="C4491" s="37"/>
      <c r="D4491" s="37"/>
      <c r="E4491" s="37"/>
      <c r="F4491" s="37"/>
      <c r="G4491" s="70"/>
    </row>
    <row r="4492" spans="2:7" x14ac:dyDescent="0.25">
      <c r="B4492" s="37"/>
      <c r="C4492" s="37"/>
      <c r="D4492" s="37"/>
      <c r="E4492" s="37"/>
      <c r="F4492" s="37"/>
      <c r="G4492" s="70"/>
    </row>
    <row r="4493" spans="2:7" x14ac:dyDescent="0.25">
      <c r="B4493" s="37"/>
      <c r="C4493" s="37"/>
      <c r="D4493" s="37"/>
      <c r="E4493" s="37"/>
      <c r="F4493" s="37"/>
      <c r="G4493" s="70"/>
    </row>
    <row r="4494" spans="2:7" x14ac:dyDescent="0.25">
      <c r="B4494" s="37"/>
      <c r="C4494" s="37"/>
      <c r="D4494" s="37"/>
      <c r="E4494" s="37"/>
      <c r="F4494" s="37"/>
      <c r="G4494" s="70"/>
    </row>
    <row r="4495" spans="2:7" x14ac:dyDescent="0.25">
      <c r="B4495" s="37"/>
      <c r="C4495" s="37"/>
      <c r="D4495" s="37"/>
      <c r="E4495" s="37"/>
      <c r="F4495" s="37"/>
      <c r="G4495" s="70"/>
    </row>
    <row r="4496" spans="2:7" x14ac:dyDescent="0.25">
      <c r="B4496" s="37"/>
      <c r="C4496" s="37"/>
      <c r="D4496" s="37"/>
      <c r="E4496" s="37"/>
      <c r="F4496" s="37"/>
      <c r="G4496" s="70"/>
    </row>
    <row r="4497" spans="2:7" x14ac:dyDescent="0.25">
      <c r="B4497" s="37"/>
      <c r="C4497" s="37"/>
      <c r="D4497" s="37"/>
      <c r="E4497" s="37"/>
      <c r="F4497" s="37"/>
      <c r="G4497" s="70"/>
    </row>
    <row r="4498" spans="2:7" x14ac:dyDescent="0.25">
      <c r="B4498" s="37"/>
      <c r="C4498" s="37"/>
      <c r="D4498" s="37"/>
      <c r="E4498" s="37"/>
      <c r="F4498" s="37"/>
      <c r="G4498" s="70"/>
    </row>
    <row r="4499" spans="2:7" x14ac:dyDescent="0.25">
      <c r="B4499" s="37"/>
      <c r="C4499" s="37"/>
      <c r="D4499" s="37"/>
      <c r="E4499" s="37"/>
      <c r="F4499" s="37"/>
      <c r="G4499" s="70"/>
    </row>
    <row r="4500" spans="2:7" x14ac:dyDescent="0.25">
      <c r="B4500" s="37"/>
      <c r="C4500" s="37"/>
      <c r="D4500" s="37"/>
      <c r="E4500" s="37"/>
      <c r="F4500" s="37"/>
      <c r="G4500" s="70"/>
    </row>
    <row r="4501" spans="2:7" x14ac:dyDescent="0.25">
      <c r="B4501" s="37"/>
      <c r="C4501" s="37"/>
      <c r="D4501" s="37"/>
      <c r="E4501" s="37"/>
      <c r="F4501" s="37"/>
      <c r="G4501" s="70"/>
    </row>
    <row r="4502" spans="2:7" x14ac:dyDescent="0.25">
      <c r="B4502" s="37"/>
      <c r="C4502" s="37"/>
      <c r="D4502" s="37"/>
      <c r="E4502" s="37"/>
      <c r="F4502" s="37"/>
      <c r="G4502" s="70"/>
    </row>
    <row r="4503" spans="2:7" x14ac:dyDescent="0.25">
      <c r="B4503" s="37"/>
      <c r="C4503" s="37"/>
      <c r="D4503" s="37"/>
      <c r="E4503" s="37"/>
      <c r="F4503" s="37"/>
      <c r="G4503" s="70"/>
    </row>
    <row r="4504" spans="2:7" x14ac:dyDescent="0.25">
      <c r="B4504" s="37"/>
      <c r="C4504" s="37"/>
      <c r="D4504" s="37"/>
      <c r="E4504" s="37"/>
      <c r="F4504" s="37"/>
      <c r="G4504" s="70"/>
    </row>
    <row r="4505" spans="2:7" x14ac:dyDescent="0.25">
      <c r="B4505" s="37"/>
      <c r="C4505" s="37"/>
      <c r="D4505" s="37"/>
      <c r="E4505" s="37"/>
      <c r="F4505" s="37"/>
      <c r="G4505" s="70"/>
    </row>
    <row r="4506" spans="2:7" x14ac:dyDescent="0.25">
      <c r="B4506" s="37"/>
      <c r="C4506" s="37"/>
      <c r="D4506" s="37"/>
      <c r="E4506" s="37"/>
      <c r="F4506" s="37"/>
      <c r="G4506" s="70"/>
    </row>
    <row r="4507" spans="2:7" x14ac:dyDescent="0.25">
      <c r="B4507" s="37"/>
      <c r="C4507" s="37"/>
      <c r="D4507" s="37"/>
      <c r="E4507" s="37"/>
      <c r="F4507" s="37"/>
      <c r="G4507" s="70"/>
    </row>
    <row r="4508" spans="2:7" x14ac:dyDescent="0.25">
      <c r="B4508" s="37"/>
      <c r="C4508" s="37"/>
      <c r="D4508" s="37"/>
      <c r="E4508" s="37"/>
      <c r="F4508" s="37"/>
      <c r="G4508" s="70"/>
    </row>
    <row r="4509" spans="2:7" x14ac:dyDescent="0.25">
      <c r="B4509" s="37"/>
      <c r="C4509" s="37"/>
      <c r="D4509" s="37"/>
      <c r="E4509" s="37"/>
      <c r="F4509" s="37"/>
      <c r="G4509" s="70"/>
    </row>
    <row r="4510" spans="2:7" x14ac:dyDescent="0.25">
      <c r="B4510" s="37"/>
      <c r="C4510" s="37"/>
      <c r="D4510" s="37"/>
      <c r="E4510" s="37"/>
      <c r="F4510" s="37"/>
      <c r="G4510" s="70"/>
    </row>
    <row r="4511" spans="2:7" x14ac:dyDescent="0.25">
      <c r="B4511" s="37"/>
      <c r="C4511" s="37"/>
      <c r="D4511" s="37"/>
      <c r="E4511" s="37"/>
      <c r="F4511" s="37"/>
      <c r="G4511" s="70"/>
    </row>
    <row r="4512" spans="2:7" x14ac:dyDescent="0.25">
      <c r="B4512" s="37"/>
      <c r="C4512" s="37"/>
      <c r="D4512" s="37"/>
      <c r="E4512" s="37"/>
      <c r="F4512" s="37"/>
      <c r="G4512" s="70"/>
    </row>
    <row r="4513" spans="2:7" x14ac:dyDescent="0.25">
      <c r="B4513" s="37"/>
      <c r="C4513" s="37"/>
      <c r="D4513" s="37"/>
      <c r="E4513" s="37"/>
      <c r="F4513" s="37"/>
      <c r="G4513" s="70"/>
    </row>
    <row r="4514" spans="2:7" x14ac:dyDescent="0.25">
      <c r="B4514" s="37"/>
      <c r="C4514" s="37"/>
      <c r="D4514" s="37"/>
      <c r="E4514" s="37"/>
      <c r="F4514" s="37"/>
      <c r="G4514" s="70"/>
    </row>
    <row r="4515" spans="2:7" x14ac:dyDescent="0.25">
      <c r="B4515" s="37"/>
      <c r="C4515" s="37"/>
      <c r="D4515" s="37"/>
      <c r="E4515" s="37"/>
      <c r="F4515" s="37"/>
      <c r="G4515" s="70"/>
    </row>
    <row r="4516" spans="2:7" x14ac:dyDescent="0.25">
      <c r="B4516" s="37"/>
      <c r="C4516" s="37"/>
      <c r="D4516" s="37"/>
      <c r="E4516" s="37"/>
      <c r="F4516" s="37"/>
      <c r="G4516" s="70"/>
    </row>
    <row r="4517" spans="2:7" x14ac:dyDescent="0.25">
      <c r="B4517" s="37"/>
      <c r="C4517" s="37"/>
      <c r="D4517" s="37"/>
      <c r="E4517" s="37"/>
      <c r="F4517" s="37"/>
      <c r="G4517" s="70"/>
    </row>
    <row r="4518" spans="2:7" x14ac:dyDescent="0.25">
      <c r="B4518" s="37"/>
      <c r="C4518" s="37"/>
      <c r="D4518" s="37"/>
      <c r="E4518" s="37"/>
      <c r="F4518" s="37"/>
      <c r="G4518" s="70"/>
    </row>
    <row r="4519" spans="2:7" x14ac:dyDescent="0.25">
      <c r="B4519" s="37"/>
      <c r="C4519" s="37"/>
      <c r="D4519" s="37"/>
      <c r="E4519" s="37"/>
      <c r="F4519" s="37"/>
      <c r="G4519" s="70"/>
    </row>
    <row r="4520" spans="2:7" x14ac:dyDescent="0.25">
      <c r="B4520" s="37"/>
      <c r="C4520" s="37"/>
      <c r="D4520" s="37"/>
      <c r="E4520" s="37"/>
      <c r="F4520" s="37"/>
      <c r="G4520" s="70"/>
    </row>
    <row r="4521" spans="2:7" x14ac:dyDescent="0.25">
      <c r="B4521" s="37"/>
      <c r="C4521" s="37"/>
      <c r="D4521" s="37"/>
      <c r="E4521" s="37"/>
      <c r="F4521" s="37"/>
      <c r="G4521" s="70"/>
    </row>
    <row r="4522" spans="2:7" x14ac:dyDescent="0.25">
      <c r="B4522" s="37"/>
      <c r="C4522" s="37"/>
      <c r="D4522" s="37"/>
      <c r="E4522" s="37"/>
      <c r="F4522" s="37"/>
      <c r="G4522" s="70"/>
    </row>
    <row r="4523" spans="2:7" x14ac:dyDescent="0.25">
      <c r="B4523" s="37"/>
      <c r="C4523" s="37"/>
      <c r="D4523" s="37"/>
      <c r="E4523" s="37"/>
      <c r="F4523" s="37"/>
      <c r="G4523" s="70"/>
    </row>
    <row r="4524" spans="2:7" x14ac:dyDescent="0.25">
      <c r="B4524" s="37"/>
      <c r="C4524" s="37"/>
      <c r="D4524" s="37"/>
      <c r="E4524" s="37"/>
      <c r="F4524" s="37"/>
      <c r="G4524" s="70"/>
    </row>
    <row r="4525" spans="2:7" x14ac:dyDescent="0.25">
      <c r="B4525" s="37"/>
      <c r="C4525" s="37"/>
      <c r="D4525" s="37"/>
      <c r="E4525" s="37"/>
      <c r="F4525" s="37"/>
      <c r="G4525" s="70"/>
    </row>
    <row r="4526" spans="2:7" x14ac:dyDescent="0.25">
      <c r="B4526" s="37"/>
      <c r="C4526" s="37"/>
      <c r="D4526" s="37"/>
      <c r="E4526" s="37"/>
      <c r="F4526" s="37"/>
      <c r="G4526" s="70"/>
    </row>
    <row r="4527" spans="2:7" x14ac:dyDescent="0.25">
      <c r="B4527" s="37"/>
      <c r="C4527" s="37"/>
      <c r="D4527" s="37"/>
      <c r="E4527" s="37"/>
      <c r="F4527" s="37"/>
      <c r="G4527" s="70"/>
    </row>
    <row r="4528" spans="2:7" x14ac:dyDescent="0.25">
      <c r="B4528" s="37"/>
      <c r="C4528" s="37"/>
      <c r="D4528" s="37"/>
      <c r="E4528" s="37"/>
      <c r="F4528" s="37"/>
      <c r="G4528" s="70"/>
    </row>
    <row r="4529" spans="2:7" x14ac:dyDescent="0.25">
      <c r="B4529" s="37"/>
      <c r="C4529" s="37"/>
      <c r="D4529" s="37"/>
      <c r="E4529" s="37"/>
      <c r="F4529" s="37"/>
      <c r="G4529" s="70"/>
    </row>
    <row r="4530" spans="2:7" x14ac:dyDescent="0.25">
      <c r="B4530" s="37"/>
      <c r="C4530" s="37"/>
      <c r="D4530" s="37"/>
      <c r="E4530" s="37"/>
      <c r="F4530" s="37"/>
      <c r="G4530" s="70"/>
    </row>
    <row r="4531" spans="2:7" x14ac:dyDescent="0.25">
      <c r="B4531" s="37"/>
      <c r="C4531" s="37"/>
      <c r="D4531" s="37"/>
      <c r="E4531" s="37"/>
      <c r="F4531" s="37"/>
      <c r="G4531" s="70"/>
    </row>
    <row r="4532" spans="2:7" x14ac:dyDescent="0.25">
      <c r="B4532" s="37"/>
      <c r="C4532" s="37"/>
      <c r="D4532" s="37"/>
      <c r="E4532" s="37"/>
      <c r="F4532" s="37"/>
      <c r="G4532" s="70"/>
    </row>
    <row r="4533" spans="2:7" x14ac:dyDescent="0.25">
      <c r="B4533" s="37"/>
      <c r="C4533" s="37"/>
      <c r="D4533" s="37"/>
      <c r="E4533" s="37"/>
      <c r="F4533" s="37"/>
      <c r="G4533" s="70"/>
    </row>
    <row r="4534" spans="2:7" x14ac:dyDescent="0.25">
      <c r="B4534" s="37"/>
      <c r="C4534" s="37"/>
      <c r="D4534" s="37"/>
      <c r="E4534" s="37"/>
      <c r="F4534" s="37"/>
      <c r="G4534" s="70"/>
    </row>
    <row r="4535" spans="2:7" x14ac:dyDescent="0.25">
      <c r="B4535" s="37"/>
      <c r="C4535" s="37"/>
      <c r="D4535" s="37"/>
      <c r="E4535" s="37"/>
      <c r="F4535" s="37"/>
      <c r="G4535" s="70"/>
    </row>
    <row r="4536" spans="2:7" x14ac:dyDescent="0.25">
      <c r="B4536" s="37"/>
      <c r="C4536" s="37"/>
      <c r="D4536" s="37"/>
      <c r="E4536" s="37"/>
      <c r="F4536" s="37"/>
      <c r="G4536" s="70"/>
    </row>
    <row r="4537" spans="2:7" x14ac:dyDescent="0.25">
      <c r="B4537" s="37"/>
      <c r="C4537" s="37"/>
      <c r="D4537" s="37"/>
      <c r="E4537" s="37"/>
      <c r="F4537" s="37"/>
      <c r="G4537" s="70"/>
    </row>
    <row r="4538" spans="2:7" x14ac:dyDescent="0.25">
      <c r="B4538" s="37"/>
      <c r="C4538" s="37"/>
      <c r="D4538" s="37"/>
      <c r="E4538" s="37"/>
      <c r="F4538" s="37"/>
      <c r="G4538" s="70"/>
    </row>
    <row r="4539" spans="2:7" x14ac:dyDescent="0.25">
      <c r="B4539" s="37"/>
      <c r="C4539" s="37"/>
      <c r="D4539" s="37"/>
      <c r="E4539" s="37"/>
      <c r="F4539" s="37"/>
      <c r="G4539" s="70"/>
    </row>
    <row r="4540" spans="2:7" x14ac:dyDescent="0.25">
      <c r="B4540" s="37"/>
      <c r="C4540" s="37"/>
      <c r="D4540" s="37"/>
      <c r="E4540" s="37"/>
      <c r="F4540" s="37"/>
      <c r="G4540" s="70"/>
    </row>
    <row r="4541" spans="2:7" x14ac:dyDescent="0.25">
      <c r="B4541" s="37"/>
      <c r="C4541" s="37"/>
      <c r="D4541" s="37"/>
      <c r="E4541" s="37"/>
      <c r="F4541" s="37"/>
      <c r="G4541" s="70"/>
    </row>
    <row r="4542" spans="2:7" x14ac:dyDescent="0.25">
      <c r="B4542" s="37"/>
      <c r="C4542" s="37"/>
      <c r="D4542" s="37"/>
      <c r="E4542" s="37"/>
      <c r="F4542" s="37"/>
      <c r="G4542" s="70"/>
    </row>
    <row r="4543" spans="2:7" x14ac:dyDescent="0.25">
      <c r="B4543" s="37"/>
      <c r="C4543" s="37"/>
      <c r="D4543" s="37"/>
      <c r="E4543" s="37"/>
      <c r="F4543" s="37"/>
      <c r="G4543" s="70"/>
    </row>
    <row r="4544" spans="2:7" x14ac:dyDescent="0.25">
      <c r="B4544" s="37"/>
      <c r="C4544" s="37"/>
      <c r="D4544" s="37"/>
      <c r="E4544" s="37"/>
      <c r="F4544" s="37"/>
      <c r="G4544" s="70"/>
    </row>
    <row r="4545" spans="2:7" x14ac:dyDescent="0.25">
      <c r="B4545" s="37"/>
      <c r="C4545" s="37"/>
      <c r="D4545" s="37"/>
      <c r="E4545" s="37"/>
      <c r="F4545" s="37"/>
      <c r="G4545" s="70"/>
    </row>
    <row r="4546" spans="2:7" x14ac:dyDescent="0.25">
      <c r="B4546" s="37"/>
      <c r="C4546" s="37"/>
      <c r="D4546" s="37"/>
      <c r="E4546" s="37"/>
      <c r="F4546" s="37"/>
      <c r="G4546" s="70"/>
    </row>
    <row r="4547" spans="2:7" x14ac:dyDescent="0.25">
      <c r="B4547" s="37"/>
      <c r="C4547" s="37"/>
      <c r="D4547" s="37"/>
      <c r="E4547" s="37"/>
      <c r="F4547" s="37"/>
      <c r="G4547" s="70"/>
    </row>
    <row r="4548" spans="2:7" x14ac:dyDescent="0.25">
      <c r="B4548" s="37"/>
      <c r="C4548" s="37"/>
      <c r="D4548" s="37"/>
      <c r="E4548" s="37"/>
      <c r="F4548" s="37"/>
      <c r="G4548" s="70"/>
    </row>
    <row r="4549" spans="2:7" x14ac:dyDescent="0.25">
      <c r="B4549" s="37"/>
      <c r="C4549" s="37"/>
      <c r="D4549" s="37"/>
      <c r="E4549" s="37"/>
      <c r="F4549" s="37"/>
      <c r="G4549" s="70"/>
    </row>
    <row r="4550" spans="2:7" x14ac:dyDescent="0.25">
      <c r="B4550" s="37"/>
      <c r="C4550" s="37"/>
      <c r="D4550" s="37"/>
      <c r="E4550" s="37"/>
      <c r="F4550" s="37"/>
      <c r="G4550" s="70"/>
    </row>
    <row r="4551" spans="2:7" x14ac:dyDescent="0.25">
      <c r="B4551" s="37"/>
      <c r="C4551" s="37"/>
      <c r="D4551" s="37"/>
      <c r="E4551" s="37"/>
      <c r="F4551" s="37"/>
      <c r="G4551" s="70"/>
    </row>
    <row r="4552" spans="2:7" x14ac:dyDescent="0.25">
      <c r="B4552" s="37"/>
      <c r="C4552" s="37"/>
      <c r="D4552" s="37"/>
      <c r="E4552" s="37"/>
      <c r="F4552" s="37"/>
      <c r="G4552" s="70"/>
    </row>
    <row r="4553" spans="2:7" x14ac:dyDescent="0.25">
      <c r="B4553" s="37"/>
      <c r="C4553" s="37"/>
      <c r="D4553" s="37"/>
      <c r="E4553" s="37"/>
      <c r="F4553" s="37"/>
      <c r="G4553" s="70"/>
    </row>
    <row r="4554" spans="2:7" x14ac:dyDescent="0.25">
      <c r="B4554" s="37"/>
      <c r="C4554" s="37"/>
      <c r="D4554" s="37"/>
      <c r="E4554" s="37"/>
      <c r="F4554" s="37"/>
      <c r="G4554" s="70"/>
    </row>
    <row r="4555" spans="2:7" x14ac:dyDescent="0.25">
      <c r="B4555" s="37"/>
      <c r="C4555" s="37"/>
      <c r="D4555" s="37"/>
      <c r="E4555" s="37"/>
      <c r="F4555" s="37"/>
      <c r="G4555" s="70"/>
    </row>
    <row r="4556" spans="2:7" x14ac:dyDescent="0.25">
      <c r="B4556" s="37"/>
      <c r="C4556" s="37"/>
      <c r="D4556" s="37"/>
      <c r="E4556" s="37"/>
      <c r="F4556" s="37"/>
      <c r="G4556" s="70"/>
    </row>
    <row r="4557" spans="2:7" x14ac:dyDescent="0.25">
      <c r="B4557" s="37"/>
      <c r="C4557" s="37"/>
      <c r="D4557" s="37"/>
      <c r="E4557" s="37"/>
      <c r="F4557" s="37"/>
      <c r="G4557" s="70"/>
    </row>
    <row r="4558" spans="2:7" x14ac:dyDescent="0.25">
      <c r="B4558" s="37"/>
      <c r="C4558" s="37"/>
      <c r="D4558" s="37"/>
      <c r="E4558" s="37"/>
      <c r="F4558" s="37"/>
      <c r="G4558" s="70"/>
    </row>
    <row r="4559" spans="2:7" x14ac:dyDescent="0.25">
      <c r="B4559" s="37"/>
      <c r="C4559" s="37"/>
      <c r="D4559" s="37"/>
      <c r="E4559" s="37"/>
      <c r="F4559" s="37"/>
      <c r="G4559" s="70"/>
    </row>
    <row r="4560" spans="2:7" x14ac:dyDescent="0.25">
      <c r="B4560" s="37"/>
      <c r="C4560" s="37"/>
      <c r="D4560" s="37"/>
      <c r="E4560" s="37"/>
      <c r="F4560" s="37"/>
      <c r="G4560" s="70"/>
    </row>
    <row r="4561" spans="2:7" x14ac:dyDescent="0.25">
      <c r="B4561" s="37"/>
      <c r="C4561" s="37"/>
      <c r="D4561" s="37"/>
      <c r="E4561" s="37"/>
      <c r="F4561" s="37"/>
      <c r="G4561" s="70"/>
    </row>
    <row r="4562" spans="2:7" x14ac:dyDescent="0.25">
      <c r="B4562" s="37"/>
      <c r="C4562" s="37"/>
      <c r="D4562" s="37"/>
      <c r="E4562" s="37"/>
      <c r="F4562" s="37"/>
      <c r="G4562" s="70"/>
    </row>
    <row r="4563" spans="2:7" x14ac:dyDescent="0.25">
      <c r="B4563" s="37"/>
      <c r="C4563" s="37"/>
      <c r="D4563" s="37"/>
      <c r="E4563" s="37"/>
      <c r="F4563" s="37"/>
      <c r="G4563" s="70"/>
    </row>
    <row r="4564" spans="2:7" x14ac:dyDescent="0.25">
      <c r="B4564" s="37"/>
      <c r="C4564" s="37"/>
      <c r="D4564" s="37"/>
      <c r="E4564" s="37"/>
      <c r="F4564" s="37"/>
      <c r="G4564" s="70"/>
    </row>
    <row r="4565" spans="2:7" x14ac:dyDescent="0.25">
      <c r="B4565" s="37"/>
      <c r="C4565" s="37"/>
      <c r="D4565" s="37"/>
      <c r="E4565" s="37"/>
      <c r="F4565" s="37"/>
      <c r="G4565" s="70"/>
    </row>
    <row r="4566" spans="2:7" x14ac:dyDescent="0.25">
      <c r="B4566" s="37"/>
      <c r="C4566" s="37"/>
      <c r="D4566" s="37"/>
      <c r="E4566" s="37"/>
      <c r="F4566" s="37"/>
      <c r="G4566" s="70"/>
    </row>
    <row r="4567" spans="2:7" x14ac:dyDescent="0.25">
      <c r="B4567" s="37"/>
      <c r="C4567" s="37"/>
      <c r="D4567" s="37"/>
      <c r="E4567" s="37"/>
      <c r="F4567" s="37"/>
      <c r="G4567" s="70"/>
    </row>
    <row r="4568" spans="2:7" x14ac:dyDescent="0.25">
      <c r="B4568" s="37"/>
      <c r="C4568" s="37"/>
      <c r="D4568" s="37"/>
      <c r="E4568" s="37"/>
      <c r="F4568" s="37"/>
      <c r="G4568" s="70"/>
    </row>
    <row r="4569" spans="2:7" x14ac:dyDescent="0.25">
      <c r="B4569" s="37"/>
      <c r="C4569" s="37"/>
      <c r="D4569" s="37"/>
      <c r="E4569" s="37"/>
      <c r="F4569" s="37"/>
      <c r="G4569" s="70"/>
    </row>
    <row r="4570" spans="2:7" x14ac:dyDescent="0.25">
      <c r="B4570" s="37"/>
      <c r="C4570" s="37"/>
      <c r="D4570" s="37"/>
      <c r="E4570" s="37"/>
      <c r="F4570" s="37"/>
      <c r="G4570" s="70"/>
    </row>
    <row r="4571" spans="2:7" x14ac:dyDescent="0.25">
      <c r="B4571" s="37"/>
      <c r="C4571" s="37"/>
      <c r="D4571" s="37"/>
      <c r="E4571" s="37"/>
      <c r="F4571" s="37"/>
      <c r="G4571" s="70"/>
    </row>
    <row r="4572" spans="2:7" x14ac:dyDescent="0.25">
      <c r="B4572" s="37"/>
      <c r="C4572" s="37"/>
      <c r="D4572" s="37"/>
      <c r="E4572" s="37"/>
      <c r="F4572" s="37"/>
      <c r="G4572" s="70"/>
    </row>
    <row r="4573" spans="2:7" x14ac:dyDescent="0.25">
      <c r="B4573" s="37"/>
      <c r="C4573" s="37"/>
      <c r="D4573" s="37"/>
      <c r="E4573" s="37"/>
      <c r="F4573" s="37"/>
      <c r="G4573" s="70"/>
    </row>
    <row r="4574" spans="2:7" x14ac:dyDescent="0.25">
      <c r="B4574" s="37"/>
      <c r="C4574" s="37"/>
      <c r="D4574" s="37"/>
      <c r="E4574" s="37"/>
      <c r="F4574" s="37"/>
      <c r="G4574" s="70"/>
    </row>
    <row r="4575" spans="2:7" x14ac:dyDescent="0.25">
      <c r="B4575" s="37"/>
      <c r="C4575" s="37"/>
      <c r="D4575" s="37"/>
      <c r="E4575" s="37"/>
      <c r="F4575" s="37"/>
      <c r="G4575" s="70"/>
    </row>
    <row r="4576" spans="2:7" x14ac:dyDescent="0.25">
      <c r="B4576" s="37"/>
      <c r="C4576" s="37"/>
      <c r="D4576" s="37"/>
      <c r="E4576" s="37"/>
      <c r="F4576" s="37"/>
      <c r="G4576" s="70"/>
    </row>
    <row r="4577" spans="2:7" x14ac:dyDescent="0.25">
      <c r="B4577" s="37"/>
      <c r="C4577" s="37"/>
      <c r="D4577" s="37"/>
      <c r="E4577" s="37"/>
      <c r="F4577" s="37"/>
      <c r="G4577" s="70"/>
    </row>
    <row r="4578" spans="2:7" x14ac:dyDescent="0.25">
      <c r="B4578" s="37"/>
      <c r="C4578" s="37"/>
      <c r="D4578" s="37"/>
      <c r="E4578" s="37"/>
      <c r="F4578" s="37"/>
      <c r="G4578" s="70"/>
    </row>
    <row r="4579" spans="2:7" x14ac:dyDescent="0.25">
      <c r="B4579" s="37"/>
      <c r="C4579" s="37"/>
      <c r="D4579" s="37"/>
      <c r="E4579" s="37"/>
      <c r="F4579" s="37"/>
      <c r="G4579" s="70"/>
    </row>
    <row r="4580" spans="2:7" x14ac:dyDescent="0.25">
      <c r="B4580" s="37"/>
      <c r="C4580" s="37"/>
      <c r="D4580" s="37"/>
      <c r="E4580" s="37"/>
      <c r="F4580" s="37"/>
      <c r="G4580" s="70"/>
    </row>
    <row r="4581" spans="2:7" x14ac:dyDescent="0.25">
      <c r="B4581" s="37"/>
      <c r="C4581" s="37"/>
      <c r="D4581" s="37"/>
      <c r="E4581" s="37"/>
      <c r="F4581" s="37"/>
      <c r="G4581" s="70"/>
    </row>
    <row r="4582" spans="2:7" x14ac:dyDescent="0.25">
      <c r="B4582" s="37"/>
      <c r="C4582" s="37"/>
      <c r="D4582" s="37"/>
      <c r="E4582" s="37"/>
      <c r="F4582" s="37"/>
      <c r="G4582" s="70"/>
    </row>
    <row r="4583" spans="2:7" x14ac:dyDescent="0.25">
      <c r="B4583" s="37"/>
      <c r="C4583" s="37"/>
      <c r="D4583" s="37"/>
      <c r="E4583" s="37"/>
      <c r="F4583" s="37"/>
      <c r="G4583" s="70"/>
    </row>
    <row r="4584" spans="2:7" x14ac:dyDescent="0.25">
      <c r="B4584" s="37"/>
      <c r="C4584" s="37"/>
      <c r="D4584" s="37"/>
      <c r="E4584" s="37"/>
      <c r="F4584" s="37"/>
      <c r="G4584" s="70"/>
    </row>
    <row r="4585" spans="2:7" x14ac:dyDescent="0.25">
      <c r="B4585" s="37"/>
      <c r="C4585" s="37"/>
      <c r="D4585" s="37"/>
      <c r="E4585" s="37"/>
      <c r="F4585" s="37"/>
      <c r="G4585" s="70"/>
    </row>
    <row r="4586" spans="2:7" x14ac:dyDescent="0.25">
      <c r="B4586" s="37"/>
      <c r="C4586" s="37"/>
      <c r="D4586" s="37"/>
      <c r="E4586" s="37"/>
      <c r="F4586" s="37"/>
      <c r="G4586" s="70"/>
    </row>
    <row r="4587" spans="2:7" x14ac:dyDescent="0.25">
      <c r="B4587" s="37"/>
      <c r="C4587" s="37"/>
      <c r="D4587" s="37"/>
      <c r="E4587" s="37"/>
      <c r="F4587" s="37"/>
      <c r="G4587" s="70"/>
    </row>
    <row r="4588" spans="2:7" x14ac:dyDescent="0.25">
      <c r="B4588" s="37"/>
      <c r="C4588" s="37"/>
      <c r="D4588" s="37"/>
      <c r="E4588" s="37"/>
      <c r="F4588" s="37"/>
      <c r="G4588" s="70"/>
    </row>
    <row r="4589" spans="2:7" x14ac:dyDescent="0.25">
      <c r="B4589" s="37"/>
      <c r="C4589" s="37"/>
      <c r="D4589" s="37"/>
      <c r="E4589" s="37"/>
      <c r="F4589" s="37"/>
      <c r="G4589" s="70"/>
    </row>
    <row r="4590" spans="2:7" x14ac:dyDescent="0.25">
      <c r="B4590" s="37"/>
      <c r="C4590" s="37"/>
      <c r="D4590" s="37"/>
      <c r="E4590" s="37"/>
      <c r="F4590" s="37"/>
      <c r="G4590" s="70"/>
    </row>
    <row r="4591" spans="2:7" x14ac:dyDescent="0.25">
      <c r="B4591" s="37"/>
      <c r="C4591" s="37"/>
      <c r="D4591" s="37"/>
      <c r="E4591" s="37"/>
      <c r="F4591" s="37"/>
      <c r="G4591" s="70"/>
    </row>
    <row r="4592" spans="2:7" x14ac:dyDescent="0.25">
      <c r="B4592" s="37"/>
      <c r="C4592" s="37"/>
      <c r="D4592" s="37"/>
      <c r="E4592" s="37"/>
      <c r="F4592" s="37"/>
      <c r="G4592" s="70"/>
    </row>
    <row r="4593" spans="2:7" x14ac:dyDescent="0.25">
      <c r="B4593" s="37"/>
      <c r="C4593" s="37"/>
      <c r="D4593" s="37"/>
      <c r="E4593" s="37"/>
      <c r="F4593" s="37"/>
      <c r="G4593" s="70"/>
    </row>
    <row r="4594" spans="2:7" x14ac:dyDescent="0.25">
      <c r="B4594" s="37"/>
      <c r="C4594" s="37"/>
      <c r="D4594" s="37"/>
      <c r="E4594" s="37"/>
      <c r="F4594" s="37"/>
      <c r="G4594" s="70"/>
    </row>
    <row r="4595" spans="2:7" x14ac:dyDescent="0.25">
      <c r="B4595" s="37"/>
      <c r="C4595" s="37"/>
      <c r="D4595" s="37"/>
      <c r="E4595" s="37"/>
      <c r="F4595" s="37"/>
      <c r="G4595" s="70"/>
    </row>
    <row r="4596" spans="2:7" x14ac:dyDescent="0.25">
      <c r="B4596" s="37"/>
      <c r="C4596" s="37"/>
      <c r="D4596" s="37"/>
      <c r="E4596" s="37"/>
      <c r="F4596" s="37"/>
      <c r="G4596" s="70"/>
    </row>
    <row r="4597" spans="2:7" x14ac:dyDescent="0.25">
      <c r="B4597" s="37"/>
      <c r="C4597" s="37"/>
      <c r="D4597" s="37"/>
      <c r="E4597" s="37"/>
      <c r="F4597" s="37"/>
      <c r="G4597" s="70"/>
    </row>
    <row r="4598" spans="2:7" x14ac:dyDescent="0.25">
      <c r="B4598" s="37"/>
      <c r="C4598" s="37"/>
      <c r="D4598" s="37"/>
      <c r="E4598" s="37"/>
      <c r="F4598" s="37"/>
      <c r="G4598" s="70"/>
    </row>
    <row r="4599" spans="2:7" x14ac:dyDescent="0.25">
      <c r="B4599" s="37"/>
      <c r="C4599" s="37"/>
      <c r="D4599" s="37"/>
      <c r="E4599" s="37"/>
      <c r="F4599" s="37"/>
      <c r="G4599" s="70"/>
    </row>
    <row r="4600" spans="2:7" x14ac:dyDescent="0.25">
      <c r="B4600" s="37"/>
      <c r="C4600" s="37"/>
      <c r="D4600" s="37"/>
      <c r="E4600" s="37"/>
      <c r="F4600" s="37"/>
      <c r="G4600" s="70"/>
    </row>
    <row r="4601" spans="2:7" x14ac:dyDescent="0.25">
      <c r="B4601" s="37"/>
      <c r="C4601" s="37"/>
      <c r="D4601" s="37"/>
      <c r="E4601" s="37"/>
      <c r="F4601" s="37"/>
      <c r="G4601" s="70"/>
    </row>
    <row r="4602" spans="2:7" x14ac:dyDescent="0.25">
      <c r="B4602" s="37"/>
      <c r="C4602" s="37"/>
      <c r="D4602" s="37"/>
      <c r="E4602" s="37"/>
      <c r="F4602" s="37"/>
      <c r="G4602" s="70"/>
    </row>
    <row r="4603" spans="2:7" x14ac:dyDescent="0.25">
      <c r="B4603" s="37"/>
      <c r="C4603" s="37"/>
      <c r="D4603" s="37"/>
      <c r="E4603" s="37"/>
      <c r="F4603" s="37"/>
      <c r="G4603" s="70"/>
    </row>
    <row r="4604" spans="2:7" x14ac:dyDescent="0.25">
      <c r="B4604" s="37"/>
      <c r="C4604" s="37"/>
      <c r="D4604" s="37"/>
      <c r="E4604" s="37"/>
      <c r="F4604" s="37"/>
      <c r="G4604" s="70"/>
    </row>
    <row r="4605" spans="2:7" x14ac:dyDescent="0.25">
      <c r="B4605" s="37"/>
      <c r="C4605" s="37"/>
      <c r="D4605" s="37"/>
      <c r="E4605" s="37"/>
      <c r="F4605" s="37"/>
      <c r="G4605" s="70"/>
    </row>
    <row r="4606" spans="2:7" x14ac:dyDescent="0.25">
      <c r="B4606" s="37"/>
      <c r="C4606" s="37"/>
      <c r="D4606" s="37"/>
      <c r="E4606" s="37"/>
      <c r="F4606" s="37"/>
      <c r="G4606" s="70"/>
    </row>
    <row r="4607" spans="2:7" x14ac:dyDescent="0.25">
      <c r="B4607" s="37"/>
      <c r="C4607" s="37"/>
      <c r="D4607" s="37"/>
      <c r="E4607" s="37"/>
      <c r="F4607" s="37"/>
      <c r="G4607" s="70"/>
    </row>
    <row r="4608" spans="2:7" x14ac:dyDescent="0.25">
      <c r="B4608" s="37"/>
      <c r="C4608" s="37"/>
      <c r="D4608" s="37"/>
      <c r="E4608" s="37"/>
      <c r="F4608" s="37"/>
      <c r="G4608" s="70"/>
    </row>
    <row r="4609" spans="2:7" x14ac:dyDescent="0.25">
      <c r="B4609" s="37"/>
      <c r="C4609" s="37"/>
      <c r="D4609" s="37"/>
      <c r="E4609" s="37"/>
      <c r="F4609" s="37"/>
      <c r="G4609" s="70"/>
    </row>
    <row r="4610" spans="2:7" x14ac:dyDescent="0.25">
      <c r="B4610" s="37"/>
      <c r="C4610" s="37"/>
      <c r="D4610" s="37"/>
      <c r="E4610" s="37"/>
      <c r="F4610" s="37"/>
      <c r="G4610" s="70"/>
    </row>
    <row r="4611" spans="2:7" x14ac:dyDescent="0.25">
      <c r="B4611" s="37"/>
      <c r="C4611" s="37"/>
      <c r="D4611" s="37"/>
      <c r="E4611" s="37"/>
      <c r="F4611" s="37"/>
      <c r="G4611" s="70"/>
    </row>
    <row r="4612" spans="2:7" x14ac:dyDescent="0.25">
      <c r="B4612" s="37"/>
      <c r="C4612" s="37"/>
      <c r="D4612" s="37"/>
      <c r="E4612" s="37"/>
      <c r="F4612" s="37"/>
      <c r="G4612" s="70"/>
    </row>
    <row r="4613" spans="2:7" x14ac:dyDescent="0.25">
      <c r="B4613" s="37"/>
      <c r="C4613" s="37"/>
      <c r="D4613" s="37"/>
      <c r="E4613" s="37"/>
      <c r="F4613" s="37"/>
      <c r="G4613" s="70"/>
    </row>
    <row r="4614" spans="2:7" x14ac:dyDescent="0.25">
      <c r="B4614" s="37"/>
      <c r="C4614" s="37"/>
      <c r="D4614" s="37"/>
      <c r="E4614" s="37"/>
      <c r="F4614" s="37"/>
      <c r="G4614" s="70"/>
    </row>
    <row r="4615" spans="2:7" x14ac:dyDescent="0.25">
      <c r="B4615" s="37"/>
      <c r="C4615" s="37"/>
      <c r="D4615" s="37"/>
      <c r="E4615" s="37"/>
      <c r="F4615" s="37"/>
      <c r="G4615" s="70"/>
    </row>
    <row r="4616" spans="2:7" x14ac:dyDescent="0.25">
      <c r="B4616" s="37"/>
      <c r="C4616" s="37"/>
      <c r="D4616" s="37"/>
      <c r="E4616" s="37"/>
      <c r="F4616" s="37"/>
      <c r="G4616" s="70"/>
    </row>
    <row r="4617" spans="2:7" x14ac:dyDescent="0.25">
      <c r="B4617" s="37"/>
      <c r="C4617" s="37"/>
      <c r="D4617" s="37"/>
      <c r="E4617" s="37"/>
      <c r="F4617" s="37"/>
      <c r="G4617" s="70"/>
    </row>
    <row r="4618" spans="2:7" x14ac:dyDescent="0.25">
      <c r="B4618" s="37"/>
      <c r="C4618" s="37"/>
      <c r="D4618" s="37"/>
      <c r="E4618" s="37"/>
      <c r="F4618" s="37"/>
      <c r="G4618" s="70"/>
    </row>
    <row r="4619" spans="2:7" x14ac:dyDescent="0.25">
      <c r="B4619" s="37"/>
      <c r="C4619" s="37"/>
      <c r="D4619" s="37"/>
      <c r="E4619" s="37"/>
      <c r="F4619" s="37"/>
      <c r="G4619" s="70"/>
    </row>
    <row r="4620" spans="2:7" x14ac:dyDescent="0.25">
      <c r="B4620" s="37"/>
      <c r="C4620" s="37"/>
      <c r="D4620" s="37"/>
      <c r="E4620" s="37"/>
      <c r="F4620" s="37"/>
      <c r="G4620" s="70"/>
    </row>
    <row r="4621" spans="2:7" x14ac:dyDescent="0.25">
      <c r="B4621" s="37"/>
      <c r="C4621" s="37"/>
      <c r="D4621" s="37"/>
      <c r="E4621" s="37"/>
      <c r="F4621" s="37"/>
      <c r="G4621" s="70"/>
    </row>
    <row r="4622" spans="2:7" x14ac:dyDescent="0.25">
      <c r="B4622" s="37"/>
      <c r="C4622" s="37"/>
      <c r="D4622" s="37"/>
      <c r="E4622" s="37"/>
      <c r="F4622" s="37"/>
      <c r="G4622" s="70"/>
    </row>
    <row r="4623" spans="2:7" x14ac:dyDescent="0.25">
      <c r="B4623" s="37"/>
      <c r="C4623" s="37"/>
      <c r="D4623" s="37"/>
      <c r="E4623" s="37"/>
      <c r="F4623" s="37"/>
      <c r="G4623" s="70"/>
    </row>
    <row r="4624" spans="2:7" x14ac:dyDescent="0.25">
      <c r="B4624" s="37"/>
      <c r="C4624" s="37"/>
      <c r="D4624" s="37"/>
      <c r="E4624" s="37"/>
      <c r="F4624" s="37"/>
      <c r="G4624" s="70"/>
    </row>
    <row r="4625" spans="2:7" x14ac:dyDescent="0.25">
      <c r="B4625" s="37"/>
      <c r="C4625" s="37"/>
      <c r="D4625" s="37"/>
      <c r="E4625" s="37"/>
      <c r="F4625" s="37"/>
      <c r="G4625" s="70"/>
    </row>
    <row r="4626" spans="2:7" x14ac:dyDescent="0.25">
      <c r="B4626" s="37"/>
      <c r="C4626" s="37"/>
      <c r="D4626" s="37"/>
      <c r="E4626" s="37"/>
      <c r="F4626" s="37"/>
      <c r="G4626" s="70"/>
    </row>
    <row r="4627" spans="2:7" x14ac:dyDescent="0.25">
      <c r="B4627" s="37"/>
      <c r="C4627" s="37"/>
      <c r="D4627" s="37"/>
      <c r="E4627" s="37"/>
      <c r="F4627" s="37"/>
      <c r="G4627" s="70"/>
    </row>
    <row r="4628" spans="2:7" x14ac:dyDescent="0.25">
      <c r="B4628" s="37"/>
      <c r="C4628" s="37"/>
      <c r="D4628" s="37"/>
      <c r="E4628" s="37"/>
      <c r="F4628" s="37"/>
      <c r="G4628" s="70"/>
    </row>
    <row r="4629" spans="2:7" x14ac:dyDescent="0.25">
      <c r="B4629" s="37"/>
      <c r="C4629" s="37"/>
      <c r="D4629" s="37"/>
      <c r="E4629" s="37"/>
      <c r="F4629" s="37"/>
      <c r="G4629" s="70"/>
    </row>
    <row r="4630" spans="2:7" x14ac:dyDescent="0.25">
      <c r="B4630" s="37"/>
      <c r="C4630" s="37"/>
      <c r="D4630" s="37"/>
      <c r="E4630" s="37"/>
      <c r="F4630" s="37"/>
      <c r="G4630" s="70"/>
    </row>
    <row r="4631" spans="2:7" x14ac:dyDescent="0.25">
      <c r="B4631" s="37"/>
      <c r="C4631" s="37"/>
      <c r="D4631" s="37"/>
      <c r="E4631" s="37"/>
      <c r="F4631" s="37"/>
      <c r="G4631" s="70"/>
    </row>
    <row r="4632" spans="2:7" x14ac:dyDescent="0.25">
      <c r="B4632" s="37"/>
      <c r="C4632" s="37"/>
      <c r="D4632" s="37"/>
      <c r="E4632" s="37"/>
      <c r="F4632" s="37"/>
      <c r="G4632" s="70"/>
    </row>
    <row r="4633" spans="2:7" x14ac:dyDescent="0.25">
      <c r="B4633" s="37"/>
      <c r="C4633" s="37"/>
      <c r="D4633" s="37"/>
      <c r="E4633" s="37"/>
      <c r="F4633" s="37"/>
      <c r="G4633" s="70"/>
    </row>
    <row r="4634" spans="2:7" x14ac:dyDescent="0.25">
      <c r="B4634" s="37"/>
      <c r="C4634" s="37"/>
      <c r="D4634" s="37"/>
      <c r="E4634" s="37"/>
      <c r="F4634" s="37"/>
      <c r="G4634" s="70"/>
    </row>
    <row r="4635" spans="2:7" x14ac:dyDescent="0.25">
      <c r="B4635" s="37"/>
      <c r="C4635" s="37"/>
      <c r="D4635" s="37"/>
      <c r="E4635" s="37"/>
      <c r="F4635" s="37"/>
      <c r="G4635" s="70"/>
    </row>
    <row r="4636" spans="2:7" x14ac:dyDescent="0.25">
      <c r="B4636" s="37"/>
      <c r="C4636" s="37"/>
      <c r="D4636" s="37"/>
      <c r="E4636" s="37"/>
      <c r="F4636" s="37"/>
      <c r="G4636" s="70"/>
    </row>
    <row r="4637" spans="2:7" x14ac:dyDescent="0.25">
      <c r="B4637" s="37"/>
      <c r="C4637" s="37"/>
      <c r="D4637" s="37"/>
      <c r="E4637" s="37"/>
      <c r="F4637" s="37"/>
      <c r="G4637" s="70"/>
    </row>
    <row r="4638" spans="2:7" x14ac:dyDescent="0.25">
      <c r="B4638" s="37"/>
      <c r="C4638" s="37"/>
      <c r="D4638" s="37"/>
      <c r="E4638" s="37"/>
      <c r="F4638" s="37"/>
      <c r="G4638" s="70"/>
    </row>
    <row r="4639" spans="2:7" x14ac:dyDescent="0.25">
      <c r="B4639" s="37"/>
      <c r="C4639" s="37"/>
      <c r="D4639" s="37"/>
      <c r="E4639" s="37"/>
      <c r="F4639" s="37"/>
      <c r="G4639" s="70"/>
    </row>
    <row r="4640" spans="2:7" x14ac:dyDescent="0.25">
      <c r="B4640" s="37"/>
      <c r="C4640" s="37"/>
      <c r="D4640" s="37"/>
      <c r="E4640" s="37"/>
      <c r="F4640" s="37"/>
      <c r="G4640" s="70"/>
    </row>
    <row r="4641" spans="2:7" x14ac:dyDescent="0.25">
      <c r="B4641" s="37"/>
      <c r="C4641" s="37"/>
      <c r="D4641" s="37"/>
      <c r="E4641" s="37"/>
      <c r="F4641" s="37"/>
      <c r="G4641" s="70"/>
    </row>
    <row r="4642" spans="2:7" x14ac:dyDescent="0.25">
      <c r="B4642" s="37"/>
      <c r="C4642" s="37"/>
      <c r="D4642" s="37"/>
      <c r="E4642" s="37"/>
      <c r="F4642" s="37"/>
      <c r="G4642" s="70"/>
    </row>
    <row r="4643" spans="2:7" x14ac:dyDescent="0.25">
      <c r="B4643" s="37"/>
      <c r="C4643" s="37"/>
      <c r="D4643" s="37"/>
      <c r="E4643" s="37"/>
      <c r="F4643" s="37"/>
      <c r="G4643" s="70"/>
    </row>
    <row r="4644" spans="2:7" x14ac:dyDescent="0.25">
      <c r="B4644" s="37"/>
      <c r="C4644" s="37"/>
      <c r="D4644" s="37"/>
      <c r="E4644" s="37"/>
      <c r="F4644" s="37"/>
      <c r="G4644" s="70"/>
    </row>
    <row r="4645" spans="2:7" x14ac:dyDescent="0.25">
      <c r="B4645" s="37"/>
      <c r="C4645" s="37"/>
      <c r="D4645" s="37"/>
      <c r="E4645" s="37"/>
      <c r="F4645" s="37"/>
      <c r="G4645" s="70"/>
    </row>
    <row r="4646" spans="2:7" x14ac:dyDescent="0.25">
      <c r="B4646" s="37"/>
      <c r="C4646" s="37"/>
      <c r="D4646" s="37"/>
      <c r="E4646" s="37"/>
      <c r="F4646" s="37"/>
      <c r="G4646" s="70"/>
    </row>
    <row r="4647" spans="2:7" x14ac:dyDescent="0.25">
      <c r="B4647" s="37"/>
      <c r="C4647" s="37"/>
      <c r="D4647" s="37"/>
      <c r="E4647" s="37"/>
      <c r="F4647" s="37"/>
      <c r="G4647" s="70"/>
    </row>
    <row r="4648" spans="2:7" x14ac:dyDescent="0.25">
      <c r="B4648" s="37"/>
      <c r="C4648" s="37"/>
      <c r="D4648" s="37"/>
      <c r="E4648" s="37"/>
      <c r="F4648" s="37"/>
      <c r="G4648" s="70"/>
    </row>
    <row r="4649" spans="2:7" x14ac:dyDescent="0.25">
      <c r="B4649" s="37"/>
      <c r="C4649" s="37"/>
      <c r="D4649" s="37"/>
      <c r="E4649" s="37"/>
      <c r="F4649" s="37"/>
      <c r="G4649" s="70"/>
    </row>
    <row r="4650" spans="2:7" x14ac:dyDescent="0.25">
      <c r="B4650" s="37"/>
      <c r="C4650" s="37"/>
      <c r="D4650" s="37"/>
      <c r="E4650" s="37"/>
      <c r="F4650" s="37"/>
      <c r="G4650" s="70"/>
    </row>
    <row r="4651" spans="2:7" x14ac:dyDescent="0.25">
      <c r="B4651" s="37"/>
      <c r="C4651" s="37"/>
      <c r="D4651" s="37"/>
      <c r="E4651" s="37"/>
      <c r="F4651" s="37"/>
      <c r="G4651" s="70"/>
    </row>
    <row r="4652" spans="2:7" x14ac:dyDescent="0.25">
      <c r="B4652" s="37"/>
      <c r="C4652" s="37"/>
      <c r="D4652" s="37"/>
      <c r="E4652" s="37"/>
      <c r="F4652" s="37"/>
      <c r="G4652" s="70"/>
    </row>
    <row r="4653" spans="2:7" x14ac:dyDescent="0.25">
      <c r="B4653" s="37"/>
      <c r="C4653" s="37"/>
      <c r="D4653" s="37"/>
      <c r="E4653" s="37"/>
      <c r="F4653" s="37"/>
      <c r="G4653" s="70"/>
    </row>
    <row r="4654" spans="2:7" x14ac:dyDescent="0.25">
      <c r="B4654" s="37"/>
      <c r="C4654" s="37"/>
      <c r="D4654" s="37"/>
      <c r="E4654" s="37"/>
      <c r="F4654" s="37"/>
      <c r="G4654" s="70"/>
    </row>
    <row r="4655" spans="2:7" x14ac:dyDescent="0.25">
      <c r="B4655" s="37"/>
      <c r="C4655" s="37"/>
      <c r="D4655" s="37"/>
      <c r="E4655" s="37"/>
      <c r="F4655" s="37"/>
      <c r="G4655" s="70"/>
    </row>
    <row r="4656" spans="2:7" x14ac:dyDescent="0.25">
      <c r="B4656" s="37"/>
      <c r="C4656" s="37"/>
      <c r="D4656" s="37"/>
      <c r="E4656" s="37"/>
      <c r="F4656" s="37"/>
      <c r="G4656" s="70"/>
    </row>
    <row r="4657" spans="2:7" x14ac:dyDescent="0.25">
      <c r="B4657" s="37"/>
      <c r="C4657" s="37"/>
      <c r="D4657" s="37"/>
      <c r="E4657" s="37"/>
      <c r="F4657" s="37"/>
      <c r="G4657" s="70"/>
    </row>
    <row r="4658" spans="2:7" x14ac:dyDescent="0.25">
      <c r="B4658" s="37"/>
      <c r="C4658" s="37"/>
      <c r="D4658" s="37"/>
      <c r="E4658" s="37"/>
      <c r="F4658" s="37"/>
      <c r="G4658" s="70"/>
    </row>
    <row r="4659" spans="2:7" x14ac:dyDescent="0.25">
      <c r="B4659" s="37"/>
      <c r="C4659" s="37"/>
      <c r="D4659" s="37"/>
      <c r="E4659" s="37"/>
      <c r="F4659" s="37"/>
      <c r="G4659" s="70"/>
    </row>
    <row r="4660" spans="2:7" x14ac:dyDescent="0.25">
      <c r="B4660" s="37"/>
      <c r="C4660" s="37"/>
      <c r="D4660" s="37"/>
      <c r="E4660" s="37"/>
      <c r="F4660" s="37"/>
      <c r="G4660" s="70"/>
    </row>
    <row r="4661" spans="2:7" x14ac:dyDescent="0.25">
      <c r="B4661" s="37"/>
      <c r="C4661" s="37"/>
      <c r="D4661" s="37"/>
      <c r="E4661" s="37"/>
      <c r="F4661" s="37"/>
      <c r="G4661" s="70"/>
    </row>
    <row r="4662" spans="2:7" x14ac:dyDescent="0.25">
      <c r="B4662" s="37"/>
      <c r="C4662" s="37"/>
      <c r="D4662" s="37"/>
      <c r="E4662" s="37"/>
      <c r="F4662" s="37"/>
      <c r="G4662" s="70"/>
    </row>
    <row r="4663" spans="2:7" x14ac:dyDescent="0.25">
      <c r="B4663" s="37"/>
      <c r="C4663" s="37"/>
      <c r="D4663" s="37"/>
      <c r="E4663" s="37"/>
      <c r="F4663" s="37"/>
      <c r="G4663" s="70"/>
    </row>
    <row r="4664" spans="2:7" x14ac:dyDescent="0.25">
      <c r="B4664" s="37"/>
      <c r="C4664" s="37"/>
      <c r="D4664" s="37"/>
      <c r="E4664" s="37"/>
      <c r="F4664" s="37"/>
      <c r="G4664" s="70"/>
    </row>
    <row r="4665" spans="2:7" x14ac:dyDescent="0.25">
      <c r="B4665" s="37"/>
      <c r="C4665" s="37"/>
      <c r="D4665" s="37"/>
      <c r="E4665" s="37"/>
      <c r="F4665" s="37"/>
      <c r="G4665" s="70"/>
    </row>
    <row r="4666" spans="2:7" x14ac:dyDescent="0.25">
      <c r="B4666" s="37"/>
      <c r="C4666" s="37"/>
      <c r="D4666" s="37"/>
      <c r="E4666" s="37"/>
      <c r="F4666" s="37"/>
      <c r="G4666" s="70"/>
    </row>
    <row r="4667" spans="2:7" x14ac:dyDescent="0.25">
      <c r="B4667" s="37"/>
      <c r="C4667" s="37"/>
      <c r="D4667" s="37"/>
      <c r="E4667" s="37"/>
      <c r="F4667" s="37"/>
      <c r="G4667" s="70"/>
    </row>
    <row r="4668" spans="2:7" x14ac:dyDescent="0.25">
      <c r="B4668" s="37"/>
      <c r="C4668" s="37"/>
      <c r="D4668" s="37"/>
      <c r="E4668" s="37"/>
      <c r="F4668" s="37"/>
      <c r="G4668" s="70"/>
    </row>
    <row r="4669" spans="2:7" x14ac:dyDescent="0.25">
      <c r="B4669" s="37"/>
      <c r="C4669" s="37"/>
      <c r="D4669" s="37"/>
      <c r="E4669" s="37"/>
      <c r="F4669" s="37"/>
      <c r="G4669" s="70"/>
    </row>
    <row r="4670" spans="2:7" x14ac:dyDescent="0.25">
      <c r="B4670" s="37"/>
      <c r="C4670" s="37"/>
      <c r="D4670" s="37"/>
      <c r="E4670" s="37"/>
      <c r="F4670" s="37"/>
      <c r="G4670" s="70"/>
    </row>
    <row r="4671" spans="2:7" x14ac:dyDescent="0.25">
      <c r="B4671" s="37"/>
      <c r="C4671" s="37"/>
      <c r="D4671" s="37"/>
      <c r="E4671" s="37"/>
      <c r="F4671" s="37"/>
      <c r="G4671" s="70"/>
    </row>
    <row r="4672" spans="2:7" x14ac:dyDescent="0.25">
      <c r="B4672" s="37"/>
      <c r="C4672" s="37"/>
      <c r="D4672" s="37"/>
      <c r="E4672" s="37"/>
      <c r="F4672" s="37"/>
      <c r="G4672" s="70"/>
    </row>
    <row r="4673" spans="2:7" x14ac:dyDescent="0.25">
      <c r="B4673" s="37"/>
      <c r="C4673" s="37"/>
      <c r="D4673" s="37"/>
      <c r="E4673" s="37"/>
      <c r="F4673" s="37"/>
      <c r="G4673" s="70"/>
    </row>
    <row r="4674" spans="2:7" x14ac:dyDescent="0.25">
      <c r="B4674" s="37"/>
      <c r="C4674" s="37"/>
      <c r="D4674" s="37"/>
      <c r="E4674" s="37"/>
      <c r="F4674" s="37"/>
      <c r="G4674" s="70"/>
    </row>
    <row r="4675" spans="2:7" x14ac:dyDescent="0.25">
      <c r="B4675" s="37"/>
      <c r="C4675" s="37"/>
      <c r="D4675" s="37"/>
      <c r="E4675" s="37"/>
      <c r="F4675" s="37"/>
      <c r="G4675" s="70"/>
    </row>
    <row r="4676" spans="2:7" x14ac:dyDescent="0.25">
      <c r="B4676" s="37"/>
      <c r="C4676" s="37"/>
      <c r="D4676" s="37"/>
      <c r="E4676" s="37"/>
      <c r="F4676" s="37"/>
      <c r="G4676" s="70"/>
    </row>
    <row r="4677" spans="2:7" x14ac:dyDescent="0.25">
      <c r="B4677" s="37"/>
      <c r="C4677" s="37"/>
      <c r="D4677" s="37"/>
      <c r="E4677" s="37"/>
      <c r="F4677" s="37"/>
      <c r="G4677" s="70"/>
    </row>
    <row r="4678" spans="2:7" x14ac:dyDescent="0.25">
      <c r="B4678" s="37"/>
      <c r="C4678" s="37"/>
      <c r="D4678" s="37"/>
      <c r="E4678" s="37"/>
      <c r="F4678" s="37"/>
      <c r="G4678" s="70"/>
    </row>
    <row r="4679" spans="2:7" x14ac:dyDescent="0.25">
      <c r="B4679" s="37"/>
      <c r="C4679" s="37"/>
      <c r="D4679" s="37"/>
      <c r="E4679" s="37"/>
      <c r="F4679" s="37"/>
      <c r="G4679" s="70"/>
    </row>
    <row r="4680" spans="2:7" x14ac:dyDescent="0.25">
      <c r="B4680" s="37"/>
      <c r="C4680" s="37"/>
      <c r="D4680" s="37"/>
      <c r="E4680" s="37"/>
      <c r="F4680" s="37"/>
      <c r="G4680" s="70"/>
    </row>
    <row r="4681" spans="2:7" x14ac:dyDescent="0.25">
      <c r="B4681" s="37"/>
      <c r="C4681" s="37"/>
      <c r="D4681" s="37"/>
      <c r="E4681" s="37"/>
      <c r="F4681" s="37"/>
      <c r="G4681" s="70"/>
    </row>
    <row r="4682" spans="2:7" x14ac:dyDescent="0.25">
      <c r="B4682" s="37"/>
      <c r="C4682" s="37"/>
      <c r="D4682" s="37"/>
      <c r="E4682" s="37"/>
      <c r="F4682" s="37"/>
      <c r="G4682" s="70"/>
    </row>
    <row r="4683" spans="2:7" x14ac:dyDescent="0.25">
      <c r="B4683" s="37"/>
      <c r="C4683" s="37"/>
      <c r="D4683" s="37"/>
      <c r="E4683" s="37"/>
      <c r="F4683" s="37"/>
      <c r="G4683" s="70"/>
    </row>
    <row r="4684" spans="2:7" x14ac:dyDescent="0.25">
      <c r="B4684" s="37"/>
      <c r="C4684" s="37"/>
      <c r="D4684" s="37"/>
      <c r="E4684" s="37"/>
      <c r="F4684" s="37"/>
      <c r="G4684" s="70"/>
    </row>
    <row r="4685" spans="2:7" x14ac:dyDescent="0.25">
      <c r="B4685" s="37"/>
      <c r="C4685" s="37"/>
      <c r="D4685" s="37"/>
      <c r="E4685" s="37"/>
      <c r="F4685" s="37"/>
      <c r="G4685" s="70"/>
    </row>
    <row r="4686" spans="2:7" x14ac:dyDescent="0.25">
      <c r="B4686" s="37"/>
      <c r="C4686" s="37"/>
      <c r="D4686" s="37"/>
      <c r="E4686" s="37"/>
      <c r="F4686" s="37"/>
      <c r="G4686" s="70"/>
    </row>
    <row r="4687" spans="2:7" x14ac:dyDescent="0.25">
      <c r="B4687" s="37"/>
      <c r="C4687" s="37"/>
      <c r="D4687" s="37"/>
      <c r="E4687" s="37"/>
      <c r="F4687" s="37"/>
      <c r="G4687" s="70"/>
    </row>
    <row r="4688" spans="2:7" x14ac:dyDescent="0.25">
      <c r="B4688" s="37"/>
      <c r="C4688" s="37"/>
      <c r="D4688" s="37"/>
      <c r="E4688" s="37"/>
      <c r="F4688" s="37"/>
      <c r="G4688" s="70"/>
    </row>
    <row r="4689" spans="2:7" x14ac:dyDescent="0.25">
      <c r="B4689" s="37"/>
      <c r="C4689" s="37"/>
      <c r="D4689" s="37"/>
      <c r="E4689" s="37"/>
      <c r="F4689" s="37"/>
      <c r="G4689" s="70"/>
    </row>
    <row r="4690" spans="2:7" x14ac:dyDescent="0.25">
      <c r="B4690" s="37"/>
      <c r="C4690" s="37"/>
      <c r="D4690" s="37"/>
      <c r="E4690" s="37"/>
      <c r="F4690" s="37"/>
      <c r="G4690" s="70"/>
    </row>
    <row r="4691" spans="2:7" x14ac:dyDescent="0.25">
      <c r="B4691" s="37"/>
      <c r="C4691" s="37"/>
      <c r="D4691" s="37"/>
      <c r="E4691" s="37"/>
      <c r="F4691" s="37"/>
      <c r="G4691" s="70"/>
    </row>
    <row r="4692" spans="2:7" x14ac:dyDescent="0.25">
      <c r="B4692" s="37"/>
      <c r="C4692" s="37"/>
      <c r="D4692" s="37"/>
      <c r="E4692" s="37"/>
      <c r="F4692" s="37"/>
      <c r="G4692" s="70"/>
    </row>
    <row r="4693" spans="2:7" x14ac:dyDescent="0.25">
      <c r="B4693" s="37"/>
      <c r="C4693" s="37"/>
      <c r="D4693" s="37"/>
      <c r="E4693" s="37"/>
      <c r="F4693" s="37"/>
      <c r="G4693" s="70"/>
    </row>
    <row r="4694" spans="2:7" x14ac:dyDescent="0.25">
      <c r="B4694" s="37"/>
      <c r="C4694" s="37"/>
      <c r="D4694" s="37"/>
      <c r="E4694" s="37"/>
      <c r="F4694" s="37"/>
      <c r="G4694" s="70"/>
    </row>
    <row r="4695" spans="2:7" x14ac:dyDescent="0.25">
      <c r="B4695" s="37"/>
      <c r="C4695" s="37"/>
      <c r="D4695" s="37"/>
      <c r="E4695" s="37"/>
      <c r="F4695" s="37"/>
      <c r="G4695" s="70"/>
    </row>
    <row r="4696" spans="2:7" x14ac:dyDescent="0.25">
      <c r="B4696" s="37"/>
      <c r="C4696" s="37"/>
      <c r="D4696" s="37"/>
      <c r="E4696" s="37"/>
      <c r="F4696" s="37"/>
      <c r="G4696" s="70"/>
    </row>
    <row r="4697" spans="2:7" x14ac:dyDescent="0.25">
      <c r="B4697" s="37"/>
      <c r="C4697" s="37"/>
      <c r="D4697" s="37"/>
      <c r="E4697" s="37"/>
      <c r="F4697" s="37"/>
      <c r="G4697" s="70"/>
    </row>
    <row r="4698" spans="2:7" x14ac:dyDescent="0.25">
      <c r="B4698" s="37"/>
      <c r="C4698" s="37"/>
      <c r="D4698" s="37"/>
      <c r="E4698" s="37"/>
      <c r="F4698" s="37"/>
      <c r="G4698" s="70"/>
    </row>
    <row r="4699" spans="2:7" x14ac:dyDescent="0.25">
      <c r="B4699" s="37"/>
      <c r="C4699" s="37"/>
      <c r="D4699" s="37"/>
      <c r="E4699" s="37"/>
      <c r="F4699" s="37"/>
      <c r="G4699" s="70"/>
    </row>
    <row r="4700" spans="2:7" x14ac:dyDescent="0.25">
      <c r="B4700" s="37"/>
      <c r="C4700" s="37"/>
      <c r="D4700" s="37"/>
      <c r="E4700" s="37"/>
      <c r="F4700" s="37"/>
      <c r="G4700" s="70"/>
    </row>
    <row r="4701" spans="2:7" x14ac:dyDescent="0.25">
      <c r="B4701" s="37"/>
      <c r="C4701" s="37"/>
      <c r="D4701" s="37"/>
      <c r="E4701" s="37"/>
      <c r="F4701" s="37"/>
      <c r="G4701" s="70"/>
    </row>
    <row r="4702" spans="2:7" x14ac:dyDescent="0.25">
      <c r="B4702" s="37"/>
      <c r="C4702" s="37"/>
      <c r="D4702" s="37"/>
      <c r="E4702" s="37"/>
      <c r="F4702" s="37"/>
      <c r="G4702" s="70"/>
    </row>
    <row r="4703" spans="2:7" x14ac:dyDescent="0.25">
      <c r="B4703" s="37"/>
      <c r="C4703" s="37"/>
      <c r="D4703" s="37"/>
      <c r="E4703" s="37"/>
      <c r="F4703" s="37"/>
      <c r="G4703" s="70"/>
    </row>
    <row r="4704" spans="2:7" x14ac:dyDescent="0.25">
      <c r="B4704" s="37"/>
      <c r="C4704" s="37"/>
      <c r="D4704" s="37"/>
      <c r="E4704" s="37"/>
      <c r="F4704" s="37"/>
      <c r="G4704" s="70"/>
    </row>
    <row r="4705" spans="2:7" x14ac:dyDescent="0.25">
      <c r="B4705" s="37"/>
      <c r="C4705" s="37"/>
      <c r="D4705" s="37"/>
      <c r="E4705" s="37"/>
      <c r="F4705" s="37"/>
      <c r="G4705" s="70"/>
    </row>
    <row r="4706" spans="2:7" x14ac:dyDescent="0.25">
      <c r="B4706" s="37"/>
      <c r="C4706" s="37"/>
      <c r="D4706" s="37"/>
      <c r="E4706" s="37"/>
      <c r="F4706" s="37"/>
      <c r="G4706" s="70"/>
    </row>
    <row r="4707" spans="2:7" x14ac:dyDescent="0.25">
      <c r="B4707" s="37"/>
      <c r="C4707" s="37"/>
      <c r="D4707" s="37"/>
      <c r="E4707" s="37"/>
      <c r="F4707" s="37"/>
      <c r="G4707" s="70"/>
    </row>
    <row r="4708" spans="2:7" x14ac:dyDescent="0.25">
      <c r="B4708" s="37"/>
      <c r="C4708" s="37"/>
      <c r="D4708" s="37"/>
      <c r="E4708" s="37"/>
      <c r="F4708" s="37"/>
      <c r="G4708" s="70"/>
    </row>
    <row r="4709" spans="2:7" x14ac:dyDescent="0.25">
      <c r="B4709" s="37"/>
      <c r="C4709" s="37"/>
      <c r="D4709" s="37"/>
      <c r="E4709" s="37"/>
      <c r="F4709" s="37"/>
      <c r="G4709" s="70"/>
    </row>
    <row r="4710" spans="2:7" x14ac:dyDescent="0.25">
      <c r="B4710" s="37"/>
      <c r="C4710" s="37"/>
      <c r="D4710" s="37"/>
      <c r="E4710" s="37"/>
      <c r="F4710" s="37"/>
      <c r="G4710" s="70"/>
    </row>
    <row r="4711" spans="2:7" x14ac:dyDescent="0.25">
      <c r="B4711" s="37"/>
      <c r="C4711" s="37"/>
      <c r="D4711" s="37"/>
      <c r="E4711" s="37"/>
      <c r="F4711" s="37"/>
      <c r="G4711" s="70"/>
    </row>
    <row r="4712" spans="2:7" x14ac:dyDescent="0.25">
      <c r="B4712" s="37"/>
      <c r="C4712" s="37"/>
      <c r="D4712" s="37"/>
      <c r="E4712" s="37"/>
      <c r="F4712" s="37"/>
      <c r="G4712" s="70"/>
    </row>
    <row r="4713" spans="2:7" x14ac:dyDescent="0.25">
      <c r="B4713" s="37"/>
      <c r="C4713" s="37"/>
      <c r="D4713" s="37"/>
      <c r="E4713" s="37"/>
      <c r="F4713" s="37"/>
      <c r="G4713" s="70"/>
    </row>
    <row r="4714" spans="2:7" x14ac:dyDescent="0.25">
      <c r="B4714" s="37"/>
      <c r="C4714" s="37"/>
      <c r="D4714" s="37"/>
      <c r="E4714" s="37"/>
      <c r="F4714" s="37"/>
      <c r="G4714" s="70"/>
    </row>
    <row r="4715" spans="2:7" x14ac:dyDescent="0.25">
      <c r="B4715" s="37"/>
      <c r="C4715" s="37"/>
      <c r="D4715" s="37"/>
      <c r="E4715" s="37"/>
      <c r="F4715" s="37"/>
      <c r="G4715" s="70"/>
    </row>
    <row r="4716" spans="2:7" x14ac:dyDescent="0.25">
      <c r="B4716" s="37"/>
      <c r="C4716" s="37"/>
      <c r="D4716" s="37"/>
      <c r="E4716" s="37"/>
      <c r="F4716" s="37"/>
      <c r="G4716" s="70"/>
    </row>
    <row r="4717" spans="2:7" x14ac:dyDescent="0.25">
      <c r="B4717" s="37"/>
      <c r="C4717" s="37"/>
      <c r="D4717" s="37"/>
      <c r="E4717" s="37"/>
      <c r="F4717" s="37"/>
      <c r="G4717" s="70"/>
    </row>
    <row r="4718" spans="2:7" x14ac:dyDescent="0.25">
      <c r="B4718" s="37"/>
      <c r="C4718" s="37"/>
      <c r="D4718" s="37"/>
      <c r="E4718" s="37"/>
      <c r="F4718" s="37"/>
      <c r="G4718" s="70"/>
    </row>
    <row r="4719" spans="2:7" x14ac:dyDescent="0.25">
      <c r="B4719" s="37"/>
      <c r="C4719" s="37"/>
      <c r="D4719" s="37"/>
      <c r="E4719" s="37"/>
      <c r="F4719" s="37"/>
      <c r="G4719" s="70"/>
    </row>
    <row r="4720" spans="2:7" x14ac:dyDescent="0.25">
      <c r="B4720" s="37"/>
      <c r="C4720" s="37"/>
      <c r="D4720" s="37"/>
      <c r="E4720" s="37"/>
      <c r="F4720" s="37"/>
      <c r="G4720" s="70"/>
    </row>
    <row r="4721" spans="2:7" x14ac:dyDescent="0.25">
      <c r="B4721" s="37"/>
      <c r="C4721" s="37"/>
      <c r="D4721" s="37"/>
      <c r="E4721" s="37"/>
      <c r="F4721" s="37"/>
      <c r="G4721" s="70"/>
    </row>
    <row r="4722" spans="2:7" x14ac:dyDescent="0.25">
      <c r="B4722" s="37"/>
      <c r="C4722" s="37"/>
      <c r="D4722" s="37"/>
      <c r="E4722" s="37"/>
      <c r="F4722" s="37"/>
      <c r="G4722" s="70"/>
    </row>
    <row r="4723" spans="2:7" x14ac:dyDescent="0.25">
      <c r="B4723" s="37"/>
      <c r="C4723" s="37"/>
      <c r="D4723" s="37"/>
      <c r="E4723" s="37"/>
      <c r="F4723" s="37"/>
      <c r="G4723" s="70"/>
    </row>
    <row r="4724" spans="2:7" x14ac:dyDescent="0.25">
      <c r="B4724" s="37"/>
      <c r="C4724" s="37"/>
      <c r="D4724" s="37"/>
      <c r="E4724" s="37"/>
      <c r="F4724" s="37"/>
      <c r="G4724" s="70"/>
    </row>
    <row r="4725" spans="2:7" x14ac:dyDescent="0.25">
      <c r="B4725" s="37"/>
      <c r="C4725" s="37"/>
      <c r="D4725" s="37"/>
      <c r="E4725" s="37"/>
      <c r="F4725" s="37"/>
      <c r="G4725" s="70"/>
    </row>
    <row r="4726" spans="2:7" x14ac:dyDescent="0.25">
      <c r="B4726" s="37"/>
      <c r="C4726" s="37"/>
      <c r="D4726" s="37"/>
      <c r="E4726" s="37"/>
      <c r="F4726" s="37"/>
      <c r="G4726" s="70"/>
    </row>
    <row r="4727" spans="2:7" x14ac:dyDescent="0.25">
      <c r="B4727" s="37"/>
      <c r="C4727" s="37"/>
      <c r="D4727" s="37"/>
      <c r="E4727" s="37"/>
      <c r="F4727" s="37"/>
      <c r="G4727" s="70"/>
    </row>
    <row r="4728" spans="2:7" x14ac:dyDescent="0.25">
      <c r="B4728" s="37"/>
      <c r="C4728" s="37"/>
      <c r="D4728" s="37"/>
      <c r="E4728" s="37"/>
      <c r="F4728" s="37"/>
      <c r="G4728" s="70"/>
    </row>
    <row r="4729" spans="2:7" x14ac:dyDescent="0.25">
      <c r="B4729" s="37"/>
      <c r="C4729" s="37"/>
      <c r="D4729" s="37"/>
      <c r="E4729" s="37"/>
      <c r="F4729" s="37"/>
      <c r="G4729" s="70"/>
    </row>
    <row r="4730" spans="2:7" x14ac:dyDescent="0.25">
      <c r="B4730" s="37"/>
      <c r="C4730" s="37"/>
      <c r="D4730" s="37"/>
      <c r="E4730" s="37"/>
      <c r="F4730" s="37"/>
      <c r="G4730" s="70"/>
    </row>
    <row r="4731" spans="2:7" x14ac:dyDescent="0.25">
      <c r="B4731" s="37"/>
      <c r="C4731" s="37"/>
      <c r="D4731" s="37"/>
      <c r="E4731" s="37"/>
      <c r="F4731" s="37"/>
      <c r="G4731" s="70"/>
    </row>
    <row r="4732" spans="2:7" x14ac:dyDescent="0.25">
      <c r="B4732" s="37"/>
      <c r="C4732" s="37"/>
      <c r="D4732" s="37"/>
      <c r="E4732" s="37"/>
      <c r="F4732" s="37"/>
      <c r="G4732" s="70"/>
    </row>
    <row r="4733" spans="2:7" x14ac:dyDescent="0.25">
      <c r="B4733" s="37"/>
      <c r="C4733" s="37"/>
      <c r="D4733" s="37"/>
      <c r="E4733" s="37"/>
      <c r="F4733" s="37"/>
      <c r="G4733" s="70"/>
    </row>
    <row r="4734" spans="2:7" x14ac:dyDescent="0.25">
      <c r="B4734" s="37"/>
      <c r="C4734" s="37"/>
      <c r="D4734" s="37"/>
      <c r="E4734" s="37"/>
      <c r="F4734" s="37"/>
      <c r="G4734" s="70"/>
    </row>
    <row r="4735" spans="2:7" x14ac:dyDescent="0.25">
      <c r="B4735" s="37"/>
      <c r="C4735" s="37"/>
      <c r="D4735" s="37"/>
      <c r="E4735" s="37"/>
      <c r="F4735" s="37"/>
      <c r="G4735" s="70"/>
    </row>
    <row r="4736" spans="2:7" x14ac:dyDescent="0.25">
      <c r="B4736" s="37"/>
      <c r="C4736" s="37"/>
      <c r="D4736" s="37"/>
      <c r="E4736" s="37"/>
      <c r="F4736" s="37"/>
      <c r="G4736" s="70"/>
    </row>
    <row r="4737" spans="2:7" x14ac:dyDescent="0.25">
      <c r="B4737" s="37"/>
      <c r="C4737" s="37"/>
      <c r="D4737" s="37"/>
      <c r="E4737" s="37"/>
      <c r="F4737" s="37"/>
      <c r="G4737" s="70"/>
    </row>
    <row r="4738" spans="2:7" x14ac:dyDescent="0.25">
      <c r="B4738" s="37"/>
      <c r="C4738" s="37"/>
      <c r="D4738" s="37"/>
      <c r="E4738" s="37"/>
      <c r="F4738" s="37"/>
      <c r="G4738" s="70"/>
    </row>
    <row r="4739" spans="2:7" x14ac:dyDescent="0.25">
      <c r="B4739" s="37"/>
      <c r="C4739" s="37"/>
      <c r="D4739" s="37"/>
      <c r="E4739" s="37"/>
      <c r="F4739" s="37"/>
      <c r="G4739" s="70"/>
    </row>
    <row r="4740" spans="2:7" x14ac:dyDescent="0.25">
      <c r="B4740" s="37"/>
      <c r="C4740" s="37"/>
      <c r="D4740" s="37"/>
      <c r="E4740" s="37"/>
      <c r="F4740" s="37"/>
      <c r="G4740" s="70"/>
    </row>
    <row r="4741" spans="2:7" x14ac:dyDescent="0.25">
      <c r="B4741" s="37"/>
      <c r="C4741" s="37"/>
      <c r="D4741" s="37"/>
      <c r="E4741" s="37"/>
      <c r="F4741" s="37"/>
      <c r="G4741" s="70"/>
    </row>
    <row r="4742" spans="2:7" x14ac:dyDescent="0.25">
      <c r="B4742" s="37"/>
      <c r="C4742" s="37"/>
      <c r="D4742" s="37"/>
      <c r="E4742" s="37"/>
      <c r="F4742" s="37"/>
      <c r="G4742" s="70"/>
    </row>
    <row r="4743" spans="2:7" x14ac:dyDescent="0.25">
      <c r="B4743" s="37"/>
      <c r="C4743" s="37"/>
      <c r="D4743" s="37"/>
      <c r="E4743" s="37"/>
      <c r="F4743" s="37"/>
      <c r="G4743" s="70"/>
    </row>
    <row r="4744" spans="2:7" x14ac:dyDescent="0.25">
      <c r="B4744" s="37"/>
      <c r="C4744" s="37"/>
      <c r="D4744" s="37"/>
      <c r="E4744" s="37"/>
      <c r="F4744" s="37"/>
      <c r="G4744" s="70"/>
    </row>
    <row r="4745" spans="2:7" x14ac:dyDescent="0.25">
      <c r="B4745" s="37"/>
      <c r="C4745" s="37"/>
      <c r="D4745" s="37"/>
      <c r="E4745" s="37"/>
      <c r="F4745" s="37"/>
      <c r="G4745" s="70"/>
    </row>
    <row r="4746" spans="2:7" x14ac:dyDescent="0.25">
      <c r="B4746" s="37"/>
      <c r="C4746" s="37"/>
      <c r="D4746" s="37"/>
      <c r="E4746" s="37"/>
      <c r="F4746" s="37"/>
      <c r="G4746" s="70"/>
    </row>
    <row r="4747" spans="2:7" x14ac:dyDescent="0.25">
      <c r="B4747" s="37"/>
      <c r="C4747" s="37"/>
      <c r="D4747" s="37"/>
      <c r="E4747" s="37"/>
      <c r="F4747" s="37"/>
      <c r="G4747" s="70"/>
    </row>
    <row r="4748" spans="2:7" x14ac:dyDescent="0.25">
      <c r="B4748" s="37"/>
      <c r="C4748" s="37"/>
      <c r="D4748" s="37"/>
      <c r="E4748" s="37"/>
      <c r="F4748" s="37"/>
      <c r="G4748" s="70"/>
    </row>
    <row r="4749" spans="2:7" x14ac:dyDescent="0.25">
      <c r="B4749" s="37"/>
      <c r="C4749" s="37"/>
      <c r="D4749" s="37"/>
      <c r="E4749" s="37"/>
      <c r="F4749" s="37"/>
      <c r="G4749" s="70"/>
    </row>
    <row r="4750" spans="2:7" x14ac:dyDescent="0.25">
      <c r="B4750" s="37"/>
      <c r="C4750" s="37"/>
      <c r="D4750" s="37"/>
      <c r="E4750" s="37"/>
      <c r="F4750" s="37"/>
      <c r="G4750" s="70"/>
    </row>
    <row r="4751" spans="2:7" x14ac:dyDescent="0.25">
      <c r="B4751" s="37"/>
      <c r="C4751" s="37"/>
      <c r="D4751" s="37"/>
      <c r="E4751" s="37"/>
      <c r="F4751" s="37"/>
      <c r="G4751" s="70"/>
    </row>
    <row r="4752" spans="2:7" x14ac:dyDescent="0.25">
      <c r="B4752" s="37"/>
      <c r="C4752" s="37"/>
      <c r="D4752" s="37"/>
      <c r="E4752" s="37"/>
      <c r="F4752" s="37"/>
      <c r="G4752" s="70"/>
    </row>
    <row r="4753" spans="2:7" x14ac:dyDescent="0.25">
      <c r="B4753" s="37"/>
      <c r="C4753" s="37"/>
      <c r="D4753" s="37"/>
      <c r="E4753" s="37"/>
      <c r="F4753" s="37"/>
      <c r="G4753" s="70"/>
    </row>
    <row r="4754" spans="2:7" x14ac:dyDescent="0.25">
      <c r="B4754" s="37"/>
      <c r="C4754" s="37"/>
      <c r="D4754" s="37"/>
      <c r="E4754" s="37"/>
      <c r="F4754" s="37"/>
      <c r="G4754" s="70"/>
    </row>
    <row r="4755" spans="2:7" x14ac:dyDescent="0.25">
      <c r="B4755" s="37"/>
      <c r="C4755" s="37"/>
      <c r="D4755" s="37"/>
      <c r="E4755" s="37"/>
      <c r="F4755" s="37"/>
      <c r="G4755" s="70"/>
    </row>
    <row r="4756" spans="2:7" x14ac:dyDescent="0.25">
      <c r="B4756" s="37"/>
      <c r="C4756" s="37"/>
      <c r="D4756" s="37"/>
      <c r="E4756" s="37"/>
      <c r="F4756" s="37"/>
      <c r="G4756" s="70"/>
    </row>
    <row r="4757" spans="2:7" x14ac:dyDescent="0.25">
      <c r="B4757" s="37"/>
      <c r="C4757" s="37"/>
      <c r="D4757" s="37"/>
      <c r="E4757" s="37"/>
      <c r="F4757" s="37"/>
      <c r="G4757" s="70"/>
    </row>
    <row r="4758" spans="2:7" x14ac:dyDescent="0.25">
      <c r="B4758" s="37"/>
      <c r="C4758" s="37"/>
      <c r="D4758" s="37"/>
      <c r="E4758" s="37"/>
      <c r="F4758" s="37"/>
      <c r="G4758" s="70"/>
    </row>
    <row r="4759" spans="2:7" x14ac:dyDescent="0.25">
      <c r="B4759" s="37"/>
      <c r="C4759" s="37"/>
      <c r="D4759" s="37"/>
      <c r="E4759" s="37"/>
      <c r="F4759" s="37"/>
      <c r="G4759" s="70"/>
    </row>
    <row r="4760" spans="2:7" x14ac:dyDescent="0.25">
      <c r="B4760" s="37"/>
      <c r="C4760" s="37"/>
      <c r="D4760" s="37"/>
      <c r="E4760" s="37"/>
      <c r="F4760" s="37"/>
      <c r="G4760" s="70"/>
    </row>
    <row r="4761" spans="2:7" x14ac:dyDescent="0.25">
      <c r="B4761" s="37"/>
      <c r="C4761" s="37"/>
      <c r="D4761" s="37"/>
      <c r="E4761" s="37"/>
      <c r="F4761" s="37"/>
      <c r="G4761" s="70"/>
    </row>
    <row r="4762" spans="2:7" x14ac:dyDescent="0.25">
      <c r="B4762" s="37"/>
      <c r="C4762" s="37"/>
      <c r="D4762" s="37"/>
      <c r="E4762" s="37"/>
      <c r="F4762" s="37"/>
      <c r="G4762" s="70"/>
    </row>
    <row r="4763" spans="2:7" x14ac:dyDescent="0.25">
      <c r="B4763" s="37"/>
      <c r="C4763" s="37"/>
      <c r="D4763" s="37"/>
      <c r="E4763" s="37"/>
      <c r="F4763" s="37"/>
      <c r="G4763" s="70"/>
    </row>
    <row r="4764" spans="2:7" x14ac:dyDescent="0.25">
      <c r="B4764" s="37"/>
      <c r="C4764" s="37"/>
      <c r="D4764" s="37"/>
      <c r="E4764" s="37"/>
      <c r="F4764" s="37"/>
      <c r="G4764" s="70"/>
    </row>
    <row r="4765" spans="2:7" x14ac:dyDescent="0.25">
      <c r="B4765" s="37"/>
      <c r="C4765" s="37"/>
      <c r="D4765" s="37"/>
      <c r="E4765" s="37"/>
      <c r="F4765" s="37"/>
      <c r="G4765" s="70"/>
    </row>
    <row r="4766" spans="2:7" x14ac:dyDescent="0.25">
      <c r="B4766" s="37"/>
      <c r="C4766" s="37"/>
      <c r="D4766" s="37"/>
      <c r="E4766" s="37"/>
      <c r="F4766" s="37"/>
      <c r="G4766" s="70"/>
    </row>
    <row r="4767" spans="2:7" x14ac:dyDescent="0.25">
      <c r="B4767" s="37"/>
      <c r="C4767" s="37"/>
      <c r="D4767" s="37"/>
      <c r="E4767" s="37"/>
      <c r="F4767" s="37"/>
      <c r="G4767" s="70"/>
    </row>
    <row r="4768" spans="2:7" x14ac:dyDescent="0.25">
      <c r="B4768" s="37"/>
      <c r="C4768" s="37"/>
      <c r="D4768" s="37"/>
      <c r="E4768" s="37"/>
      <c r="F4768" s="37"/>
      <c r="G4768" s="70"/>
    </row>
    <row r="4769" spans="2:7" x14ac:dyDescent="0.25">
      <c r="B4769" s="37"/>
      <c r="C4769" s="37"/>
      <c r="D4769" s="37"/>
      <c r="E4769" s="37"/>
      <c r="F4769" s="37"/>
      <c r="G4769" s="70"/>
    </row>
    <row r="4770" spans="2:7" x14ac:dyDescent="0.25">
      <c r="B4770" s="37"/>
      <c r="C4770" s="37"/>
      <c r="D4770" s="37"/>
      <c r="E4770" s="37"/>
      <c r="F4770" s="37"/>
      <c r="G4770" s="70"/>
    </row>
    <row r="4771" spans="2:7" x14ac:dyDescent="0.25">
      <c r="B4771" s="37"/>
      <c r="C4771" s="37"/>
      <c r="D4771" s="37"/>
      <c r="E4771" s="37"/>
      <c r="F4771" s="37"/>
      <c r="G4771" s="70"/>
    </row>
    <row r="4772" spans="2:7" x14ac:dyDescent="0.25">
      <c r="B4772" s="37"/>
      <c r="C4772" s="37"/>
      <c r="D4772" s="37"/>
      <c r="E4772" s="37"/>
      <c r="F4772" s="37"/>
      <c r="G4772" s="70"/>
    </row>
    <row r="4773" spans="2:7" x14ac:dyDescent="0.25">
      <c r="B4773" s="37"/>
      <c r="C4773" s="37"/>
      <c r="D4773" s="37"/>
      <c r="E4773" s="37"/>
      <c r="F4773" s="37"/>
      <c r="G4773" s="70"/>
    </row>
    <row r="4774" spans="2:7" x14ac:dyDescent="0.25">
      <c r="B4774" s="37"/>
      <c r="C4774" s="37"/>
      <c r="D4774" s="37"/>
      <c r="E4774" s="37"/>
      <c r="F4774" s="37"/>
      <c r="G4774" s="70"/>
    </row>
    <row r="4775" spans="2:7" x14ac:dyDescent="0.25">
      <c r="B4775" s="37"/>
      <c r="C4775" s="37"/>
      <c r="D4775" s="37"/>
      <c r="E4775" s="37"/>
      <c r="F4775" s="37"/>
      <c r="G4775" s="70"/>
    </row>
    <row r="4776" spans="2:7" x14ac:dyDescent="0.25">
      <c r="B4776" s="37"/>
      <c r="C4776" s="37"/>
      <c r="D4776" s="37"/>
      <c r="E4776" s="37"/>
      <c r="F4776" s="37"/>
      <c r="G4776" s="70"/>
    </row>
    <row r="4777" spans="2:7" x14ac:dyDescent="0.25">
      <c r="B4777" s="37"/>
      <c r="C4777" s="37"/>
      <c r="D4777" s="37"/>
      <c r="E4777" s="37"/>
      <c r="F4777" s="37"/>
      <c r="G4777" s="70"/>
    </row>
    <row r="4778" spans="2:7" x14ac:dyDescent="0.25">
      <c r="B4778" s="37"/>
      <c r="C4778" s="37"/>
      <c r="D4778" s="37"/>
      <c r="E4778" s="37"/>
      <c r="F4778" s="37"/>
      <c r="G4778" s="70"/>
    </row>
    <row r="4779" spans="2:7" x14ac:dyDescent="0.25">
      <c r="B4779" s="37"/>
      <c r="C4779" s="37"/>
      <c r="D4779" s="37"/>
      <c r="E4779" s="37"/>
      <c r="F4779" s="37"/>
      <c r="G4779" s="70"/>
    </row>
    <row r="4780" spans="2:7" x14ac:dyDescent="0.25">
      <c r="B4780" s="37"/>
      <c r="C4780" s="37"/>
      <c r="D4780" s="37"/>
      <c r="E4780" s="37"/>
      <c r="F4780" s="37"/>
      <c r="G4780" s="70"/>
    </row>
    <row r="4781" spans="2:7" x14ac:dyDescent="0.25">
      <c r="B4781" s="37"/>
      <c r="C4781" s="37"/>
      <c r="D4781" s="37"/>
      <c r="E4781" s="37"/>
      <c r="F4781" s="37"/>
      <c r="G4781" s="70"/>
    </row>
    <row r="4782" spans="2:7" x14ac:dyDescent="0.25">
      <c r="B4782" s="37"/>
      <c r="C4782" s="37"/>
      <c r="D4782" s="37"/>
      <c r="E4782" s="37"/>
      <c r="F4782" s="37"/>
      <c r="G4782" s="70"/>
    </row>
    <row r="4783" spans="2:7" x14ac:dyDescent="0.25">
      <c r="B4783" s="37"/>
      <c r="C4783" s="37"/>
      <c r="D4783" s="37"/>
      <c r="E4783" s="37"/>
      <c r="F4783" s="37"/>
      <c r="G4783" s="70"/>
    </row>
    <row r="4784" spans="2:7" x14ac:dyDescent="0.25">
      <c r="B4784" s="37"/>
      <c r="C4784" s="37"/>
      <c r="D4784" s="37"/>
      <c r="E4784" s="37"/>
      <c r="F4784" s="37"/>
      <c r="G4784" s="70"/>
    </row>
    <row r="4785" spans="2:7" x14ac:dyDescent="0.25">
      <c r="B4785" s="37"/>
      <c r="C4785" s="37"/>
      <c r="D4785" s="37"/>
      <c r="E4785" s="37"/>
      <c r="F4785" s="37"/>
      <c r="G4785" s="70"/>
    </row>
    <row r="4786" spans="2:7" x14ac:dyDescent="0.25">
      <c r="B4786" s="37"/>
      <c r="C4786" s="37"/>
      <c r="D4786" s="37"/>
      <c r="E4786" s="37"/>
      <c r="F4786" s="37"/>
      <c r="G4786" s="70"/>
    </row>
    <row r="4787" spans="2:7" x14ac:dyDescent="0.25">
      <c r="B4787" s="37"/>
      <c r="C4787" s="37"/>
      <c r="D4787" s="37"/>
      <c r="E4787" s="37"/>
      <c r="F4787" s="37"/>
      <c r="G4787" s="70"/>
    </row>
    <row r="4788" spans="2:7" x14ac:dyDescent="0.25">
      <c r="B4788" s="37"/>
      <c r="C4788" s="37"/>
      <c r="D4788" s="37"/>
      <c r="E4788" s="37"/>
      <c r="F4788" s="37"/>
      <c r="G4788" s="70"/>
    </row>
    <row r="4789" spans="2:7" x14ac:dyDescent="0.25">
      <c r="B4789" s="37"/>
      <c r="C4789" s="37"/>
      <c r="D4789" s="37"/>
      <c r="E4789" s="37"/>
      <c r="F4789" s="37"/>
      <c r="G4789" s="70"/>
    </row>
    <row r="4790" spans="2:7" x14ac:dyDescent="0.25">
      <c r="B4790" s="37"/>
      <c r="C4790" s="37"/>
      <c r="D4790" s="37"/>
      <c r="E4790" s="37"/>
      <c r="F4790" s="37"/>
      <c r="G4790" s="70"/>
    </row>
    <row r="4791" spans="2:7" x14ac:dyDescent="0.25">
      <c r="B4791" s="37"/>
      <c r="C4791" s="37"/>
      <c r="D4791" s="37"/>
      <c r="E4791" s="37"/>
      <c r="F4791" s="37"/>
      <c r="G4791" s="70"/>
    </row>
    <row r="4792" spans="2:7" x14ac:dyDescent="0.25">
      <c r="B4792" s="37"/>
      <c r="C4792" s="37"/>
      <c r="D4792" s="37"/>
      <c r="E4792" s="37"/>
      <c r="F4792" s="37"/>
      <c r="G4792" s="70"/>
    </row>
    <row r="4793" spans="2:7" x14ac:dyDescent="0.25">
      <c r="B4793" s="37"/>
      <c r="C4793" s="37"/>
      <c r="D4793" s="37"/>
      <c r="E4793" s="37"/>
      <c r="F4793" s="37"/>
      <c r="G4793" s="70"/>
    </row>
    <row r="4794" spans="2:7" x14ac:dyDescent="0.25">
      <c r="B4794" s="37"/>
      <c r="C4794" s="37"/>
      <c r="D4794" s="37"/>
      <c r="E4794" s="37"/>
      <c r="F4794" s="37"/>
      <c r="G4794" s="70"/>
    </row>
    <row r="4795" spans="2:7" x14ac:dyDescent="0.25">
      <c r="B4795" s="37"/>
      <c r="C4795" s="37"/>
      <c r="D4795" s="37"/>
      <c r="E4795" s="37"/>
      <c r="F4795" s="37"/>
      <c r="G4795" s="70"/>
    </row>
    <row r="4796" spans="2:7" x14ac:dyDescent="0.25">
      <c r="B4796" s="37"/>
      <c r="C4796" s="37"/>
      <c r="D4796" s="37"/>
      <c r="E4796" s="37"/>
      <c r="F4796" s="37"/>
      <c r="G4796" s="70"/>
    </row>
    <row r="4797" spans="2:7" x14ac:dyDescent="0.25">
      <c r="B4797" s="37"/>
      <c r="C4797" s="37"/>
      <c r="D4797" s="37"/>
      <c r="E4797" s="37"/>
      <c r="F4797" s="37"/>
      <c r="G4797" s="70"/>
    </row>
    <row r="4798" spans="2:7" x14ac:dyDescent="0.25">
      <c r="B4798" s="37"/>
      <c r="C4798" s="37"/>
      <c r="D4798" s="37"/>
      <c r="E4798" s="37"/>
      <c r="F4798" s="37"/>
      <c r="G4798" s="70"/>
    </row>
    <row r="4799" spans="2:7" x14ac:dyDescent="0.25">
      <c r="B4799" s="37"/>
      <c r="C4799" s="37"/>
      <c r="D4799" s="37"/>
      <c r="E4799" s="37"/>
      <c r="F4799" s="37"/>
      <c r="G4799" s="70"/>
    </row>
    <row r="4800" spans="2:7" x14ac:dyDescent="0.25">
      <c r="B4800" s="37"/>
      <c r="C4800" s="37"/>
      <c r="D4800" s="37"/>
      <c r="E4800" s="37"/>
      <c r="F4800" s="37"/>
      <c r="G4800" s="70"/>
    </row>
    <row r="4801" spans="2:7" x14ac:dyDescent="0.25">
      <c r="B4801" s="37"/>
      <c r="C4801" s="37"/>
      <c r="D4801" s="37"/>
      <c r="E4801" s="37"/>
      <c r="F4801" s="37"/>
      <c r="G4801" s="70"/>
    </row>
    <row r="4802" spans="2:7" x14ac:dyDescent="0.25">
      <c r="B4802" s="37"/>
      <c r="C4802" s="37"/>
      <c r="D4802" s="37"/>
      <c r="E4802" s="37"/>
      <c r="F4802" s="37"/>
      <c r="G4802" s="70"/>
    </row>
    <row r="4803" spans="2:7" x14ac:dyDescent="0.25">
      <c r="B4803" s="37"/>
      <c r="C4803" s="37"/>
      <c r="D4803" s="37"/>
      <c r="E4803" s="37"/>
      <c r="F4803" s="37"/>
      <c r="G4803" s="70"/>
    </row>
    <row r="4804" spans="2:7" x14ac:dyDescent="0.25">
      <c r="B4804" s="37"/>
      <c r="C4804" s="37"/>
      <c r="D4804" s="37"/>
      <c r="E4804" s="37"/>
      <c r="F4804" s="37"/>
      <c r="G4804" s="70"/>
    </row>
    <row r="4805" spans="2:7" x14ac:dyDescent="0.25">
      <c r="B4805" s="37"/>
      <c r="C4805" s="37"/>
      <c r="D4805" s="37"/>
      <c r="E4805" s="37"/>
      <c r="F4805" s="37"/>
      <c r="G4805" s="70"/>
    </row>
    <row r="4806" spans="2:7" x14ac:dyDescent="0.25">
      <c r="B4806" s="37"/>
      <c r="C4806" s="37"/>
      <c r="D4806" s="37"/>
      <c r="E4806" s="37"/>
      <c r="F4806" s="37"/>
      <c r="G4806" s="70"/>
    </row>
    <row r="4807" spans="2:7" x14ac:dyDescent="0.25">
      <c r="B4807" s="37"/>
      <c r="C4807" s="37"/>
      <c r="D4807" s="37"/>
      <c r="E4807" s="37"/>
      <c r="F4807" s="37"/>
      <c r="G4807" s="70"/>
    </row>
    <row r="4808" spans="2:7" x14ac:dyDescent="0.25">
      <c r="B4808" s="37"/>
      <c r="C4808" s="37"/>
      <c r="D4808" s="37"/>
      <c r="E4808" s="37"/>
      <c r="F4808" s="37"/>
      <c r="G4808" s="70"/>
    </row>
    <row r="4809" spans="2:7" x14ac:dyDescent="0.25">
      <c r="B4809" s="37"/>
      <c r="C4809" s="37"/>
      <c r="D4809" s="37"/>
      <c r="E4809" s="37"/>
      <c r="F4809" s="37"/>
      <c r="G4809" s="70"/>
    </row>
    <row r="4810" spans="2:7" x14ac:dyDescent="0.25">
      <c r="B4810" s="37"/>
      <c r="C4810" s="37"/>
      <c r="D4810" s="37"/>
      <c r="E4810" s="37"/>
      <c r="F4810" s="37"/>
      <c r="G4810" s="70"/>
    </row>
    <row r="4811" spans="2:7" x14ac:dyDescent="0.25">
      <c r="B4811" s="37"/>
      <c r="C4811" s="37"/>
      <c r="D4811" s="37"/>
      <c r="E4811" s="37"/>
      <c r="F4811" s="37"/>
      <c r="G4811" s="70"/>
    </row>
    <row r="4812" spans="2:7" x14ac:dyDescent="0.25">
      <c r="B4812" s="37"/>
      <c r="C4812" s="37"/>
      <c r="D4812" s="37"/>
      <c r="E4812" s="37"/>
      <c r="F4812" s="37"/>
      <c r="G4812" s="70"/>
    </row>
    <row r="4813" spans="2:7" x14ac:dyDescent="0.25">
      <c r="B4813" s="37"/>
      <c r="C4813" s="37"/>
      <c r="D4813" s="37"/>
      <c r="E4813" s="37"/>
      <c r="F4813" s="37"/>
      <c r="G4813" s="70"/>
    </row>
    <row r="4814" spans="2:7" x14ac:dyDescent="0.25">
      <c r="B4814" s="37"/>
      <c r="C4814" s="37"/>
      <c r="D4814" s="37"/>
      <c r="E4814" s="37"/>
      <c r="F4814" s="37"/>
      <c r="G4814" s="70"/>
    </row>
    <row r="4815" spans="2:7" x14ac:dyDescent="0.25">
      <c r="B4815" s="37"/>
      <c r="C4815" s="37"/>
      <c r="D4815" s="37"/>
      <c r="E4815" s="37"/>
      <c r="F4815" s="37"/>
      <c r="G4815" s="70"/>
    </row>
    <row r="4816" spans="2:7" x14ac:dyDescent="0.25">
      <c r="B4816" s="37"/>
      <c r="C4816" s="37"/>
      <c r="D4816" s="37"/>
      <c r="E4816" s="37"/>
      <c r="F4816" s="37"/>
      <c r="G4816" s="70"/>
    </row>
    <row r="4817" spans="2:7" x14ac:dyDescent="0.25">
      <c r="B4817" s="37"/>
      <c r="C4817" s="37"/>
      <c r="D4817" s="37"/>
      <c r="E4817" s="37"/>
      <c r="F4817" s="37"/>
      <c r="G4817" s="70"/>
    </row>
    <row r="4818" spans="2:7" x14ac:dyDescent="0.25">
      <c r="B4818" s="37"/>
      <c r="C4818" s="37"/>
      <c r="D4818" s="37"/>
      <c r="E4818" s="37"/>
      <c r="F4818" s="37"/>
      <c r="G4818" s="70"/>
    </row>
    <row r="4819" spans="2:7" x14ac:dyDescent="0.25">
      <c r="B4819" s="37"/>
      <c r="C4819" s="37"/>
      <c r="D4819" s="37"/>
      <c r="E4819" s="37"/>
      <c r="F4819" s="37"/>
      <c r="G4819" s="70"/>
    </row>
    <row r="4820" spans="2:7" x14ac:dyDescent="0.25">
      <c r="B4820" s="37"/>
      <c r="C4820" s="37"/>
      <c r="D4820" s="37"/>
      <c r="E4820" s="37"/>
      <c r="F4820" s="37"/>
      <c r="G4820" s="70"/>
    </row>
    <row r="4821" spans="2:7" x14ac:dyDescent="0.25">
      <c r="B4821" s="37"/>
      <c r="C4821" s="37"/>
      <c r="D4821" s="37"/>
      <c r="E4821" s="37"/>
      <c r="F4821" s="37"/>
      <c r="G4821" s="70"/>
    </row>
    <row r="4822" spans="2:7" x14ac:dyDescent="0.25">
      <c r="B4822" s="37"/>
      <c r="C4822" s="37"/>
      <c r="D4822" s="37"/>
      <c r="E4822" s="37"/>
      <c r="F4822" s="37"/>
      <c r="G4822" s="70"/>
    </row>
    <row r="4823" spans="2:7" x14ac:dyDescent="0.25">
      <c r="B4823" s="37"/>
      <c r="C4823" s="37"/>
      <c r="D4823" s="37"/>
      <c r="E4823" s="37"/>
      <c r="F4823" s="37"/>
      <c r="G4823" s="70"/>
    </row>
    <row r="4824" spans="2:7" x14ac:dyDescent="0.25">
      <c r="B4824" s="37"/>
      <c r="C4824" s="37"/>
      <c r="D4824" s="37"/>
      <c r="E4824" s="37"/>
      <c r="F4824" s="37"/>
      <c r="G4824" s="70"/>
    </row>
    <row r="4825" spans="2:7" x14ac:dyDescent="0.25">
      <c r="B4825" s="37"/>
      <c r="C4825" s="37"/>
      <c r="D4825" s="37"/>
      <c r="E4825" s="37"/>
      <c r="F4825" s="37"/>
      <c r="G4825" s="70"/>
    </row>
    <row r="4826" spans="2:7" x14ac:dyDescent="0.25">
      <c r="B4826" s="37"/>
      <c r="C4826" s="37"/>
      <c r="D4826" s="37"/>
      <c r="E4826" s="37"/>
      <c r="F4826" s="37"/>
      <c r="G4826" s="70"/>
    </row>
    <row r="4827" spans="2:7" x14ac:dyDescent="0.25">
      <c r="B4827" s="37"/>
      <c r="C4827" s="37"/>
      <c r="D4827" s="37"/>
      <c r="E4827" s="37"/>
      <c r="F4827" s="37"/>
      <c r="G4827" s="70"/>
    </row>
    <row r="4828" spans="2:7" x14ac:dyDescent="0.25">
      <c r="B4828" s="37"/>
      <c r="C4828" s="37"/>
      <c r="D4828" s="37"/>
      <c r="E4828" s="37"/>
      <c r="F4828" s="37"/>
      <c r="G4828" s="70"/>
    </row>
    <row r="4829" spans="2:7" x14ac:dyDescent="0.25">
      <c r="B4829" s="37"/>
      <c r="C4829" s="37"/>
      <c r="D4829" s="37"/>
      <c r="E4829" s="37"/>
      <c r="F4829" s="37"/>
      <c r="G4829" s="70"/>
    </row>
    <row r="4830" spans="2:7" x14ac:dyDescent="0.25">
      <c r="B4830" s="37"/>
      <c r="C4830" s="37"/>
      <c r="D4830" s="37"/>
      <c r="E4830" s="37"/>
      <c r="F4830" s="37"/>
      <c r="G4830" s="70"/>
    </row>
    <row r="4831" spans="2:7" x14ac:dyDescent="0.25">
      <c r="B4831" s="37"/>
      <c r="C4831" s="37"/>
      <c r="D4831" s="37"/>
      <c r="E4831" s="37"/>
      <c r="F4831" s="37"/>
      <c r="G4831" s="70"/>
    </row>
    <row r="4832" spans="2:7" x14ac:dyDescent="0.25">
      <c r="B4832" s="37"/>
      <c r="C4832" s="37"/>
      <c r="D4832" s="37"/>
      <c r="E4832" s="37"/>
      <c r="F4832" s="37"/>
      <c r="G4832" s="70"/>
    </row>
    <row r="4833" spans="2:7" x14ac:dyDescent="0.25">
      <c r="B4833" s="37"/>
      <c r="C4833" s="37"/>
      <c r="D4833" s="37"/>
      <c r="E4833" s="37"/>
      <c r="F4833" s="37"/>
      <c r="G4833" s="70"/>
    </row>
    <row r="4834" spans="2:7" x14ac:dyDescent="0.25">
      <c r="B4834" s="37"/>
      <c r="C4834" s="37"/>
      <c r="D4834" s="37"/>
      <c r="E4834" s="37"/>
      <c r="F4834" s="37"/>
      <c r="G4834" s="70"/>
    </row>
    <row r="4835" spans="2:7" x14ac:dyDescent="0.25">
      <c r="B4835" s="37"/>
      <c r="C4835" s="37"/>
      <c r="D4835" s="37"/>
      <c r="E4835" s="37"/>
      <c r="F4835" s="37"/>
      <c r="G4835" s="70"/>
    </row>
    <row r="4836" spans="2:7" x14ac:dyDescent="0.25">
      <c r="B4836" s="37"/>
      <c r="C4836" s="37"/>
      <c r="D4836" s="37"/>
      <c r="E4836" s="37"/>
      <c r="F4836" s="37"/>
      <c r="G4836" s="70"/>
    </row>
    <row r="4837" spans="2:7" x14ac:dyDescent="0.25">
      <c r="B4837" s="37"/>
      <c r="C4837" s="37"/>
      <c r="D4837" s="37"/>
      <c r="E4837" s="37"/>
      <c r="F4837" s="37"/>
      <c r="G4837" s="70"/>
    </row>
    <row r="4838" spans="2:7" x14ac:dyDescent="0.25">
      <c r="B4838" s="37"/>
      <c r="C4838" s="37"/>
      <c r="D4838" s="37"/>
      <c r="E4838" s="37"/>
      <c r="F4838" s="37"/>
      <c r="G4838" s="70"/>
    </row>
    <row r="4839" spans="2:7" x14ac:dyDescent="0.25">
      <c r="B4839" s="37"/>
      <c r="C4839" s="37"/>
      <c r="D4839" s="37"/>
      <c r="E4839" s="37"/>
      <c r="F4839" s="37"/>
      <c r="G4839" s="70"/>
    </row>
    <row r="4840" spans="2:7" x14ac:dyDescent="0.25">
      <c r="B4840" s="37"/>
      <c r="C4840" s="37"/>
      <c r="D4840" s="37"/>
      <c r="E4840" s="37"/>
      <c r="F4840" s="37"/>
      <c r="G4840" s="70"/>
    </row>
    <row r="4841" spans="2:7" x14ac:dyDescent="0.25">
      <c r="B4841" s="37"/>
      <c r="C4841" s="37"/>
      <c r="D4841" s="37"/>
      <c r="E4841" s="37"/>
      <c r="F4841" s="37"/>
      <c r="G4841" s="70"/>
    </row>
    <row r="4842" spans="2:7" x14ac:dyDescent="0.25">
      <c r="B4842" s="37"/>
      <c r="C4842" s="37"/>
      <c r="D4842" s="37"/>
      <c r="E4842" s="37"/>
      <c r="F4842" s="37"/>
      <c r="G4842" s="70"/>
    </row>
    <row r="4843" spans="2:7" x14ac:dyDescent="0.25">
      <c r="B4843" s="37"/>
      <c r="C4843" s="37"/>
      <c r="D4843" s="37"/>
      <c r="E4843" s="37"/>
      <c r="F4843" s="37"/>
      <c r="G4843" s="70"/>
    </row>
    <row r="4844" spans="2:7" x14ac:dyDescent="0.25">
      <c r="B4844" s="37"/>
      <c r="C4844" s="37"/>
      <c r="D4844" s="37"/>
      <c r="E4844" s="37"/>
      <c r="F4844" s="37"/>
      <c r="G4844" s="70"/>
    </row>
    <row r="4845" spans="2:7" x14ac:dyDescent="0.25">
      <c r="B4845" s="37"/>
      <c r="C4845" s="37"/>
      <c r="D4845" s="37"/>
      <c r="E4845" s="37"/>
      <c r="F4845" s="37"/>
      <c r="G4845" s="70"/>
    </row>
    <row r="4846" spans="2:7" x14ac:dyDescent="0.25">
      <c r="B4846" s="37"/>
      <c r="C4846" s="37"/>
      <c r="D4846" s="37"/>
      <c r="E4846" s="37"/>
      <c r="F4846" s="37"/>
      <c r="G4846" s="70"/>
    </row>
    <row r="4847" spans="2:7" x14ac:dyDescent="0.25">
      <c r="B4847" s="37"/>
      <c r="C4847" s="37"/>
      <c r="D4847" s="37"/>
      <c r="E4847" s="37"/>
      <c r="F4847" s="37"/>
      <c r="G4847" s="70"/>
    </row>
    <row r="4848" spans="2:7" x14ac:dyDescent="0.25">
      <c r="B4848" s="37"/>
      <c r="C4848" s="37"/>
      <c r="D4848" s="37"/>
      <c r="E4848" s="37"/>
      <c r="F4848" s="37"/>
      <c r="G4848" s="70"/>
    </row>
    <row r="4849" spans="2:7" x14ac:dyDescent="0.25">
      <c r="B4849" s="37"/>
      <c r="C4849" s="37"/>
      <c r="D4849" s="37"/>
      <c r="E4849" s="37"/>
      <c r="F4849" s="37"/>
      <c r="G4849" s="70"/>
    </row>
    <row r="4850" spans="2:7" x14ac:dyDescent="0.25">
      <c r="B4850" s="37"/>
      <c r="C4850" s="37"/>
      <c r="D4850" s="37"/>
      <c r="E4850" s="37"/>
      <c r="F4850" s="37"/>
      <c r="G4850" s="70"/>
    </row>
    <row r="4851" spans="2:7" x14ac:dyDescent="0.25">
      <c r="B4851" s="37"/>
      <c r="C4851" s="37"/>
      <c r="D4851" s="37"/>
      <c r="E4851" s="37"/>
      <c r="F4851" s="37"/>
      <c r="G4851" s="70"/>
    </row>
    <row r="4852" spans="2:7" x14ac:dyDescent="0.25">
      <c r="B4852" s="37"/>
      <c r="C4852" s="37"/>
      <c r="D4852" s="37"/>
      <c r="E4852" s="37"/>
      <c r="F4852" s="37"/>
      <c r="G4852" s="70"/>
    </row>
    <row r="4853" spans="2:7" x14ac:dyDescent="0.25">
      <c r="B4853" s="37"/>
      <c r="C4853" s="37"/>
      <c r="D4853" s="37"/>
      <c r="E4853" s="37"/>
      <c r="F4853" s="37"/>
      <c r="G4853" s="70"/>
    </row>
    <row r="4854" spans="2:7" x14ac:dyDescent="0.25">
      <c r="B4854" s="37"/>
      <c r="C4854" s="37"/>
      <c r="D4854" s="37"/>
      <c r="E4854" s="37"/>
      <c r="F4854" s="37"/>
      <c r="G4854" s="70"/>
    </row>
    <row r="4855" spans="2:7" x14ac:dyDescent="0.25">
      <c r="B4855" s="37"/>
      <c r="C4855" s="37"/>
      <c r="D4855" s="37"/>
      <c r="E4855" s="37"/>
      <c r="F4855" s="37"/>
      <c r="G4855" s="70"/>
    </row>
    <row r="4856" spans="2:7" x14ac:dyDescent="0.25">
      <c r="B4856" s="37"/>
      <c r="C4856" s="37"/>
      <c r="D4856" s="37"/>
      <c r="E4856" s="37"/>
      <c r="F4856" s="37"/>
      <c r="G4856" s="70"/>
    </row>
    <row r="4857" spans="2:7" x14ac:dyDescent="0.25">
      <c r="B4857" s="37"/>
      <c r="C4857" s="37"/>
      <c r="D4857" s="37"/>
      <c r="E4857" s="37"/>
      <c r="F4857" s="37"/>
      <c r="G4857" s="70"/>
    </row>
    <row r="4858" spans="2:7" x14ac:dyDescent="0.25">
      <c r="B4858" s="37"/>
      <c r="C4858" s="37"/>
      <c r="D4858" s="37"/>
      <c r="E4858" s="37"/>
      <c r="F4858" s="37"/>
      <c r="G4858" s="70"/>
    </row>
    <row r="4859" spans="2:7" x14ac:dyDescent="0.25">
      <c r="B4859" s="37"/>
      <c r="C4859" s="37"/>
      <c r="D4859" s="37"/>
      <c r="E4859" s="37"/>
      <c r="F4859" s="37"/>
      <c r="G4859" s="70"/>
    </row>
    <row r="4860" spans="2:7" x14ac:dyDescent="0.25">
      <c r="B4860" s="37"/>
      <c r="C4860" s="37"/>
      <c r="D4860" s="37"/>
      <c r="E4860" s="37"/>
      <c r="F4860" s="37"/>
      <c r="G4860" s="70"/>
    </row>
    <row r="4861" spans="2:7" x14ac:dyDescent="0.25">
      <c r="B4861" s="37"/>
      <c r="C4861" s="37"/>
      <c r="D4861" s="37"/>
      <c r="E4861" s="37"/>
      <c r="F4861" s="37"/>
      <c r="G4861" s="70"/>
    </row>
    <row r="4862" spans="2:7" x14ac:dyDescent="0.25">
      <c r="B4862" s="37"/>
      <c r="C4862" s="37"/>
      <c r="D4862" s="37"/>
      <c r="E4862" s="37"/>
      <c r="F4862" s="37"/>
      <c r="G4862" s="70"/>
    </row>
    <row r="4863" spans="2:7" x14ac:dyDescent="0.25">
      <c r="B4863" s="37"/>
      <c r="C4863" s="37"/>
      <c r="D4863" s="37"/>
      <c r="E4863" s="37"/>
      <c r="F4863" s="37"/>
      <c r="G4863" s="70"/>
    </row>
    <row r="4864" spans="2:7" x14ac:dyDescent="0.25">
      <c r="B4864" s="37"/>
      <c r="C4864" s="37"/>
      <c r="D4864" s="37"/>
      <c r="E4864" s="37"/>
      <c r="F4864" s="37"/>
      <c r="G4864" s="70"/>
    </row>
    <row r="4865" spans="2:7" x14ac:dyDescent="0.25">
      <c r="B4865" s="37"/>
      <c r="C4865" s="37"/>
      <c r="D4865" s="37"/>
      <c r="E4865" s="37"/>
      <c r="F4865" s="37"/>
      <c r="G4865" s="70"/>
    </row>
    <row r="4866" spans="2:7" x14ac:dyDescent="0.25">
      <c r="B4866" s="37"/>
      <c r="C4866" s="37"/>
      <c r="D4866" s="37"/>
      <c r="E4866" s="37"/>
      <c r="F4866" s="37"/>
      <c r="G4866" s="70"/>
    </row>
    <row r="4867" spans="2:7" x14ac:dyDescent="0.25">
      <c r="B4867" s="37"/>
      <c r="C4867" s="37"/>
      <c r="D4867" s="37"/>
      <c r="E4867" s="37"/>
      <c r="F4867" s="37"/>
      <c r="G4867" s="70"/>
    </row>
    <row r="4868" spans="2:7" x14ac:dyDescent="0.25">
      <c r="B4868" s="37"/>
      <c r="C4868" s="37"/>
      <c r="D4868" s="37"/>
      <c r="E4868" s="37"/>
      <c r="F4868" s="37"/>
      <c r="G4868" s="70"/>
    </row>
    <row r="4869" spans="2:7" x14ac:dyDescent="0.25">
      <c r="B4869" s="37"/>
      <c r="C4869" s="37"/>
      <c r="D4869" s="37"/>
      <c r="E4869" s="37"/>
      <c r="F4869" s="37"/>
      <c r="G4869" s="70"/>
    </row>
    <row r="4870" spans="2:7" x14ac:dyDescent="0.25">
      <c r="B4870" s="37"/>
      <c r="C4870" s="37"/>
      <c r="D4870" s="37"/>
      <c r="E4870" s="37"/>
      <c r="F4870" s="37"/>
      <c r="G4870" s="70"/>
    </row>
    <row r="4871" spans="2:7" x14ac:dyDescent="0.25">
      <c r="B4871" s="37"/>
      <c r="C4871" s="37"/>
      <c r="D4871" s="37"/>
      <c r="E4871" s="37"/>
      <c r="F4871" s="37"/>
      <c r="G4871" s="70"/>
    </row>
    <row r="4872" spans="2:7" x14ac:dyDescent="0.25">
      <c r="B4872" s="37"/>
      <c r="C4872" s="37"/>
      <c r="D4872" s="37"/>
      <c r="E4872" s="37"/>
      <c r="F4872" s="37"/>
      <c r="G4872" s="70"/>
    </row>
    <row r="4873" spans="2:7" x14ac:dyDescent="0.25">
      <c r="B4873" s="37"/>
      <c r="C4873" s="37"/>
      <c r="D4873" s="37"/>
      <c r="E4873" s="37"/>
      <c r="F4873" s="37"/>
      <c r="G4873" s="70"/>
    </row>
    <row r="4874" spans="2:7" x14ac:dyDescent="0.25">
      <c r="B4874" s="37"/>
      <c r="C4874" s="37"/>
      <c r="D4874" s="37"/>
      <c r="E4874" s="37"/>
      <c r="F4874" s="37"/>
      <c r="G4874" s="70"/>
    </row>
    <row r="4875" spans="2:7" x14ac:dyDescent="0.25">
      <c r="B4875" s="37"/>
      <c r="C4875" s="37"/>
      <c r="D4875" s="37"/>
      <c r="E4875" s="37"/>
      <c r="F4875" s="37"/>
      <c r="G4875" s="70"/>
    </row>
    <row r="4876" spans="2:7" x14ac:dyDescent="0.25">
      <c r="B4876" s="37"/>
      <c r="C4876" s="37"/>
      <c r="D4876" s="37"/>
      <c r="E4876" s="37"/>
      <c r="F4876" s="37"/>
      <c r="G4876" s="70"/>
    </row>
    <row r="4877" spans="2:7" x14ac:dyDescent="0.25">
      <c r="B4877" s="37"/>
      <c r="C4877" s="37"/>
      <c r="D4877" s="37"/>
      <c r="E4877" s="37"/>
      <c r="F4877" s="37"/>
      <c r="G4877" s="70"/>
    </row>
    <row r="4878" spans="2:7" x14ac:dyDescent="0.25">
      <c r="B4878" s="37"/>
      <c r="C4878" s="37"/>
      <c r="D4878" s="37"/>
      <c r="E4878" s="37"/>
      <c r="F4878" s="37"/>
      <c r="G4878" s="70"/>
    </row>
    <row r="4879" spans="2:7" x14ac:dyDescent="0.25">
      <c r="B4879" s="37"/>
      <c r="C4879" s="37"/>
      <c r="D4879" s="37"/>
      <c r="E4879" s="37"/>
      <c r="F4879" s="37"/>
      <c r="G4879" s="70"/>
    </row>
    <row r="4880" spans="2:7" x14ac:dyDescent="0.25">
      <c r="B4880" s="37"/>
      <c r="C4880" s="37"/>
      <c r="D4880" s="37"/>
      <c r="E4880" s="37"/>
      <c r="F4880" s="37"/>
      <c r="G4880" s="70"/>
    </row>
    <row r="4881" spans="2:7" x14ac:dyDescent="0.25">
      <c r="B4881" s="37"/>
      <c r="C4881" s="37"/>
      <c r="D4881" s="37"/>
      <c r="E4881" s="37"/>
      <c r="F4881" s="37"/>
      <c r="G4881" s="70"/>
    </row>
    <row r="4882" spans="2:7" x14ac:dyDescent="0.25">
      <c r="B4882" s="37"/>
      <c r="C4882" s="37"/>
      <c r="D4882" s="37"/>
      <c r="E4882" s="37"/>
      <c r="F4882" s="37"/>
      <c r="G4882" s="70"/>
    </row>
    <row r="4883" spans="2:7" x14ac:dyDescent="0.25">
      <c r="B4883" s="37"/>
      <c r="C4883" s="37"/>
      <c r="D4883" s="37"/>
      <c r="E4883" s="37"/>
      <c r="F4883" s="37"/>
      <c r="G4883" s="70"/>
    </row>
    <row r="4884" spans="2:7" x14ac:dyDescent="0.25">
      <c r="B4884" s="37"/>
      <c r="C4884" s="37"/>
      <c r="D4884" s="37"/>
      <c r="E4884" s="37"/>
      <c r="F4884" s="37"/>
      <c r="G4884" s="70"/>
    </row>
    <row r="4885" spans="2:7" x14ac:dyDescent="0.25">
      <c r="B4885" s="37"/>
      <c r="C4885" s="37"/>
      <c r="D4885" s="37"/>
      <c r="E4885" s="37"/>
      <c r="F4885" s="37"/>
      <c r="G4885" s="70"/>
    </row>
    <row r="4886" spans="2:7" x14ac:dyDescent="0.25">
      <c r="B4886" s="37"/>
      <c r="C4886" s="37"/>
      <c r="D4886" s="37"/>
      <c r="E4886" s="37"/>
      <c r="F4886" s="37"/>
      <c r="G4886" s="70"/>
    </row>
    <row r="4887" spans="2:7" x14ac:dyDescent="0.25">
      <c r="B4887" s="37"/>
      <c r="C4887" s="37"/>
      <c r="D4887" s="37"/>
      <c r="E4887" s="37"/>
      <c r="F4887" s="37"/>
      <c r="G4887" s="70"/>
    </row>
    <row r="4888" spans="2:7" x14ac:dyDescent="0.25">
      <c r="B4888" s="37"/>
      <c r="C4888" s="37"/>
      <c r="D4888" s="37"/>
      <c r="E4888" s="37"/>
      <c r="F4888" s="37"/>
      <c r="G4888" s="70"/>
    </row>
    <row r="4889" spans="2:7" x14ac:dyDescent="0.25">
      <c r="B4889" s="37"/>
      <c r="C4889" s="37"/>
      <c r="D4889" s="37"/>
      <c r="E4889" s="37"/>
      <c r="F4889" s="37"/>
      <c r="G4889" s="70"/>
    </row>
    <row r="4890" spans="2:7" x14ac:dyDescent="0.25">
      <c r="B4890" s="37"/>
      <c r="C4890" s="37"/>
      <c r="D4890" s="37"/>
      <c r="E4890" s="37"/>
      <c r="F4890" s="37"/>
      <c r="G4890" s="70"/>
    </row>
    <row r="4891" spans="2:7" x14ac:dyDescent="0.25">
      <c r="B4891" s="37"/>
      <c r="C4891" s="37"/>
      <c r="D4891" s="37"/>
      <c r="E4891" s="37"/>
      <c r="F4891" s="37"/>
      <c r="G4891" s="70"/>
    </row>
    <row r="4892" spans="2:7" x14ac:dyDescent="0.25">
      <c r="B4892" s="37"/>
      <c r="C4892" s="37"/>
      <c r="D4892" s="37"/>
      <c r="E4892" s="37"/>
      <c r="F4892" s="37"/>
      <c r="G4892" s="70"/>
    </row>
    <row r="4893" spans="2:7" x14ac:dyDescent="0.25">
      <c r="B4893" s="37"/>
      <c r="C4893" s="37"/>
      <c r="D4893" s="37"/>
      <c r="E4893" s="37"/>
      <c r="F4893" s="37"/>
      <c r="G4893" s="70"/>
    </row>
    <row r="4894" spans="2:7" x14ac:dyDescent="0.25">
      <c r="B4894" s="37"/>
      <c r="C4894" s="37"/>
      <c r="D4894" s="37"/>
      <c r="E4894" s="37"/>
      <c r="F4894" s="37"/>
      <c r="G4894" s="70"/>
    </row>
    <row r="4895" spans="2:7" x14ac:dyDescent="0.25">
      <c r="B4895" s="37"/>
      <c r="C4895" s="37"/>
      <c r="D4895" s="37"/>
      <c r="E4895" s="37"/>
      <c r="F4895" s="37"/>
      <c r="G4895" s="70"/>
    </row>
    <row r="4896" spans="2:7" x14ac:dyDescent="0.25">
      <c r="B4896" s="37"/>
      <c r="C4896" s="37"/>
      <c r="D4896" s="37"/>
      <c r="E4896" s="37"/>
      <c r="F4896" s="37"/>
      <c r="G4896" s="70"/>
    </row>
    <row r="4897" spans="2:7" x14ac:dyDescent="0.25">
      <c r="B4897" s="37"/>
      <c r="C4897" s="37"/>
      <c r="D4897" s="37"/>
      <c r="E4897" s="37"/>
      <c r="F4897" s="37"/>
      <c r="G4897" s="70"/>
    </row>
    <row r="4898" spans="2:7" x14ac:dyDescent="0.25">
      <c r="B4898" s="37"/>
      <c r="C4898" s="37"/>
      <c r="D4898" s="37"/>
      <c r="E4898" s="37"/>
      <c r="F4898" s="37"/>
      <c r="G4898" s="70"/>
    </row>
    <row r="4899" spans="2:7" x14ac:dyDescent="0.25">
      <c r="B4899" s="37"/>
      <c r="C4899" s="37"/>
      <c r="D4899" s="37"/>
      <c r="E4899" s="37"/>
      <c r="F4899" s="37"/>
      <c r="G4899" s="70"/>
    </row>
    <row r="4900" spans="2:7" x14ac:dyDescent="0.25">
      <c r="B4900" s="37"/>
      <c r="C4900" s="37"/>
      <c r="D4900" s="37"/>
      <c r="E4900" s="37"/>
      <c r="F4900" s="37"/>
      <c r="G4900" s="70"/>
    </row>
    <row r="4901" spans="2:7" x14ac:dyDescent="0.25">
      <c r="B4901" s="37"/>
      <c r="C4901" s="37"/>
      <c r="D4901" s="37"/>
      <c r="E4901" s="37"/>
      <c r="F4901" s="37"/>
      <c r="G4901" s="70"/>
    </row>
    <row r="4902" spans="2:7" x14ac:dyDescent="0.25">
      <c r="B4902" s="37"/>
      <c r="C4902" s="37"/>
      <c r="D4902" s="37"/>
      <c r="E4902" s="37"/>
      <c r="F4902" s="37"/>
      <c r="G4902" s="70"/>
    </row>
    <row r="4903" spans="2:7" x14ac:dyDescent="0.25">
      <c r="B4903" s="37"/>
      <c r="C4903" s="37"/>
      <c r="D4903" s="37"/>
      <c r="E4903" s="37"/>
      <c r="F4903" s="37"/>
      <c r="G4903" s="70"/>
    </row>
    <row r="4904" spans="2:7" x14ac:dyDescent="0.25">
      <c r="B4904" s="37"/>
      <c r="C4904" s="37"/>
      <c r="D4904" s="37"/>
      <c r="E4904" s="37"/>
      <c r="F4904" s="37"/>
      <c r="G4904" s="70"/>
    </row>
    <row r="4905" spans="2:7" x14ac:dyDescent="0.25">
      <c r="B4905" s="37"/>
      <c r="C4905" s="37"/>
      <c r="D4905" s="37"/>
      <c r="E4905" s="37"/>
      <c r="F4905" s="37"/>
      <c r="G4905" s="70"/>
    </row>
    <row r="4906" spans="2:7" x14ac:dyDescent="0.25">
      <c r="B4906" s="37"/>
      <c r="C4906" s="37"/>
      <c r="D4906" s="37"/>
      <c r="E4906" s="37"/>
      <c r="F4906" s="37"/>
      <c r="G4906" s="70"/>
    </row>
    <row r="4907" spans="2:7" x14ac:dyDescent="0.25">
      <c r="B4907" s="37"/>
      <c r="C4907" s="37"/>
      <c r="D4907" s="37"/>
      <c r="E4907" s="37"/>
      <c r="F4907" s="37"/>
      <c r="G4907" s="70"/>
    </row>
    <row r="4908" spans="2:7" x14ac:dyDescent="0.25">
      <c r="B4908" s="37"/>
      <c r="C4908" s="37"/>
      <c r="D4908" s="37"/>
      <c r="E4908" s="37"/>
      <c r="F4908" s="37"/>
      <c r="G4908" s="70"/>
    </row>
    <row r="4909" spans="2:7" x14ac:dyDescent="0.25">
      <c r="B4909" s="37"/>
      <c r="C4909" s="37"/>
      <c r="D4909" s="37"/>
      <c r="E4909" s="37"/>
      <c r="F4909" s="37"/>
      <c r="G4909" s="70"/>
    </row>
    <row r="4910" spans="2:7" x14ac:dyDescent="0.25">
      <c r="B4910" s="37"/>
      <c r="C4910" s="37"/>
      <c r="D4910" s="37"/>
      <c r="E4910" s="37"/>
      <c r="F4910" s="37"/>
      <c r="G4910" s="70"/>
    </row>
    <row r="4911" spans="2:7" x14ac:dyDescent="0.25">
      <c r="B4911" s="37"/>
      <c r="C4911" s="37"/>
      <c r="D4911" s="37"/>
      <c r="E4911" s="37"/>
      <c r="F4911" s="37"/>
      <c r="G4911" s="70"/>
    </row>
    <row r="4912" spans="2:7" x14ac:dyDescent="0.25">
      <c r="B4912" s="37"/>
      <c r="C4912" s="37"/>
      <c r="D4912" s="37"/>
      <c r="E4912" s="37"/>
      <c r="F4912" s="37"/>
      <c r="G4912" s="70"/>
    </row>
    <row r="4913" spans="2:7" x14ac:dyDescent="0.25">
      <c r="B4913" s="37"/>
      <c r="C4913" s="37"/>
      <c r="D4913" s="37"/>
      <c r="E4913" s="37"/>
      <c r="F4913" s="37"/>
      <c r="G4913" s="70"/>
    </row>
    <row r="4914" spans="2:7" x14ac:dyDescent="0.25">
      <c r="B4914" s="37"/>
      <c r="C4914" s="37"/>
      <c r="D4914" s="37"/>
      <c r="E4914" s="37"/>
      <c r="F4914" s="37"/>
      <c r="G4914" s="70"/>
    </row>
    <row r="4915" spans="2:7" x14ac:dyDescent="0.25">
      <c r="B4915" s="37"/>
      <c r="C4915" s="37"/>
      <c r="D4915" s="37"/>
      <c r="E4915" s="37"/>
      <c r="F4915" s="37"/>
      <c r="G4915" s="70"/>
    </row>
    <row r="4916" spans="2:7" x14ac:dyDescent="0.25">
      <c r="B4916" s="37"/>
      <c r="C4916" s="37"/>
      <c r="D4916" s="37"/>
      <c r="E4916" s="37"/>
      <c r="F4916" s="37"/>
      <c r="G4916" s="70"/>
    </row>
    <row r="4917" spans="2:7" x14ac:dyDescent="0.25">
      <c r="B4917" s="37"/>
      <c r="C4917" s="37"/>
      <c r="D4917" s="37"/>
      <c r="E4917" s="37"/>
      <c r="F4917" s="37"/>
      <c r="G4917" s="70"/>
    </row>
    <row r="4918" spans="2:7" x14ac:dyDescent="0.25">
      <c r="B4918" s="37"/>
      <c r="C4918" s="37"/>
      <c r="D4918" s="37"/>
      <c r="E4918" s="37"/>
      <c r="F4918" s="37"/>
      <c r="G4918" s="70"/>
    </row>
    <row r="4919" spans="2:7" x14ac:dyDescent="0.25">
      <c r="B4919" s="37"/>
      <c r="C4919" s="37"/>
      <c r="D4919" s="37"/>
      <c r="E4919" s="37"/>
      <c r="F4919" s="37"/>
      <c r="G4919" s="70"/>
    </row>
    <row r="4920" spans="2:7" x14ac:dyDescent="0.25">
      <c r="B4920" s="37"/>
      <c r="C4920" s="37"/>
      <c r="D4920" s="37"/>
      <c r="E4920" s="37"/>
      <c r="F4920" s="37"/>
      <c r="G4920" s="70"/>
    </row>
    <row r="4921" spans="2:7" x14ac:dyDescent="0.25">
      <c r="B4921" s="37"/>
      <c r="C4921" s="37"/>
      <c r="D4921" s="37"/>
      <c r="E4921" s="37"/>
      <c r="F4921" s="37"/>
      <c r="G4921" s="70"/>
    </row>
    <row r="4922" spans="2:7" x14ac:dyDescent="0.25">
      <c r="B4922" s="37"/>
      <c r="C4922" s="37"/>
      <c r="D4922" s="37"/>
      <c r="E4922" s="37"/>
      <c r="F4922" s="37"/>
      <c r="G4922" s="70"/>
    </row>
    <row r="4923" spans="2:7" x14ac:dyDescent="0.25">
      <c r="B4923" s="37"/>
      <c r="C4923" s="37"/>
      <c r="D4923" s="37"/>
      <c r="E4923" s="37"/>
      <c r="F4923" s="37"/>
      <c r="G4923" s="70"/>
    </row>
    <row r="4924" spans="2:7" x14ac:dyDescent="0.25">
      <c r="B4924" s="37"/>
      <c r="C4924" s="37"/>
      <c r="D4924" s="37"/>
      <c r="E4924" s="37"/>
      <c r="F4924" s="37"/>
      <c r="G4924" s="70"/>
    </row>
    <row r="4925" spans="2:7" x14ac:dyDescent="0.25">
      <c r="B4925" s="37"/>
      <c r="C4925" s="37"/>
      <c r="D4925" s="37"/>
      <c r="E4925" s="37"/>
      <c r="F4925" s="37"/>
      <c r="G4925" s="70"/>
    </row>
    <row r="4926" spans="2:7" x14ac:dyDescent="0.25">
      <c r="B4926" s="37"/>
      <c r="C4926" s="37"/>
      <c r="D4926" s="37"/>
      <c r="E4926" s="37"/>
      <c r="F4926" s="37"/>
      <c r="G4926" s="70"/>
    </row>
    <row r="4927" spans="2:7" x14ac:dyDescent="0.25">
      <c r="B4927" s="37"/>
      <c r="C4927" s="37"/>
      <c r="D4927" s="37"/>
      <c r="E4927" s="37"/>
      <c r="F4927" s="37"/>
      <c r="G4927" s="70"/>
    </row>
    <row r="4928" spans="2:7" x14ac:dyDescent="0.25">
      <c r="B4928" s="37"/>
      <c r="C4928" s="37"/>
      <c r="D4928" s="37"/>
      <c r="E4928" s="37"/>
      <c r="F4928" s="37"/>
      <c r="G4928" s="70"/>
    </row>
    <row r="4929" spans="2:7" x14ac:dyDescent="0.25">
      <c r="B4929" s="37"/>
      <c r="C4929" s="37"/>
      <c r="D4929" s="37"/>
      <c r="E4929" s="37"/>
      <c r="F4929" s="37"/>
      <c r="G4929" s="70"/>
    </row>
    <row r="4930" spans="2:7" x14ac:dyDescent="0.25">
      <c r="B4930" s="37"/>
      <c r="C4930" s="37"/>
      <c r="D4930" s="37"/>
      <c r="E4930" s="37"/>
      <c r="F4930" s="37"/>
      <c r="G4930" s="70"/>
    </row>
    <row r="4931" spans="2:7" x14ac:dyDescent="0.25">
      <c r="B4931" s="37"/>
      <c r="C4931" s="37"/>
      <c r="D4931" s="37"/>
      <c r="E4931" s="37"/>
      <c r="F4931" s="37"/>
      <c r="G4931" s="70"/>
    </row>
    <row r="4932" spans="2:7" x14ac:dyDescent="0.25">
      <c r="B4932" s="37"/>
      <c r="C4932" s="37"/>
      <c r="D4932" s="37"/>
      <c r="E4932" s="37"/>
      <c r="F4932" s="37"/>
      <c r="G4932" s="70"/>
    </row>
    <row r="4933" spans="2:7" x14ac:dyDescent="0.25">
      <c r="B4933" s="37"/>
      <c r="C4933" s="37"/>
      <c r="D4933" s="37"/>
      <c r="E4933" s="37"/>
      <c r="F4933" s="37"/>
      <c r="G4933" s="70"/>
    </row>
    <row r="4934" spans="2:7" x14ac:dyDescent="0.25">
      <c r="B4934" s="37"/>
      <c r="C4934" s="37"/>
      <c r="D4934" s="37"/>
      <c r="E4934" s="37"/>
      <c r="F4934" s="37"/>
      <c r="G4934" s="70"/>
    </row>
    <row r="4935" spans="2:7" x14ac:dyDescent="0.25">
      <c r="B4935" s="37"/>
      <c r="C4935" s="37"/>
      <c r="D4935" s="37"/>
      <c r="E4935" s="37"/>
      <c r="F4935" s="37"/>
      <c r="G4935" s="70"/>
    </row>
    <row r="4936" spans="2:7" x14ac:dyDescent="0.25">
      <c r="B4936" s="37"/>
      <c r="C4936" s="37"/>
      <c r="D4936" s="37"/>
      <c r="E4936" s="37"/>
      <c r="F4936" s="37"/>
      <c r="G4936" s="70"/>
    </row>
    <row r="4937" spans="2:7" x14ac:dyDescent="0.25">
      <c r="B4937" s="37"/>
      <c r="C4937" s="37"/>
      <c r="D4937" s="37"/>
      <c r="E4937" s="37"/>
      <c r="F4937" s="37"/>
      <c r="G4937" s="70"/>
    </row>
    <row r="4938" spans="2:7" x14ac:dyDescent="0.25">
      <c r="B4938" s="37"/>
      <c r="C4938" s="37"/>
      <c r="D4938" s="37"/>
      <c r="E4938" s="37"/>
      <c r="F4938" s="37"/>
      <c r="G4938" s="70"/>
    </row>
    <row r="4939" spans="2:7" x14ac:dyDescent="0.25">
      <c r="B4939" s="37"/>
      <c r="C4939" s="37"/>
      <c r="D4939" s="37"/>
      <c r="E4939" s="37"/>
      <c r="F4939" s="37"/>
      <c r="G4939" s="70"/>
    </row>
    <row r="4940" spans="2:7" x14ac:dyDescent="0.25">
      <c r="B4940" s="37"/>
      <c r="C4940" s="37"/>
      <c r="D4940" s="37"/>
      <c r="E4940" s="37"/>
      <c r="F4940" s="37"/>
      <c r="G4940" s="70"/>
    </row>
    <row r="4941" spans="2:7" x14ac:dyDescent="0.25">
      <c r="B4941" s="37"/>
      <c r="C4941" s="37"/>
      <c r="D4941" s="37"/>
      <c r="E4941" s="37"/>
      <c r="F4941" s="37"/>
      <c r="G4941" s="70"/>
    </row>
    <row r="4942" spans="2:7" x14ac:dyDescent="0.25">
      <c r="B4942" s="37"/>
      <c r="C4942" s="37"/>
      <c r="D4942" s="37"/>
      <c r="E4942" s="37"/>
      <c r="F4942" s="37"/>
      <c r="G4942" s="70"/>
    </row>
    <row r="4943" spans="2:7" x14ac:dyDescent="0.25">
      <c r="B4943" s="37"/>
      <c r="C4943" s="37"/>
      <c r="D4943" s="37"/>
      <c r="E4943" s="37"/>
      <c r="F4943" s="37"/>
      <c r="G4943" s="70"/>
    </row>
    <row r="4944" spans="2:7" x14ac:dyDescent="0.25">
      <c r="B4944" s="37"/>
      <c r="C4944" s="37"/>
      <c r="D4944" s="37"/>
      <c r="E4944" s="37"/>
      <c r="F4944" s="37"/>
      <c r="G4944" s="70"/>
    </row>
    <row r="4945" spans="2:7" x14ac:dyDescent="0.25">
      <c r="B4945" s="37"/>
      <c r="C4945" s="37"/>
      <c r="D4945" s="37"/>
      <c r="E4945" s="37"/>
      <c r="F4945" s="37"/>
      <c r="G4945" s="70"/>
    </row>
    <row r="4946" spans="2:7" x14ac:dyDescent="0.25">
      <c r="B4946" s="37"/>
      <c r="C4946" s="37"/>
      <c r="D4946" s="37"/>
      <c r="E4946" s="37"/>
      <c r="F4946" s="37"/>
      <c r="G4946" s="70"/>
    </row>
    <row r="4947" spans="2:7" x14ac:dyDescent="0.25">
      <c r="B4947" s="37"/>
      <c r="C4947" s="37"/>
      <c r="D4947" s="37"/>
      <c r="E4947" s="37"/>
      <c r="F4947" s="37"/>
      <c r="G4947" s="70"/>
    </row>
    <row r="4948" spans="2:7" x14ac:dyDescent="0.25">
      <c r="B4948" s="37"/>
      <c r="C4948" s="37"/>
      <c r="D4948" s="37"/>
      <c r="E4948" s="37"/>
      <c r="F4948" s="37"/>
      <c r="G4948" s="70"/>
    </row>
    <row r="4949" spans="2:7" x14ac:dyDescent="0.25">
      <c r="B4949" s="37"/>
      <c r="C4949" s="37"/>
      <c r="D4949" s="37"/>
      <c r="E4949" s="37"/>
      <c r="F4949" s="37"/>
      <c r="G4949" s="70"/>
    </row>
    <row r="4950" spans="2:7" x14ac:dyDescent="0.25">
      <c r="B4950" s="37"/>
      <c r="C4950" s="37"/>
      <c r="D4950" s="37"/>
      <c r="E4950" s="37"/>
      <c r="F4950" s="37"/>
      <c r="G4950" s="70"/>
    </row>
    <row r="4951" spans="2:7" x14ac:dyDescent="0.25">
      <c r="B4951" s="37"/>
      <c r="C4951" s="37"/>
      <c r="D4951" s="37"/>
      <c r="E4951" s="37"/>
      <c r="F4951" s="37"/>
      <c r="G4951" s="70"/>
    </row>
    <row r="4952" spans="2:7" x14ac:dyDescent="0.25">
      <c r="B4952" s="37"/>
      <c r="C4952" s="37"/>
      <c r="D4952" s="37"/>
      <c r="E4952" s="37"/>
      <c r="F4952" s="37"/>
      <c r="G4952" s="70"/>
    </row>
    <row r="4953" spans="2:7" x14ac:dyDescent="0.25">
      <c r="B4953" s="37"/>
      <c r="C4953" s="37"/>
      <c r="D4953" s="37"/>
      <c r="E4953" s="37"/>
      <c r="F4953" s="37"/>
      <c r="G4953" s="70"/>
    </row>
    <row r="4954" spans="2:7" x14ac:dyDescent="0.25">
      <c r="B4954" s="37"/>
      <c r="C4954" s="37"/>
      <c r="D4954" s="37"/>
      <c r="E4954" s="37"/>
      <c r="F4954" s="37"/>
      <c r="G4954" s="70"/>
    </row>
    <row r="4955" spans="2:7" x14ac:dyDescent="0.25">
      <c r="B4955" s="37"/>
      <c r="C4955" s="37"/>
      <c r="D4955" s="37"/>
      <c r="E4955" s="37"/>
      <c r="F4955" s="37"/>
      <c r="G4955" s="70"/>
    </row>
    <row r="4956" spans="2:7" x14ac:dyDescent="0.25">
      <c r="B4956" s="37"/>
      <c r="C4956" s="37"/>
      <c r="D4956" s="37"/>
      <c r="E4956" s="37"/>
      <c r="F4956" s="37"/>
      <c r="G4956" s="70"/>
    </row>
    <row r="4957" spans="2:7" x14ac:dyDescent="0.25">
      <c r="B4957" s="37"/>
      <c r="C4957" s="37"/>
      <c r="D4957" s="37"/>
      <c r="E4957" s="37"/>
      <c r="F4957" s="37"/>
      <c r="G4957" s="70"/>
    </row>
    <row r="4958" spans="2:7" x14ac:dyDescent="0.25">
      <c r="B4958" s="37"/>
      <c r="C4958" s="37"/>
      <c r="D4958" s="37"/>
      <c r="E4958" s="37"/>
      <c r="F4958" s="37"/>
      <c r="G4958" s="70"/>
    </row>
    <row r="4959" spans="2:7" x14ac:dyDescent="0.25">
      <c r="B4959" s="37"/>
      <c r="C4959" s="37"/>
      <c r="D4959" s="37"/>
      <c r="E4959" s="37"/>
      <c r="F4959" s="37"/>
      <c r="G4959" s="70"/>
    </row>
    <row r="4960" spans="2:7" x14ac:dyDescent="0.25">
      <c r="B4960" s="37"/>
      <c r="C4960" s="37"/>
      <c r="D4960" s="37"/>
      <c r="E4960" s="37"/>
      <c r="F4960" s="37"/>
      <c r="G4960" s="70"/>
    </row>
    <row r="4961" spans="2:7" x14ac:dyDescent="0.25">
      <c r="B4961" s="37"/>
      <c r="C4961" s="37"/>
      <c r="D4961" s="37"/>
      <c r="E4961" s="37"/>
      <c r="F4961" s="37"/>
      <c r="G4961" s="70"/>
    </row>
    <row r="4962" spans="2:7" x14ac:dyDescent="0.25">
      <c r="B4962" s="37"/>
      <c r="C4962" s="37"/>
      <c r="D4962" s="37"/>
      <c r="E4962" s="37"/>
      <c r="F4962" s="37"/>
      <c r="G4962" s="70"/>
    </row>
    <row r="4963" spans="2:7" x14ac:dyDescent="0.25">
      <c r="B4963" s="37"/>
      <c r="C4963" s="37"/>
      <c r="D4963" s="37"/>
      <c r="E4963" s="37"/>
      <c r="F4963" s="37"/>
      <c r="G4963" s="70"/>
    </row>
    <row r="4964" spans="2:7" x14ac:dyDescent="0.25">
      <c r="B4964" s="37"/>
      <c r="C4964" s="37"/>
      <c r="D4964" s="37"/>
      <c r="E4964" s="37"/>
      <c r="F4964" s="37"/>
      <c r="G4964" s="70"/>
    </row>
    <row r="4965" spans="2:7" x14ac:dyDescent="0.25">
      <c r="B4965" s="37"/>
      <c r="C4965" s="37"/>
      <c r="D4965" s="37"/>
      <c r="E4965" s="37"/>
      <c r="F4965" s="37"/>
      <c r="G4965" s="70"/>
    </row>
    <row r="4966" spans="2:7" x14ac:dyDescent="0.25">
      <c r="B4966" s="37"/>
      <c r="C4966" s="37"/>
      <c r="D4966" s="37"/>
      <c r="E4966" s="37"/>
      <c r="F4966" s="37"/>
      <c r="G4966" s="70"/>
    </row>
    <row r="4967" spans="2:7" x14ac:dyDescent="0.25">
      <c r="B4967" s="37"/>
      <c r="C4967" s="37"/>
      <c r="D4967" s="37"/>
      <c r="E4967" s="37"/>
      <c r="F4967" s="37"/>
      <c r="G4967" s="70"/>
    </row>
    <row r="4968" spans="2:7" x14ac:dyDescent="0.25">
      <c r="B4968" s="37"/>
      <c r="C4968" s="37"/>
      <c r="D4968" s="37"/>
      <c r="E4968" s="37"/>
      <c r="F4968" s="37"/>
      <c r="G4968" s="70"/>
    </row>
    <row r="4969" spans="2:7" x14ac:dyDescent="0.25">
      <c r="B4969" s="37"/>
      <c r="C4969" s="37"/>
      <c r="D4969" s="37"/>
      <c r="E4969" s="37"/>
      <c r="F4969" s="37"/>
      <c r="G4969" s="70"/>
    </row>
    <row r="4970" spans="2:7" x14ac:dyDescent="0.25">
      <c r="B4970" s="37"/>
      <c r="C4970" s="37"/>
      <c r="D4970" s="37"/>
      <c r="E4970" s="37"/>
      <c r="F4970" s="37"/>
      <c r="G4970" s="70"/>
    </row>
    <row r="4971" spans="2:7" x14ac:dyDescent="0.25">
      <c r="B4971" s="37"/>
      <c r="C4971" s="37"/>
      <c r="D4971" s="37"/>
      <c r="E4971" s="37"/>
      <c r="F4971" s="37"/>
      <c r="G4971" s="70"/>
    </row>
    <row r="4972" spans="2:7" x14ac:dyDescent="0.25">
      <c r="B4972" s="37"/>
      <c r="C4972" s="37"/>
      <c r="D4972" s="37"/>
      <c r="E4972" s="37"/>
      <c r="F4972" s="37"/>
      <c r="G4972" s="70"/>
    </row>
    <row r="4973" spans="2:7" x14ac:dyDescent="0.25">
      <c r="B4973" s="37"/>
      <c r="C4973" s="37"/>
      <c r="D4973" s="37"/>
      <c r="E4973" s="37"/>
      <c r="F4973" s="37"/>
      <c r="G4973" s="70"/>
    </row>
    <row r="4974" spans="2:7" x14ac:dyDescent="0.25">
      <c r="B4974" s="37"/>
      <c r="C4974" s="37"/>
      <c r="D4974" s="37"/>
      <c r="E4974" s="37"/>
      <c r="F4974" s="37"/>
      <c r="G4974" s="70"/>
    </row>
    <row r="4975" spans="2:7" x14ac:dyDescent="0.25">
      <c r="B4975" s="37"/>
      <c r="C4975" s="37"/>
      <c r="D4975" s="37"/>
      <c r="E4975" s="37"/>
      <c r="F4975" s="37"/>
      <c r="G4975" s="70"/>
    </row>
    <row r="4976" spans="2:7" x14ac:dyDescent="0.25">
      <c r="B4976" s="37"/>
      <c r="C4976" s="37"/>
      <c r="D4976" s="37"/>
      <c r="E4976" s="37"/>
      <c r="F4976" s="37"/>
      <c r="G4976" s="70"/>
    </row>
    <row r="4977" spans="2:7" x14ac:dyDescent="0.25">
      <c r="B4977" s="37"/>
      <c r="C4977" s="37"/>
      <c r="D4977" s="37"/>
      <c r="E4977" s="37"/>
      <c r="F4977" s="37"/>
      <c r="G4977" s="70"/>
    </row>
    <row r="4978" spans="2:7" x14ac:dyDescent="0.25">
      <c r="B4978" s="37"/>
      <c r="C4978" s="37"/>
      <c r="D4978" s="37"/>
      <c r="E4978" s="37"/>
      <c r="F4978" s="37"/>
      <c r="G4978" s="70"/>
    </row>
    <row r="4979" spans="2:7" x14ac:dyDescent="0.25">
      <c r="B4979" s="37"/>
      <c r="C4979" s="37"/>
      <c r="D4979" s="37"/>
      <c r="E4979" s="37"/>
      <c r="F4979" s="37"/>
      <c r="G4979" s="70"/>
    </row>
    <row r="4980" spans="2:7" x14ac:dyDescent="0.25">
      <c r="B4980" s="37"/>
      <c r="C4980" s="37"/>
      <c r="D4980" s="37"/>
      <c r="E4980" s="37"/>
      <c r="F4980" s="37"/>
      <c r="G4980" s="70"/>
    </row>
    <row r="4981" spans="2:7" x14ac:dyDescent="0.25">
      <c r="B4981" s="37"/>
      <c r="C4981" s="37"/>
      <c r="D4981" s="37"/>
      <c r="E4981" s="37"/>
      <c r="F4981" s="37"/>
      <c r="G4981" s="70"/>
    </row>
    <row r="4982" spans="2:7" x14ac:dyDescent="0.25">
      <c r="B4982" s="37"/>
      <c r="C4982" s="37"/>
      <c r="D4982" s="37"/>
      <c r="E4982" s="37"/>
      <c r="F4982" s="37"/>
      <c r="G4982" s="70"/>
    </row>
    <row r="4983" spans="2:7" x14ac:dyDescent="0.25">
      <c r="B4983" s="37"/>
      <c r="C4983" s="37"/>
      <c r="D4983" s="37"/>
      <c r="E4983" s="37"/>
      <c r="F4983" s="37"/>
      <c r="G4983" s="70"/>
    </row>
    <row r="4984" spans="2:7" x14ac:dyDescent="0.25">
      <c r="B4984" s="37"/>
      <c r="C4984" s="37"/>
      <c r="D4984" s="37"/>
      <c r="E4984" s="37"/>
      <c r="F4984" s="37"/>
      <c r="G4984" s="70"/>
    </row>
    <row r="4985" spans="2:7" x14ac:dyDescent="0.25">
      <c r="B4985" s="37"/>
      <c r="C4985" s="37"/>
      <c r="D4985" s="37"/>
      <c r="E4985" s="37"/>
      <c r="F4985" s="37"/>
      <c r="G4985" s="70"/>
    </row>
    <row r="4986" spans="2:7" x14ac:dyDescent="0.25">
      <c r="B4986" s="37"/>
      <c r="C4986" s="37"/>
      <c r="D4986" s="37"/>
      <c r="E4986" s="37"/>
      <c r="F4986" s="37"/>
      <c r="G4986" s="70"/>
    </row>
    <row r="4987" spans="2:7" x14ac:dyDescent="0.25">
      <c r="B4987" s="37"/>
      <c r="C4987" s="37"/>
      <c r="D4987" s="37"/>
      <c r="E4987" s="37"/>
      <c r="F4987" s="37"/>
      <c r="G4987" s="70"/>
    </row>
    <row r="4988" spans="2:7" x14ac:dyDescent="0.25">
      <c r="B4988" s="37"/>
      <c r="C4988" s="37"/>
      <c r="D4988" s="37"/>
      <c r="E4988" s="37"/>
      <c r="F4988" s="37"/>
      <c r="G4988" s="70"/>
    </row>
    <row r="4989" spans="2:7" x14ac:dyDescent="0.25">
      <c r="B4989" s="37"/>
      <c r="C4989" s="37"/>
      <c r="D4989" s="37"/>
      <c r="E4989" s="37"/>
      <c r="F4989" s="37"/>
      <c r="G4989" s="70"/>
    </row>
    <row r="4990" spans="2:7" x14ac:dyDescent="0.25">
      <c r="B4990" s="37"/>
      <c r="C4990" s="37"/>
      <c r="D4990" s="37"/>
      <c r="E4990" s="37"/>
      <c r="F4990" s="37"/>
      <c r="G4990" s="70"/>
    </row>
    <row r="4991" spans="2:7" x14ac:dyDescent="0.25">
      <c r="B4991" s="37"/>
      <c r="C4991" s="37"/>
      <c r="D4991" s="37"/>
      <c r="E4991" s="37"/>
      <c r="F4991" s="37"/>
      <c r="G4991" s="70"/>
    </row>
    <row r="4992" spans="2:7" x14ac:dyDescent="0.25">
      <c r="B4992" s="37"/>
      <c r="C4992" s="37"/>
      <c r="D4992" s="37"/>
      <c r="E4992" s="37"/>
      <c r="F4992" s="37"/>
      <c r="G4992" s="70"/>
    </row>
    <row r="4993" spans="2:7" x14ac:dyDescent="0.25">
      <c r="B4993" s="37"/>
      <c r="C4993" s="37"/>
      <c r="D4993" s="37"/>
      <c r="E4993" s="37"/>
      <c r="F4993" s="37"/>
      <c r="G4993" s="70"/>
    </row>
    <row r="4994" spans="2:7" x14ac:dyDescent="0.25">
      <c r="B4994" s="37"/>
      <c r="C4994" s="37"/>
      <c r="D4994" s="37"/>
      <c r="E4994" s="37"/>
      <c r="F4994" s="37"/>
      <c r="G4994" s="70"/>
    </row>
    <row r="4995" spans="2:7" x14ac:dyDescent="0.25">
      <c r="B4995" s="37"/>
      <c r="C4995" s="37"/>
      <c r="D4995" s="37"/>
      <c r="E4995" s="37"/>
      <c r="F4995" s="37"/>
      <c r="G4995" s="70"/>
    </row>
    <row r="4996" spans="2:7" x14ac:dyDescent="0.25">
      <c r="B4996" s="37"/>
      <c r="C4996" s="37"/>
      <c r="D4996" s="37"/>
      <c r="E4996" s="37"/>
      <c r="F4996" s="37"/>
      <c r="G4996" s="70"/>
    </row>
    <row r="4997" spans="2:7" x14ac:dyDescent="0.25">
      <c r="B4997" s="37"/>
      <c r="C4997" s="37"/>
      <c r="D4997" s="37"/>
      <c r="E4997" s="37"/>
      <c r="F4997" s="37"/>
      <c r="G4997" s="70"/>
    </row>
    <row r="4998" spans="2:7" x14ac:dyDescent="0.25">
      <c r="B4998" s="37"/>
      <c r="C4998" s="37"/>
      <c r="D4998" s="37"/>
      <c r="E4998" s="37"/>
      <c r="F4998" s="37"/>
      <c r="G4998" s="70"/>
    </row>
    <row r="4999" spans="2:7" x14ac:dyDescent="0.25">
      <c r="B4999" s="37"/>
      <c r="C4999" s="37"/>
      <c r="D4999" s="37"/>
      <c r="E4999" s="37"/>
      <c r="F4999" s="37"/>
      <c r="G4999" s="70"/>
    </row>
    <row r="5000" spans="2:7" x14ac:dyDescent="0.25">
      <c r="B5000" s="37"/>
      <c r="C5000" s="37"/>
      <c r="D5000" s="37"/>
      <c r="E5000" s="37"/>
      <c r="F5000" s="37"/>
      <c r="G5000" s="70"/>
    </row>
    <row r="5001" spans="2:7" x14ac:dyDescent="0.25">
      <c r="B5001" s="37"/>
      <c r="C5001" s="37"/>
      <c r="D5001" s="37"/>
      <c r="E5001" s="37"/>
      <c r="F5001" s="37"/>
      <c r="G5001" s="70"/>
    </row>
    <row r="5002" spans="2:7" x14ac:dyDescent="0.25">
      <c r="B5002" s="37"/>
      <c r="C5002" s="37"/>
      <c r="D5002" s="37"/>
      <c r="E5002" s="37"/>
      <c r="F5002" s="37"/>
      <c r="G5002" s="70"/>
    </row>
    <row r="5003" spans="2:7" x14ac:dyDescent="0.25">
      <c r="B5003" s="37"/>
      <c r="C5003" s="37"/>
      <c r="D5003" s="37"/>
      <c r="E5003" s="37"/>
      <c r="F5003" s="37"/>
      <c r="G5003" s="70"/>
    </row>
    <row r="5004" spans="2:7" x14ac:dyDescent="0.25">
      <c r="B5004" s="37"/>
      <c r="C5004" s="37"/>
      <c r="D5004" s="37"/>
      <c r="E5004" s="37"/>
      <c r="F5004" s="37"/>
      <c r="G5004" s="70"/>
    </row>
    <row r="5005" spans="2:7" x14ac:dyDescent="0.25">
      <c r="B5005" s="37"/>
      <c r="C5005" s="37"/>
      <c r="D5005" s="37"/>
      <c r="E5005" s="37"/>
      <c r="F5005" s="37"/>
      <c r="G5005" s="70"/>
    </row>
    <row r="5006" spans="2:7" x14ac:dyDescent="0.25">
      <c r="B5006" s="37"/>
      <c r="C5006" s="37"/>
      <c r="D5006" s="37"/>
      <c r="E5006" s="37"/>
      <c r="F5006" s="37"/>
      <c r="G5006" s="70"/>
    </row>
    <row r="5007" spans="2:7" x14ac:dyDescent="0.25">
      <c r="B5007" s="37"/>
      <c r="C5007" s="37"/>
      <c r="D5007" s="37"/>
      <c r="E5007" s="37"/>
      <c r="F5007" s="37"/>
      <c r="G5007" s="70"/>
    </row>
    <row r="5008" spans="2:7" x14ac:dyDescent="0.25">
      <c r="B5008" s="37"/>
      <c r="C5008" s="37"/>
      <c r="D5008" s="37"/>
      <c r="E5008" s="37"/>
      <c r="F5008" s="37"/>
      <c r="G5008" s="70"/>
    </row>
    <row r="5009" spans="2:7" x14ac:dyDescent="0.25">
      <c r="B5009" s="37"/>
      <c r="C5009" s="37"/>
      <c r="D5009" s="37"/>
      <c r="E5009" s="37"/>
      <c r="F5009" s="37"/>
      <c r="G5009" s="70"/>
    </row>
    <row r="5010" spans="2:7" x14ac:dyDescent="0.25">
      <c r="B5010" s="37"/>
      <c r="C5010" s="37"/>
      <c r="D5010" s="37"/>
      <c r="E5010" s="37"/>
      <c r="F5010" s="37"/>
      <c r="G5010" s="70"/>
    </row>
    <row r="5011" spans="2:7" x14ac:dyDescent="0.25">
      <c r="B5011" s="37"/>
      <c r="C5011" s="37"/>
      <c r="D5011" s="37"/>
      <c r="E5011" s="37"/>
      <c r="F5011" s="37"/>
      <c r="G5011" s="70"/>
    </row>
    <row r="5012" spans="2:7" x14ac:dyDescent="0.25">
      <c r="B5012" s="37"/>
      <c r="C5012" s="37"/>
      <c r="D5012" s="37"/>
      <c r="E5012" s="37"/>
      <c r="F5012" s="37"/>
      <c r="G5012" s="70"/>
    </row>
    <row r="5013" spans="2:7" x14ac:dyDescent="0.25">
      <c r="B5013" s="37"/>
      <c r="C5013" s="37"/>
      <c r="D5013" s="37"/>
      <c r="E5013" s="37"/>
      <c r="F5013" s="37"/>
      <c r="G5013" s="70"/>
    </row>
    <row r="5014" spans="2:7" x14ac:dyDescent="0.25">
      <c r="B5014" s="37"/>
      <c r="C5014" s="37"/>
      <c r="D5014" s="37"/>
      <c r="E5014" s="37"/>
      <c r="F5014" s="37"/>
      <c r="G5014" s="70"/>
    </row>
    <row r="5015" spans="2:7" x14ac:dyDescent="0.25">
      <c r="B5015" s="37"/>
      <c r="C5015" s="37"/>
      <c r="D5015" s="37"/>
      <c r="E5015" s="37"/>
      <c r="F5015" s="37"/>
      <c r="G5015" s="70"/>
    </row>
    <row r="5016" spans="2:7" x14ac:dyDescent="0.25">
      <c r="B5016" s="37"/>
      <c r="C5016" s="37"/>
      <c r="D5016" s="37"/>
      <c r="E5016" s="37"/>
      <c r="F5016" s="37"/>
      <c r="G5016" s="70"/>
    </row>
    <row r="5017" spans="2:7" x14ac:dyDescent="0.25">
      <c r="B5017" s="37"/>
      <c r="C5017" s="37"/>
      <c r="D5017" s="37"/>
      <c r="E5017" s="37"/>
      <c r="F5017" s="37"/>
      <c r="G5017" s="70"/>
    </row>
    <row r="5018" spans="2:7" x14ac:dyDescent="0.25">
      <c r="B5018" s="37"/>
      <c r="C5018" s="37"/>
      <c r="D5018" s="37"/>
      <c r="E5018" s="37"/>
      <c r="F5018" s="37"/>
      <c r="G5018" s="70"/>
    </row>
    <row r="5019" spans="2:7" x14ac:dyDescent="0.25">
      <c r="B5019" s="37"/>
      <c r="C5019" s="37"/>
      <c r="D5019" s="37"/>
      <c r="E5019" s="37"/>
      <c r="F5019" s="37"/>
      <c r="G5019" s="70"/>
    </row>
    <row r="5020" spans="2:7" x14ac:dyDescent="0.25">
      <c r="B5020" s="37"/>
      <c r="C5020" s="37"/>
      <c r="D5020" s="37"/>
      <c r="E5020" s="37"/>
      <c r="F5020" s="37"/>
      <c r="G5020" s="70"/>
    </row>
    <row r="5021" spans="2:7" x14ac:dyDescent="0.25">
      <c r="B5021" s="37"/>
      <c r="C5021" s="37"/>
      <c r="D5021" s="37"/>
      <c r="E5021" s="37"/>
      <c r="F5021" s="37"/>
      <c r="G5021" s="70"/>
    </row>
    <row r="5022" spans="2:7" x14ac:dyDescent="0.25">
      <c r="B5022" s="37"/>
      <c r="C5022" s="37"/>
      <c r="D5022" s="37"/>
      <c r="E5022" s="37"/>
      <c r="F5022" s="37"/>
      <c r="G5022" s="70"/>
    </row>
    <row r="5023" spans="2:7" x14ac:dyDescent="0.25">
      <c r="B5023" s="37"/>
      <c r="C5023" s="37"/>
      <c r="D5023" s="37"/>
      <c r="E5023" s="37"/>
      <c r="F5023" s="37"/>
      <c r="G5023" s="70"/>
    </row>
    <row r="5024" spans="2:7" x14ac:dyDescent="0.25">
      <c r="B5024" s="37"/>
      <c r="C5024" s="37"/>
      <c r="D5024" s="37"/>
      <c r="E5024" s="37"/>
      <c r="F5024" s="37"/>
      <c r="G5024" s="70"/>
    </row>
    <row r="5025" spans="2:7" x14ac:dyDescent="0.25">
      <c r="B5025" s="37"/>
      <c r="C5025" s="37"/>
      <c r="D5025" s="37"/>
      <c r="E5025" s="37"/>
      <c r="F5025" s="37"/>
      <c r="G5025" s="70"/>
    </row>
    <row r="5026" spans="2:7" x14ac:dyDescent="0.25">
      <c r="B5026" s="37"/>
      <c r="C5026" s="37"/>
      <c r="D5026" s="37"/>
      <c r="E5026" s="37"/>
      <c r="F5026" s="37"/>
      <c r="G5026" s="70"/>
    </row>
    <row r="5027" spans="2:7" x14ac:dyDescent="0.25">
      <c r="B5027" s="37"/>
      <c r="C5027" s="37"/>
      <c r="D5027" s="37"/>
      <c r="E5027" s="37"/>
      <c r="F5027" s="37"/>
      <c r="G5027" s="70"/>
    </row>
    <row r="5028" spans="2:7" x14ac:dyDescent="0.25">
      <c r="B5028" s="37"/>
      <c r="C5028" s="37"/>
      <c r="D5028" s="37"/>
      <c r="E5028" s="37"/>
      <c r="F5028" s="37"/>
      <c r="G5028" s="70"/>
    </row>
    <row r="5029" spans="2:7" x14ac:dyDescent="0.25">
      <c r="B5029" s="37"/>
      <c r="C5029" s="37"/>
      <c r="D5029" s="37"/>
      <c r="E5029" s="37"/>
      <c r="F5029" s="37"/>
      <c r="G5029" s="70"/>
    </row>
    <row r="5030" spans="2:7" x14ac:dyDescent="0.25">
      <c r="B5030" s="37"/>
      <c r="C5030" s="37"/>
      <c r="D5030" s="37"/>
      <c r="E5030" s="37"/>
      <c r="F5030" s="37"/>
      <c r="G5030" s="70"/>
    </row>
    <row r="5031" spans="2:7" x14ac:dyDescent="0.25">
      <c r="B5031" s="37"/>
      <c r="C5031" s="37"/>
      <c r="D5031" s="37"/>
      <c r="E5031" s="37"/>
      <c r="F5031" s="37"/>
      <c r="G5031" s="70"/>
    </row>
    <row r="5032" spans="2:7" x14ac:dyDescent="0.25">
      <c r="B5032" s="37"/>
      <c r="C5032" s="37"/>
      <c r="D5032" s="37"/>
      <c r="E5032" s="37"/>
      <c r="F5032" s="37"/>
      <c r="G5032" s="70"/>
    </row>
    <row r="5033" spans="2:7" x14ac:dyDescent="0.25">
      <c r="B5033" s="37"/>
      <c r="C5033" s="37"/>
      <c r="D5033" s="37"/>
      <c r="E5033" s="37"/>
      <c r="F5033" s="37"/>
      <c r="G5033" s="70"/>
    </row>
    <row r="5034" spans="2:7" x14ac:dyDescent="0.25">
      <c r="B5034" s="37"/>
      <c r="C5034" s="37"/>
      <c r="D5034" s="37"/>
      <c r="E5034" s="37"/>
      <c r="F5034" s="37"/>
      <c r="G5034" s="70"/>
    </row>
    <row r="5035" spans="2:7" x14ac:dyDescent="0.25">
      <c r="B5035" s="37"/>
      <c r="C5035" s="37"/>
      <c r="D5035" s="37"/>
      <c r="E5035" s="37"/>
      <c r="F5035" s="37"/>
      <c r="G5035" s="70"/>
    </row>
    <row r="5036" spans="2:7" x14ac:dyDescent="0.25">
      <c r="B5036" s="37"/>
      <c r="C5036" s="37"/>
      <c r="D5036" s="37"/>
      <c r="E5036" s="37"/>
      <c r="F5036" s="37"/>
      <c r="G5036" s="70"/>
    </row>
    <row r="5037" spans="2:7" x14ac:dyDescent="0.25">
      <c r="B5037" s="37"/>
      <c r="C5037" s="37"/>
      <c r="D5037" s="37"/>
      <c r="E5037" s="37"/>
      <c r="F5037" s="37"/>
      <c r="G5037" s="70"/>
    </row>
    <row r="5038" spans="2:7" x14ac:dyDescent="0.25">
      <c r="B5038" s="37"/>
      <c r="C5038" s="37"/>
      <c r="D5038" s="37"/>
      <c r="E5038" s="37"/>
      <c r="F5038" s="37"/>
      <c r="G5038" s="70"/>
    </row>
    <row r="5039" spans="2:7" x14ac:dyDescent="0.25">
      <c r="B5039" s="37"/>
      <c r="C5039" s="37"/>
      <c r="D5039" s="37"/>
      <c r="E5039" s="37"/>
      <c r="F5039" s="37"/>
      <c r="G5039" s="70"/>
    </row>
    <row r="5040" spans="2:7" x14ac:dyDescent="0.25">
      <c r="B5040" s="37"/>
      <c r="C5040" s="37"/>
      <c r="D5040" s="37"/>
      <c r="E5040" s="37"/>
      <c r="F5040" s="37"/>
      <c r="G5040" s="70"/>
    </row>
    <row r="5041" spans="2:7" x14ac:dyDescent="0.25">
      <c r="B5041" s="37"/>
      <c r="C5041" s="37"/>
      <c r="D5041" s="37"/>
      <c r="E5041" s="37"/>
      <c r="F5041" s="37"/>
      <c r="G5041" s="70"/>
    </row>
    <row r="5042" spans="2:7" x14ac:dyDescent="0.25">
      <c r="B5042" s="37"/>
      <c r="C5042" s="37"/>
      <c r="D5042" s="37"/>
      <c r="E5042" s="37"/>
      <c r="F5042" s="37"/>
      <c r="G5042" s="70"/>
    </row>
    <row r="5043" spans="2:7" x14ac:dyDescent="0.25">
      <c r="B5043" s="37"/>
      <c r="C5043" s="37"/>
      <c r="D5043" s="37"/>
      <c r="E5043" s="37"/>
      <c r="F5043" s="37"/>
      <c r="G5043" s="70"/>
    </row>
    <row r="5044" spans="2:7" x14ac:dyDescent="0.25">
      <c r="B5044" s="37"/>
      <c r="C5044" s="37"/>
      <c r="D5044" s="37"/>
      <c r="E5044" s="37"/>
      <c r="F5044" s="37"/>
      <c r="G5044" s="70"/>
    </row>
    <row r="5045" spans="2:7" x14ac:dyDescent="0.25">
      <c r="B5045" s="37"/>
      <c r="C5045" s="37"/>
      <c r="D5045" s="37"/>
      <c r="E5045" s="37"/>
      <c r="F5045" s="37"/>
      <c r="G5045" s="70"/>
    </row>
    <row r="5046" spans="2:7" x14ac:dyDescent="0.25">
      <c r="B5046" s="37"/>
      <c r="C5046" s="37"/>
      <c r="D5046" s="37"/>
      <c r="E5046" s="37"/>
      <c r="F5046" s="37"/>
      <c r="G5046" s="70"/>
    </row>
    <row r="5047" spans="2:7" x14ac:dyDescent="0.25">
      <c r="B5047" s="37"/>
      <c r="C5047" s="37"/>
      <c r="D5047" s="37"/>
      <c r="E5047" s="37"/>
      <c r="F5047" s="37"/>
      <c r="G5047" s="70"/>
    </row>
    <row r="5048" spans="2:7" x14ac:dyDescent="0.25">
      <c r="B5048" s="37"/>
      <c r="C5048" s="37"/>
      <c r="D5048" s="37"/>
      <c r="E5048" s="37"/>
      <c r="F5048" s="37"/>
      <c r="G5048" s="70"/>
    </row>
    <row r="5049" spans="2:7" x14ac:dyDescent="0.25">
      <c r="B5049" s="37"/>
      <c r="C5049" s="37"/>
      <c r="D5049" s="37"/>
      <c r="E5049" s="37"/>
      <c r="F5049" s="37"/>
      <c r="G5049" s="70"/>
    </row>
    <row r="5050" spans="2:7" x14ac:dyDescent="0.25">
      <c r="B5050" s="37"/>
      <c r="C5050" s="37"/>
      <c r="D5050" s="37"/>
      <c r="E5050" s="37"/>
      <c r="F5050" s="37"/>
      <c r="G5050" s="70"/>
    </row>
    <row r="5051" spans="2:7" x14ac:dyDescent="0.25">
      <c r="B5051" s="37"/>
      <c r="C5051" s="37"/>
      <c r="D5051" s="37"/>
      <c r="E5051" s="37"/>
      <c r="F5051" s="37"/>
      <c r="G5051" s="70"/>
    </row>
    <row r="5052" spans="2:7" x14ac:dyDescent="0.25">
      <c r="B5052" s="37"/>
      <c r="C5052" s="37"/>
      <c r="D5052" s="37"/>
      <c r="E5052" s="37"/>
      <c r="F5052" s="37"/>
      <c r="G5052" s="70"/>
    </row>
    <row r="5053" spans="2:7" x14ac:dyDescent="0.25">
      <c r="B5053" s="37"/>
      <c r="C5053" s="37"/>
      <c r="D5053" s="37"/>
      <c r="E5053" s="37"/>
      <c r="F5053" s="37"/>
      <c r="G5053" s="70"/>
    </row>
    <row r="5054" spans="2:7" x14ac:dyDescent="0.25">
      <c r="B5054" s="37"/>
      <c r="C5054" s="37"/>
      <c r="D5054" s="37"/>
      <c r="E5054" s="37"/>
      <c r="F5054" s="37"/>
      <c r="G5054" s="70"/>
    </row>
    <row r="5055" spans="2:7" x14ac:dyDescent="0.25">
      <c r="B5055" s="37"/>
      <c r="C5055" s="37"/>
      <c r="D5055" s="37"/>
      <c r="E5055" s="37"/>
      <c r="F5055" s="37"/>
      <c r="G5055" s="70"/>
    </row>
    <row r="5056" spans="2:7" x14ac:dyDescent="0.25">
      <c r="B5056" s="37"/>
      <c r="C5056" s="37"/>
      <c r="D5056" s="37"/>
      <c r="E5056" s="37"/>
      <c r="F5056" s="37"/>
      <c r="G5056" s="70"/>
    </row>
    <row r="5057" spans="2:7" x14ac:dyDescent="0.25">
      <c r="B5057" s="37"/>
      <c r="C5057" s="37"/>
      <c r="D5057" s="37"/>
      <c r="E5057" s="37"/>
      <c r="F5057" s="37"/>
      <c r="G5057" s="70"/>
    </row>
    <row r="5058" spans="2:7" x14ac:dyDescent="0.25">
      <c r="B5058" s="37"/>
      <c r="C5058" s="37"/>
      <c r="D5058" s="37"/>
      <c r="E5058" s="37"/>
      <c r="F5058" s="37"/>
      <c r="G5058" s="70"/>
    </row>
    <row r="5059" spans="2:7" x14ac:dyDescent="0.25">
      <c r="B5059" s="37"/>
      <c r="C5059" s="37"/>
      <c r="D5059" s="37"/>
      <c r="E5059" s="37"/>
      <c r="F5059" s="37"/>
      <c r="G5059" s="70"/>
    </row>
    <row r="5060" spans="2:7" x14ac:dyDescent="0.25">
      <c r="B5060" s="37"/>
      <c r="C5060" s="37"/>
      <c r="D5060" s="37"/>
      <c r="E5060" s="37"/>
      <c r="F5060" s="37"/>
      <c r="G5060" s="70"/>
    </row>
    <row r="5061" spans="2:7" x14ac:dyDescent="0.25">
      <c r="B5061" s="37"/>
      <c r="C5061" s="37"/>
      <c r="D5061" s="37"/>
      <c r="E5061" s="37"/>
      <c r="F5061" s="37"/>
      <c r="G5061" s="70"/>
    </row>
    <row r="5062" spans="2:7" x14ac:dyDescent="0.25">
      <c r="B5062" s="37"/>
      <c r="C5062" s="37"/>
      <c r="D5062" s="37"/>
      <c r="E5062" s="37"/>
      <c r="F5062" s="37"/>
      <c r="G5062" s="70"/>
    </row>
    <row r="5063" spans="2:7" x14ac:dyDescent="0.25">
      <c r="B5063" s="37"/>
      <c r="C5063" s="37"/>
      <c r="D5063" s="37"/>
      <c r="E5063" s="37"/>
      <c r="F5063" s="37"/>
      <c r="G5063" s="70"/>
    </row>
    <row r="5064" spans="2:7" x14ac:dyDescent="0.25">
      <c r="B5064" s="37"/>
      <c r="C5064" s="37"/>
      <c r="D5064" s="37"/>
      <c r="E5064" s="37"/>
      <c r="F5064" s="37"/>
      <c r="G5064" s="70"/>
    </row>
    <row r="5065" spans="2:7" x14ac:dyDescent="0.25">
      <c r="B5065" s="37"/>
      <c r="C5065" s="37"/>
      <c r="D5065" s="37"/>
      <c r="E5065" s="37"/>
      <c r="F5065" s="37"/>
      <c r="G5065" s="70"/>
    </row>
    <row r="5066" spans="2:7" x14ac:dyDescent="0.25">
      <c r="B5066" s="37"/>
      <c r="C5066" s="37"/>
      <c r="D5066" s="37"/>
      <c r="E5066" s="37"/>
      <c r="F5066" s="37"/>
      <c r="G5066" s="70"/>
    </row>
    <row r="5067" spans="2:7" x14ac:dyDescent="0.25">
      <c r="B5067" s="37"/>
      <c r="C5067" s="37"/>
      <c r="D5067" s="37"/>
      <c r="E5067" s="37"/>
      <c r="F5067" s="37"/>
      <c r="G5067" s="70"/>
    </row>
    <row r="5068" spans="2:7" x14ac:dyDescent="0.25">
      <c r="B5068" s="37"/>
      <c r="C5068" s="37"/>
      <c r="D5068" s="37"/>
      <c r="E5068" s="37"/>
      <c r="F5068" s="37"/>
      <c r="G5068" s="70"/>
    </row>
    <row r="5069" spans="2:7" x14ac:dyDescent="0.25">
      <c r="B5069" s="37"/>
      <c r="C5069" s="37"/>
      <c r="D5069" s="37"/>
      <c r="E5069" s="37"/>
      <c r="F5069" s="37"/>
      <c r="G5069" s="70"/>
    </row>
    <row r="5070" spans="2:7" x14ac:dyDescent="0.25">
      <c r="B5070" s="37"/>
      <c r="C5070" s="37"/>
      <c r="D5070" s="37"/>
      <c r="E5070" s="37"/>
      <c r="F5070" s="37"/>
      <c r="G5070" s="70"/>
    </row>
    <row r="5071" spans="2:7" x14ac:dyDescent="0.25">
      <c r="B5071" s="37"/>
      <c r="C5071" s="37"/>
      <c r="D5071" s="37"/>
      <c r="E5071" s="37"/>
      <c r="F5071" s="37"/>
      <c r="G5071" s="70"/>
    </row>
    <row r="5072" spans="2:7" x14ac:dyDescent="0.25">
      <c r="B5072" s="37"/>
      <c r="C5072" s="37"/>
      <c r="D5072" s="37"/>
      <c r="E5072" s="37"/>
      <c r="F5072" s="37"/>
      <c r="G5072" s="70"/>
    </row>
    <row r="5073" spans="2:7" x14ac:dyDescent="0.25">
      <c r="B5073" s="37"/>
      <c r="C5073" s="37"/>
      <c r="D5073" s="37"/>
      <c r="E5073" s="37"/>
      <c r="F5073" s="37"/>
      <c r="G5073" s="70"/>
    </row>
    <row r="5074" spans="2:7" x14ac:dyDescent="0.25">
      <c r="B5074" s="37"/>
      <c r="C5074" s="37"/>
      <c r="D5074" s="37"/>
      <c r="E5074" s="37"/>
      <c r="F5074" s="37"/>
      <c r="G5074" s="70"/>
    </row>
    <row r="5075" spans="2:7" x14ac:dyDescent="0.25">
      <c r="B5075" s="37"/>
      <c r="C5075" s="37"/>
      <c r="D5075" s="37"/>
      <c r="E5075" s="37"/>
      <c r="F5075" s="37"/>
      <c r="G5075" s="70"/>
    </row>
    <row r="5076" spans="2:7" x14ac:dyDescent="0.25">
      <c r="B5076" s="37"/>
      <c r="C5076" s="37"/>
      <c r="D5076" s="37"/>
      <c r="E5076" s="37"/>
      <c r="F5076" s="37"/>
      <c r="G5076" s="70"/>
    </row>
    <row r="5077" spans="2:7" x14ac:dyDescent="0.25">
      <c r="B5077" s="37"/>
      <c r="C5077" s="37"/>
      <c r="D5077" s="37"/>
      <c r="E5077" s="37"/>
      <c r="F5077" s="37"/>
      <c r="G5077" s="70"/>
    </row>
    <row r="5078" spans="2:7" x14ac:dyDescent="0.25">
      <c r="B5078" s="37"/>
      <c r="C5078" s="37"/>
      <c r="D5078" s="37"/>
      <c r="E5078" s="37"/>
      <c r="F5078" s="37"/>
      <c r="G5078" s="70"/>
    </row>
    <row r="5079" spans="2:7" x14ac:dyDescent="0.25">
      <c r="B5079" s="37"/>
      <c r="C5079" s="37"/>
      <c r="D5079" s="37"/>
      <c r="E5079" s="37"/>
      <c r="F5079" s="37"/>
      <c r="G5079" s="70"/>
    </row>
    <row r="5080" spans="2:7" x14ac:dyDescent="0.25">
      <c r="B5080" s="37"/>
      <c r="C5080" s="37"/>
      <c r="D5080" s="37"/>
      <c r="E5080" s="37"/>
      <c r="F5080" s="37"/>
      <c r="G5080" s="70"/>
    </row>
    <row r="5081" spans="2:7" x14ac:dyDescent="0.25">
      <c r="B5081" s="37"/>
      <c r="C5081" s="37"/>
      <c r="D5081" s="37"/>
      <c r="E5081" s="37"/>
      <c r="F5081" s="37"/>
      <c r="G5081" s="70"/>
    </row>
    <row r="5082" spans="2:7" x14ac:dyDescent="0.25">
      <c r="B5082" s="37"/>
      <c r="C5082" s="37"/>
      <c r="D5082" s="37"/>
      <c r="E5082" s="37"/>
      <c r="F5082" s="37"/>
      <c r="G5082" s="70"/>
    </row>
    <row r="5083" spans="2:7" x14ac:dyDescent="0.25">
      <c r="B5083" s="37"/>
      <c r="C5083" s="37"/>
      <c r="D5083" s="37"/>
      <c r="E5083" s="37"/>
      <c r="F5083" s="37"/>
      <c r="G5083" s="70"/>
    </row>
    <row r="5084" spans="2:7" x14ac:dyDescent="0.25">
      <c r="B5084" s="37"/>
      <c r="C5084" s="37"/>
      <c r="D5084" s="37"/>
      <c r="E5084" s="37"/>
      <c r="F5084" s="37"/>
      <c r="G5084" s="70"/>
    </row>
    <row r="5085" spans="2:7" x14ac:dyDescent="0.25">
      <c r="B5085" s="37"/>
      <c r="C5085" s="37"/>
      <c r="D5085" s="37"/>
      <c r="E5085" s="37"/>
      <c r="F5085" s="37"/>
      <c r="G5085" s="70"/>
    </row>
    <row r="5086" spans="2:7" x14ac:dyDescent="0.25">
      <c r="B5086" s="37"/>
      <c r="C5086" s="37"/>
      <c r="D5086" s="37"/>
      <c r="E5086" s="37"/>
      <c r="F5086" s="37"/>
      <c r="G5086" s="70"/>
    </row>
    <row r="5087" spans="2:7" x14ac:dyDescent="0.25">
      <c r="B5087" s="37"/>
      <c r="C5087" s="37"/>
      <c r="D5087" s="37"/>
      <c r="E5087" s="37"/>
      <c r="F5087" s="37"/>
      <c r="G5087" s="70"/>
    </row>
    <row r="5088" spans="2:7" x14ac:dyDescent="0.25">
      <c r="B5088" s="37"/>
      <c r="C5088" s="37"/>
      <c r="D5088" s="37"/>
      <c r="E5088" s="37"/>
      <c r="F5088" s="37"/>
      <c r="G5088" s="70"/>
    </row>
    <row r="5089" spans="2:7" x14ac:dyDescent="0.25">
      <c r="B5089" s="37"/>
      <c r="C5089" s="37"/>
      <c r="D5089" s="37"/>
      <c r="E5089" s="37"/>
      <c r="F5089" s="37"/>
      <c r="G5089" s="70"/>
    </row>
    <row r="5090" spans="2:7" x14ac:dyDescent="0.25">
      <c r="B5090" s="37"/>
      <c r="C5090" s="37"/>
      <c r="D5090" s="37"/>
      <c r="E5090" s="37"/>
      <c r="F5090" s="37"/>
      <c r="G5090" s="70"/>
    </row>
    <row r="5091" spans="2:7" x14ac:dyDescent="0.25">
      <c r="B5091" s="37"/>
      <c r="C5091" s="37"/>
      <c r="D5091" s="37"/>
      <c r="E5091" s="37"/>
      <c r="F5091" s="37"/>
      <c r="G5091" s="70"/>
    </row>
    <row r="5092" spans="2:7" x14ac:dyDescent="0.25">
      <c r="B5092" s="37"/>
      <c r="C5092" s="37"/>
      <c r="D5092" s="37"/>
      <c r="E5092" s="37"/>
      <c r="F5092" s="37"/>
      <c r="G5092" s="70"/>
    </row>
    <row r="5093" spans="2:7" x14ac:dyDescent="0.25">
      <c r="B5093" s="37"/>
      <c r="C5093" s="37"/>
      <c r="D5093" s="37"/>
      <c r="E5093" s="37"/>
      <c r="F5093" s="37"/>
      <c r="G5093" s="70"/>
    </row>
    <row r="5094" spans="2:7" x14ac:dyDescent="0.25">
      <c r="B5094" s="37"/>
      <c r="C5094" s="37"/>
      <c r="D5094" s="37"/>
      <c r="E5094" s="37"/>
      <c r="F5094" s="37"/>
      <c r="G5094" s="70"/>
    </row>
    <row r="5095" spans="2:7" x14ac:dyDescent="0.25">
      <c r="B5095" s="37"/>
      <c r="C5095" s="37"/>
      <c r="D5095" s="37"/>
      <c r="E5095" s="37"/>
      <c r="F5095" s="37"/>
      <c r="G5095" s="70"/>
    </row>
    <row r="5096" spans="2:7" x14ac:dyDescent="0.25">
      <c r="B5096" s="37"/>
      <c r="C5096" s="37"/>
      <c r="D5096" s="37"/>
      <c r="E5096" s="37"/>
      <c r="F5096" s="37"/>
      <c r="G5096" s="70"/>
    </row>
    <row r="5097" spans="2:7" x14ac:dyDescent="0.25">
      <c r="B5097" s="37"/>
      <c r="C5097" s="37"/>
      <c r="D5097" s="37"/>
      <c r="E5097" s="37"/>
      <c r="F5097" s="37"/>
      <c r="G5097" s="70"/>
    </row>
    <row r="5098" spans="2:7" x14ac:dyDescent="0.25">
      <c r="B5098" s="37"/>
      <c r="C5098" s="37"/>
      <c r="D5098" s="37"/>
      <c r="E5098" s="37"/>
      <c r="F5098" s="37"/>
      <c r="G5098" s="70"/>
    </row>
    <row r="5099" spans="2:7" x14ac:dyDescent="0.25">
      <c r="B5099" s="37"/>
      <c r="C5099" s="37"/>
      <c r="D5099" s="37"/>
      <c r="E5099" s="37"/>
      <c r="F5099" s="37"/>
      <c r="G5099" s="70"/>
    </row>
    <row r="5100" spans="2:7" x14ac:dyDescent="0.25">
      <c r="B5100" s="37"/>
      <c r="C5100" s="37"/>
      <c r="D5100" s="37"/>
      <c r="E5100" s="37"/>
      <c r="F5100" s="37"/>
      <c r="G5100" s="70"/>
    </row>
    <row r="5101" spans="2:7" x14ac:dyDescent="0.25">
      <c r="B5101" s="37"/>
      <c r="C5101" s="37"/>
      <c r="D5101" s="37"/>
      <c r="E5101" s="37"/>
      <c r="F5101" s="37"/>
      <c r="G5101" s="70"/>
    </row>
    <row r="5102" spans="2:7" x14ac:dyDescent="0.25">
      <c r="B5102" s="37"/>
      <c r="C5102" s="37"/>
      <c r="D5102" s="37"/>
      <c r="E5102" s="37"/>
      <c r="F5102" s="37"/>
      <c r="G5102" s="70"/>
    </row>
    <row r="5103" spans="2:7" x14ac:dyDescent="0.25">
      <c r="B5103" s="37"/>
      <c r="C5103" s="37"/>
      <c r="D5103" s="37"/>
      <c r="E5103" s="37"/>
      <c r="F5103" s="37"/>
      <c r="G5103" s="70"/>
    </row>
    <row r="5104" spans="2:7" x14ac:dyDescent="0.25">
      <c r="B5104" s="37"/>
      <c r="C5104" s="37"/>
      <c r="D5104" s="37"/>
      <c r="E5104" s="37"/>
      <c r="F5104" s="37"/>
      <c r="G5104" s="70"/>
    </row>
    <row r="5105" spans="2:7" x14ac:dyDescent="0.25">
      <c r="B5105" s="37"/>
      <c r="C5105" s="37"/>
      <c r="D5105" s="37"/>
      <c r="E5105" s="37"/>
      <c r="F5105" s="37"/>
      <c r="G5105" s="70"/>
    </row>
    <row r="5106" spans="2:7" x14ac:dyDescent="0.25">
      <c r="B5106" s="37"/>
      <c r="C5106" s="37"/>
      <c r="D5106" s="37"/>
      <c r="E5106" s="37"/>
      <c r="F5106" s="37"/>
      <c r="G5106" s="70"/>
    </row>
    <row r="5107" spans="2:7" x14ac:dyDescent="0.25">
      <c r="B5107" s="37"/>
      <c r="C5107" s="37"/>
      <c r="D5107" s="37"/>
      <c r="E5107" s="37"/>
      <c r="F5107" s="37"/>
      <c r="G5107" s="70"/>
    </row>
    <row r="5108" spans="2:7" x14ac:dyDescent="0.25">
      <c r="B5108" s="37"/>
      <c r="C5108" s="37"/>
      <c r="D5108" s="37"/>
      <c r="E5108" s="37"/>
      <c r="F5108" s="37"/>
      <c r="G5108" s="70"/>
    </row>
    <row r="5109" spans="2:7" x14ac:dyDescent="0.25">
      <c r="B5109" s="37"/>
      <c r="C5109" s="37"/>
      <c r="D5109" s="37"/>
      <c r="E5109" s="37"/>
      <c r="F5109" s="37"/>
      <c r="G5109" s="70"/>
    </row>
    <row r="5110" spans="2:7" x14ac:dyDescent="0.25">
      <c r="B5110" s="37"/>
      <c r="C5110" s="37"/>
      <c r="D5110" s="37"/>
      <c r="E5110" s="37"/>
      <c r="F5110" s="37"/>
      <c r="G5110" s="70"/>
    </row>
    <row r="5111" spans="2:7" x14ac:dyDescent="0.25">
      <c r="B5111" s="37"/>
      <c r="C5111" s="37"/>
      <c r="D5111" s="37"/>
      <c r="E5111" s="37"/>
      <c r="F5111" s="37"/>
      <c r="G5111" s="70"/>
    </row>
    <row r="5112" spans="2:7" x14ac:dyDescent="0.25">
      <c r="B5112" s="37"/>
      <c r="C5112" s="37"/>
      <c r="D5112" s="37"/>
      <c r="E5112" s="37"/>
      <c r="F5112" s="37"/>
      <c r="G5112" s="70"/>
    </row>
    <row r="5113" spans="2:7" x14ac:dyDescent="0.25">
      <c r="B5113" s="37"/>
      <c r="C5113" s="37"/>
      <c r="D5113" s="37"/>
      <c r="E5113" s="37"/>
      <c r="F5113" s="37"/>
      <c r="G5113" s="70"/>
    </row>
    <row r="5114" spans="2:7" x14ac:dyDescent="0.25">
      <c r="B5114" s="37"/>
      <c r="C5114" s="37"/>
      <c r="D5114" s="37"/>
      <c r="E5114" s="37"/>
      <c r="F5114" s="37"/>
      <c r="G5114" s="70"/>
    </row>
    <row r="5115" spans="2:7" x14ac:dyDescent="0.25">
      <c r="B5115" s="37"/>
      <c r="C5115" s="37"/>
      <c r="D5115" s="37"/>
      <c r="E5115" s="37"/>
      <c r="F5115" s="37"/>
      <c r="G5115" s="70"/>
    </row>
    <row r="5116" spans="2:7" x14ac:dyDescent="0.25">
      <c r="B5116" s="37"/>
      <c r="C5116" s="37"/>
      <c r="D5116" s="37"/>
      <c r="E5116" s="37"/>
      <c r="F5116" s="37"/>
      <c r="G5116" s="70"/>
    </row>
    <row r="5117" spans="2:7" x14ac:dyDescent="0.25">
      <c r="B5117" s="37"/>
      <c r="C5117" s="37"/>
      <c r="D5117" s="37"/>
      <c r="E5117" s="37"/>
      <c r="F5117" s="37"/>
      <c r="G5117" s="70"/>
    </row>
    <row r="5118" spans="2:7" x14ac:dyDescent="0.25">
      <c r="B5118" s="37"/>
      <c r="C5118" s="37"/>
      <c r="D5118" s="37"/>
      <c r="E5118" s="37"/>
      <c r="F5118" s="37"/>
      <c r="G5118" s="70"/>
    </row>
    <row r="5119" spans="2:7" x14ac:dyDescent="0.25">
      <c r="B5119" s="37"/>
      <c r="C5119" s="37"/>
      <c r="D5119" s="37"/>
      <c r="E5119" s="37"/>
      <c r="F5119" s="37"/>
      <c r="G5119" s="70"/>
    </row>
    <row r="5120" spans="2:7" x14ac:dyDescent="0.25">
      <c r="B5120" s="37"/>
      <c r="C5120" s="37"/>
      <c r="D5120" s="37"/>
      <c r="E5120" s="37"/>
      <c r="F5120" s="37"/>
      <c r="G5120" s="70"/>
    </row>
    <row r="5121" spans="2:7" x14ac:dyDescent="0.25">
      <c r="B5121" s="37"/>
      <c r="C5121" s="37"/>
      <c r="D5121" s="37"/>
      <c r="E5121" s="37"/>
      <c r="F5121" s="37"/>
      <c r="G5121" s="70"/>
    </row>
    <row r="5122" spans="2:7" x14ac:dyDescent="0.25">
      <c r="B5122" s="37"/>
      <c r="C5122" s="37"/>
      <c r="D5122" s="37"/>
      <c r="E5122" s="37"/>
      <c r="F5122" s="37"/>
      <c r="G5122" s="70"/>
    </row>
    <row r="5123" spans="2:7" x14ac:dyDescent="0.25">
      <c r="B5123" s="37"/>
      <c r="C5123" s="37"/>
      <c r="D5123" s="37"/>
      <c r="E5123" s="37"/>
      <c r="F5123" s="37"/>
      <c r="G5123" s="70"/>
    </row>
    <row r="5124" spans="2:7" x14ac:dyDescent="0.25">
      <c r="B5124" s="37"/>
      <c r="C5124" s="37"/>
      <c r="D5124" s="37"/>
      <c r="E5124" s="37"/>
      <c r="F5124" s="37"/>
      <c r="G5124" s="70"/>
    </row>
    <row r="5125" spans="2:7" x14ac:dyDescent="0.25">
      <c r="B5125" s="37"/>
      <c r="C5125" s="37"/>
      <c r="D5125" s="37"/>
      <c r="E5125" s="37"/>
      <c r="F5125" s="37"/>
      <c r="G5125" s="70"/>
    </row>
    <row r="5126" spans="2:7" x14ac:dyDescent="0.25">
      <c r="B5126" s="37"/>
      <c r="C5126" s="37"/>
      <c r="D5126" s="37"/>
      <c r="E5126" s="37"/>
      <c r="F5126" s="37"/>
      <c r="G5126" s="70"/>
    </row>
    <row r="5127" spans="2:7" x14ac:dyDescent="0.25">
      <c r="B5127" s="37"/>
      <c r="C5127" s="37"/>
      <c r="D5127" s="37"/>
      <c r="E5127" s="37"/>
      <c r="F5127" s="37"/>
      <c r="G5127" s="70"/>
    </row>
    <row r="5128" spans="2:7" x14ac:dyDescent="0.25">
      <c r="B5128" s="37"/>
      <c r="C5128" s="37"/>
      <c r="D5128" s="37"/>
      <c r="E5128" s="37"/>
      <c r="F5128" s="37"/>
      <c r="G5128" s="70"/>
    </row>
    <row r="5129" spans="2:7" x14ac:dyDescent="0.25">
      <c r="B5129" s="37"/>
      <c r="C5129" s="37"/>
      <c r="D5129" s="37"/>
      <c r="E5129" s="37"/>
      <c r="F5129" s="37"/>
      <c r="G5129" s="70"/>
    </row>
    <row r="5130" spans="2:7" x14ac:dyDescent="0.25">
      <c r="B5130" s="37"/>
      <c r="C5130" s="37"/>
      <c r="D5130" s="37"/>
      <c r="E5130" s="37"/>
      <c r="F5130" s="37"/>
      <c r="G5130" s="70"/>
    </row>
    <row r="5131" spans="2:7" x14ac:dyDescent="0.25">
      <c r="B5131" s="37"/>
      <c r="C5131" s="37"/>
      <c r="D5131" s="37"/>
      <c r="E5131" s="37"/>
      <c r="F5131" s="37"/>
      <c r="G5131" s="70"/>
    </row>
    <row r="5132" spans="2:7" x14ac:dyDescent="0.25">
      <c r="B5132" s="37"/>
      <c r="C5132" s="37"/>
      <c r="D5132" s="37"/>
      <c r="E5132" s="37"/>
      <c r="F5132" s="37"/>
      <c r="G5132" s="70"/>
    </row>
    <row r="5133" spans="2:7" x14ac:dyDescent="0.25">
      <c r="B5133" s="37"/>
      <c r="C5133" s="37"/>
      <c r="D5133" s="37"/>
      <c r="E5133" s="37"/>
      <c r="F5133" s="37"/>
      <c r="G5133" s="70"/>
    </row>
    <row r="5134" spans="2:7" x14ac:dyDescent="0.25">
      <c r="B5134" s="37"/>
      <c r="C5134" s="37"/>
      <c r="D5134" s="37"/>
      <c r="E5134" s="37"/>
      <c r="F5134" s="37"/>
      <c r="G5134" s="70"/>
    </row>
    <row r="5135" spans="2:7" x14ac:dyDescent="0.25">
      <c r="B5135" s="37"/>
      <c r="C5135" s="37"/>
      <c r="D5135" s="37"/>
      <c r="E5135" s="37"/>
      <c r="F5135" s="37"/>
      <c r="G5135" s="70"/>
    </row>
    <row r="5136" spans="2:7" x14ac:dyDescent="0.25">
      <c r="B5136" s="37"/>
      <c r="C5136" s="37"/>
      <c r="D5136" s="37"/>
      <c r="E5136" s="37"/>
      <c r="F5136" s="37"/>
      <c r="G5136" s="70"/>
    </row>
    <row r="5137" spans="2:7" x14ac:dyDescent="0.25">
      <c r="B5137" s="37"/>
      <c r="C5137" s="37"/>
      <c r="D5137" s="37"/>
      <c r="E5137" s="37"/>
      <c r="F5137" s="37"/>
      <c r="G5137" s="70"/>
    </row>
    <row r="5138" spans="2:7" x14ac:dyDescent="0.25">
      <c r="B5138" s="37"/>
      <c r="C5138" s="37"/>
      <c r="D5138" s="37"/>
      <c r="E5138" s="37"/>
      <c r="F5138" s="37"/>
      <c r="G5138" s="70"/>
    </row>
    <row r="5139" spans="2:7" x14ac:dyDescent="0.25">
      <c r="B5139" s="37"/>
      <c r="C5139" s="37"/>
      <c r="D5139" s="37"/>
      <c r="E5139" s="37"/>
      <c r="F5139" s="37"/>
      <c r="G5139" s="70"/>
    </row>
    <row r="5140" spans="2:7" x14ac:dyDescent="0.25">
      <c r="B5140" s="37"/>
      <c r="C5140" s="37"/>
      <c r="D5140" s="37"/>
      <c r="E5140" s="37"/>
      <c r="F5140" s="37"/>
      <c r="G5140" s="70"/>
    </row>
    <row r="5141" spans="2:7" x14ac:dyDescent="0.25">
      <c r="B5141" s="37"/>
      <c r="C5141" s="37"/>
      <c r="D5141" s="37"/>
      <c r="E5141" s="37"/>
      <c r="F5141" s="37"/>
      <c r="G5141" s="70"/>
    </row>
    <row r="5142" spans="2:7" x14ac:dyDescent="0.25">
      <c r="B5142" s="37"/>
      <c r="C5142" s="37"/>
      <c r="D5142" s="37"/>
      <c r="E5142" s="37"/>
      <c r="F5142" s="37"/>
      <c r="G5142" s="70"/>
    </row>
    <row r="5143" spans="2:7" x14ac:dyDescent="0.25">
      <c r="B5143" s="37"/>
      <c r="C5143" s="37"/>
      <c r="D5143" s="37"/>
      <c r="E5143" s="37"/>
      <c r="F5143" s="37"/>
      <c r="G5143" s="70"/>
    </row>
    <row r="5144" spans="2:7" x14ac:dyDescent="0.25">
      <c r="B5144" s="37"/>
      <c r="C5144" s="37"/>
      <c r="D5144" s="37"/>
      <c r="E5144" s="37"/>
      <c r="F5144" s="37"/>
      <c r="G5144" s="70"/>
    </row>
    <row r="5145" spans="2:7" x14ac:dyDescent="0.25">
      <c r="B5145" s="37"/>
      <c r="C5145" s="37"/>
      <c r="D5145" s="37"/>
      <c r="E5145" s="37"/>
      <c r="F5145" s="37"/>
      <c r="G5145" s="70"/>
    </row>
    <row r="5146" spans="2:7" x14ac:dyDescent="0.25">
      <c r="B5146" s="37"/>
      <c r="C5146" s="37"/>
      <c r="D5146" s="37"/>
      <c r="E5146" s="37"/>
      <c r="F5146" s="37"/>
      <c r="G5146" s="70"/>
    </row>
    <row r="5147" spans="2:7" x14ac:dyDescent="0.25">
      <c r="B5147" s="37"/>
      <c r="C5147" s="37"/>
      <c r="D5147" s="37"/>
      <c r="E5147" s="37"/>
      <c r="F5147" s="37"/>
      <c r="G5147" s="70"/>
    </row>
    <row r="5148" spans="2:7" x14ac:dyDescent="0.25">
      <c r="B5148" s="37"/>
      <c r="C5148" s="37"/>
      <c r="D5148" s="37"/>
      <c r="E5148" s="37"/>
      <c r="F5148" s="37"/>
      <c r="G5148" s="70"/>
    </row>
    <row r="5149" spans="2:7" x14ac:dyDescent="0.25">
      <c r="B5149" s="37"/>
      <c r="C5149" s="37"/>
      <c r="D5149" s="37"/>
      <c r="E5149" s="37"/>
      <c r="F5149" s="37"/>
      <c r="G5149" s="70"/>
    </row>
    <row r="5150" spans="2:7" x14ac:dyDescent="0.25">
      <c r="B5150" s="37"/>
      <c r="C5150" s="37"/>
      <c r="D5150" s="37"/>
      <c r="E5150" s="37"/>
      <c r="F5150" s="37"/>
      <c r="G5150" s="70"/>
    </row>
    <row r="5151" spans="2:7" x14ac:dyDescent="0.25">
      <c r="B5151" s="37"/>
      <c r="C5151" s="37"/>
      <c r="D5151" s="37"/>
      <c r="E5151" s="37"/>
      <c r="F5151" s="37"/>
      <c r="G5151" s="70"/>
    </row>
    <row r="5152" spans="2:7" x14ac:dyDescent="0.25">
      <c r="B5152" s="37"/>
      <c r="C5152" s="37"/>
      <c r="D5152" s="37"/>
      <c r="E5152" s="37"/>
      <c r="F5152" s="37"/>
      <c r="G5152" s="70"/>
    </row>
    <row r="5153" spans="2:7" x14ac:dyDescent="0.25">
      <c r="B5153" s="37"/>
      <c r="C5153" s="37"/>
      <c r="D5153" s="37"/>
      <c r="E5153" s="37"/>
      <c r="F5153" s="37"/>
      <c r="G5153" s="70"/>
    </row>
    <row r="5154" spans="2:7" x14ac:dyDescent="0.25">
      <c r="B5154" s="37"/>
      <c r="C5154" s="37"/>
      <c r="D5154" s="37"/>
      <c r="E5154" s="37"/>
      <c r="F5154" s="37"/>
      <c r="G5154" s="70"/>
    </row>
    <row r="5155" spans="2:7" x14ac:dyDescent="0.25">
      <c r="B5155" s="37"/>
      <c r="C5155" s="37"/>
      <c r="D5155" s="37"/>
      <c r="E5155" s="37"/>
      <c r="F5155" s="37"/>
      <c r="G5155" s="70"/>
    </row>
    <row r="5156" spans="2:7" x14ac:dyDescent="0.25">
      <c r="B5156" s="37"/>
      <c r="C5156" s="37"/>
      <c r="D5156" s="37"/>
      <c r="E5156" s="37"/>
      <c r="F5156" s="37"/>
      <c r="G5156" s="70"/>
    </row>
    <row r="5157" spans="2:7" x14ac:dyDescent="0.25">
      <c r="B5157" s="37"/>
      <c r="C5157" s="37"/>
      <c r="D5157" s="37"/>
      <c r="E5157" s="37"/>
      <c r="F5157" s="37"/>
      <c r="G5157" s="70"/>
    </row>
    <row r="5158" spans="2:7" x14ac:dyDescent="0.25">
      <c r="B5158" s="37"/>
      <c r="C5158" s="37"/>
      <c r="D5158" s="37"/>
      <c r="E5158" s="37"/>
      <c r="F5158" s="37"/>
      <c r="G5158" s="70"/>
    </row>
    <row r="5159" spans="2:7" x14ac:dyDescent="0.25">
      <c r="B5159" s="37"/>
      <c r="C5159" s="37"/>
      <c r="D5159" s="37"/>
      <c r="E5159" s="37"/>
      <c r="F5159" s="37"/>
      <c r="G5159" s="70"/>
    </row>
    <row r="5160" spans="2:7" x14ac:dyDescent="0.25">
      <c r="B5160" s="37"/>
      <c r="C5160" s="37"/>
      <c r="D5160" s="37"/>
      <c r="E5160" s="37"/>
      <c r="F5160" s="37"/>
      <c r="G5160" s="70"/>
    </row>
    <row r="5161" spans="2:7" x14ac:dyDescent="0.25">
      <c r="B5161" s="37"/>
      <c r="C5161" s="37"/>
      <c r="D5161" s="37"/>
      <c r="E5161" s="37"/>
      <c r="F5161" s="37"/>
      <c r="G5161" s="70"/>
    </row>
    <row r="5162" spans="2:7" x14ac:dyDescent="0.25">
      <c r="B5162" s="37"/>
      <c r="C5162" s="37"/>
      <c r="D5162" s="37"/>
      <c r="E5162" s="37"/>
      <c r="F5162" s="37"/>
      <c r="G5162" s="70"/>
    </row>
    <row r="5163" spans="2:7" x14ac:dyDescent="0.25">
      <c r="B5163" s="37"/>
      <c r="C5163" s="37"/>
      <c r="D5163" s="37"/>
      <c r="E5163" s="37"/>
      <c r="F5163" s="37"/>
      <c r="G5163" s="70"/>
    </row>
    <row r="5164" spans="2:7" x14ac:dyDescent="0.25">
      <c r="B5164" s="37"/>
      <c r="C5164" s="37"/>
      <c r="D5164" s="37"/>
      <c r="E5164" s="37"/>
      <c r="F5164" s="37"/>
      <c r="G5164" s="70"/>
    </row>
    <row r="5165" spans="2:7" x14ac:dyDescent="0.25">
      <c r="B5165" s="37"/>
      <c r="C5165" s="37"/>
      <c r="D5165" s="37"/>
      <c r="E5165" s="37"/>
      <c r="F5165" s="37"/>
      <c r="G5165" s="70"/>
    </row>
    <row r="5166" spans="2:7" x14ac:dyDescent="0.25">
      <c r="B5166" s="37"/>
      <c r="C5166" s="37"/>
      <c r="D5166" s="37"/>
      <c r="E5166" s="37"/>
      <c r="F5166" s="37"/>
      <c r="G5166" s="70"/>
    </row>
    <row r="5167" spans="2:7" x14ac:dyDescent="0.25">
      <c r="B5167" s="37"/>
      <c r="C5167" s="37"/>
      <c r="D5167" s="37"/>
      <c r="E5167" s="37"/>
      <c r="F5167" s="37"/>
      <c r="G5167" s="70"/>
    </row>
    <row r="5168" spans="2:7" x14ac:dyDescent="0.25">
      <c r="B5168" s="37"/>
      <c r="C5168" s="37"/>
      <c r="D5168" s="37"/>
      <c r="E5168" s="37"/>
      <c r="F5168" s="37"/>
      <c r="G5168" s="70"/>
    </row>
    <row r="5169" spans="2:7" x14ac:dyDescent="0.25">
      <c r="B5169" s="37"/>
      <c r="C5169" s="37"/>
      <c r="D5169" s="37"/>
      <c r="E5169" s="37"/>
      <c r="F5169" s="37"/>
      <c r="G5169" s="70"/>
    </row>
    <row r="5170" spans="2:7" x14ac:dyDescent="0.25">
      <c r="B5170" s="37"/>
      <c r="C5170" s="37"/>
      <c r="D5170" s="37"/>
      <c r="E5170" s="37"/>
      <c r="F5170" s="37"/>
      <c r="G5170" s="70"/>
    </row>
    <row r="5171" spans="2:7" x14ac:dyDescent="0.25">
      <c r="B5171" s="37"/>
      <c r="C5171" s="37"/>
      <c r="D5171" s="37"/>
      <c r="E5171" s="37"/>
      <c r="F5171" s="37"/>
      <c r="G5171" s="70"/>
    </row>
    <row r="5172" spans="2:7" x14ac:dyDescent="0.25">
      <c r="B5172" s="37"/>
      <c r="C5172" s="37"/>
      <c r="D5172" s="37"/>
      <c r="E5172" s="37"/>
      <c r="F5172" s="37"/>
      <c r="G5172" s="70"/>
    </row>
    <row r="5173" spans="2:7" x14ac:dyDescent="0.25">
      <c r="B5173" s="37"/>
      <c r="C5173" s="37"/>
      <c r="D5173" s="37"/>
      <c r="E5173" s="37"/>
      <c r="F5173" s="37"/>
      <c r="G5173" s="70"/>
    </row>
    <row r="5174" spans="2:7" x14ac:dyDescent="0.25">
      <c r="B5174" s="37"/>
      <c r="C5174" s="37"/>
      <c r="D5174" s="37"/>
      <c r="E5174" s="37"/>
      <c r="F5174" s="37"/>
      <c r="G5174" s="70"/>
    </row>
    <row r="5175" spans="2:7" x14ac:dyDescent="0.25">
      <c r="B5175" s="37"/>
      <c r="C5175" s="37"/>
      <c r="D5175" s="37"/>
      <c r="E5175" s="37"/>
      <c r="F5175" s="37"/>
      <c r="G5175" s="70"/>
    </row>
    <row r="5176" spans="2:7" x14ac:dyDescent="0.25">
      <c r="B5176" s="37"/>
      <c r="C5176" s="37"/>
      <c r="D5176" s="37"/>
      <c r="E5176" s="37"/>
      <c r="F5176" s="37"/>
      <c r="G5176" s="70"/>
    </row>
    <row r="5177" spans="2:7" x14ac:dyDescent="0.25">
      <c r="B5177" s="37"/>
      <c r="C5177" s="37"/>
      <c r="D5177" s="37"/>
      <c r="E5177" s="37"/>
      <c r="F5177" s="37"/>
      <c r="G5177" s="70"/>
    </row>
    <row r="5178" spans="2:7" x14ac:dyDescent="0.25">
      <c r="B5178" s="37"/>
      <c r="C5178" s="37"/>
      <c r="D5178" s="37"/>
      <c r="E5178" s="37"/>
      <c r="F5178" s="37"/>
      <c r="G5178" s="70"/>
    </row>
    <row r="5179" spans="2:7" x14ac:dyDescent="0.25">
      <c r="B5179" s="37"/>
      <c r="C5179" s="37"/>
      <c r="D5179" s="37"/>
      <c r="E5179" s="37"/>
      <c r="F5179" s="37"/>
      <c r="G5179" s="70"/>
    </row>
    <row r="5180" spans="2:7" x14ac:dyDescent="0.25">
      <c r="B5180" s="37"/>
      <c r="C5180" s="37"/>
      <c r="D5180" s="37"/>
      <c r="E5180" s="37"/>
      <c r="F5180" s="37"/>
      <c r="G5180" s="70"/>
    </row>
    <row r="5181" spans="2:7" x14ac:dyDescent="0.25">
      <c r="B5181" s="37"/>
      <c r="C5181" s="37"/>
      <c r="D5181" s="37"/>
      <c r="E5181" s="37"/>
      <c r="F5181" s="37"/>
      <c r="G5181" s="70"/>
    </row>
    <row r="5182" spans="2:7" x14ac:dyDescent="0.25">
      <c r="B5182" s="37"/>
      <c r="C5182" s="37"/>
      <c r="D5182" s="37"/>
      <c r="E5182" s="37"/>
      <c r="F5182" s="37"/>
      <c r="G5182" s="70"/>
    </row>
    <row r="5183" spans="2:7" x14ac:dyDescent="0.25">
      <c r="B5183" s="37"/>
      <c r="C5183" s="37"/>
      <c r="D5183" s="37"/>
      <c r="E5183" s="37"/>
      <c r="F5183" s="37"/>
      <c r="G5183" s="70"/>
    </row>
    <row r="5184" spans="2:7" x14ac:dyDescent="0.25">
      <c r="B5184" s="37"/>
      <c r="C5184" s="37"/>
      <c r="D5184" s="37"/>
      <c r="E5184" s="37"/>
      <c r="F5184" s="37"/>
      <c r="G5184" s="70"/>
    </row>
    <row r="5185" spans="2:7" x14ac:dyDescent="0.25">
      <c r="B5185" s="37"/>
      <c r="C5185" s="37"/>
      <c r="D5185" s="37"/>
      <c r="E5185" s="37"/>
      <c r="F5185" s="37"/>
      <c r="G5185" s="70"/>
    </row>
    <row r="5186" spans="2:7" x14ac:dyDescent="0.25">
      <c r="B5186" s="37"/>
      <c r="C5186" s="37"/>
      <c r="D5186" s="37"/>
      <c r="E5186" s="37"/>
      <c r="F5186" s="37"/>
      <c r="G5186" s="70"/>
    </row>
    <row r="5187" spans="2:7" x14ac:dyDescent="0.25">
      <c r="B5187" s="37"/>
      <c r="C5187" s="37"/>
      <c r="D5187" s="37"/>
      <c r="E5187" s="37"/>
      <c r="F5187" s="37"/>
      <c r="G5187" s="70"/>
    </row>
    <row r="5188" spans="2:7" x14ac:dyDescent="0.25">
      <c r="B5188" s="37"/>
      <c r="C5188" s="37"/>
      <c r="D5188" s="37"/>
      <c r="E5188" s="37"/>
      <c r="F5188" s="37"/>
      <c r="G5188" s="70"/>
    </row>
    <row r="5189" spans="2:7" x14ac:dyDescent="0.25">
      <c r="B5189" s="37"/>
      <c r="C5189" s="37"/>
      <c r="D5189" s="37"/>
      <c r="E5189" s="37"/>
      <c r="F5189" s="37"/>
      <c r="G5189" s="70"/>
    </row>
    <row r="5190" spans="2:7" x14ac:dyDescent="0.25">
      <c r="B5190" s="37"/>
      <c r="C5190" s="37"/>
      <c r="D5190" s="37"/>
      <c r="E5190" s="37"/>
      <c r="F5190" s="37"/>
      <c r="G5190" s="70"/>
    </row>
    <row r="5191" spans="2:7" x14ac:dyDescent="0.25">
      <c r="B5191" s="37"/>
      <c r="C5191" s="37"/>
      <c r="D5191" s="37"/>
      <c r="E5191" s="37"/>
      <c r="F5191" s="37"/>
      <c r="G5191" s="70"/>
    </row>
    <row r="5192" spans="2:7" x14ac:dyDescent="0.25">
      <c r="B5192" s="37"/>
      <c r="C5192" s="37"/>
      <c r="D5192" s="37"/>
      <c r="E5192" s="37"/>
      <c r="F5192" s="37"/>
      <c r="G5192" s="70"/>
    </row>
    <row r="5193" spans="2:7" x14ac:dyDescent="0.25">
      <c r="B5193" s="37"/>
      <c r="C5193" s="37"/>
      <c r="D5193" s="37"/>
      <c r="E5193" s="37"/>
      <c r="F5193" s="37"/>
      <c r="G5193" s="70"/>
    </row>
    <row r="5194" spans="2:7" x14ac:dyDescent="0.25">
      <c r="B5194" s="37"/>
      <c r="C5194" s="37"/>
      <c r="D5194" s="37"/>
      <c r="E5194" s="37"/>
      <c r="F5194" s="37"/>
      <c r="G5194" s="70"/>
    </row>
    <row r="5195" spans="2:7" x14ac:dyDescent="0.25">
      <c r="B5195" s="37"/>
      <c r="C5195" s="37"/>
      <c r="D5195" s="37"/>
      <c r="E5195" s="37"/>
      <c r="F5195" s="37"/>
      <c r="G5195" s="70"/>
    </row>
    <row r="5196" spans="2:7" x14ac:dyDescent="0.25">
      <c r="B5196" s="37"/>
      <c r="C5196" s="37"/>
      <c r="D5196" s="37"/>
      <c r="E5196" s="37"/>
      <c r="F5196" s="37"/>
      <c r="G5196" s="70"/>
    </row>
    <row r="5197" spans="2:7" x14ac:dyDescent="0.25">
      <c r="B5197" s="37"/>
      <c r="C5197" s="37"/>
      <c r="D5197" s="37"/>
      <c r="E5197" s="37"/>
      <c r="F5197" s="37"/>
      <c r="G5197" s="70"/>
    </row>
    <row r="5198" spans="2:7" x14ac:dyDescent="0.25">
      <c r="B5198" s="37"/>
      <c r="C5198" s="37"/>
      <c r="D5198" s="37"/>
      <c r="E5198" s="37"/>
      <c r="F5198" s="37"/>
      <c r="G5198" s="70"/>
    </row>
    <row r="5199" spans="2:7" x14ac:dyDescent="0.25">
      <c r="B5199" s="37"/>
      <c r="C5199" s="37"/>
      <c r="D5199" s="37"/>
      <c r="E5199" s="37"/>
      <c r="F5199" s="37"/>
      <c r="G5199" s="70"/>
    </row>
    <row r="5200" spans="2:7" x14ac:dyDescent="0.25">
      <c r="B5200" s="37"/>
      <c r="C5200" s="37"/>
      <c r="D5200" s="37"/>
      <c r="E5200" s="37"/>
      <c r="F5200" s="37"/>
      <c r="G5200" s="70"/>
    </row>
    <row r="5201" spans="2:7" x14ac:dyDescent="0.25">
      <c r="B5201" s="37"/>
      <c r="C5201" s="37"/>
      <c r="D5201" s="37"/>
      <c r="E5201" s="37"/>
      <c r="F5201" s="37"/>
      <c r="G5201" s="70"/>
    </row>
    <row r="5202" spans="2:7" x14ac:dyDescent="0.25">
      <c r="B5202" s="37"/>
      <c r="C5202" s="37"/>
      <c r="D5202" s="37"/>
      <c r="E5202" s="37"/>
      <c r="F5202" s="37"/>
      <c r="G5202" s="70"/>
    </row>
    <row r="5203" spans="2:7" x14ac:dyDescent="0.25">
      <c r="B5203" s="37"/>
      <c r="C5203" s="37"/>
      <c r="D5203" s="37"/>
      <c r="E5203" s="37"/>
      <c r="F5203" s="37"/>
      <c r="G5203" s="70"/>
    </row>
    <row r="5204" spans="2:7" x14ac:dyDescent="0.25">
      <c r="B5204" s="37"/>
      <c r="C5204" s="37"/>
      <c r="D5204" s="37"/>
      <c r="E5204" s="37"/>
      <c r="F5204" s="37"/>
      <c r="G5204" s="70"/>
    </row>
    <row r="5205" spans="2:7" x14ac:dyDescent="0.25">
      <c r="B5205" s="37"/>
      <c r="C5205" s="37"/>
      <c r="D5205" s="37"/>
      <c r="E5205" s="37"/>
      <c r="F5205" s="37"/>
      <c r="G5205" s="70"/>
    </row>
    <row r="5206" spans="2:7" x14ac:dyDescent="0.25">
      <c r="B5206" s="37"/>
      <c r="C5206" s="37"/>
      <c r="D5206" s="37"/>
      <c r="E5206" s="37"/>
      <c r="F5206" s="37"/>
      <c r="G5206" s="70"/>
    </row>
    <row r="5207" spans="2:7" x14ac:dyDescent="0.25">
      <c r="B5207" s="37"/>
      <c r="C5207" s="37"/>
      <c r="D5207" s="37"/>
      <c r="E5207" s="37"/>
      <c r="F5207" s="37"/>
      <c r="G5207" s="70"/>
    </row>
    <row r="5208" spans="2:7" x14ac:dyDescent="0.25">
      <c r="B5208" s="37"/>
      <c r="C5208" s="37"/>
      <c r="D5208" s="37"/>
      <c r="E5208" s="37"/>
      <c r="F5208" s="37"/>
      <c r="G5208" s="70"/>
    </row>
    <row r="5209" spans="2:7" x14ac:dyDescent="0.25">
      <c r="B5209" s="37"/>
      <c r="C5209" s="37"/>
      <c r="D5209" s="37"/>
      <c r="E5209" s="37"/>
      <c r="F5209" s="37"/>
      <c r="G5209" s="70"/>
    </row>
    <row r="5210" spans="2:7" x14ac:dyDescent="0.25">
      <c r="B5210" s="37"/>
      <c r="C5210" s="37"/>
      <c r="D5210" s="37"/>
      <c r="E5210" s="37"/>
      <c r="F5210" s="37"/>
      <c r="G5210" s="70"/>
    </row>
    <row r="5211" spans="2:7" x14ac:dyDescent="0.25">
      <c r="B5211" s="37"/>
      <c r="C5211" s="37"/>
      <c r="D5211" s="37"/>
      <c r="E5211" s="37"/>
      <c r="F5211" s="37"/>
      <c r="G5211" s="70"/>
    </row>
    <row r="5212" spans="2:7" x14ac:dyDescent="0.25">
      <c r="B5212" s="37"/>
      <c r="C5212" s="37"/>
      <c r="D5212" s="37"/>
      <c r="E5212" s="37"/>
      <c r="F5212" s="37"/>
      <c r="G5212" s="70"/>
    </row>
    <row r="5213" spans="2:7" x14ac:dyDescent="0.25">
      <c r="B5213" s="37"/>
      <c r="C5213" s="37"/>
      <c r="D5213" s="37"/>
      <c r="E5213" s="37"/>
      <c r="F5213" s="37"/>
      <c r="G5213" s="70"/>
    </row>
    <row r="5214" spans="2:7" x14ac:dyDescent="0.25">
      <c r="B5214" s="37"/>
      <c r="C5214" s="37"/>
      <c r="D5214" s="37"/>
      <c r="E5214" s="37"/>
      <c r="F5214" s="37"/>
      <c r="G5214" s="70"/>
    </row>
    <row r="5215" spans="2:7" x14ac:dyDescent="0.25">
      <c r="B5215" s="37"/>
      <c r="C5215" s="37"/>
      <c r="D5215" s="37"/>
      <c r="E5215" s="37"/>
      <c r="F5215" s="37"/>
      <c r="G5215" s="70"/>
    </row>
    <row r="5216" spans="2:7" x14ac:dyDescent="0.25">
      <c r="B5216" s="37"/>
      <c r="C5216" s="37"/>
      <c r="D5216" s="37"/>
      <c r="E5216" s="37"/>
      <c r="F5216" s="37"/>
      <c r="G5216" s="70"/>
    </row>
    <row r="5217" spans="2:7" x14ac:dyDescent="0.25">
      <c r="B5217" s="37"/>
      <c r="C5217" s="37"/>
      <c r="D5217" s="37"/>
      <c r="E5217" s="37"/>
      <c r="F5217" s="37"/>
      <c r="G5217" s="70"/>
    </row>
    <row r="5218" spans="2:7" x14ac:dyDescent="0.25">
      <c r="B5218" s="37"/>
      <c r="C5218" s="37"/>
      <c r="D5218" s="37"/>
      <c r="E5218" s="37"/>
      <c r="F5218" s="37"/>
      <c r="G5218" s="70"/>
    </row>
    <row r="5219" spans="2:7" x14ac:dyDescent="0.25">
      <c r="B5219" s="37"/>
      <c r="C5219" s="37"/>
      <c r="D5219" s="37"/>
      <c r="E5219" s="37"/>
      <c r="F5219" s="37"/>
      <c r="G5219" s="70"/>
    </row>
    <row r="5220" spans="2:7" x14ac:dyDescent="0.25">
      <c r="B5220" s="37"/>
      <c r="C5220" s="37"/>
      <c r="D5220" s="37"/>
      <c r="E5220" s="37"/>
      <c r="F5220" s="37"/>
      <c r="G5220" s="70"/>
    </row>
    <row r="5221" spans="2:7" x14ac:dyDescent="0.25">
      <c r="B5221" s="37"/>
      <c r="C5221" s="37"/>
      <c r="D5221" s="37"/>
      <c r="E5221" s="37"/>
      <c r="F5221" s="37"/>
      <c r="G5221" s="70"/>
    </row>
    <row r="5222" spans="2:7" x14ac:dyDescent="0.25">
      <c r="B5222" s="37"/>
      <c r="C5222" s="37"/>
      <c r="D5222" s="37"/>
      <c r="E5222" s="37"/>
      <c r="F5222" s="37"/>
      <c r="G5222" s="70"/>
    </row>
    <row r="5223" spans="2:7" x14ac:dyDescent="0.25">
      <c r="B5223" s="37"/>
      <c r="C5223" s="37"/>
      <c r="D5223" s="37"/>
      <c r="E5223" s="37"/>
      <c r="F5223" s="37"/>
      <c r="G5223" s="70"/>
    </row>
    <row r="5224" spans="2:7" x14ac:dyDescent="0.25">
      <c r="B5224" s="37"/>
      <c r="C5224" s="37"/>
      <c r="D5224" s="37"/>
      <c r="E5224" s="37"/>
      <c r="F5224" s="37"/>
      <c r="G5224" s="70"/>
    </row>
    <row r="5225" spans="2:7" x14ac:dyDescent="0.25">
      <c r="B5225" s="37"/>
      <c r="C5225" s="37"/>
      <c r="D5225" s="37"/>
      <c r="E5225" s="37"/>
      <c r="F5225" s="37"/>
      <c r="G5225" s="70"/>
    </row>
    <row r="5226" spans="2:7" x14ac:dyDescent="0.25">
      <c r="B5226" s="37"/>
      <c r="C5226" s="37"/>
      <c r="D5226" s="37"/>
      <c r="E5226" s="37"/>
      <c r="F5226" s="37"/>
      <c r="G5226" s="70"/>
    </row>
    <row r="5227" spans="2:7" x14ac:dyDescent="0.25">
      <c r="B5227" s="37"/>
      <c r="C5227" s="37"/>
      <c r="D5227" s="37"/>
      <c r="E5227" s="37"/>
      <c r="F5227" s="37"/>
      <c r="G5227" s="70"/>
    </row>
    <row r="5228" spans="2:7" x14ac:dyDescent="0.25">
      <c r="B5228" s="37"/>
      <c r="C5228" s="37"/>
      <c r="D5228" s="37"/>
      <c r="E5228" s="37"/>
      <c r="F5228" s="37"/>
      <c r="G5228" s="70"/>
    </row>
    <row r="5229" spans="2:7" x14ac:dyDescent="0.25">
      <c r="B5229" s="37"/>
      <c r="C5229" s="37"/>
      <c r="D5229" s="37"/>
      <c r="E5229" s="37"/>
      <c r="F5229" s="37"/>
      <c r="G5229" s="70"/>
    </row>
    <row r="5230" spans="2:7" x14ac:dyDescent="0.25">
      <c r="B5230" s="37"/>
      <c r="C5230" s="37"/>
      <c r="D5230" s="37"/>
      <c r="E5230" s="37"/>
      <c r="F5230" s="37"/>
      <c r="G5230" s="70"/>
    </row>
    <row r="5231" spans="2:7" x14ac:dyDescent="0.25">
      <c r="B5231" s="37"/>
      <c r="C5231" s="37"/>
      <c r="D5231" s="37"/>
      <c r="E5231" s="37"/>
      <c r="F5231" s="37"/>
      <c r="G5231" s="70"/>
    </row>
    <row r="5232" spans="2:7" x14ac:dyDescent="0.25">
      <c r="B5232" s="37"/>
      <c r="C5232" s="37"/>
      <c r="D5232" s="37"/>
      <c r="E5232" s="37"/>
      <c r="F5232" s="37"/>
      <c r="G5232" s="70"/>
    </row>
    <row r="5233" spans="2:7" x14ac:dyDescent="0.25">
      <c r="B5233" s="37"/>
      <c r="C5233" s="37"/>
      <c r="D5233" s="37"/>
      <c r="E5233" s="37"/>
      <c r="F5233" s="37"/>
      <c r="G5233" s="70"/>
    </row>
    <row r="5234" spans="2:7" x14ac:dyDescent="0.25">
      <c r="B5234" s="37"/>
      <c r="C5234" s="37"/>
      <c r="D5234" s="37"/>
      <c r="E5234" s="37"/>
      <c r="F5234" s="37"/>
      <c r="G5234" s="70"/>
    </row>
    <row r="5235" spans="2:7" x14ac:dyDescent="0.25">
      <c r="B5235" s="37"/>
      <c r="C5235" s="37"/>
      <c r="D5235" s="37"/>
      <c r="E5235" s="37"/>
      <c r="F5235" s="37"/>
      <c r="G5235" s="70"/>
    </row>
    <row r="5236" spans="2:7" x14ac:dyDescent="0.25">
      <c r="B5236" s="37"/>
      <c r="C5236" s="37"/>
      <c r="D5236" s="37"/>
      <c r="E5236" s="37"/>
      <c r="F5236" s="37"/>
      <c r="G5236" s="70"/>
    </row>
    <row r="5237" spans="2:7" x14ac:dyDescent="0.25">
      <c r="B5237" s="37"/>
      <c r="C5237" s="37"/>
      <c r="D5237" s="37"/>
      <c r="E5237" s="37"/>
      <c r="F5237" s="37"/>
      <c r="G5237" s="70"/>
    </row>
    <row r="5238" spans="2:7" x14ac:dyDescent="0.25">
      <c r="B5238" s="37"/>
      <c r="C5238" s="37"/>
      <c r="D5238" s="37"/>
      <c r="E5238" s="37"/>
      <c r="F5238" s="37"/>
      <c r="G5238" s="70"/>
    </row>
    <row r="5239" spans="2:7" x14ac:dyDescent="0.25">
      <c r="B5239" s="37"/>
      <c r="C5239" s="37"/>
      <c r="D5239" s="37"/>
      <c r="E5239" s="37"/>
      <c r="F5239" s="37"/>
      <c r="G5239" s="70"/>
    </row>
    <row r="5240" spans="2:7" x14ac:dyDescent="0.25">
      <c r="B5240" s="37"/>
      <c r="C5240" s="37"/>
      <c r="D5240" s="37"/>
      <c r="E5240" s="37"/>
      <c r="F5240" s="37"/>
      <c r="G5240" s="70"/>
    </row>
    <row r="5241" spans="2:7" x14ac:dyDescent="0.25">
      <c r="B5241" s="37"/>
      <c r="C5241" s="37"/>
      <c r="D5241" s="37"/>
      <c r="E5241" s="37"/>
      <c r="F5241" s="37"/>
      <c r="G5241" s="70"/>
    </row>
    <row r="5242" spans="2:7" x14ac:dyDescent="0.25">
      <c r="B5242" s="37"/>
      <c r="C5242" s="37"/>
      <c r="D5242" s="37"/>
      <c r="E5242" s="37"/>
      <c r="F5242" s="37"/>
      <c r="G5242" s="70"/>
    </row>
    <row r="5243" spans="2:7" x14ac:dyDescent="0.25">
      <c r="B5243" s="37"/>
      <c r="C5243" s="37"/>
      <c r="D5243" s="37"/>
      <c r="E5243" s="37"/>
      <c r="F5243" s="37"/>
      <c r="G5243" s="70"/>
    </row>
    <row r="5244" spans="2:7" x14ac:dyDescent="0.25">
      <c r="B5244" s="37"/>
      <c r="C5244" s="37"/>
      <c r="D5244" s="37"/>
      <c r="E5244" s="37"/>
      <c r="F5244" s="37"/>
      <c r="G5244" s="70"/>
    </row>
    <row r="5245" spans="2:7" x14ac:dyDescent="0.25">
      <c r="B5245" s="37"/>
      <c r="C5245" s="37"/>
      <c r="D5245" s="37"/>
      <c r="E5245" s="37"/>
      <c r="F5245" s="37"/>
      <c r="G5245" s="70"/>
    </row>
    <row r="5246" spans="2:7" x14ac:dyDescent="0.25">
      <c r="B5246" s="37"/>
      <c r="C5246" s="37"/>
      <c r="D5246" s="37"/>
      <c r="E5246" s="37"/>
      <c r="F5246" s="37"/>
      <c r="G5246" s="70"/>
    </row>
    <row r="5247" spans="2:7" x14ac:dyDescent="0.25">
      <c r="B5247" s="37"/>
      <c r="C5247" s="37"/>
      <c r="D5247" s="37"/>
      <c r="E5247" s="37"/>
      <c r="F5247" s="37"/>
      <c r="G5247" s="70"/>
    </row>
    <row r="5248" spans="2:7" x14ac:dyDescent="0.25">
      <c r="B5248" s="37"/>
      <c r="C5248" s="37"/>
      <c r="D5248" s="37"/>
      <c r="E5248" s="37"/>
      <c r="F5248" s="37"/>
      <c r="G5248" s="70"/>
    </row>
    <row r="5249" spans="2:7" x14ac:dyDescent="0.25">
      <c r="B5249" s="37"/>
      <c r="C5249" s="37"/>
      <c r="D5249" s="37"/>
      <c r="E5249" s="37"/>
      <c r="F5249" s="37"/>
      <c r="G5249" s="70"/>
    </row>
    <row r="5250" spans="2:7" x14ac:dyDescent="0.25">
      <c r="B5250" s="37"/>
      <c r="C5250" s="37"/>
      <c r="D5250" s="37"/>
      <c r="E5250" s="37"/>
      <c r="F5250" s="37"/>
      <c r="G5250" s="70"/>
    </row>
    <row r="5251" spans="2:7" x14ac:dyDescent="0.25">
      <c r="B5251" s="37"/>
      <c r="C5251" s="37"/>
      <c r="D5251" s="37"/>
      <c r="E5251" s="37"/>
      <c r="F5251" s="37"/>
      <c r="G5251" s="70"/>
    </row>
    <row r="5252" spans="2:7" x14ac:dyDescent="0.25">
      <c r="B5252" s="37"/>
      <c r="C5252" s="37"/>
      <c r="D5252" s="37"/>
      <c r="E5252" s="37"/>
      <c r="F5252" s="37"/>
      <c r="G5252" s="70"/>
    </row>
    <row r="5253" spans="2:7" x14ac:dyDescent="0.25">
      <c r="B5253" s="37"/>
      <c r="C5253" s="37"/>
      <c r="D5253" s="37"/>
      <c r="E5253" s="37"/>
      <c r="F5253" s="37"/>
      <c r="G5253" s="70"/>
    </row>
    <row r="5254" spans="2:7" x14ac:dyDescent="0.25">
      <c r="B5254" s="37"/>
      <c r="C5254" s="37"/>
      <c r="D5254" s="37"/>
      <c r="E5254" s="37"/>
      <c r="F5254" s="37"/>
      <c r="G5254" s="70"/>
    </row>
    <row r="5255" spans="2:7" x14ac:dyDescent="0.25">
      <c r="B5255" s="37"/>
      <c r="C5255" s="37"/>
      <c r="D5255" s="37"/>
      <c r="E5255" s="37"/>
      <c r="F5255" s="37"/>
      <c r="G5255" s="70"/>
    </row>
    <row r="5256" spans="2:7" x14ac:dyDescent="0.25">
      <c r="B5256" s="37"/>
      <c r="C5256" s="37"/>
      <c r="D5256" s="37"/>
      <c r="E5256" s="37"/>
      <c r="F5256" s="37"/>
      <c r="G5256" s="70"/>
    </row>
    <row r="5257" spans="2:7" x14ac:dyDescent="0.25">
      <c r="B5257" s="37"/>
      <c r="C5257" s="37"/>
      <c r="D5257" s="37"/>
      <c r="E5257" s="37"/>
      <c r="F5257" s="37"/>
      <c r="G5257" s="70"/>
    </row>
    <row r="5258" spans="2:7" x14ac:dyDescent="0.25">
      <c r="B5258" s="37"/>
      <c r="C5258" s="37"/>
      <c r="D5258" s="37"/>
      <c r="E5258" s="37"/>
      <c r="F5258" s="37"/>
      <c r="G5258" s="70"/>
    </row>
    <row r="5259" spans="2:7" x14ac:dyDescent="0.25">
      <c r="B5259" s="37"/>
      <c r="C5259" s="37"/>
      <c r="D5259" s="37"/>
      <c r="E5259" s="37"/>
      <c r="F5259" s="37"/>
      <c r="G5259" s="70"/>
    </row>
    <row r="5260" spans="2:7" x14ac:dyDescent="0.25">
      <c r="B5260" s="37"/>
      <c r="C5260" s="37"/>
      <c r="D5260" s="37"/>
      <c r="E5260" s="37"/>
      <c r="F5260" s="37"/>
      <c r="G5260" s="70"/>
    </row>
    <row r="5261" spans="2:7" x14ac:dyDescent="0.25">
      <c r="B5261" s="37"/>
      <c r="C5261" s="37"/>
      <c r="D5261" s="37"/>
      <c r="E5261" s="37"/>
      <c r="F5261" s="37"/>
      <c r="G5261" s="70"/>
    </row>
    <row r="5262" spans="2:7" x14ac:dyDescent="0.25">
      <c r="B5262" s="37"/>
      <c r="C5262" s="37"/>
      <c r="D5262" s="37"/>
      <c r="E5262" s="37"/>
      <c r="F5262" s="37"/>
      <c r="G5262" s="70"/>
    </row>
    <row r="5263" spans="2:7" x14ac:dyDescent="0.25">
      <c r="B5263" s="37"/>
      <c r="C5263" s="37"/>
      <c r="D5263" s="37"/>
      <c r="E5263" s="37"/>
      <c r="F5263" s="37"/>
      <c r="G5263" s="70"/>
    </row>
    <row r="5264" spans="2:7" x14ac:dyDescent="0.25">
      <c r="B5264" s="37"/>
      <c r="C5264" s="37"/>
      <c r="D5264" s="37"/>
      <c r="E5264" s="37"/>
      <c r="F5264" s="37"/>
      <c r="G5264" s="70"/>
    </row>
    <row r="5265" spans="2:7" x14ac:dyDescent="0.25">
      <c r="B5265" s="37"/>
      <c r="C5265" s="37"/>
      <c r="D5265" s="37"/>
      <c r="E5265" s="37"/>
      <c r="F5265" s="37"/>
      <c r="G5265" s="70"/>
    </row>
    <row r="5266" spans="2:7" x14ac:dyDescent="0.25">
      <c r="B5266" s="37"/>
      <c r="C5266" s="37"/>
      <c r="D5266" s="37"/>
      <c r="E5266" s="37"/>
      <c r="F5266" s="37"/>
      <c r="G5266" s="70"/>
    </row>
    <row r="5267" spans="2:7" x14ac:dyDescent="0.25">
      <c r="B5267" s="37"/>
      <c r="C5267" s="37"/>
      <c r="D5267" s="37"/>
      <c r="E5267" s="37"/>
      <c r="F5267" s="37"/>
      <c r="G5267" s="70"/>
    </row>
    <row r="5268" spans="2:7" x14ac:dyDescent="0.25">
      <c r="B5268" s="37"/>
      <c r="C5268" s="37"/>
      <c r="D5268" s="37"/>
      <c r="E5268" s="37"/>
      <c r="F5268" s="37"/>
      <c r="G5268" s="70"/>
    </row>
    <row r="5269" spans="2:7" x14ac:dyDescent="0.25">
      <c r="B5269" s="37"/>
      <c r="C5269" s="37"/>
      <c r="D5269" s="37"/>
      <c r="E5269" s="37"/>
      <c r="F5269" s="37"/>
      <c r="G5269" s="70"/>
    </row>
    <row r="5270" spans="2:7" x14ac:dyDescent="0.25">
      <c r="B5270" s="37"/>
      <c r="C5270" s="37"/>
      <c r="D5270" s="37"/>
      <c r="E5270" s="37"/>
      <c r="F5270" s="37"/>
      <c r="G5270" s="70"/>
    </row>
    <row r="5271" spans="2:7" x14ac:dyDescent="0.25">
      <c r="B5271" s="37"/>
      <c r="C5271" s="37"/>
      <c r="D5271" s="37"/>
      <c r="E5271" s="37"/>
      <c r="F5271" s="37"/>
      <c r="G5271" s="70"/>
    </row>
    <row r="5272" spans="2:7" x14ac:dyDescent="0.25">
      <c r="B5272" s="37"/>
      <c r="C5272" s="37"/>
      <c r="D5272" s="37"/>
      <c r="E5272" s="37"/>
      <c r="F5272" s="37"/>
      <c r="G5272" s="70"/>
    </row>
    <row r="5273" spans="2:7" x14ac:dyDescent="0.25">
      <c r="B5273" s="37"/>
      <c r="C5273" s="37"/>
      <c r="D5273" s="37"/>
      <c r="E5273" s="37"/>
      <c r="F5273" s="37"/>
      <c r="G5273" s="70"/>
    </row>
    <row r="5274" spans="2:7" x14ac:dyDescent="0.25">
      <c r="B5274" s="37"/>
      <c r="C5274" s="37"/>
      <c r="D5274" s="37"/>
      <c r="E5274" s="37"/>
      <c r="F5274" s="37"/>
      <c r="G5274" s="70"/>
    </row>
    <row r="5275" spans="2:7" x14ac:dyDescent="0.25">
      <c r="B5275" s="37"/>
      <c r="C5275" s="37"/>
      <c r="D5275" s="37"/>
      <c r="E5275" s="37"/>
      <c r="F5275" s="37"/>
      <c r="G5275" s="70"/>
    </row>
    <row r="5276" spans="2:7" x14ac:dyDescent="0.25">
      <c r="B5276" s="37"/>
      <c r="C5276" s="37"/>
      <c r="D5276" s="37"/>
      <c r="E5276" s="37"/>
      <c r="F5276" s="37"/>
      <c r="G5276" s="70"/>
    </row>
    <row r="5277" spans="2:7" x14ac:dyDescent="0.25">
      <c r="B5277" s="37"/>
      <c r="C5277" s="37"/>
      <c r="D5277" s="37"/>
      <c r="E5277" s="37"/>
      <c r="F5277" s="37"/>
      <c r="G5277" s="70"/>
    </row>
    <row r="5278" spans="2:7" x14ac:dyDescent="0.25">
      <c r="B5278" s="37"/>
      <c r="C5278" s="37"/>
      <c r="D5278" s="37"/>
      <c r="E5278" s="37"/>
      <c r="F5278" s="37"/>
      <c r="G5278" s="70"/>
    </row>
    <row r="5279" spans="2:7" x14ac:dyDescent="0.25">
      <c r="B5279" s="37"/>
      <c r="C5279" s="37"/>
      <c r="D5279" s="37"/>
      <c r="E5279" s="37"/>
      <c r="F5279" s="37"/>
      <c r="G5279" s="70"/>
    </row>
    <row r="5280" spans="2:7" x14ac:dyDescent="0.25">
      <c r="B5280" s="37"/>
      <c r="C5280" s="37"/>
      <c r="D5280" s="37"/>
      <c r="E5280" s="37"/>
      <c r="F5280" s="37"/>
      <c r="G5280" s="70"/>
    </row>
    <row r="5281" spans="2:7" x14ac:dyDescent="0.25">
      <c r="B5281" s="37"/>
      <c r="C5281" s="37"/>
      <c r="D5281" s="37"/>
      <c r="E5281" s="37"/>
      <c r="F5281" s="37"/>
      <c r="G5281" s="70"/>
    </row>
    <row r="5282" spans="2:7" x14ac:dyDescent="0.25">
      <c r="B5282" s="37"/>
      <c r="C5282" s="37"/>
      <c r="D5282" s="37"/>
      <c r="E5282" s="37"/>
      <c r="F5282" s="37"/>
      <c r="G5282" s="70"/>
    </row>
    <row r="5283" spans="2:7" x14ac:dyDescent="0.25">
      <c r="B5283" s="37"/>
      <c r="C5283" s="37"/>
      <c r="D5283" s="37"/>
      <c r="E5283" s="37"/>
      <c r="F5283" s="37"/>
      <c r="G5283" s="70"/>
    </row>
    <row r="5284" spans="2:7" x14ac:dyDescent="0.25">
      <c r="B5284" s="37"/>
      <c r="C5284" s="37"/>
      <c r="D5284" s="37"/>
      <c r="E5284" s="37"/>
      <c r="F5284" s="37"/>
      <c r="G5284" s="70"/>
    </row>
    <row r="5285" spans="2:7" x14ac:dyDescent="0.25">
      <c r="B5285" s="37"/>
      <c r="C5285" s="37"/>
      <c r="D5285" s="37"/>
      <c r="E5285" s="37"/>
      <c r="F5285" s="37"/>
      <c r="G5285" s="70"/>
    </row>
    <row r="5286" spans="2:7" x14ac:dyDescent="0.25">
      <c r="B5286" s="37"/>
      <c r="C5286" s="37"/>
      <c r="D5286" s="37"/>
      <c r="E5286" s="37"/>
      <c r="F5286" s="37"/>
      <c r="G5286" s="70"/>
    </row>
    <row r="5287" spans="2:7" x14ac:dyDescent="0.25">
      <c r="B5287" s="37"/>
      <c r="C5287" s="37"/>
      <c r="D5287" s="37"/>
      <c r="E5287" s="37"/>
      <c r="F5287" s="37"/>
      <c r="G5287" s="70"/>
    </row>
    <row r="5288" spans="2:7" x14ac:dyDescent="0.25">
      <c r="B5288" s="37"/>
      <c r="C5288" s="37"/>
      <c r="D5288" s="37"/>
      <c r="E5288" s="37"/>
      <c r="F5288" s="37"/>
      <c r="G5288" s="70"/>
    </row>
    <row r="5289" spans="2:7" x14ac:dyDescent="0.25">
      <c r="B5289" s="37"/>
      <c r="C5289" s="37"/>
      <c r="D5289" s="37"/>
      <c r="E5289" s="37"/>
      <c r="F5289" s="37"/>
      <c r="G5289" s="70"/>
    </row>
    <row r="5290" spans="2:7" x14ac:dyDescent="0.25">
      <c r="B5290" s="37"/>
      <c r="C5290" s="37"/>
      <c r="D5290" s="37"/>
      <c r="E5290" s="37"/>
      <c r="F5290" s="37"/>
      <c r="G5290" s="70"/>
    </row>
    <row r="5291" spans="2:7" x14ac:dyDescent="0.25">
      <c r="B5291" s="37"/>
      <c r="C5291" s="37"/>
      <c r="D5291" s="37"/>
      <c r="E5291" s="37"/>
      <c r="F5291" s="37"/>
      <c r="G5291" s="70"/>
    </row>
    <row r="5292" spans="2:7" x14ac:dyDescent="0.25">
      <c r="B5292" s="37"/>
      <c r="C5292" s="37"/>
      <c r="D5292" s="37"/>
      <c r="E5292" s="37"/>
      <c r="F5292" s="37"/>
      <c r="G5292" s="70"/>
    </row>
    <row r="5293" spans="2:7" x14ac:dyDescent="0.25">
      <c r="B5293" s="37"/>
      <c r="C5293" s="37"/>
      <c r="D5293" s="37"/>
      <c r="E5293" s="37"/>
      <c r="F5293" s="37"/>
      <c r="G5293" s="70"/>
    </row>
    <row r="5294" spans="2:7" x14ac:dyDescent="0.25">
      <c r="B5294" s="37"/>
      <c r="C5294" s="37"/>
      <c r="D5294" s="37"/>
      <c r="E5294" s="37"/>
      <c r="F5294" s="37"/>
      <c r="G5294" s="70"/>
    </row>
    <row r="5295" spans="2:7" x14ac:dyDescent="0.25">
      <c r="B5295" s="37"/>
      <c r="C5295" s="37"/>
      <c r="D5295" s="37"/>
      <c r="E5295" s="37"/>
      <c r="F5295" s="37"/>
      <c r="G5295" s="70"/>
    </row>
    <row r="5296" spans="2:7" x14ac:dyDescent="0.25">
      <c r="B5296" s="37"/>
      <c r="C5296" s="37"/>
      <c r="D5296" s="37"/>
      <c r="E5296" s="37"/>
      <c r="F5296" s="37"/>
      <c r="G5296" s="70"/>
    </row>
    <row r="5297" spans="2:7" x14ac:dyDescent="0.25">
      <c r="B5297" s="37"/>
      <c r="C5297" s="37"/>
      <c r="D5297" s="37"/>
      <c r="E5297" s="37"/>
      <c r="F5297" s="37"/>
      <c r="G5297" s="70"/>
    </row>
    <row r="5298" spans="2:7" x14ac:dyDescent="0.25">
      <c r="B5298" s="37"/>
      <c r="C5298" s="37"/>
      <c r="D5298" s="37"/>
      <c r="E5298" s="37"/>
      <c r="F5298" s="37"/>
      <c r="G5298" s="70"/>
    </row>
    <row r="5299" spans="2:7" x14ac:dyDescent="0.25">
      <c r="B5299" s="37"/>
      <c r="C5299" s="37"/>
      <c r="D5299" s="37"/>
      <c r="E5299" s="37"/>
      <c r="F5299" s="37"/>
      <c r="G5299" s="70"/>
    </row>
    <row r="5300" spans="2:7" x14ac:dyDescent="0.25">
      <c r="B5300" s="37"/>
      <c r="C5300" s="37"/>
      <c r="D5300" s="37"/>
      <c r="E5300" s="37"/>
      <c r="F5300" s="37"/>
      <c r="G5300" s="70"/>
    </row>
    <row r="5301" spans="2:7" x14ac:dyDescent="0.25">
      <c r="B5301" s="37"/>
      <c r="C5301" s="37"/>
      <c r="D5301" s="37"/>
      <c r="E5301" s="37"/>
      <c r="F5301" s="37"/>
      <c r="G5301" s="70"/>
    </row>
    <row r="5302" spans="2:7" x14ac:dyDescent="0.25">
      <c r="B5302" s="37"/>
      <c r="C5302" s="37"/>
      <c r="D5302" s="37"/>
      <c r="E5302" s="37"/>
      <c r="F5302" s="37"/>
      <c r="G5302" s="70"/>
    </row>
    <row r="5303" spans="2:7" x14ac:dyDescent="0.25">
      <c r="B5303" s="37"/>
      <c r="C5303" s="37"/>
      <c r="D5303" s="37"/>
      <c r="E5303" s="37"/>
      <c r="F5303" s="37"/>
      <c r="G5303" s="70"/>
    </row>
    <row r="5304" spans="2:7" x14ac:dyDescent="0.25">
      <c r="B5304" s="37"/>
      <c r="C5304" s="37"/>
      <c r="D5304" s="37"/>
      <c r="E5304" s="37"/>
      <c r="F5304" s="37"/>
      <c r="G5304" s="70"/>
    </row>
    <row r="5305" spans="2:7" x14ac:dyDescent="0.25">
      <c r="B5305" s="37"/>
      <c r="C5305" s="37"/>
      <c r="D5305" s="37"/>
      <c r="E5305" s="37"/>
      <c r="F5305" s="37"/>
      <c r="G5305" s="70"/>
    </row>
    <row r="5306" spans="2:7" x14ac:dyDescent="0.25">
      <c r="B5306" s="37"/>
      <c r="C5306" s="37"/>
      <c r="D5306" s="37"/>
      <c r="E5306" s="37"/>
      <c r="F5306" s="37"/>
      <c r="G5306" s="70"/>
    </row>
    <row r="5307" spans="2:7" x14ac:dyDescent="0.25">
      <c r="B5307" s="37"/>
      <c r="C5307" s="37"/>
      <c r="D5307" s="37"/>
      <c r="E5307" s="37"/>
      <c r="F5307" s="37"/>
      <c r="G5307" s="70"/>
    </row>
    <row r="5308" spans="2:7" x14ac:dyDescent="0.25">
      <c r="B5308" s="37"/>
      <c r="C5308" s="37"/>
      <c r="D5308" s="37"/>
      <c r="E5308" s="37"/>
      <c r="F5308" s="37"/>
      <c r="G5308" s="70"/>
    </row>
    <row r="5309" spans="2:7" x14ac:dyDescent="0.25">
      <c r="B5309" s="37"/>
      <c r="C5309" s="37"/>
      <c r="D5309" s="37"/>
      <c r="E5309" s="37"/>
      <c r="F5309" s="37"/>
      <c r="G5309" s="70"/>
    </row>
    <row r="5310" spans="2:7" x14ac:dyDescent="0.25">
      <c r="B5310" s="37"/>
      <c r="C5310" s="37"/>
      <c r="D5310" s="37"/>
      <c r="E5310" s="37"/>
      <c r="F5310" s="37"/>
      <c r="G5310" s="70"/>
    </row>
    <row r="5311" spans="2:7" x14ac:dyDescent="0.25">
      <c r="B5311" s="37"/>
      <c r="C5311" s="37"/>
      <c r="D5311" s="37"/>
      <c r="E5311" s="37"/>
      <c r="F5311" s="37"/>
      <c r="G5311" s="70"/>
    </row>
    <row r="5312" spans="2:7" x14ac:dyDescent="0.25">
      <c r="B5312" s="37"/>
      <c r="C5312" s="37"/>
      <c r="D5312" s="37"/>
      <c r="E5312" s="37"/>
      <c r="F5312" s="37"/>
      <c r="G5312" s="70"/>
    </row>
    <row r="5313" spans="2:7" x14ac:dyDescent="0.25">
      <c r="B5313" s="37"/>
      <c r="C5313" s="37"/>
      <c r="D5313" s="37"/>
      <c r="E5313" s="37"/>
      <c r="F5313" s="37"/>
      <c r="G5313" s="70"/>
    </row>
    <row r="5314" spans="2:7" x14ac:dyDescent="0.25">
      <c r="B5314" s="37"/>
      <c r="C5314" s="37"/>
      <c r="D5314" s="37"/>
      <c r="E5314" s="37"/>
      <c r="F5314" s="37"/>
      <c r="G5314" s="70"/>
    </row>
    <row r="5315" spans="2:7" x14ac:dyDescent="0.25">
      <c r="B5315" s="37"/>
      <c r="C5315" s="37"/>
      <c r="D5315" s="37"/>
      <c r="E5315" s="37"/>
      <c r="F5315" s="37"/>
      <c r="G5315" s="70"/>
    </row>
    <row r="5316" spans="2:7" x14ac:dyDescent="0.25">
      <c r="B5316" s="37"/>
      <c r="C5316" s="37"/>
      <c r="D5316" s="37"/>
      <c r="E5316" s="37"/>
      <c r="F5316" s="37"/>
      <c r="G5316" s="70"/>
    </row>
    <row r="5317" spans="2:7" x14ac:dyDescent="0.25">
      <c r="B5317" s="37"/>
      <c r="C5317" s="37"/>
      <c r="D5317" s="37"/>
      <c r="E5317" s="37"/>
      <c r="F5317" s="37"/>
      <c r="G5317" s="70"/>
    </row>
    <row r="5318" spans="2:7" x14ac:dyDescent="0.25">
      <c r="B5318" s="37"/>
      <c r="C5318" s="37"/>
      <c r="D5318" s="37"/>
      <c r="E5318" s="37"/>
      <c r="F5318" s="37"/>
      <c r="G5318" s="70"/>
    </row>
    <row r="5319" spans="2:7" x14ac:dyDescent="0.25">
      <c r="B5319" s="37"/>
      <c r="C5319" s="37"/>
      <c r="D5319" s="37"/>
      <c r="E5319" s="37"/>
      <c r="F5319" s="37"/>
      <c r="G5319" s="70"/>
    </row>
    <row r="5320" spans="2:7" x14ac:dyDescent="0.25">
      <c r="B5320" s="37"/>
      <c r="C5320" s="37"/>
      <c r="D5320" s="37"/>
      <c r="E5320" s="37"/>
      <c r="F5320" s="37"/>
      <c r="G5320" s="70"/>
    </row>
    <row r="5321" spans="2:7" x14ac:dyDescent="0.25">
      <c r="B5321" s="37"/>
      <c r="C5321" s="37"/>
      <c r="D5321" s="37"/>
      <c r="E5321" s="37"/>
      <c r="F5321" s="37"/>
      <c r="G5321" s="70"/>
    </row>
    <row r="5322" spans="2:7" x14ac:dyDescent="0.25">
      <c r="B5322" s="37"/>
      <c r="C5322" s="37"/>
      <c r="D5322" s="37"/>
      <c r="E5322" s="37"/>
      <c r="F5322" s="37"/>
      <c r="G5322" s="70"/>
    </row>
    <row r="5323" spans="2:7" x14ac:dyDescent="0.25">
      <c r="B5323" s="37"/>
      <c r="C5323" s="37"/>
      <c r="D5323" s="37"/>
      <c r="E5323" s="37"/>
      <c r="F5323" s="37"/>
      <c r="G5323" s="70"/>
    </row>
    <row r="5324" spans="2:7" x14ac:dyDescent="0.25">
      <c r="B5324" s="37"/>
      <c r="C5324" s="37"/>
      <c r="D5324" s="37"/>
      <c r="E5324" s="37"/>
      <c r="F5324" s="37"/>
      <c r="G5324" s="70"/>
    </row>
    <row r="5325" spans="2:7" x14ac:dyDescent="0.25">
      <c r="B5325" s="37"/>
      <c r="C5325" s="37"/>
      <c r="D5325" s="37"/>
      <c r="E5325" s="37"/>
      <c r="F5325" s="37"/>
      <c r="G5325" s="70"/>
    </row>
    <row r="5326" spans="2:7" x14ac:dyDescent="0.25">
      <c r="B5326" s="37"/>
      <c r="C5326" s="37"/>
      <c r="D5326" s="37"/>
      <c r="E5326" s="37"/>
      <c r="F5326" s="37"/>
      <c r="G5326" s="70"/>
    </row>
    <row r="5327" spans="2:7" x14ac:dyDescent="0.25">
      <c r="B5327" s="37"/>
      <c r="C5327" s="37"/>
      <c r="D5327" s="37"/>
      <c r="E5327" s="37"/>
      <c r="F5327" s="37"/>
      <c r="G5327" s="70"/>
    </row>
    <row r="5328" spans="2:7" x14ac:dyDescent="0.25">
      <c r="B5328" s="37"/>
      <c r="C5328" s="37"/>
      <c r="D5328" s="37"/>
      <c r="E5328" s="37"/>
      <c r="F5328" s="37"/>
      <c r="G5328" s="70"/>
    </row>
    <row r="5329" spans="2:7" x14ac:dyDescent="0.25">
      <c r="B5329" s="37"/>
      <c r="C5329" s="37"/>
      <c r="D5329" s="37"/>
      <c r="E5329" s="37"/>
      <c r="F5329" s="37"/>
      <c r="G5329" s="70"/>
    </row>
    <row r="5330" spans="2:7" x14ac:dyDescent="0.25">
      <c r="B5330" s="37"/>
      <c r="C5330" s="37"/>
      <c r="D5330" s="37"/>
      <c r="E5330" s="37"/>
      <c r="F5330" s="37"/>
      <c r="G5330" s="70"/>
    </row>
    <row r="5331" spans="2:7" x14ac:dyDescent="0.25">
      <c r="B5331" s="37"/>
      <c r="C5331" s="37"/>
      <c r="D5331" s="37"/>
      <c r="E5331" s="37"/>
      <c r="F5331" s="37"/>
      <c r="G5331" s="70"/>
    </row>
    <row r="5332" spans="2:7" x14ac:dyDescent="0.25">
      <c r="B5332" s="37"/>
      <c r="C5332" s="37"/>
      <c r="D5332" s="37"/>
      <c r="E5332" s="37"/>
      <c r="F5332" s="37"/>
      <c r="G5332" s="70"/>
    </row>
    <row r="5333" spans="2:7" x14ac:dyDescent="0.25">
      <c r="B5333" s="37"/>
      <c r="C5333" s="37"/>
      <c r="D5333" s="37"/>
      <c r="E5333" s="37"/>
      <c r="F5333" s="37"/>
      <c r="G5333" s="70"/>
    </row>
    <row r="5334" spans="2:7" x14ac:dyDescent="0.25">
      <c r="B5334" s="37"/>
      <c r="C5334" s="37"/>
      <c r="D5334" s="37"/>
      <c r="E5334" s="37"/>
      <c r="F5334" s="37"/>
      <c r="G5334" s="70"/>
    </row>
    <row r="5335" spans="2:7" x14ac:dyDescent="0.25">
      <c r="B5335" s="37"/>
      <c r="C5335" s="37"/>
      <c r="D5335" s="37"/>
      <c r="E5335" s="37"/>
      <c r="F5335" s="37"/>
      <c r="G5335" s="70"/>
    </row>
    <row r="5336" spans="2:7" x14ac:dyDescent="0.25">
      <c r="B5336" s="37"/>
      <c r="C5336" s="37"/>
      <c r="D5336" s="37"/>
      <c r="E5336" s="37"/>
      <c r="F5336" s="37"/>
      <c r="G5336" s="70"/>
    </row>
    <row r="5337" spans="2:7" x14ac:dyDescent="0.25">
      <c r="B5337" s="37"/>
      <c r="C5337" s="37"/>
      <c r="D5337" s="37"/>
      <c r="E5337" s="37"/>
      <c r="F5337" s="37"/>
      <c r="G5337" s="70"/>
    </row>
    <row r="5338" spans="2:7" x14ac:dyDescent="0.25">
      <c r="B5338" s="37"/>
      <c r="C5338" s="37"/>
      <c r="D5338" s="37"/>
      <c r="E5338" s="37"/>
      <c r="F5338" s="37"/>
      <c r="G5338" s="70"/>
    </row>
    <row r="5339" spans="2:7" x14ac:dyDescent="0.25">
      <c r="B5339" s="37"/>
      <c r="C5339" s="37"/>
      <c r="D5339" s="37"/>
      <c r="E5339" s="37"/>
      <c r="F5339" s="37"/>
      <c r="G5339" s="70"/>
    </row>
    <row r="5340" spans="2:7" x14ac:dyDescent="0.25">
      <c r="B5340" s="37"/>
      <c r="C5340" s="37"/>
      <c r="D5340" s="37"/>
      <c r="E5340" s="37"/>
      <c r="F5340" s="37"/>
      <c r="G5340" s="70"/>
    </row>
    <row r="5341" spans="2:7" x14ac:dyDescent="0.25">
      <c r="B5341" s="37"/>
      <c r="C5341" s="37"/>
      <c r="D5341" s="37"/>
      <c r="E5341" s="37"/>
      <c r="F5341" s="37"/>
      <c r="G5341" s="70"/>
    </row>
    <row r="5342" spans="2:7" x14ac:dyDescent="0.25">
      <c r="B5342" s="37"/>
      <c r="C5342" s="37"/>
      <c r="D5342" s="37"/>
      <c r="E5342" s="37"/>
      <c r="F5342" s="37"/>
      <c r="G5342" s="70"/>
    </row>
    <row r="5343" spans="2:7" x14ac:dyDescent="0.25">
      <c r="B5343" s="37"/>
      <c r="C5343" s="37"/>
      <c r="D5343" s="37"/>
      <c r="E5343" s="37"/>
      <c r="F5343" s="37"/>
      <c r="G5343" s="70"/>
    </row>
    <row r="5344" spans="2:7" x14ac:dyDescent="0.25">
      <c r="B5344" s="37"/>
      <c r="C5344" s="37"/>
      <c r="D5344" s="37"/>
      <c r="E5344" s="37"/>
      <c r="F5344" s="37"/>
      <c r="G5344" s="70"/>
    </row>
    <row r="5345" spans="2:7" x14ac:dyDescent="0.25">
      <c r="B5345" s="37"/>
      <c r="C5345" s="37"/>
      <c r="D5345" s="37"/>
      <c r="E5345" s="37"/>
      <c r="F5345" s="37"/>
      <c r="G5345" s="70"/>
    </row>
    <row r="5346" spans="2:7" x14ac:dyDescent="0.25">
      <c r="B5346" s="37"/>
      <c r="C5346" s="37"/>
      <c r="D5346" s="37"/>
      <c r="E5346" s="37"/>
      <c r="F5346" s="37"/>
      <c r="G5346" s="70"/>
    </row>
    <row r="5347" spans="2:7" x14ac:dyDescent="0.25">
      <c r="B5347" s="37"/>
      <c r="C5347" s="37"/>
      <c r="D5347" s="37"/>
      <c r="E5347" s="37"/>
      <c r="F5347" s="37"/>
      <c r="G5347" s="70"/>
    </row>
    <row r="5348" spans="2:7" x14ac:dyDescent="0.25">
      <c r="B5348" s="37"/>
      <c r="C5348" s="37"/>
      <c r="D5348" s="37"/>
      <c r="E5348" s="37"/>
      <c r="F5348" s="37"/>
      <c r="G5348" s="70"/>
    </row>
    <row r="5349" spans="2:7" x14ac:dyDescent="0.25">
      <c r="B5349" s="37"/>
      <c r="C5349" s="37"/>
      <c r="D5349" s="37"/>
      <c r="E5349" s="37"/>
      <c r="F5349" s="37"/>
      <c r="G5349" s="70"/>
    </row>
    <row r="5350" spans="2:7" x14ac:dyDescent="0.25">
      <c r="B5350" s="37"/>
      <c r="C5350" s="37"/>
      <c r="D5350" s="37"/>
      <c r="E5350" s="37"/>
      <c r="F5350" s="37"/>
      <c r="G5350" s="70"/>
    </row>
    <row r="5351" spans="2:7" x14ac:dyDescent="0.25">
      <c r="B5351" s="37"/>
      <c r="C5351" s="37"/>
      <c r="D5351" s="37"/>
      <c r="E5351" s="37"/>
      <c r="F5351" s="37"/>
      <c r="G5351" s="70"/>
    </row>
    <row r="5352" spans="2:7" x14ac:dyDescent="0.25">
      <c r="B5352" s="37"/>
      <c r="C5352" s="37"/>
      <c r="D5352" s="37"/>
      <c r="E5352" s="37"/>
      <c r="F5352" s="37"/>
      <c r="G5352" s="70"/>
    </row>
    <row r="5353" spans="2:7" x14ac:dyDescent="0.25">
      <c r="B5353" s="37"/>
      <c r="C5353" s="37"/>
      <c r="D5353" s="37"/>
      <c r="E5353" s="37"/>
      <c r="F5353" s="37"/>
      <c r="G5353" s="70"/>
    </row>
    <row r="5354" spans="2:7" x14ac:dyDescent="0.25">
      <c r="B5354" s="37"/>
      <c r="C5354" s="37"/>
      <c r="D5354" s="37"/>
      <c r="E5354" s="37"/>
      <c r="F5354" s="37"/>
      <c r="G5354" s="70"/>
    </row>
    <row r="5355" spans="2:7" x14ac:dyDescent="0.25">
      <c r="B5355" s="37"/>
      <c r="C5355" s="37"/>
      <c r="D5355" s="37"/>
      <c r="E5355" s="37"/>
      <c r="F5355" s="37"/>
      <c r="G5355" s="70"/>
    </row>
    <row r="5356" spans="2:7" x14ac:dyDescent="0.25">
      <c r="B5356" s="37"/>
      <c r="C5356" s="37"/>
      <c r="D5356" s="37"/>
      <c r="E5356" s="37"/>
      <c r="F5356" s="37"/>
      <c r="G5356" s="70"/>
    </row>
    <row r="5357" spans="2:7" x14ac:dyDescent="0.25">
      <c r="B5357" s="37"/>
      <c r="C5357" s="37"/>
      <c r="D5357" s="37"/>
      <c r="E5357" s="37"/>
      <c r="F5357" s="37"/>
      <c r="G5357" s="70"/>
    </row>
    <row r="5358" spans="2:7" x14ac:dyDescent="0.25">
      <c r="B5358" s="37"/>
      <c r="C5358" s="37"/>
      <c r="D5358" s="37"/>
      <c r="E5358" s="37"/>
      <c r="F5358" s="37"/>
      <c r="G5358" s="70"/>
    </row>
    <row r="5359" spans="2:7" x14ac:dyDescent="0.25">
      <c r="B5359" s="37"/>
      <c r="C5359" s="37"/>
      <c r="D5359" s="37"/>
      <c r="E5359" s="37"/>
      <c r="F5359" s="37"/>
      <c r="G5359" s="70"/>
    </row>
    <row r="5360" spans="2:7" x14ac:dyDescent="0.25">
      <c r="B5360" s="37"/>
      <c r="C5360" s="37"/>
      <c r="D5360" s="37"/>
      <c r="E5360" s="37"/>
      <c r="F5360" s="37"/>
      <c r="G5360" s="70"/>
    </row>
    <row r="5361" spans="2:7" x14ac:dyDescent="0.25">
      <c r="B5361" s="37"/>
      <c r="C5361" s="37"/>
      <c r="D5361" s="37"/>
      <c r="E5361" s="37"/>
      <c r="F5361" s="37"/>
      <c r="G5361" s="70"/>
    </row>
    <row r="5362" spans="2:7" x14ac:dyDescent="0.25">
      <c r="B5362" s="37"/>
      <c r="C5362" s="37"/>
      <c r="D5362" s="37"/>
      <c r="E5362" s="37"/>
      <c r="F5362" s="37"/>
      <c r="G5362" s="70"/>
    </row>
    <row r="5363" spans="2:7" x14ac:dyDescent="0.25">
      <c r="B5363" s="37"/>
      <c r="C5363" s="37"/>
      <c r="D5363" s="37"/>
      <c r="E5363" s="37"/>
      <c r="F5363" s="37"/>
      <c r="G5363" s="70"/>
    </row>
    <row r="5364" spans="2:7" x14ac:dyDescent="0.25">
      <c r="B5364" s="37"/>
      <c r="C5364" s="37"/>
      <c r="D5364" s="37"/>
      <c r="E5364" s="37"/>
      <c r="F5364" s="37"/>
      <c r="G5364" s="70"/>
    </row>
    <row r="5365" spans="2:7" x14ac:dyDescent="0.25">
      <c r="B5365" s="37"/>
      <c r="C5365" s="37"/>
      <c r="D5365" s="37"/>
      <c r="E5365" s="37"/>
      <c r="F5365" s="37"/>
      <c r="G5365" s="70"/>
    </row>
    <row r="5366" spans="2:7" x14ac:dyDescent="0.25">
      <c r="B5366" s="37"/>
      <c r="C5366" s="37"/>
      <c r="D5366" s="37"/>
      <c r="E5366" s="37"/>
      <c r="F5366" s="37"/>
      <c r="G5366" s="70"/>
    </row>
    <row r="5367" spans="2:7" x14ac:dyDescent="0.25">
      <c r="B5367" s="37"/>
      <c r="C5367" s="37"/>
      <c r="D5367" s="37"/>
      <c r="E5367" s="37"/>
      <c r="F5367" s="37"/>
      <c r="G5367" s="70"/>
    </row>
    <row r="5368" spans="2:7" x14ac:dyDescent="0.25">
      <c r="B5368" s="37"/>
      <c r="C5368" s="37"/>
      <c r="D5368" s="37"/>
      <c r="E5368" s="37"/>
      <c r="F5368" s="37"/>
      <c r="G5368" s="70"/>
    </row>
    <row r="5369" spans="2:7" x14ac:dyDescent="0.25">
      <c r="B5369" s="37"/>
      <c r="C5369" s="37"/>
      <c r="D5369" s="37"/>
      <c r="E5369" s="37"/>
      <c r="F5369" s="37"/>
      <c r="G5369" s="70"/>
    </row>
    <row r="5370" spans="2:7" x14ac:dyDescent="0.25">
      <c r="B5370" s="37"/>
      <c r="C5370" s="37"/>
      <c r="D5370" s="37"/>
      <c r="E5370" s="37"/>
      <c r="F5370" s="37"/>
      <c r="G5370" s="70"/>
    </row>
    <row r="5371" spans="2:7" x14ac:dyDescent="0.25">
      <c r="B5371" s="37"/>
      <c r="C5371" s="37"/>
      <c r="D5371" s="37"/>
      <c r="E5371" s="37"/>
      <c r="F5371" s="37"/>
      <c r="G5371" s="70"/>
    </row>
    <row r="5372" spans="2:7" x14ac:dyDescent="0.25">
      <c r="B5372" s="37"/>
      <c r="C5372" s="37"/>
      <c r="D5372" s="37"/>
      <c r="E5372" s="37"/>
      <c r="F5372" s="37"/>
      <c r="G5372" s="70"/>
    </row>
    <row r="5373" spans="2:7" x14ac:dyDescent="0.25">
      <c r="B5373" s="37"/>
      <c r="C5373" s="37"/>
      <c r="D5373" s="37"/>
      <c r="E5373" s="37"/>
      <c r="F5373" s="37"/>
      <c r="G5373" s="70"/>
    </row>
    <row r="5374" spans="2:7" x14ac:dyDescent="0.25">
      <c r="B5374" s="37"/>
      <c r="C5374" s="37"/>
      <c r="D5374" s="37"/>
      <c r="E5374" s="37"/>
      <c r="F5374" s="37"/>
      <c r="G5374" s="70"/>
    </row>
    <row r="5375" spans="2:7" x14ac:dyDescent="0.25">
      <c r="B5375" s="37"/>
      <c r="C5375" s="37"/>
      <c r="D5375" s="37"/>
      <c r="E5375" s="37"/>
      <c r="F5375" s="37"/>
      <c r="G5375" s="70"/>
    </row>
    <row r="5376" spans="2:7" x14ac:dyDescent="0.25">
      <c r="B5376" s="37"/>
      <c r="C5376" s="37"/>
      <c r="D5376" s="37"/>
      <c r="E5376" s="37"/>
      <c r="F5376" s="37"/>
      <c r="G5376" s="70"/>
    </row>
    <row r="5377" spans="2:7" x14ac:dyDescent="0.25">
      <c r="B5377" s="37"/>
      <c r="C5377" s="37"/>
      <c r="D5377" s="37"/>
      <c r="E5377" s="37"/>
      <c r="F5377" s="37"/>
      <c r="G5377" s="70"/>
    </row>
    <row r="5378" spans="2:7" x14ac:dyDescent="0.25">
      <c r="B5378" s="37"/>
      <c r="C5378" s="37"/>
      <c r="D5378" s="37"/>
      <c r="E5378" s="37"/>
      <c r="F5378" s="37"/>
      <c r="G5378" s="70"/>
    </row>
    <row r="5379" spans="2:7" x14ac:dyDescent="0.25">
      <c r="B5379" s="37"/>
      <c r="C5379" s="37"/>
      <c r="D5379" s="37"/>
      <c r="E5379" s="37"/>
      <c r="F5379" s="37"/>
      <c r="G5379" s="70"/>
    </row>
    <row r="5380" spans="2:7" x14ac:dyDescent="0.25">
      <c r="B5380" s="37"/>
      <c r="C5380" s="37"/>
      <c r="D5380" s="37"/>
      <c r="E5380" s="37"/>
      <c r="F5380" s="37"/>
      <c r="G5380" s="70"/>
    </row>
    <row r="5381" spans="2:7" x14ac:dyDescent="0.25">
      <c r="B5381" s="37"/>
      <c r="C5381" s="37"/>
      <c r="D5381" s="37"/>
      <c r="E5381" s="37"/>
      <c r="F5381" s="37"/>
      <c r="G5381" s="70"/>
    </row>
    <row r="5382" spans="2:7" x14ac:dyDescent="0.25">
      <c r="B5382" s="37"/>
      <c r="C5382" s="37"/>
      <c r="D5382" s="37"/>
      <c r="E5382" s="37"/>
      <c r="F5382" s="37"/>
      <c r="G5382" s="70"/>
    </row>
    <row r="5383" spans="2:7" x14ac:dyDescent="0.25">
      <c r="B5383" s="37"/>
      <c r="C5383" s="37"/>
      <c r="D5383" s="37"/>
      <c r="E5383" s="37"/>
      <c r="F5383" s="37"/>
      <c r="G5383" s="70"/>
    </row>
    <row r="5384" spans="2:7" x14ac:dyDescent="0.25">
      <c r="B5384" s="37"/>
      <c r="C5384" s="37"/>
      <c r="D5384" s="37"/>
      <c r="E5384" s="37"/>
      <c r="F5384" s="37"/>
      <c r="G5384" s="70"/>
    </row>
    <row r="5385" spans="2:7" x14ac:dyDescent="0.25">
      <c r="B5385" s="37"/>
      <c r="C5385" s="37"/>
      <c r="D5385" s="37"/>
      <c r="E5385" s="37"/>
      <c r="F5385" s="37"/>
      <c r="G5385" s="70"/>
    </row>
    <row r="5386" spans="2:7" x14ac:dyDescent="0.25">
      <c r="B5386" s="37"/>
      <c r="C5386" s="37"/>
      <c r="D5386" s="37"/>
      <c r="E5386" s="37"/>
      <c r="F5386" s="37"/>
      <c r="G5386" s="70"/>
    </row>
    <row r="5387" spans="2:7" x14ac:dyDescent="0.25">
      <c r="B5387" s="37"/>
      <c r="C5387" s="37"/>
      <c r="D5387" s="37"/>
      <c r="E5387" s="37"/>
      <c r="F5387" s="37"/>
      <c r="G5387" s="70"/>
    </row>
    <row r="5388" spans="2:7" x14ac:dyDescent="0.25">
      <c r="B5388" s="37"/>
      <c r="C5388" s="37"/>
      <c r="D5388" s="37"/>
      <c r="E5388" s="37"/>
      <c r="F5388" s="37"/>
      <c r="G5388" s="70"/>
    </row>
    <row r="5389" spans="2:7" x14ac:dyDescent="0.25">
      <c r="B5389" s="37"/>
      <c r="C5389" s="37"/>
      <c r="D5389" s="37"/>
      <c r="E5389" s="37"/>
      <c r="F5389" s="37"/>
      <c r="G5389" s="70"/>
    </row>
    <row r="5390" spans="2:7" x14ac:dyDescent="0.25">
      <c r="B5390" s="37"/>
      <c r="C5390" s="37"/>
      <c r="D5390" s="37"/>
      <c r="E5390" s="37"/>
      <c r="F5390" s="37"/>
      <c r="G5390" s="70"/>
    </row>
    <row r="5391" spans="2:7" x14ac:dyDescent="0.25">
      <c r="B5391" s="37"/>
      <c r="C5391" s="37"/>
      <c r="D5391" s="37"/>
      <c r="E5391" s="37"/>
      <c r="F5391" s="37"/>
      <c r="G5391" s="70"/>
    </row>
    <row r="5392" spans="2:7" x14ac:dyDescent="0.25">
      <c r="B5392" s="37"/>
      <c r="C5392" s="37"/>
      <c r="D5392" s="37"/>
      <c r="E5392" s="37"/>
      <c r="F5392" s="37"/>
      <c r="G5392" s="70"/>
    </row>
    <row r="5393" spans="2:7" x14ac:dyDescent="0.25">
      <c r="B5393" s="37"/>
      <c r="C5393" s="37"/>
      <c r="D5393" s="37"/>
      <c r="E5393" s="37"/>
      <c r="F5393" s="37"/>
      <c r="G5393" s="70"/>
    </row>
    <row r="5394" spans="2:7" x14ac:dyDescent="0.25">
      <c r="B5394" s="37"/>
      <c r="C5394" s="37"/>
      <c r="D5394" s="37"/>
      <c r="E5394" s="37"/>
      <c r="F5394" s="37"/>
      <c r="G5394" s="70"/>
    </row>
    <row r="5395" spans="2:7" x14ac:dyDescent="0.25">
      <c r="B5395" s="37"/>
      <c r="C5395" s="37"/>
      <c r="D5395" s="37"/>
      <c r="E5395" s="37"/>
      <c r="F5395" s="37"/>
      <c r="G5395" s="70"/>
    </row>
    <row r="5396" spans="2:7" x14ac:dyDescent="0.25">
      <c r="B5396" s="37"/>
      <c r="C5396" s="37"/>
      <c r="D5396" s="37"/>
      <c r="E5396" s="37"/>
      <c r="F5396" s="37"/>
      <c r="G5396" s="70"/>
    </row>
    <row r="5397" spans="2:7" x14ac:dyDescent="0.25">
      <c r="B5397" s="37"/>
      <c r="C5397" s="37"/>
      <c r="D5397" s="37"/>
      <c r="E5397" s="37"/>
      <c r="F5397" s="37"/>
      <c r="G5397" s="70"/>
    </row>
    <row r="5398" spans="2:7" x14ac:dyDescent="0.25">
      <c r="B5398" s="37"/>
      <c r="C5398" s="37"/>
      <c r="D5398" s="37"/>
      <c r="E5398" s="37"/>
      <c r="F5398" s="37"/>
      <c r="G5398" s="70"/>
    </row>
    <row r="5399" spans="2:7" x14ac:dyDescent="0.25">
      <c r="B5399" s="37"/>
      <c r="C5399" s="37"/>
      <c r="D5399" s="37"/>
      <c r="E5399" s="37"/>
      <c r="F5399" s="37"/>
      <c r="G5399" s="70"/>
    </row>
    <row r="5400" spans="2:7" x14ac:dyDescent="0.25">
      <c r="B5400" s="37"/>
      <c r="C5400" s="37"/>
      <c r="D5400" s="37"/>
      <c r="E5400" s="37"/>
      <c r="F5400" s="37"/>
      <c r="G5400" s="70"/>
    </row>
    <row r="5401" spans="2:7" x14ac:dyDescent="0.25">
      <c r="B5401" s="37"/>
      <c r="C5401" s="37"/>
      <c r="D5401" s="37"/>
      <c r="E5401" s="37"/>
      <c r="F5401" s="37"/>
      <c r="G5401" s="70"/>
    </row>
    <row r="5402" spans="2:7" x14ac:dyDescent="0.25">
      <c r="B5402" s="37"/>
      <c r="C5402" s="37"/>
      <c r="D5402" s="37"/>
      <c r="E5402" s="37"/>
      <c r="F5402" s="37"/>
      <c r="G5402" s="70"/>
    </row>
    <row r="5403" spans="2:7" x14ac:dyDescent="0.25">
      <c r="B5403" s="37"/>
      <c r="C5403" s="37"/>
      <c r="D5403" s="37"/>
      <c r="E5403" s="37"/>
      <c r="F5403" s="37"/>
      <c r="G5403" s="70"/>
    </row>
    <row r="5404" spans="2:7" x14ac:dyDescent="0.25">
      <c r="B5404" s="37"/>
      <c r="C5404" s="37"/>
      <c r="D5404" s="37"/>
      <c r="E5404" s="37"/>
      <c r="F5404" s="37"/>
      <c r="G5404" s="70"/>
    </row>
    <row r="5405" spans="2:7" x14ac:dyDescent="0.25">
      <c r="B5405" s="37"/>
      <c r="C5405" s="37"/>
      <c r="D5405" s="37"/>
      <c r="E5405" s="37"/>
      <c r="F5405" s="37"/>
      <c r="G5405" s="70"/>
    </row>
    <row r="5406" spans="2:7" x14ac:dyDescent="0.25">
      <c r="B5406" s="37"/>
      <c r="C5406" s="37"/>
      <c r="D5406" s="37"/>
      <c r="E5406" s="37"/>
      <c r="F5406" s="37"/>
      <c r="G5406" s="70"/>
    </row>
    <row r="5407" spans="2:7" x14ac:dyDescent="0.25">
      <c r="B5407" s="37"/>
      <c r="C5407" s="37"/>
      <c r="D5407" s="37"/>
      <c r="E5407" s="37"/>
      <c r="F5407" s="37"/>
      <c r="G5407" s="70"/>
    </row>
    <row r="5408" spans="2:7" x14ac:dyDescent="0.25">
      <c r="B5408" s="37"/>
      <c r="C5408" s="37"/>
      <c r="D5408" s="37"/>
      <c r="E5408" s="37"/>
      <c r="F5408" s="37"/>
      <c r="G5408" s="70"/>
    </row>
    <row r="5409" spans="2:7" x14ac:dyDescent="0.25">
      <c r="B5409" s="37"/>
      <c r="C5409" s="37"/>
      <c r="D5409" s="37"/>
      <c r="E5409" s="37"/>
      <c r="F5409" s="37"/>
      <c r="G5409" s="70"/>
    </row>
    <row r="5410" spans="2:7" x14ac:dyDescent="0.25">
      <c r="B5410" s="37"/>
      <c r="C5410" s="37"/>
      <c r="D5410" s="37"/>
      <c r="E5410" s="37"/>
      <c r="F5410" s="37"/>
      <c r="G5410" s="70"/>
    </row>
    <row r="5411" spans="2:7" x14ac:dyDescent="0.25">
      <c r="B5411" s="37"/>
      <c r="C5411" s="37"/>
      <c r="D5411" s="37"/>
      <c r="E5411" s="37"/>
      <c r="F5411" s="37"/>
      <c r="G5411" s="70"/>
    </row>
    <row r="5412" spans="2:7" x14ac:dyDescent="0.25">
      <c r="B5412" s="37"/>
      <c r="C5412" s="37"/>
      <c r="D5412" s="37"/>
      <c r="E5412" s="37"/>
      <c r="F5412" s="37"/>
      <c r="G5412" s="70"/>
    </row>
    <row r="5413" spans="2:7" x14ac:dyDescent="0.25">
      <c r="B5413" s="37"/>
      <c r="C5413" s="37"/>
      <c r="D5413" s="37"/>
      <c r="E5413" s="37"/>
      <c r="F5413" s="37"/>
      <c r="G5413" s="70"/>
    </row>
    <row r="5414" spans="2:7" x14ac:dyDescent="0.25">
      <c r="B5414" s="37"/>
      <c r="C5414" s="37"/>
      <c r="D5414" s="37"/>
      <c r="E5414" s="37"/>
      <c r="F5414" s="37"/>
      <c r="G5414" s="70"/>
    </row>
    <row r="5415" spans="2:7" x14ac:dyDescent="0.25">
      <c r="B5415" s="37"/>
      <c r="C5415" s="37"/>
      <c r="D5415" s="37"/>
      <c r="E5415" s="37"/>
      <c r="F5415" s="37"/>
      <c r="G5415" s="70"/>
    </row>
    <row r="5416" spans="2:7" x14ac:dyDescent="0.25">
      <c r="B5416" s="37"/>
      <c r="C5416" s="37"/>
      <c r="D5416" s="37"/>
      <c r="E5416" s="37"/>
      <c r="F5416" s="37"/>
      <c r="G5416" s="70"/>
    </row>
    <row r="5417" spans="2:7" x14ac:dyDescent="0.25">
      <c r="B5417" s="37"/>
      <c r="C5417" s="37"/>
      <c r="D5417" s="37"/>
      <c r="E5417" s="37"/>
      <c r="F5417" s="37"/>
      <c r="G5417" s="70"/>
    </row>
    <row r="5418" spans="2:7" x14ac:dyDescent="0.25">
      <c r="B5418" s="37"/>
      <c r="C5418" s="37"/>
      <c r="D5418" s="37"/>
      <c r="E5418" s="37"/>
      <c r="F5418" s="37"/>
      <c r="G5418" s="70"/>
    </row>
    <row r="5419" spans="2:7" x14ac:dyDescent="0.25">
      <c r="B5419" s="37"/>
      <c r="C5419" s="37"/>
      <c r="D5419" s="37"/>
      <c r="E5419" s="37"/>
      <c r="F5419" s="37"/>
      <c r="G5419" s="70"/>
    </row>
    <row r="5420" spans="2:7" x14ac:dyDescent="0.25">
      <c r="B5420" s="37"/>
      <c r="C5420" s="37"/>
      <c r="D5420" s="37"/>
      <c r="E5420" s="37"/>
      <c r="F5420" s="37"/>
      <c r="G5420" s="70"/>
    </row>
    <row r="5421" spans="2:7" x14ac:dyDescent="0.25">
      <c r="B5421" s="37"/>
      <c r="C5421" s="37"/>
      <c r="D5421" s="37"/>
      <c r="E5421" s="37"/>
      <c r="F5421" s="37"/>
      <c r="G5421" s="70"/>
    </row>
    <row r="5422" spans="2:7" x14ac:dyDescent="0.25">
      <c r="B5422" s="37"/>
      <c r="C5422" s="37"/>
      <c r="D5422" s="37"/>
      <c r="E5422" s="37"/>
      <c r="F5422" s="37"/>
      <c r="G5422" s="70"/>
    </row>
    <row r="5423" spans="2:7" x14ac:dyDescent="0.25">
      <c r="B5423" s="37"/>
      <c r="C5423" s="37"/>
      <c r="D5423" s="37"/>
      <c r="E5423" s="37"/>
      <c r="F5423" s="37"/>
      <c r="G5423" s="70"/>
    </row>
    <row r="5424" spans="2:7" x14ac:dyDescent="0.25">
      <c r="B5424" s="37"/>
      <c r="C5424" s="37"/>
      <c r="D5424" s="37"/>
      <c r="E5424" s="37"/>
      <c r="F5424" s="37"/>
      <c r="G5424" s="70"/>
    </row>
    <row r="5425" spans="2:7" x14ac:dyDescent="0.25">
      <c r="B5425" s="37"/>
      <c r="C5425" s="37"/>
      <c r="D5425" s="37"/>
      <c r="E5425" s="37"/>
      <c r="F5425" s="37"/>
      <c r="G5425" s="70"/>
    </row>
    <row r="5426" spans="2:7" x14ac:dyDescent="0.25">
      <c r="B5426" s="37"/>
      <c r="C5426" s="37"/>
      <c r="D5426" s="37"/>
      <c r="E5426" s="37"/>
      <c r="F5426" s="37"/>
      <c r="G5426" s="70"/>
    </row>
    <row r="5427" spans="2:7" x14ac:dyDescent="0.25">
      <c r="B5427" s="37"/>
      <c r="C5427" s="37"/>
      <c r="D5427" s="37"/>
      <c r="E5427" s="37"/>
      <c r="F5427" s="37"/>
      <c r="G5427" s="70"/>
    </row>
    <row r="5428" spans="2:7" x14ac:dyDescent="0.25">
      <c r="B5428" s="37"/>
      <c r="C5428" s="37"/>
      <c r="D5428" s="37"/>
      <c r="E5428" s="37"/>
      <c r="F5428" s="37"/>
      <c r="G5428" s="70"/>
    </row>
    <row r="5429" spans="2:7" x14ac:dyDescent="0.25">
      <c r="B5429" s="37"/>
      <c r="C5429" s="37"/>
      <c r="D5429" s="37"/>
      <c r="E5429" s="37"/>
      <c r="F5429" s="37"/>
      <c r="G5429" s="70"/>
    </row>
    <row r="5430" spans="2:7" x14ac:dyDescent="0.25">
      <c r="B5430" s="37"/>
      <c r="C5430" s="37"/>
      <c r="D5430" s="37"/>
      <c r="E5430" s="37"/>
      <c r="F5430" s="37"/>
      <c r="G5430" s="70"/>
    </row>
    <row r="5431" spans="2:7" x14ac:dyDescent="0.25">
      <c r="B5431" s="37"/>
      <c r="C5431" s="37"/>
      <c r="D5431" s="37"/>
      <c r="E5431" s="37"/>
      <c r="F5431" s="37"/>
      <c r="G5431" s="70"/>
    </row>
    <row r="5432" spans="2:7" x14ac:dyDescent="0.25">
      <c r="B5432" s="37"/>
      <c r="C5432" s="37"/>
      <c r="D5432" s="37"/>
      <c r="E5432" s="37"/>
      <c r="F5432" s="37"/>
      <c r="G5432" s="70"/>
    </row>
    <row r="5433" spans="2:7" x14ac:dyDescent="0.25">
      <c r="B5433" s="37"/>
      <c r="C5433" s="37"/>
      <c r="D5433" s="37"/>
      <c r="E5433" s="37"/>
      <c r="F5433" s="37"/>
      <c r="G5433" s="70"/>
    </row>
    <row r="5434" spans="2:7" x14ac:dyDescent="0.25">
      <c r="B5434" s="37"/>
      <c r="C5434" s="37"/>
      <c r="D5434" s="37"/>
      <c r="E5434" s="37"/>
      <c r="F5434" s="37"/>
      <c r="G5434" s="70"/>
    </row>
    <row r="5435" spans="2:7" x14ac:dyDescent="0.25">
      <c r="B5435" s="37"/>
      <c r="C5435" s="37"/>
      <c r="D5435" s="37"/>
      <c r="E5435" s="37"/>
      <c r="F5435" s="37"/>
      <c r="G5435" s="70"/>
    </row>
    <row r="5436" spans="2:7" x14ac:dyDescent="0.25">
      <c r="B5436" s="37"/>
      <c r="C5436" s="37"/>
      <c r="D5436" s="37"/>
      <c r="E5436" s="37"/>
      <c r="F5436" s="37"/>
      <c r="G5436" s="70"/>
    </row>
    <row r="5437" spans="2:7" x14ac:dyDescent="0.25">
      <c r="B5437" s="37"/>
      <c r="C5437" s="37"/>
      <c r="D5437" s="37"/>
      <c r="E5437" s="37"/>
      <c r="F5437" s="37"/>
      <c r="G5437" s="70"/>
    </row>
    <row r="5438" spans="2:7" x14ac:dyDescent="0.25">
      <c r="B5438" s="37"/>
      <c r="C5438" s="37"/>
      <c r="D5438" s="37"/>
      <c r="E5438" s="37"/>
      <c r="F5438" s="37"/>
      <c r="G5438" s="70"/>
    </row>
    <row r="5439" spans="2:7" x14ac:dyDescent="0.25">
      <c r="B5439" s="37"/>
      <c r="C5439" s="37"/>
      <c r="D5439" s="37"/>
      <c r="E5439" s="37"/>
      <c r="F5439" s="37"/>
      <c r="G5439" s="70"/>
    </row>
    <row r="5440" spans="2:7" x14ac:dyDescent="0.25">
      <c r="B5440" s="37"/>
      <c r="C5440" s="37"/>
      <c r="D5440" s="37"/>
      <c r="E5440" s="37"/>
      <c r="F5440" s="37"/>
      <c r="G5440" s="70"/>
    </row>
    <row r="5441" spans="2:7" x14ac:dyDescent="0.25">
      <c r="B5441" s="37"/>
      <c r="C5441" s="37"/>
      <c r="D5441" s="37"/>
      <c r="E5441" s="37"/>
      <c r="F5441" s="37"/>
      <c r="G5441" s="70"/>
    </row>
    <row r="5442" spans="2:7" x14ac:dyDescent="0.25">
      <c r="B5442" s="37"/>
      <c r="C5442" s="37"/>
      <c r="D5442" s="37"/>
      <c r="E5442" s="37"/>
      <c r="F5442" s="37"/>
      <c r="G5442" s="70"/>
    </row>
    <row r="5443" spans="2:7" x14ac:dyDescent="0.25">
      <c r="B5443" s="37"/>
      <c r="C5443" s="37"/>
      <c r="D5443" s="37"/>
      <c r="E5443" s="37"/>
      <c r="F5443" s="37"/>
      <c r="G5443" s="70"/>
    </row>
    <row r="5444" spans="2:7" x14ac:dyDescent="0.25">
      <c r="B5444" s="37"/>
      <c r="C5444" s="37"/>
      <c r="D5444" s="37"/>
      <c r="E5444" s="37"/>
      <c r="F5444" s="37"/>
      <c r="G5444" s="70"/>
    </row>
    <row r="5445" spans="2:7" x14ac:dyDescent="0.25">
      <c r="B5445" s="37"/>
      <c r="C5445" s="37"/>
      <c r="D5445" s="37"/>
      <c r="E5445" s="37"/>
      <c r="F5445" s="37"/>
      <c r="G5445" s="70"/>
    </row>
    <row r="5446" spans="2:7" x14ac:dyDescent="0.25">
      <c r="B5446" s="37"/>
      <c r="C5446" s="37"/>
      <c r="D5446" s="37"/>
      <c r="E5446" s="37"/>
      <c r="F5446" s="37"/>
      <c r="G5446" s="70"/>
    </row>
    <row r="5447" spans="2:7" x14ac:dyDescent="0.25">
      <c r="B5447" s="37"/>
      <c r="C5447" s="37"/>
      <c r="D5447" s="37"/>
      <c r="E5447" s="37"/>
      <c r="F5447" s="37"/>
      <c r="G5447" s="70"/>
    </row>
    <row r="5448" spans="2:7" x14ac:dyDescent="0.25">
      <c r="B5448" s="37"/>
      <c r="C5448" s="37"/>
      <c r="D5448" s="37"/>
      <c r="E5448" s="37"/>
      <c r="F5448" s="37"/>
      <c r="G5448" s="70"/>
    </row>
    <row r="5449" spans="2:7" x14ac:dyDescent="0.25">
      <c r="B5449" s="37"/>
      <c r="C5449" s="37"/>
      <c r="D5449" s="37"/>
      <c r="E5449" s="37"/>
      <c r="F5449" s="37"/>
      <c r="G5449" s="70"/>
    </row>
    <row r="5450" spans="2:7" x14ac:dyDescent="0.25">
      <c r="B5450" s="37"/>
      <c r="C5450" s="37"/>
      <c r="D5450" s="37"/>
      <c r="E5450" s="37"/>
      <c r="F5450" s="37"/>
      <c r="G5450" s="70"/>
    </row>
    <row r="5451" spans="2:7" x14ac:dyDescent="0.25">
      <c r="B5451" s="37"/>
      <c r="C5451" s="37"/>
      <c r="D5451" s="37"/>
      <c r="E5451" s="37"/>
      <c r="F5451" s="37"/>
      <c r="G5451" s="70"/>
    </row>
    <row r="5452" spans="2:7" x14ac:dyDescent="0.25">
      <c r="B5452" s="37"/>
      <c r="C5452" s="37"/>
      <c r="D5452" s="37"/>
      <c r="E5452" s="37"/>
      <c r="F5452" s="37"/>
      <c r="G5452" s="70"/>
    </row>
    <row r="5453" spans="2:7" x14ac:dyDescent="0.25">
      <c r="B5453" s="37"/>
      <c r="C5453" s="37"/>
      <c r="D5453" s="37"/>
      <c r="E5453" s="37"/>
      <c r="F5453" s="37"/>
      <c r="G5453" s="70"/>
    </row>
    <row r="5454" spans="2:7" x14ac:dyDescent="0.25">
      <c r="B5454" s="37"/>
      <c r="C5454" s="37"/>
      <c r="D5454" s="37"/>
      <c r="E5454" s="37"/>
      <c r="F5454" s="37"/>
      <c r="G5454" s="70"/>
    </row>
    <row r="5455" spans="2:7" x14ac:dyDescent="0.25">
      <c r="B5455" s="37"/>
      <c r="C5455" s="37"/>
      <c r="D5455" s="37"/>
      <c r="E5455" s="37"/>
      <c r="F5455" s="37"/>
      <c r="G5455" s="70"/>
    </row>
    <row r="5456" spans="2:7" x14ac:dyDescent="0.25">
      <c r="B5456" s="37"/>
      <c r="C5456" s="37"/>
      <c r="D5456" s="37"/>
      <c r="E5456" s="37"/>
      <c r="F5456" s="37"/>
      <c r="G5456" s="70"/>
    </row>
    <row r="5457" spans="2:7" x14ac:dyDescent="0.25">
      <c r="B5457" s="37"/>
      <c r="C5457" s="37"/>
      <c r="D5457" s="37"/>
      <c r="E5457" s="37"/>
      <c r="F5457" s="37"/>
      <c r="G5457" s="70"/>
    </row>
    <row r="5458" spans="2:7" x14ac:dyDescent="0.25">
      <c r="B5458" s="37"/>
      <c r="C5458" s="37"/>
      <c r="D5458" s="37"/>
      <c r="E5458" s="37"/>
      <c r="F5458" s="37"/>
      <c r="G5458" s="70"/>
    </row>
    <row r="5459" spans="2:7" x14ac:dyDescent="0.25">
      <c r="B5459" s="37"/>
      <c r="C5459" s="37"/>
      <c r="D5459" s="37"/>
      <c r="E5459" s="37"/>
      <c r="F5459" s="37"/>
      <c r="G5459" s="70"/>
    </row>
    <row r="5460" spans="2:7" x14ac:dyDescent="0.25">
      <c r="B5460" s="37"/>
      <c r="C5460" s="37"/>
      <c r="D5460" s="37"/>
      <c r="E5460" s="37"/>
      <c r="F5460" s="37"/>
      <c r="G5460" s="70"/>
    </row>
    <row r="5461" spans="2:7" x14ac:dyDescent="0.25">
      <c r="B5461" s="37"/>
      <c r="C5461" s="37"/>
      <c r="D5461" s="37"/>
      <c r="E5461" s="37"/>
      <c r="F5461" s="37"/>
      <c r="G5461" s="70"/>
    </row>
    <row r="5462" spans="2:7" x14ac:dyDescent="0.25">
      <c r="B5462" s="37"/>
      <c r="C5462" s="37"/>
      <c r="D5462" s="37"/>
      <c r="E5462" s="37"/>
      <c r="F5462" s="37"/>
      <c r="G5462" s="70"/>
    </row>
    <row r="5463" spans="2:7" x14ac:dyDescent="0.25">
      <c r="B5463" s="37"/>
      <c r="C5463" s="37"/>
      <c r="D5463" s="37"/>
      <c r="E5463" s="37"/>
      <c r="F5463" s="37"/>
      <c r="G5463" s="70"/>
    </row>
    <row r="5464" spans="2:7" x14ac:dyDescent="0.25">
      <c r="B5464" s="37"/>
      <c r="C5464" s="37"/>
      <c r="D5464" s="37"/>
      <c r="E5464" s="37"/>
      <c r="F5464" s="37"/>
      <c r="G5464" s="70"/>
    </row>
    <row r="5465" spans="2:7" x14ac:dyDescent="0.25">
      <c r="B5465" s="37"/>
      <c r="C5465" s="37"/>
      <c r="D5465" s="37"/>
      <c r="E5465" s="37"/>
      <c r="F5465" s="37"/>
      <c r="G5465" s="70"/>
    </row>
    <row r="5466" spans="2:7" x14ac:dyDescent="0.25">
      <c r="B5466" s="37"/>
      <c r="C5466" s="37"/>
      <c r="D5466" s="37"/>
      <c r="E5466" s="37"/>
      <c r="F5466" s="37"/>
      <c r="G5466" s="70"/>
    </row>
    <row r="5467" spans="2:7" x14ac:dyDescent="0.25">
      <c r="B5467" s="37"/>
      <c r="C5467" s="37"/>
      <c r="D5467" s="37"/>
      <c r="E5467" s="37"/>
      <c r="F5467" s="37"/>
      <c r="G5467" s="70"/>
    </row>
    <row r="5468" spans="2:7" x14ac:dyDescent="0.25">
      <c r="B5468" s="37"/>
      <c r="C5468" s="37"/>
      <c r="D5468" s="37"/>
      <c r="E5468" s="37"/>
      <c r="F5468" s="37"/>
      <c r="G5468" s="70"/>
    </row>
    <row r="5469" spans="2:7" x14ac:dyDescent="0.25">
      <c r="B5469" s="37"/>
      <c r="C5469" s="37"/>
      <c r="D5469" s="37"/>
      <c r="E5469" s="37"/>
      <c r="F5469" s="37"/>
      <c r="G5469" s="70"/>
    </row>
    <row r="5470" spans="2:7" x14ac:dyDescent="0.25">
      <c r="B5470" s="37"/>
      <c r="C5470" s="37"/>
      <c r="D5470" s="37"/>
      <c r="E5470" s="37"/>
      <c r="F5470" s="37"/>
      <c r="G5470" s="70"/>
    </row>
    <row r="5471" spans="2:7" x14ac:dyDescent="0.25">
      <c r="B5471" s="37"/>
      <c r="C5471" s="37"/>
      <c r="D5471" s="37"/>
      <c r="E5471" s="37"/>
      <c r="F5471" s="37"/>
      <c r="G5471" s="70"/>
    </row>
    <row r="5472" spans="2:7" x14ac:dyDescent="0.25">
      <c r="B5472" s="37"/>
      <c r="C5472" s="37"/>
      <c r="D5472" s="37"/>
      <c r="E5472" s="37"/>
      <c r="F5472" s="37"/>
      <c r="G5472" s="70"/>
    </row>
    <row r="5473" spans="2:7" x14ac:dyDescent="0.25">
      <c r="B5473" s="37"/>
      <c r="C5473" s="37"/>
      <c r="D5473" s="37"/>
      <c r="E5473" s="37"/>
      <c r="F5473" s="37"/>
      <c r="G5473" s="70"/>
    </row>
    <row r="5474" spans="2:7" x14ac:dyDescent="0.25">
      <c r="B5474" s="37"/>
      <c r="C5474" s="37"/>
      <c r="D5474" s="37"/>
      <c r="E5474" s="37"/>
      <c r="F5474" s="37"/>
      <c r="G5474" s="70"/>
    </row>
    <row r="5475" spans="2:7" x14ac:dyDescent="0.25">
      <c r="B5475" s="37"/>
      <c r="C5475" s="37"/>
      <c r="D5475" s="37"/>
      <c r="E5475" s="37"/>
      <c r="F5475" s="37"/>
      <c r="G5475" s="70"/>
    </row>
    <row r="5476" spans="2:7" x14ac:dyDescent="0.25">
      <c r="B5476" s="37"/>
      <c r="C5476" s="37"/>
      <c r="D5476" s="37"/>
      <c r="E5476" s="37"/>
      <c r="F5476" s="37"/>
      <c r="G5476" s="70"/>
    </row>
    <row r="5477" spans="2:7" x14ac:dyDescent="0.25">
      <c r="B5477" s="37"/>
      <c r="C5477" s="37"/>
      <c r="D5477" s="37"/>
      <c r="E5477" s="37"/>
      <c r="F5477" s="37"/>
      <c r="G5477" s="70"/>
    </row>
    <row r="5478" spans="2:7" x14ac:dyDescent="0.25">
      <c r="B5478" s="37"/>
      <c r="C5478" s="37"/>
      <c r="D5478" s="37"/>
      <c r="E5478" s="37"/>
      <c r="F5478" s="37"/>
      <c r="G5478" s="70"/>
    </row>
    <row r="5479" spans="2:7" x14ac:dyDescent="0.25">
      <c r="B5479" s="37"/>
      <c r="C5479" s="37"/>
      <c r="D5479" s="37"/>
      <c r="E5479" s="37"/>
      <c r="F5479" s="37"/>
      <c r="G5479" s="70"/>
    </row>
    <row r="5480" spans="2:7" x14ac:dyDescent="0.25">
      <c r="B5480" s="37"/>
      <c r="C5480" s="37"/>
      <c r="D5480" s="37"/>
      <c r="E5480" s="37"/>
      <c r="F5480" s="37"/>
      <c r="G5480" s="70"/>
    </row>
    <row r="5481" spans="2:7" x14ac:dyDescent="0.25">
      <c r="B5481" s="37"/>
      <c r="C5481" s="37"/>
      <c r="D5481" s="37"/>
      <c r="E5481" s="37"/>
      <c r="F5481" s="37"/>
      <c r="G5481" s="70"/>
    </row>
    <row r="5482" spans="2:7" x14ac:dyDescent="0.25">
      <c r="B5482" s="37"/>
      <c r="C5482" s="37"/>
      <c r="D5482" s="37"/>
      <c r="E5482" s="37"/>
      <c r="F5482" s="37"/>
      <c r="G5482" s="70"/>
    </row>
    <row r="5483" spans="2:7" x14ac:dyDescent="0.25">
      <c r="B5483" s="37"/>
      <c r="C5483" s="37"/>
      <c r="D5483" s="37"/>
      <c r="E5483" s="37"/>
      <c r="F5483" s="37"/>
      <c r="G5483" s="70"/>
    </row>
    <row r="5484" spans="2:7" x14ac:dyDescent="0.25">
      <c r="B5484" s="37"/>
      <c r="C5484" s="37"/>
      <c r="D5484" s="37"/>
      <c r="E5484" s="37"/>
      <c r="F5484" s="37"/>
      <c r="G5484" s="70"/>
    </row>
    <row r="5485" spans="2:7" x14ac:dyDescent="0.25">
      <c r="B5485" s="37"/>
      <c r="C5485" s="37"/>
      <c r="D5485" s="37"/>
      <c r="E5485" s="37"/>
      <c r="F5485" s="37"/>
      <c r="G5485" s="70"/>
    </row>
    <row r="5486" spans="2:7" x14ac:dyDescent="0.25">
      <c r="B5486" s="37"/>
      <c r="C5486" s="37"/>
      <c r="D5486" s="37"/>
      <c r="E5486" s="37"/>
      <c r="F5486" s="37"/>
      <c r="G5486" s="70"/>
    </row>
    <row r="5487" spans="2:7" x14ac:dyDescent="0.25">
      <c r="B5487" s="37"/>
      <c r="C5487" s="37"/>
      <c r="D5487" s="37"/>
      <c r="E5487" s="37"/>
      <c r="F5487" s="37"/>
      <c r="G5487" s="70"/>
    </row>
    <row r="5488" spans="2:7" x14ac:dyDescent="0.25">
      <c r="B5488" s="37"/>
      <c r="C5488" s="37"/>
      <c r="D5488" s="37"/>
      <c r="E5488" s="37"/>
      <c r="F5488" s="37"/>
      <c r="G5488" s="70"/>
    </row>
    <row r="5489" spans="2:7" x14ac:dyDescent="0.25">
      <c r="B5489" s="37"/>
      <c r="C5489" s="37"/>
      <c r="D5489" s="37"/>
      <c r="E5489" s="37"/>
      <c r="F5489" s="37"/>
      <c r="G5489" s="70"/>
    </row>
    <row r="5490" spans="2:7" x14ac:dyDescent="0.25">
      <c r="B5490" s="37"/>
      <c r="C5490" s="37"/>
      <c r="D5490" s="37"/>
      <c r="E5490" s="37"/>
      <c r="F5490" s="37"/>
      <c r="G5490" s="70"/>
    </row>
    <row r="5491" spans="2:7" x14ac:dyDescent="0.25">
      <c r="B5491" s="37"/>
      <c r="C5491" s="37"/>
      <c r="D5491" s="37"/>
      <c r="E5491" s="37"/>
      <c r="F5491" s="37"/>
      <c r="G5491" s="70"/>
    </row>
    <row r="5492" spans="2:7" x14ac:dyDescent="0.25">
      <c r="B5492" s="37"/>
      <c r="C5492" s="37"/>
      <c r="D5492" s="37"/>
      <c r="E5492" s="37"/>
      <c r="F5492" s="37"/>
      <c r="G5492" s="70"/>
    </row>
    <row r="5493" spans="2:7" x14ac:dyDescent="0.25">
      <c r="B5493" s="37"/>
      <c r="C5493" s="37"/>
      <c r="D5493" s="37"/>
      <c r="E5493" s="37"/>
      <c r="F5493" s="37"/>
      <c r="G5493" s="70"/>
    </row>
    <row r="5494" spans="2:7" x14ac:dyDescent="0.25">
      <c r="B5494" s="37"/>
      <c r="C5494" s="37"/>
      <c r="D5494" s="37"/>
      <c r="E5494" s="37"/>
      <c r="F5494" s="37"/>
      <c r="G5494" s="70"/>
    </row>
    <row r="5495" spans="2:7" x14ac:dyDescent="0.25">
      <c r="B5495" s="37"/>
      <c r="C5495" s="37"/>
      <c r="D5495" s="37"/>
      <c r="E5495" s="37"/>
      <c r="F5495" s="37"/>
      <c r="G5495" s="70"/>
    </row>
    <row r="5496" spans="2:7" x14ac:dyDescent="0.25">
      <c r="B5496" s="37"/>
      <c r="C5496" s="37"/>
      <c r="D5496" s="37"/>
      <c r="E5496" s="37"/>
      <c r="F5496" s="37"/>
      <c r="G5496" s="70"/>
    </row>
    <row r="5497" spans="2:7" x14ac:dyDescent="0.25">
      <c r="B5497" s="37"/>
      <c r="C5497" s="37"/>
      <c r="D5497" s="37"/>
      <c r="E5497" s="37"/>
      <c r="F5497" s="37"/>
      <c r="G5497" s="70"/>
    </row>
    <row r="5498" spans="2:7" x14ac:dyDescent="0.25">
      <c r="B5498" s="37"/>
      <c r="C5498" s="37"/>
      <c r="D5498" s="37"/>
      <c r="E5498" s="37"/>
      <c r="F5498" s="37"/>
      <c r="G5498" s="70"/>
    </row>
    <row r="5499" spans="2:7" x14ac:dyDescent="0.25">
      <c r="B5499" s="37"/>
      <c r="C5499" s="37"/>
      <c r="D5499" s="37"/>
      <c r="E5499" s="37"/>
      <c r="F5499" s="37"/>
      <c r="G5499" s="70"/>
    </row>
    <row r="5500" spans="2:7" x14ac:dyDescent="0.25">
      <c r="B5500" s="37"/>
      <c r="C5500" s="37"/>
      <c r="D5500" s="37"/>
      <c r="E5500" s="37"/>
      <c r="F5500" s="37"/>
      <c r="G5500" s="70"/>
    </row>
    <row r="5501" spans="2:7" x14ac:dyDescent="0.25">
      <c r="B5501" s="37"/>
      <c r="C5501" s="37"/>
      <c r="D5501" s="37"/>
      <c r="E5501" s="37"/>
      <c r="F5501" s="37"/>
      <c r="G5501" s="70"/>
    </row>
    <row r="5502" spans="2:7" x14ac:dyDescent="0.25">
      <c r="B5502" s="37"/>
      <c r="C5502" s="37"/>
      <c r="D5502" s="37"/>
      <c r="E5502" s="37"/>
      <c r="F5502" s="37"/>
      <c r="G5502" s="70"/>
    </row>
    <row r="5503" spans="2:7" x14ac:dyDescent="0.25">
      <c r="B5503" s="37"/>
      <c r="C5503" s="37"/>
      <c r="D5503" s="37"/>
      <c r="E5503" s="37"/>
      <c r="F5503" s="37"/>
      <c r="G5503" s="70"/>
    </row>
    <row r="5504" spans="2:7" x14ac:dyDescent="0.25">
      <c r="B5504" s="37"/>
      <c r="C5504" s="37"/>
      <c r="D5504" s="37"/>
      <c r="E5504" s="37"/>
      <c r="F5504" s="37"/>
      <c r="G5504" s="70"/>
    </row>
    <row r="5505" spans="2:7" x14ac:dyDescent="0.25">
      <c r="B5505" s="37"/>
      <c r="C5505" s="37"/>
      <c r="D5505" s="37"/>
      <c r="E5505" s="37"/>
      <c r="F5505" s="37"/>
      <c r="G5505" s="70"/>
    </row>
    <row r="5506" spans="2:7" x14ac:dyDescent="0.25">
      <c r="B5506" s="37"/>
      <c r="C5506" s="37"/>
      <c r="D5506" s="37"/>
      <c r="E5506" s="37"/>
      <c r="F5506" s="37"/>
      <c r="G5506" s="70"/>
    </row>
    <row r="5507" spans="2:7" x14ac:dyDescent="0.25">
      <c r="B5507" s="37"/>
      <c r="C5507" s="37"/>
      <c r="D5507" s="37"/>
      <c r="E5507" s="37"/>
      <c r="F5507" s="37"/>
      <c r="G5507" s="70"/>
    </row>
    <row r="5508" spans="2:7" x14ac:dyDescent="0.25">
      <c r="B5508" s="37"/>
      <c r="C5508" s="37"/>
      <c r="D5508" s="37"/>
      <c r="E5508" s="37"/>
      <c r="F5508" s="37"/>
      <c r="G5508" s="70"/>
    </row>
    <row r="5509" spans="2:7" x14ac:dyDescent="0.25">
      <c r="B5509" s="37"/>
      <c r="C5509" s="37"/>
      <c r="D5509" s="37"/>
      <c r="E5509" s="37"/>
      <c r="F5509" s="37"/>
      <c r="G5509" s="70"/>
    </row>
    <row r="5510" spans="2:7" x14ac:dyDescent="0.25">
      <c r="B5510" s="37"/>
      <c r="C5510" s="37"/>
      <c r="D5510" s="37"/>
      <c r="E5510" s="37"/>
      <c r="F5510" s="37"/>
      <c r="G5510" s="70"/>
    </row>
    <row r="5511" spans="2:7" x14ac:dyDescent="0.25">
      <c r="B5511" s="37"/>
      <c r="C5511" s="37"/>
      <c r="D5511" s="37"/>
      <c r="E5511" s="37"/>
      <c r="F5511" s="37"/>
      <c r="G5511" s="70"/>
    </row>
    <row r="5512" spans="2:7" x14ac:dyDescent="0.25">
      <c r="B5512" s="37"/>
      <c r="C5512" s="37"/>
      <c r="D5512" s="37"/>
      <c r="E5512" s="37"/>
      <c r="F5512" s="37"/>
      <c r="G5512" s="70"/>
    </row>
    <row r="5513" spans="2:7" x14ac:dyDescent="0.25">
      <c r="B5513" s="37"/>
      <c r="C5513" s="37"/>
      <c r="D5513" s="37"/>
      <c r="E5513" s="37"/>
      <c r="F5513" s="37"/>
      <c r="G5513" s="70"/>
    </row>
    <row r="5514" spans="2:7" x14ac:dyDescent="0.25">
      <c r="B5514" s="37"/>
      <c r="C5514" s="37"/>
      <c r="D5514" s="37"/>
      <c r="E5514" s="37"/>
      <c r="F5514" s="37"/>
      <c r="G5514" s="70"/>
    </row>
    <row r="5515" spans="2:7" x14ac:dyDescent="0.25">
      <c r="B5515" s="37"/>
      <c r="C5515" s="37"/>
      <c r="D5515" s="37"/>
      <c r="E5515" s="37"/>
      <c r="F5515" s="37"/>
      <c r="G5515" s="70"/>
    </row>
    <row r="5516" spans="2:7" x14ac:dyDescent="0.25">
      <c r="B5516" s="37"/>
      <c r="C5516" s="37"/>
      <c r="D5516" s="37"/>
      <c r="E5516" s="37"/>
      <c r="F5516" s="37"/>
      <c r="G5516" s="70"/>
    </row>
    <row r="5517" spans="2:7" x14ac:dyDescent="0.25">
      <c r="B5517" s="37"/>
      <c r="C5517" s="37"/>
      <c r="D5517" s="37"/>
      <c r="E5517" s="37"/>
      <c r="F5517" s="37"/>
      <c r="G5517" s="70"/>
    </row>
    <row r="5518" spans="2:7" x14ac:dyDescent="0.25">
      <c r="B5518" s="37"/>
      <c r="C5518" s="37"/>
      <c r="D5518" s="37"/>
      <c r="E5518" s="37"/>
      <c r="F5518" s="37"/>
      <c r="G5518" s="70"/>
    </row>
    <row r="5519" spans="2:7" x14ac:dyDescent="0.25">
      <c r="B5519" s="37"/>
      <c r="C5519" s="37"/>
      <c r="D5519" s="37"/>
      <c r="E5519" s="37"/>
      <c r="F5519" s="37"/>
      <c r="G5519" s="70"/>
    </row>
    <row r="5520" spans="2:7" x14ac:dyDescent="0.25">
      <c r="B5520" s="37"/>
      <c r="C5520" s="37"/>
      <c r="D5520" s="37"/>
      <c r="E5520" s="37"/>
      <c r="F5520" s="37"/>
      <c r="G5520" s="70"/>
    </row>
    <row r="5521" spans="2:7" x14ac:dyDescent="0.25">
      <c r="B5521" s="37"/>
      <c r="C5521" s="37"/>
      <c r="D5521" s="37"/>
      <c r="E5521" s="37"/>
      <c r="F5521" s="37"/>
      <c r="G5521" s="70"/>
    </row>
    <row r="5522" spans="2:7" x14ac:dyDescent="0.25">
      <c r="B5522" s="37"/>
      <c r="C5522" s="37"/>
      <c r="D5522" s="37"/>
      <c r="E5522" s="37"/>
      <c r="F5522" s="37"/>
      <c r="G5522" s="70"/>
    </row>
    <row r="5523" spans="2:7" x14ac:dyDescent="0.25">
      <c r="B5523" s="37"/>
      <c r="C5523" s="37"/>
      <c r="D5523" s="37"/>
      <c r="E5523" s="37"/>
      <c r="F5523" s="37"/>
      <c r="G5523" s="70"/>
    </row>
    <row r="5524" spans="2:7" x14ac:dyDescent="0.25">
      <c r="B5524" s="37"/>
      <c r="C5524" s="37"/>
      <c r="D5524" s="37"/>
      <c r="E5524" s="37"/>
      <c r="F5524" s="37"/>
      <c r="G5524" s="70"/>
    </row>
    <row r="5525" spans="2:7" x14ac:dyDescent="0.25">
      <c r="B5525" s="37"/>
      <c r="C5525" s="37"/>
      <c r="D5525" s="37"/>
      <c r="E5525" s="37"/>
      <c r="F5525" s="37"/>
      <c r="G5525" s="70"/>
    </row>
    <row r="5526" spans="2:7" x14ac:dyDescent="0.25">
      <c r="B5526" s="37"/>
      <c r="C5526" s="37"/>
      <c r="D5526" s="37"/>
      <c r="E5526" s="37"/>
      <c r="F5526" s="37"/>
      <c r="G5526" s="70"/>
    </row>
    <row r="5527" spans="2:7" x14ac:dyDescent="0.25">
      <c r="B5527" s="37"/>
      <c r="C5527" s="37"/>
      <c r="D5527" s="37"/>
      <c r="E5527" s="37"/>
      <c r="F5527" s="37"/>
      <c r="G5527" s="70"/>
    </row>
    <row r="5528" spans="2:7" x14ac:dyDescent="0.25">
      <c r="B5528" s="37"/>
      <c r="C5528" s="37"/>
      <c r="D5528" s="37"/>
      <c r="E5528" s="37"/>
      <c r="F5528" s="37"/>
      <c r="G5528" s="70"/>
    </row>
    <row r="5529" spans="2:7" x14ac:dyDescent="0.25">
      <c r="B5529" s="37"/>
      <c r="C5529" s="37"/>
      <c r="D5529" s="37"/>
      <c r="E5529" s="37"/>
      <c r="F5529" s="37"/>
      <c r="G5529" s="70"/>
    </row>
    <row r="5530" spans="2:7" x14ac:dyDescent="0.25">
      <c r="B5530" s="37"/>
      <c r="C5530" s="37"/>
      <c r="D5530" s="37"/>
      <c r="E5530" s="37"/>
      <c r="F5530" s="37"/>
      <c r="G5530" s="70"/>
    </row>
    <row r="5531" spans="2:7" x14ac:dyDescent="0.25">
      <c r="B5531" s="37"/>
      <c r="C5531" s="37"/>
      <c r="D5531" s="37"/>
      <c r="E5531" s="37"/>
      <c r="F5531" s="37"/>
      <c r="G5531" s="70"/>
    </row>
    <row r="5532" spans="2:7" x14ac:dyDescent="0.25">
      <c r="B5532" s="37"/>
      <c r="C5532" s="37"/>
      <c r="D5532" s="37"/>
      <c r="E5532" s="37"/>
      <c r="F5532" s="37"/>
      <c r="G5532" s="70"/>
    </row>
    <row r="5533" spans="2:7" x14ac:dyDescent="0.25">
      <c r="B5533" s="37"/>
      <c r="C5533" s="37"/>
      <c r="D5533" s="37"/>
      <c r="E5533" s="37"/>
      <c r="F5533" s="37"/>
      <c r="G5533" s="70"/>
    </row>
    <row r="5534" spans="2:7" x14ac:dyDescent="0.25">
      <c r="B5534" s="37"/>
      <c r="C5534" s="37"/>
      <c r="D5534" s="37"/>
      <c r="E5534" s="37"/>
      <c r="F5534" s="37"/>
      <c r="G5534" s="70"/>
    </row>
    <row r="5535" spans="2:7" x14ac:dyDescent="0.25">
      <c r="B5535" s="37"/>
      <c r="C5535" s="37"/>
      <c r="D5535" s="37"/>
      <c r="E5535" s="37"/>
      <c r="F5535" s="37"/>
      <c r="G5535" s="70"/>
    </row>
    <row r="5536" spans="2:7" x14ac:dyDescent="0.25">
      <c r="B5536" s="37"/>
      <c r="C5536" s="37"/>
      <c r="D5536" s="37"/>
      <c r="E5536" s="37"/>
      <c r="F5536" s="37"/>
      <c r="G5536" s="70"/>
    </row>
    <row r="5537" spans="2:7" x14ac:dyDescent="0.25">
      <c r="B5537" s="37"/>
      <c r="C5537" s="37"/>
      <c r="D5537" s="37"/>
      <c r="E5537" s="37"/>
      <c r="F5537" s="37"/>
      <c r="G5537" s="70"/>
    </row>
    <row r="5538" spans="2:7" x14ac:dyDescent="0.25">
      <c r="B5538" s="37"/>
      <c r="C5538" s="37"/>
      <c r="D5538" s="37"/>
      <c r="E5538" s="37"/>
      <c r="F5538" s="37"/>
      <c r="G5538" s="70"/>
    </row>
    <row r="5539" spans="2:7" x14ac:dyDescent="0.25">
      <c r="B5539" s="37"/>
      <c r="C5539" s="37"/>
      <c r="D5539" s="37"/>
      <c r="E5539" s="37"/>
      <c r="F5539" s="37"/>
      <c r="G5539" s="70"/>
    </row>
    <row r="5540" spans="2:7" x14ac:dyDescent="0.25">
      <c r="B5540" s="37"/>
      <c r="C5540" s="37"/>
      <c r="D5540" s="37"/>
      <c r="E5540" s="37"/>
      <c r="F5540" s="37"/>
      <c r="G5540" s="70"/>
    </row>
    <row r="5541" spans="2:7" x14ac:dyDescent="0.25">
      <c r="B5541" s="37"/>
      <c r="C5541" s="37"/>
      <c r="D5541" s="37"/>
      <c r="E5541" s="37"/>
      <c r="F5541" s="37"/>
      <c r="G5541" s="70"/>
    </row>
    <row r="5542" spans="2:7" x14ac:dyDescent="0.25">
      <c r="B5542" s="37"/>
      <c r="C5542" s="37"/>
      <c r="D5542" s="37"/>
      <c r="E5542" s="37"/>
      <c r="F5542" s="37"/>
      <c r="G5542" s="70"/>
    </row>
    <row r="5543" spans="2:7" x14ac:dyDescent="0.25">
      <c r="B5543" s="37"/>
      <c r="C5543" s="37"/>
      <c r="D5543" s="37"/>
      <c r="E5543" s="37"/>
      <c r="F5543" s="37"/>
      <c r="G5543" s="70"/>
    </row>
    <row r="5544" spans="2:7" x14ac:dyDescent="0.25">
      <c r="B5544" s="37"/>
      <c r="C5544" s="37"/>
      <c r="D5544" s="37"/>
      <c r="E5544" s="37"/>
      <c r="F5544" s="37"/>
      <c r="G5544" s="70"/>
    </row>
    <row r="5545" spans="2:7" x14ac:dyDescent="0.25">
      <c r="B5545" s="37"/>
      <c r="C5545" s="37"/>
      <c r="D5545" s="37"/>
      <c r="E5545" s="37"/>
      <c r="F5545" s="37"/>
      <c r="G5545" s="70"/>
    </row>
    <row r="5546" spans="2:7" x14ac:dyDescent="0.25">
      <c r="B5546" s="37"/>
      <c r="C5546" s="37"/>
      <c r="D5546" s="37"/>
      <c r="E5546" s="37"/>
      <c r="F5546" s="37"/>
      <c r="G5546" s="70"/>
    </row>
    <row r="5547" spans="2:7" x14ac:dyDescent="0.25">
      <c r="B5547" s="37"/>
      <c r="C5547" s="37"/>
      <c r="D5547" s="37"/>
      <c r="E5547" s="37"/>
      <c r="F5547" s="37"/>
      <c r="G5547" s="70"/>
    </row>
    <row r="5548" spans="2:7" x14ac:dyDescent="0.25">
      <c r="B5548" s="37"/>
      <c r="C5548" s="37"/>
      <c r="D5548" s="37"/>
      <c r="E5548" s="37"/>
      <c r="F5548" s="37"/>
      <c r="G5548" s="70"/>
    </row>
    <row r="5549" spans="2:7" x14ac:dyDescent="0.25">
      <c r="B5549" s="37"/>
      <c r="C5549" s="37"/>
      <c r="D5549" s="37"/>
      <c r="E5549" s="37"/>
      <c r="F5549" s="37"/>
      <c r="G5549" s="70"/>
    </row>
    <row r="5550" spans="2:7" x14ac:dyDescent="0.25">
      <c r="B5550" s="37"/>
      <c r="C5550" s="37"/>
      <c r="D5550" s="37"/>
      <c r="E5550" s="37"/>
      <c r="F5550" s="37"/>
      <c r="G5550" s="70"/>
    </row>
    <row r="5551" spans="2:7" x14ac:dyDescent="0.25">
      <c r="B5551" s="37"/>
      <c r="C5551" s="37"/>
      <c r="D5551" s="37"/>
      <c r="E5551" s="37"/>
      <c r="F5551" s="37"/>
      <c r="G5551" s="70"/>
    </row>
    <row r="5552" spans="2:7" x14ac:dyDescent="0.25">
      <c r="B5552" s="37"/>
      <c r="C5552" s="37"/>
      <c r="D5552" s="37"/>
      <c r="E5552" s="37"/>
      <c r="F5552" s="37"/>
      <c r="G5552" s="70"/>
    </row>
    <row r="5553" spans="2:7" x14ac:dyDescent="0.25">
      <c r="B5553" s="37"/>
      <c r="C5553" s="37"/>
      <c r="D5553" s="37"/>
      <c r="E5553" s="37"/>
      <c r="F5553" s="37"/>
      <c r="G5553" s="70"/>
    </row>
    <row r="5554" spans="2:7" x14ac:dyDescent="0.25">
      <c r="B5554" s="37"/>
      <c r="C5554" s="37"/>
      <c r="D5554" s="37"/>
      <c r="E5554" s="37"/>
      <c r="F5554" s="37"/>
      <c r="G5554" s="70"/>
    </row>
    <row r="5555" spans="2:7" x14ac:dyDescent="0.25">
      <c r="B5555" s="37"/>
      <c r="C5555" s="37"/>
      <c r="D5555" s="37"/>
      <c r="E5555" s="37"/>
      <c r="F5555" s="37"/>
      <c r="G5555" s="70"/>
    </row>
    <row r="5556" spans="2:7" x14ac:dyDescent="0.25">
      <c r="B5556" s="37"/>
      <c r="C5556" s="37"/>
      <c r="D5556" s="37"/>
      <c r="E5556" s="37"/>
      <c r="F5556" s="37"/>
      <c r="G5556" s="70"/>
    </row>
    <row r="5557" spans="2:7" x14ac:dyDescent="0.25">
      <c r="B5557" s="37"/>
      <c r="C5557" s="37"/>
      <c r="D5557" s="37"/>
      <c r="E5557" s="37"/>
      <c r="F5557" s="37"/>
      <c r="G5557" s="70"/>
    </row>
    <row r="5558" spans="2:7" x14ac:dyDescent="0.25">
      <c r="B5558" s="37"/>
      <c r="C5558" s="37"/>
      <c r="D5558" s="37"/>
      <c r="E5558" s="37"/>
      <c r="F5558" s="37"/>
      <c r="G5558" s="70"/>
    </row>
    <row r="5559" spans="2:7" x14ac:dyDescent="0.25">
      <c r="B5559" s="37"/>
      <c r="C5559" s="37"/>
      <c r="D5559" s="37"/>
      <c r="E5559" s="37"/>
      <c r="F5559" s="37"/>
      <c r="G5559" s="70"/>
    </row>
    <row r="5560" spans="2:7" x14ac:dyDescent="0.25">
      <c r="B5560" s="37"/>
      <c r="C5560" s="37"/>
      <c r="D5560" s="37"/>
      <c r="E5560" s="37"/>
      <c r="F5560" s="37"/>
      <c r="G5560" s="70"/>
    </row>
    <row r="5561" spans="2:7" x14ac:dyDescent="0.25">
      <c r="B5561" s="37"/>
      <c r="C5561" s="37"/>
      <c r="D5561" s="37"/>
      <c r="E5561" s="37"/>
      <c r="F5561" s="37"/>
      <c r="G5561" s="70"/>
    </row>
    <row r="5562" spans="2:7" x14ac:dyDescent="0.25">
      <c r="B5562" s="37"/>
      <c r="C5562" s="37"/>
      <c r="D5562" s="37"/>
      <c r="E5562" s="37"/>
      <c r="F5562" s="37"/>
      <c r="G5562" s="70"/>
    </row>
    <row r="5563" spans="2:7" x14ac:dyDescent="0.25">
      <c r="B5563" s="37"/>
      <c r="C5563" s="37"/>
      <c r="D5563" s="37"/>
      <c r="E5563" s="37"/>
      <c r="F5563" s="37"/>
      <c r="G5563" s="70"/>
    </row>
    <row r="5564" spans="2:7" x14ac:dyDescent="0.25">
      <c r="B5564" s="37"/>
      <c r="C5564" s="37"/>
      <c r="D5564" s="37"/>
      <c r="E5564" s="37"/>
      <c r="F5564" s="37"/>
      <c r="G5564" s="70"/>
    </row>
    <row r="5565" spans="2:7" x14ac:dyDescent="0.25">
      <c r="B5565" s="37"/>
      <c r="C5565" s="37"/>
      <c r="D5565" s="37"/>
      <c r="E5565" s="37"/>
      <c r="F5565" s="37"/>
      <c r="G5565" s="70"/>
    </row>
    <row r="5566" spans="2:7" x14ac:dyDescent="0.25">
      <c r="B5566" s="37"/>
      <c r="C5566" s="37"/>
      <c r="D5566" s="37"/>
      <c r="E5566" s="37"/>
      <c r="F5566" s="37"/>
      <c r="G5566" s="70"/>
    </row>
    <row r="5567" spans="2:7" x14ac:dyDescent="0.25">
      <c r="B5567" s="37"/>
      <c r="C5567" s="37"/>
      <c r="D5567" s="37"/>
      <c r="E5567" s="37"/>
      <c r="F5567" s="37"/>
      <c r="G5567" s="70"/>
    </row>
    <row r="5568" spans="2:7" x14ac:dyDescent="0.25">
      <c r="B5568" s="37"/>
      <c r="C5568" s="37"/>
      <c r="D5568" s="37"/>
      <c r="E5568" s="37"/>
      <c r="F5568" s="37"/>
      <c r="G5568" s="70"/>
    </row>
    <row r="5569" spans="2:7" x14ac:dyDescent="0.25">
      <c r="B5569" s="37"/>
      <c r="C5569" s="37"/>
      <c r="D5569" s="37"/>
      <c r="E5569" s="37"/>
      <c r="F5569" s="37"/>
      <c r="G5569" s="70"/>
    </row>
    <row r="5570" spans="2:7" x14ac:dyDescent="0.25">
      <c r="B5570" s="37"/>
      <c r="C5570" s="37"/>
      <c r="D5570" s="37"/>
      <c r="E5570" s="37"/>
      <c r="F5570" s="37"/>
      <c r="G5570" s="70"/>
    </row>
    <row r="5571" spans="2:7" x14ac:dyDescent="0.25">
      <c r="B5571" s="37"/>
      <c r="C5571" s="37"/>
      <c r="D5571" s="37"/>
      <c r="E5571" s="37"/>
      <c r="F5571" s="37"/>
      <c r="G5571" s="70"/>
    </row>
    <row r="5572" spans="2:7" x14ac:dyDescent="0.25">
      <c r="B5572" s="37"/>
      <c r="C5572" s="37"/>
      <c r="D5572" s="37"/>
      <c r="E5572" s="37"/>
      <c r="F5572" s="37"/>
      <c r="G5572" s="70"/>
    </row>
    <row r="5573" spans="2:7" x14ac:dyDescent="0.25">
      <c r="B5573" s="37"/>
      <c r="C5573" s="37"/>
      <c r="D5573" s="37"/>
      <c r="E5573" s="37"/>
      <c r="F5573" s="37"/>
      <c r="G5573" s="70"/>
    </row>
    <row r="5574" spans="2:7" x14ac:dyDescent="0.25">
      <c r="B5574" s="37"/>
      <c r="C5574" s="37"/>
      <c r="D5574" s="37"/>
      <c r="E5574" s="37"/>
      <c r="F5574" s="37"/>
      <c r="G5574" s="70"/>
    </row>
    <row r="5575" spans="2:7" x14ac:dyDescent="0.25">
      <c r="B5575" s="37"/>
      <c r="C5575" s="37"/>
      <c r="D5575" s="37"/>
      <c r="E5575" s="37"/>
      <c r="F5575" s="37"/>
      <c r="G5575" s="70"/>
    </row>
    <row r="5576" spans="2:7" x14ac:dyDescent="0.25">
      <c r="B5576" s="37"/>
      <c r="C5576" s="37"/>
      <c r="D5576" s="37"/>
      <c r="E5576" s="37"/>
      <c r="F5576" s="37"/>
      <c r="G5576" s="70"/>
    </row>
    <row r="5577" spans="2:7" x14ac:dyDescent="0.25">
      <c r="B5577" s="37"/>
      <c r="C5577" s="37"/>
      <c r="D5577" s="37"/>
      <c r="E5577" s="37"/>
      <c r="F5577" s="37"/>
      <c r="G5577" s="70"/>
    </row>
    <row r="5578" spans="2:7" x14ac:dyDescent="0.25">
      <c r="B5578" s="37"/>
      <c r="C5578" s="37"/>
      <c r="D5578" s="37"/>
      <c r="E5578" s="37"/>
      <c r="F5578" s="37"/>
      <c r="G5578" s="70"/>
    </row>
    <row r="5579" spans="2:7" x14ac:dyDescent="0.25">
      <c r="B5579" s="37"/>
      <c r="C5579" s="37"/>
      <c r="D5579" s="37"/>
      <c r="E5579" s="37"/>
      <c r="F5579" s="37"/>
      <c r="G5579" s="70"/>
    </row>
    <row r="5580" spans="2:7" x14ac:dyDescent="0.25">
      <c r="B5580" s="37"/>
      <c r="C5580" s="37"/>
      <c r="D5580" s="37"/>
      <c r="E5580" s="37"/>
      <c r="F5580" s="37"/>
      <c r="G5580" s="70"/>
    </row>
    <row r="5581" spans="2:7" x14ac:dyDescent="0.25">
      <c r="B5581" s="37"/>
      <c r="C5581" s="37"/>
      <c r="D5581" s="37"/>
      <c r="E5581" s="37"/>
      <c r="F5581" s="37"/>
      <c r="G5581" s="70"/>
    </row>
    <row r="5582" spans="2:7" x14ac:dyDescent="0.25">
      <c r="B5582" s="37"/>
      <c r="C5582" s="37"/>
      <c r="D5582" s="37"/>
      <c r="E5582" s="37"/>
      <c r="F5582" s="37"/>
      <c r="G5582" s="70"/>
    </row>
    <row r="5583" spans="2:7" x14ac:dyDescent="0.25">
      <c r="B5583" s="37"/>
      <c r="C5583" s="37"/>
      <c r="D5583" s="37"/>
      <c r="E5583" s="37"/>
      <c r="F5583" s="37"/>
      <c r="G5583" s="70"/>
    </row>
    <row r="5584" spans="2:7" x14ac:dyDescent="0.25">
      <c r="B5584" s="37"/>
      <c r="C5584" s="37"/>
      <c r="D5584" s="37"/>
      <c r="E5584" s="37"/>
      <c r="F5584" s="37"/>
      <c r="G5584" s="70"/>
    </row>
    <row r="5585" spans="2:7" x14ac:dyDescent="0.25">
      <c r="B5585" s="37"/>
      <c r="C5585" s="37"/>
      <c r="D5585" s="37"/>
      <c r="E5585" s="37"/>
      <c r="F5585" s="37"/>
      <c r="G5585" s="70"/>
    </row>
    <row r="5586" spans="2:7" x14ac:dyDescent="0.25">
      <c r="B5586" s="37"/>
      <c r="C5586" s="37"/>
      <c r="D5586" s="37"/>
      <c r="E5586" s="37"/>
      <c r="F5586" s="37"/>
      <c r="G5586" s="70"/>
    </row>
    <row r="5587" spans="2:7" x14ac:dyDescent="0.25">
      <c r="B5587" s="37"/>
      <c r="C5587" s="37"/>
      <c r="D5587" s="37"/>
      <c r="E5587" s="37"/>
      <c r="F5587" s="37"/>
      <c r="G5587" s="70"/>
    </row>
    <row r="5588" spans="2:7" x14ac:dyDescent="0.25">
      <c r="B5588" s="37"/>
      <c r="C5588" s="37"/>
      <c r="D5588" s="37"/>
      <c r="E5588" s="37"/>
      <c r="F5588" s="37"/>
      <c r="G5588" s="70"/>
    </row>
    <row r="5589" spans="2:7" x14ac:dyDescent="0.25">
      <c r="B5589" s="37"/>
      <c r="C5589" s="37"/>
      <c r="D5589" s="37"/>
      <c r="E5589" s="37"/>
      <c r="F5589" s="37"/>
      <c r="G5589" s="70"/>
    </row>
    <row r="5590" spans="2:7" x14ac:dyDescent="0.25">
      <c r="B5590" s="37"/>
      <c r="C5590" s="37"/>
      <c r="D5590" s="37"/>
      <c r="E5590" s="37"/>
      <c r="F5590" s="37"/>
      <c r="G5590" s="70"/>
    </row>
    <row r="5591" spans="2:7" x14ac:dyDescent="0.25">
      <c r="B5591" s="37"/>
      <c r="C5591" s="37"/>
      <c r="D5591" s="37"/>
      <c r="E5591" s="37"/>
      <c r="F5591" s="37"/>
      <c r="G5591" s="70"/>
    </row>
    <row r="5592" spans="2:7" x14ac:dyDescent="0.25">
      <c r="B5592" s="37"/>
      <c r="C5592" s="37"/>
      <c r="D5592" s="37"/>
      <c r="E5592" s="37"/>
      <c r="F5592" s="37"/>
      <c r="G5592" s="70"/>
    </row>
    <row r="5593" spans="2:7" x14ac:dyDescent="0.25">
      <c r="B5593" s="37"/>
      <c r="C5593" s="37"/>
      <c r="D5593" s="37"/>
      <c r="E5593" s="37"/>
      <c r="F5593" s="37"/>
      <c r="G5593" s="70"/>
    </row>
    <row r="5594" spans="2:7" x14ac:dyDescent="0.25">
      <c r="B5594" s="37"/>
      <c r="C5594" s="37"/>
      <c r="D5594" s="37"/>
      <c r="E5594" s="37"/>
      <c r="F5594" s="37"/>
      <c r="G5594" s="70"/>
    </row>
    <row r="5595" spans="2:7" x14ac:dyDescent="0.25">
      <c r="B5595" s="37"/>
      <c r="C5595" s="37"/>
      <c r="D5595" s="37"/>
      <c r="E5595" s="37"/>
      <c r="F5595" s="37"/>
      <c r="G5595" s="70"/>
    </row>
    <row r="5596" spans="2:7" x14ac:dyDescent="0.25">
      <c r="B5596" s="37"/>
      <c r="C5596" s="37"/>
      <c r="D5596" s="37"/>
      <c r="E5596" s="37"/>
      <c r="F5596" s="37"/>
      <c r="G5596" s="70"/>
    </row>
    <row r="5597" spans="2:7" x14ac:dyDescent="0.25">
      <c r="B5597" s="37"/>
      <c r="C5597" s="37"/>
      <c r="D5597" s="37"/>
      <c r="E5597" s="37"/>
      <c r="F5597" s="37"/>
      <c r="G5597" s="70"/>
    </row>
    <row r="5598" spans="2:7" x14ac:dyDescent="0.25">
      <c r="B5598" s="37"/>
      <c r="C5598" s="37"/>
      <c r="D5598" s="37"/>
      <c r="E5598" s="37"/>
      <c r="F5598" s="37"/>
      <c r="G5598" s="70"/>
    </row>
    <row r="5599" spans="2:7" x14ac:dyDescent="0.25">
      <c r="B5599" s="37"/>
      <c r="C5599" s="37"/>
      <c r="D5599" s="37"/>
      <c r="E5599" s="37"/>
      <c r="F5599" s="37"/>
      <c r="G5599" s="70"/>
    </row>
    <row r="5600" spans="2:7" x14ac:dyDescent="0.25">
      <c r="B5600" s="37"/>
      <c r="C5600" s="37"/>
      <c r="D5600" s="37"/>
      <c r="E5600" s="37"/>
      <c r="F5600" s="37"/>
      <c r="G5600" s="70"/>
    </row>
    <row r="5601" spans="2:7" x14ac:dyDescent="0.25">
      <c r="B5601" s="37"/>
      <c r="C5601" s="37"/>
      <c r="D5601" s="37"/>
      <c r="E5601" s="37"/>
      <c r="F5601" s="37"/>
      <c r="G5601" s="70"/>
    </row>
    <row r="5602" spans="2:7" x14ac:dyDescent="0.25">
      <c r="B5602" s="37"/>
      <c r="C5602" s="37"/>
      <c r="D5602" s="37"/>
      <c r="E5602" s="37"/>
      <c r="F5602" s="37"/>
      <c r="G5602" s="70"/>
    </row>
    <row r="5603" spans="2:7" x14ac:dyDescent="0.25">
      <c r="B5603" s="37"/>
      <c r="C5603" s="37"/>
      <c r="D5603" s="37"/>
      <c r="E5603" s="37"/>
      <c r="F5603" s="37"/>
      <c r="G5603" s="70"/>
    </row>
    <row r="5604" spans="2:7" x14ac:dyDescent="0.25">
      <c r="B5604" s="37"/>
      <c r="C5604" s="37"/>
      <c r="D5604" s="37"/>
      <c r="E5604" s="37"/>
      <c r="F5604" s="37"/>
      <c r="G5604" s="70"/>
    </row>
    <row r="5605" spans="2:7" x14ac:dyDescent="0.25">
      <c r="B5605" s="37"/>
      <c r="C5605" s="37"/>
      <c r="D5605" s="37"/>
      <c r="E5605" s="37"/>
      <c r="F5605" s="37"/>
      <c r="G5605" s="70"/>
    </row>
    <row r="5606" spans="2:7" x14ac:dyDescent="0.25">
      <c r="B5606" s="37"/>
      <c r="C5606" s="37"/>
      <c r="D5606" s="37"/>
      <c r="E5606" s="37"/>
      <c r="F5606" s="37"/>
      <c r="G5606" s="70"/>
    </row>
    <row r="5607" spans="2:7" x14ac:dyDescent="0.25">
      <c r="B5607" s="37"/>
      <c r="C5607" s="37"/>
      <c r="D5607" s="37"/>
      <c r="E5607" s="37"/>
      <c r="F5607" s="37"/>
      <c r="G5607" s="70"/>
    </row>
    <row r="5608" spans="2:7" x14ac:dyDescent="0.25">
      <c r="B5608" s="37"/>
      <c r="C5608" s="37"/>
      <c r="D5608" s="37"/>
      <c r="E5608" s="37"/>
      <c r="F5608" s="37"/>
      <c r="G5608" s="70"/>
    </row>
    <row r="5609" spans="2:7" x14ac:dyDescent="0.25">
      <c r="B5609" s="37"/>
      <c r="C5609" s="37"/>
      <c r="D5609" s="37"/>
      <c r="E5609" s="37"/>
      <c r="F5609" s="37"/>
      <c r="G5609" s="70"/>
    </row>
    <row r="5610" spans="2:7" x14ac:dyDescent="0.25">
      <c r="B5610" s="37"/>
      <c r="C5610" s="37"/>
      <c r="D5610" s="37"/>
      <c r="E5610" s="37"/>
      <c r="F5610" s="37"/>
      <c r="G5610" s="70"/>
    </row>
    <row r="5611" spans="2:7" x14ac:dyDescent="0.25">
      <c r="B5611" s="37"/>
      <c r="C5611" s="37"/>
      <c r="D5611" s="37"/>
      <c r="E5611" s="37"/>
      <c r="F5611" s="37"/>
      <c r="G5611" s="70"/>
    </row>
    <row r="5612" spans="2:7" x14ac:dyDescent="0.25">
      <c r="B5612" s="37"/>
      <c r="C5612" s="37"/>
      <c r="D5612" s="37"/>
      <c r="E5612" s="37"/>
      <c r="F5612" s="37"/>
      <c r="G5612" s="70"/>
    </row>
    <row r="5613" spans="2:7" x14ac:dyDescent="0.25">
      <c r="B5613" s="37"/>
      <c r="C5613" s="37"/>
      <c r="D5613" s="37"/>
      <c r="E5613" s="37"/>
      <c r="F5613" s="37"/>
      <c r="G5613" s="70"/>
    </row>
    <row r="5614" spans="2:7" x14ac:dyDescent="0.25">
      <c r="B5614" s="37"/>
      <c r="C5614" s="37"/>
      <c r="D5614" s="37"/>
      <c r="E5614" s="37"/>
      <c r="F5614" s="37"/>
      <c r="G5614" s="70"/>
    </row>
    <row r="5615" spans="2:7" x14ac:dyDescent="0.25">
      <c r="B5615" s="37"/>
      <c r="C5615" s="37"/>
      <c r="D5615" s="37"/>
      <c r="E5615" s="37"/>
      <c r="F5615" s="37"/>
      <c r="G5615" s="70"/>
    </row>
    <row r="5616" spans="2:7" x14ac:dyDescent="0.25">
      <c r="B5616" s="37"/>
      <c r="C5616" s="37"/>
      <c r="D5616" s="37"/>
      <c r="E5616" s="37"/>
      <c r="F5616" s="37"/>
      <c r="G5616" s="70"/>
    </row>
    <row r="5617" spans="2:7" x14ac:dyDescent="0.25">
      <c r="B5617" s="37"/>
      <c r="C5617" s="37"/>
      <c r="D5617" s="37"/>
      <c r="E5617" s="37"/>
      <c r="F5617" s="37"/>
      <c r="G5617" s="70"/>
    </row>
    <row r="5618" spans="2:7" x14ac:dyDescent="0.25">
      <c r="B5618" s="37"/>
      <c r="C5618" s="37"/>
      <c r="D5618" s="37"/>
      <c r="E5618" s="37"/>
      <c r="F5618" s="37"/>
      <c r="G5618" s="70"/>
    </row>
    <row r="5619" spans="2:7" x14ac:dyDescent="0.25">
      <c r="B5619" s="37"/>
      <c r="C5619" s="37"/>
      <c r="D5619" s="37"/>
      <c r="E5619" s="37"/>
      <c r="F5619" s="37"/>
      <c r="G5619" s="70"/>
    </row>
    <row r="5620" spans="2:7" x14ac:dyDescent="0.25">
      <c r="B5620" s="37"/>
      <c r="C5620" s="37"/>
      <c r="D5620" s="37"/>
      <c r="E5620" s="37"/>
      <c r="F5620" s="37"/>
      <c r="G5620" s="70"/>
    </row>
    <row r="5621" spans="2:7" x14ac:dyDescent="0.25">
      <c r="B5621" s="37"/>
      <c r="C5621" s="37"/>
      <c r="D5621" s="37"/>
      <c r="E5621" s="37"/>
      <c r="F5621" s="37"/>
      <c r="G5621" s="70"/>
    </row>
    <row r="5622" spans="2:7" x14ac:dyDescent="0.25">
      <c r="B5622" s="37"/>
      <c r="C5622" s="37"/>
      <c r="D5622" s="37"/>
      <c r="E5622" s="37"/>
      <c r="F5622" s="37"/>
      <c r="G5622" s="70"/>
    </row>
    <row r="5623" spans="2:7" x14ac:dyDescent="0.25">
      <c r="B5623" s="37"/>
      <c r="C5623" s="37"/>
      <c r="D5623" s="37"/>
      <c r="E5623" s="37"/>
      <c r="F5623" s="37"/>
      <c r="G5623" s="70"/>
    </row>
    <row r="5624" spans="2:7" x14ac:dyDescent="0.25">
      <c r="B5624" s="37"/>
      <c r="C5624" s="37"/>
      <c r="D5624" s="37"/>
      <c r="E5624" s="37"/>
      <c r="F5624" s="37"/>
      <c r="G5624" s="70"/>
    </row>
    <row r="5625" spans="2:7" x14ac:dyDescent="0.25">
      <c r="B5625" s="37"/>
      <c r="C5625" s="37"/>
      <c r="D5625" s="37"/>
      <c r="E5625" s="37"/>
      <c r="F5625" s="37"/>
      <c r="G5625" s="70"/>
    </row>
    <row r="5626" spans="2:7" x14ac:dyDescent="0.25">
      <c r="B5626" s="37"/>
      <c r="C5626" s="37"/>
      <c r="D5626" s="37"/>
      <c r="E5626" s="37"/>
      <c r="F5626" s="37"/>
      <c r="G5626" s="70"/>
    </row>
    <row r="5627" spans="2:7" x14ac:dyDescent="0.25">
      <c r="B5627" s="37"/>
      <c r="C5627" s="37"/>
      <c r="D5627" s="37"/>
      <c r="E5627" s="37"/>
      <c r="F5627" s="37"/>
      <c r="G5627" s="70"/>
    </row>
    <row r="5628" spans="2:7" x14ac:dyDescent="0.25">
      <c r="B5628" s="37"/>
      <c r="C5628" s="37"/>
      <c r="D5628" s="37"/>
      <c r="E5628" s="37"/>
      <c r="F5628" s="37"/>
      <c r="G5628" s="70"/>
    </row>
    <row r="5629" spans="2:7" x14ac:dyDescent="0.25">
      <c r="B5629" s="37"/>
      <c r="C5629" s="37"/>
      <c r="D5629" s="37"/>
      <c r="E5629" s="37"/>
      <c r="F5629" s="37"/>
      <c r="G5629" s="70"/>
    </row>
    <row r="5630" spans="2:7" x14ac:dyDescent="0.25">
      <c r="B5630" s="37"/>
      <c r="C5630" s="37"/>
      <c r="D5630" s="37"/>
      <c r="E5630" s="37"/>
      <c r="F5630" s="37"/>
      <c r="G5630" s="70"/>
    </row>
    <row r="5631" spans="2:7" x14ac:dyDescent="0.25">
      <c r="B5631" s="37"/>
      <c r="C5631" s="37"/>
      <c r="D5631" s="37"/>
      <c r="E5631" s="37"/>
      <c r="F5631" s="37"/>
      <c r="G5631" s="70"/>
    </row>
    <row r="5632" spans="2:7" x14ac:dyDescent="0.25">
      <c r="B5632" s="37"/>
      <c r="C5632" s="37"/>
      <c r="D5632" s="37"/>
      <c r="E5632" s="37"/>
      <c r="F5632" s="37"/>
      <c r="G5632" s="70"/>
    </row>
    <row r="5633" spans="2:7" x14ac:dyDescent="0.25">
      <c r="B5633" s="37"/>
      <c r="C5633" s="37"/>
      <c r="D5633" s="37"/>
      <c r="E5633" s="37"/>
      <c r="F5633" s="37"/>
      <c r="G5633" s="70"/>
    </row>
    <row r="5634" spans="2:7" x14ac:dyDescent="0.25">
      <c r="B5634" s="37"/>
      <c r="C5634" s="37"/>
      <c r="D5634" s="37"/>
      <c r="E5634" s="37"/>
      <c r="F5634" s="37"/>
      <c r="G5634" s="70"/>
    </row>
    <row r="5635" spans="2:7" x14ac:dyDescent="0.25">
      <c r="B5635" s="37"/>
      <c r="C5635" s="37"/>
      <c r="D5635" s="37"/>
      <c r="E5635" s="37"/>
      <c r="F5635" s="37"/>
      <c r="G5635" s="70"/>
    </row>
    <row r="5636" spans="2:7" x14ac:dyDescent="0.25">
      <c r="B5636" s="37"/>
      <c r="C5636" s="37"/>
      <c r="D5636" s="37"/>
      <c r="E5636" s="37"/>
      <c r="F5636" s="37"/>
      <c r="G5636" s="70"/>
    </row>
    <row r="5637" spans="2:7" x14ac:dyDescent="0.25">
      <c r="B5637" s="37"/>
      <c r="C5637" s="37"/>
      <c r="D5637" s="37"/>
      <c r="E5637" s="37"/>
      <c r="F5637" s="37"/>
      <c r="G5637" s="70"/>
    </row>
    <row r="5638" spans="2:7" x14ac:dyDescent="0.25">
      <c r="B5638" s="37"/>
      <c r="C5638" s="37"/>
      <c r="D5638" s="37"/>
      <c r="E5638" s="37"/>
      <c r="F5638" s="37"/>
      <c r="G5638" s="70"/>
    </row>
    <row r="5639" spans="2:7" x14ac:dyDescent="0.25">
      <c r="B5639" s="37"/>
      <c r="C5639" s="37"/>
      <c r="D5639" s="37"/>
      <c r="E5639" s="37"/>
      <c r="F5639" s="37"/>
      <c r="G5639" s="70"/>
    </row>
    <row r="5640" spans="2:7" x14ac:dyDescent="0.25">
      <c r="B5640" s="37"/>
      <c r="C5640" s="37"/>
      <c r="D5640" s="37"/>
      <c r="E5640" s="37"/>
      <c r="F5640" s="37"/>
      <c r="G5640" s="70"/>
    </row>
    <row r="5641" spans="2:7" x14ac:dyDescent="0.25">
      <c r="B5641" s="37"/>
      <c r="C5641" s="37"/>
      <c r="D5641" s="37"/>
      <c r="E5641" s="37"/>
      <c r="F5641" s="37"/>
      <c r="G5641" s="70"/>
    </row>
    <row r="5642" spans="2:7" x14ac:dyDescent="0.25">
      <c r="B5642" s="37"/>
      <c r="C5642" s="37"/>
      <c r="D5642" s="37"/>
      <c r="E5642" s="37"/>
      <c r="F5642" s="37"/>
      <c r="G5642" s="70"/>
    </row>
    <row r="5643" spans="2:7" x14ac:dyDescent="0.25">
      <c r="B5643" s="37"/>
      <c r="C5643" s="37"/>
      <c r="D5643" s="37"/>
      <c r="E5643" s="37"/>
      <c r="F5643" s="37"/>
      <c r="G5643" s="70"/>
    </row>
    <row r="5644" spans="2:7" x14ac:dyDescent="0.25">
      <c r="B5644" s="37"/>
      <c r="C5644" s="37"/>
      <c r="D5644" s="37"/>
      <c r="E5644" s="37"/>
      <c r="F5644" s="37"/>
      <c r="G5644" s="70"/>
    </row>
    <row r="5645" spans="2:7" x14ac:dyDescent="0.25">
      <c r="B5645" s="37"/>
      <c r="C5645" s="37"/>
      <c r="D5645" s="37"/>
      <c r="E5645" s="37"/>
      <c r="F5645" s="37"/>
      <c r="G5645" s="70"/>
    </row>
    <row r="5646" spans="2:7" x14ac:dyDescent="0.25">
      <c r="B5646" s="37"/>
      <c r="C5646" s="37"/>
      <c r="D5646" s="37"/>
      <c r="E5646" s="37"/>
      <c r="F5646" s="37"/>
      <c r="G5646" s="70"/>
    </row>
    <row r="5647" spans="2:7" x14ac:dyDescent="0.25">
      <c r="B5647" s="37"/>
      <c r="C5647" s="37"/>
      <c r="D5647" s="37"/>
      <c r="E5647" s="37"/>
      <c r="F5647" s="37"/>
      <c r="G5647" s="70"/>
    </row>
    <row r="5648" spans="2:7" x14ac:dyDescent="0.25">
      <c r="B5648" s="37"/>
      <c r="C5648" s="37"/>
      <c r="D5648" s="37"/>
      <c r="E5648" s="37"/>
      <c r="F5648" s="37"/>
      <c r="G5648" s="70"/>
    </row>
    <row r="5649" spans="2:7" x14ac:dyDescent="0.25">
      <c r="B5649" s="37"/>
      <c r="C5649" s="37"/>
      <c r="D5649" s="37"/>
      <c r="E5649" s="37"/>
      <c r="F5649" s="37"/>
      <c r="G5649" s="70"/>
    </row>
    <row r="5650" spans="2:7" x14ac:dyDescent="0.25">
      <c r="B5650" s="37"/>
      <c r="C5650" s="37"/>
      <c r="D5650" s="37"/>
      <c r="E5650" s="37"/>
      <c r="F5650" s="37"/>
      <c r="G5650" s="70"/>
    </row>
    <row r="5651" spans="2:7" x14ac:dyDescent="0.25">
      <c r="B5651" s="37"/>
      <c r="C5651" s="37"/>
      <c r="D5651" s="37"/>
      <c r="E5651" s="37"/>
      <c r="F5651" s="37"/>
      <c r="G5651" s="70"/>
    </row>
    <row r="5652" spans="2:7" x14ac:dyDescent="0.25">
      <c r="B5652" s="37"/>
      <c r="C5652" s="37"/>
      <c r="D5652" s="37"/>
      <c r="E5652" s="37"/>
      <c r="F5652" s="37"/>
      <c r="G5652" s="70"/>
    </row>
    <row r="5653" spans="2:7" x14ac:dyDescent="0.25">
      <c r="B5653" s="37"/>
      <c r="C5653" s="37"/>
      <c r="D5653" s="37"/>
      <c r="E5653" s="37"/>
      <c r="F5653" s="37"/>
      <c r="G5653" s="70"/>
    </row>
    <row r="5654" spans="2:7" x14ac:dyDescent="0.25">
      <c r="B5654" s="37"/>
      <c r="C5654" s="37"/>
      <c r="D5654" s="37"/>
      <c r="E5654" s="37"/>
      <c r="F5654" s="37"/>
      <c r="G5654" s="70"/>
    </row>
    <row r="5655" spans="2:7" x14ac:dyDescent="0.25">
      <c r="B5655" s="37"/>
      <c r="C5655" s="37"/>
      <c r="D5655" s="37"/>
      <c r="E5655" s="37"/>
      <c r="F5655" s="37"/>
      <c r="G5655" s="70"/>
    </row>
    <row r="5656" spans="2:7" x14ac:dyDescent="0.25">
      <c r="B5656" s="37"/>
      <c r="C5656" s="37"/>
      <c r="D5656" s="37"/>
      <c r="E5656" s="37"/>
      <c r="F5656" s="37"/>
      <c r="G5656" s="70"/>
    </row>
    <row r="5657" spans="2:7" x14ac:dyDescent="0.25">
      <c r="B5657" s="37"/>
      <c r="C5657" s="37"/>
      <c r="D5657" s="37"/>
      <c r="E5657" s="37"/>
      <c r="F5657" s="37"/>
      <c r="G5657" s="70"/>
    </row>
    <row r="5658" spans="2:7" x14ac:dyDescent="0.25">
      <c r="B5658" s="37"/>
      <c r="C5658" s="37"/>
      <c r="D5658" s="37"/>
      <c r="E5658" s="37"/>
      <c r="F5658" s="37"/>
      <c r="G5658" s="70"/>
    </row>
    <row r="5659" spans="2:7" x14ac:dyDescent="0.25">
      <c r="B5659" s="37"/>
      <c r="C5659" s="37"/>
      <c r="D5659" s="37"/>
      <c r="E5659" s="37"/>
      <c r="F5659" s="37"/>
      <c r="G5659" s="70"/>
    </row>
    <row r="5660" spans="2:7" x14ac:dyDescent="0.25">
      <c r="B5660" s="37"/>
      <c r="C5660" s="37"/>
      <c r="D5660" s="37"/>
      <c r="E5660" s="37"/>
      <c r="F5660" s="37"/>
      <c r="G5660" s="70"/>
    </row>
    <row r="5661" spans="2:7" x14ac:dyDescent="0.25">
      <c r="B5661" s="37"/>
      <c r="C5661" s="37"/>
      <c r="D5661" s="37"/>
      <c r="E5661" s="37"/>
      <c r="F5661" s="37"/>
      <c r="G5661" s="70"/>
    </row>
    <row r="5662" spans="2:7" x14ac:dyDescent="0.25">
      <c r="B5662" s="37"/>
      <c r="C5662" s="37"/>
      <c r="D5662" s="37"/>
      <c r="E5662" s="37"/>
      <c r="F5662" s="37"/>
      <c r="G5662" s="70"/>
    </row>
    <row r="5663" spans="2:7" x14ac:dyDescent="0.25">
      <c r="B5663" s="37"/>
      <c r="C5663" s="37"/>
      <c r="D5663" s="37"/>
      <c r="E5663" s="37"/>
      <c r="F5663" s="37"/>
      <c r="G5663" s="70"/>
    </row>
    <row r="5664" spans="2:7" x14ac:dyDescent="0.25">
      <c r="B5664" s="37"/>
      <c r="C5664" s="37"/>
      <c r="D5664" s="37"/>
      <c r="E5664" s="37"/>
      <c r="F5664" s="37"/>
      <c r="G5664" s="70"/>
    </row>
    <row r="5665" spans="2:7" x14ac:dyDescent="0.25">
      <c r="B5665" s="37"/>
      <c r="C5665" s="37"/>
      <c r="D5665" s="37"/>
      <c r="E5665" s="37"/>
      <c r="F5665" s="37"/>
      <c r="G5665" s="70"/>
    </row>
    <row r="5666" spans="2:7" x14ac:dyDescent="0.25">
      <c r="B5666" s="37"/>
      <c r="C5666" s="37"/>
      <c r="D5666" s="37"/>
      <c r="E5666" s="37"/>
      <c r="F5666" s="37"/>
      <c r="G5666" s="70"/>
    </row>
    <row r="5667" spans="2:7" x14ac:dyDescent="0.25">
      <c r="B5667" s="37"/>
      <c r="C5667" s="37"/>
      <c r="D5667" s="37"/>
      <c r="E5667" s="37"/>
      <c r="F5667" s="37"/>
      <c r="G5667" s="70"/>
    </row>
    <row r="5668" spans="2:7" x14ac:dyDescent="0.25">
      <c r="B5668" s="37"/>
      <c r="C5668" s="37"/>
      <c r="D5668" s="37"/>
      <c r="E5668" s="37"/>
      <c r="F5668" s="37"/>
      <c r="G5668" s="70"/>
    </row>
    <row r="5669" spans="2:7" x14ac:dyDescent="0.25">
      <c r="B5669" s="37"/>
      <c r="C5669" s="37"/>
      <c r="D5669" s="37"/>
      <c r="E5669" s="37"/>
      <c r="F5669" s="37"/>
      <c r="G5669" s="70"/>
    </row>
    <row r="5670" spans="2:7" x14ac:dyDescent="0.25">
      <c r="B5670" s="37"/>
      <c r="C5670" s="37"/>
      <c r="D5670" s="37"/>
      <c r="E5670" s="37"/>
      <c r="F5670" s="37"/>
      <c r="G5670" s="70"/>
    </row>
    <row r="5671" spans="2:7" x14ac:dyDescent="0.25">
      <c r="B5671" s="37"/>
      <c r="C5671" s="37"/>
      <c r="D5671" s="37"/>
      <c r="E5671" s="37"/>
      <c r="F5671" s="37"/>
      <c r="G5671" s="70"/>
    </row>
    <row r="5672" spans="2:7" x14ac:dyDescent="0.25">
      <c r="B5672" s="37"/>
      <c r="C5672" s="37"/>
      <c r="D5672" s="37"/>
      <c r="E5672" s="37"/>
      <c r="F5672" s="37"/>
      <c r="G5672" s="70"/>
    </row>
    <row r="5673" spans="2:7" x14ac:dyDescent="0.25">
      <c r="B5673" s="37"/>
      <c r="C5673" s="37"/>
      <c r="D5673" s="37"/>
      <c r="E5673" s="37"/>
      <c r="F5673" s="37"/>
      <c r="G5673" s="70"/>
    </row>
    <row r="5674" spans="2:7" x14ac:dyDescent="0.25">
      <c r="B5674" s="37"/>
      <c r="C5674" s="37"/>
      <c r="D5674" s="37"/>
      <c r="E5674" s="37"/>
      <c r="F5674" s="37"/>
      <c r="G5674" s="70"/>
    </row>
    <row r="5675" spans="2:7" x14ac:dyDescent="0.25">
      <c r="B5675" s="37"/>
      <c r="C5675" s="37"/>
      <c r="D5675" s="37"/>
      <c r="E5675" s="37"/>
      <c r="F5675" s="37"/>
      <c r="G5675" s="70"/>
    </row>
    <row r="5676" spans="2:7" x14ac:dyDescent="0.25">
      <c r="B5676" s="37"/>
      <c r="C5676" s="37"/>
      <c r="D5676" s="37"/>
      <c r="E5676" s="37"/>
      <c r="F5676" s="37"/>
      <c r="G5676" s="70"/>
    </row>
    <row r="5677" spans="2:7" x14ac:dyDescent="0.25">
      <c r="B5677" s="37"/>
      <c r="C5677" s="37"/>
      <c r="D5677" s="37"/>
      <c r="E5677" s="37"/>
      <c r="F5677" s="37"/>
      <c r="G5677" s="70"/>
    </row>
    <row r="5678" spans="2:7" x14ac:dyDescent="0.25">
      <c r="B5678" s="37"/>
      <c r="C5678" s="37"/>
      <c r="D5678" s="37"/>
      <c r="E5678" s="37"/>
      <c r="F5678" s="37"/>
      <c r="G5678" s="70"/>
    </row>
    <row r="5679" spans="2:7" x14ac:dyDescent="0.25">
      <c r="B5679" s="37"/>
      <c r="C5679" s="37"/>
      <c r="D5679" s="37"/>
      <c r="E5679" s="37"/>
      <c r="F5679" s="37"/>
      <c r="G5679" s="70"/>
    </row>
    <row r="5680" spans="2:7" x14ac:dyDescent="0.25">
      <c r="B5680" s="37"/>
      <c r="C5680" s="37"/>
      <c r="D5680" s="37"/>
      <c r="E5680" s="37"/>
      <c r="F5680" s="37"/>
      <c r="G5680" s="70"/>
    </row>
    <row r="5681" spans="2:7" x14ac:dyDescent="0.25">
      <c r="B5681" s="37"/>
      <c r="C5681" s="37"/>
      <c r="D5681" s="37"/>
      <c r="E5681" s="37"/>
      <c r="F5681" s="37"/>
      <c r="G5681" s="70"/>
    </row>
    <row r="5682" spans="2:7" x14ac:dyDescent="0.25">
      <c r="B5682" s="37"/>
      <c r="C5682" s="37"/>
      <c r="D5682" s="37"/>
      <c r="E5682" s="37"/>
      <c r="F5682" s="37"/>
      <c r="G5682" s="70"/>
    </row>
    <row r="5683" spans="2:7" x14ac:dyDescent="0.25">
      <c r="B5683" s="37"/>
      <c r="C5683" s="37"/>
      <c r="D5683" s="37"/>
      <c r="E5683" s="37"/>
      <c r="F5683" s="37"/>
      <c r="G5683" s="70"/>
    </row>
    <row r="5684" spans="2:7" x14ac:dyDescent="0.25">
      <c r="B5684" s="37"/>
      <c r="C5684" s="37"/>
      <c r="D5684" s="37"/>
      <c r="E5684" s="37"/>
      <c r="F5684" s="37"/>
      <c r="G5684" s="70"/>
    </row>
    <row r="5685" spans="2:7" x14ac:dyDescent="0.25">
      <c r="B5685" s="37"/>
      <c r="C5685" s="37"/>
      <c r="D5685" s="37"/>
      <c r="E5685" s="37"/>
      <c r="F5685" s="37"/>
      <c r="G5685" s="70"/>
    </row>
    <row r="5686" spans="2:7" x14ac:dyDescent="0.25">
      <c r="B5686" s="37"/>
      <c r="C5686" s="37"/>
      <c r="D5686" s="37"/>
      <c r="E5686" s="37"/>
      <c r="F5686" s="37"/>
      <c r="G5686" s="70"/>
    </row>
    <row r="5687" spans="2:7" x14ac:dyDescent="0.25">
      <c r="B5687" s="37"/>
      <c r="C5687" s="37"/>
      <c r="D5687" s="37"/>
      <c r="E5687" s="37"/>
      <c r="F5687" s="37"/>
      <c r="G5687" s="70"/>
    </row>
    <row r="5688" spans="2:7" x14ac:dyDescent="0.25">
      <c r="B5688" s="37"/>
      <c r="C5688" s="37"/>
      <c r="D5688" s="37"/>
      <c r="E5688" s="37"/>
      <c r="F5688" s="37"/>
      <c r="G5688" s="70"/>
    </row>
    <row r="5689" spans="2:7" x14ac:dyDescent="0.25">
      <c r="B5689" s="37"/>
      <c r="C5689" s="37"/>
      <c r="D5689" s="37"/>
      <c r="E5689" s="37"/>
      <c r="F5689" s="37"/>
      <c r="G5689" s="70"/>
    </row>
    <row r="5690" spans="2:7" x14ac:dyDescent="0.25">
      <c r="B5690" s="37"/>
      <c r="C5690" s="37"/>
      <c r="D5690" s="37"/>
      <c r="E5690" s="37"/>
      <c r="F5690" s="37"/>
      <c r="G5690" s="70"/>
    </row>
    <row r="5691" spans="2:7" x14ac:dyDescent="0.25">
      <c r="B5691" s="37"/>
      <c r="C5691" s="37"/>
      <c r="D5691" s="37"/>
      <c r="E5691" s="37"/>
      <c r="F5691" s="37"/>
      <c r="G5691" s="70"/>
    </row>
    <row r="5692" spans="2:7" x14ac:dyDescent="0.25">
      <c r="B5692" s="37"/>
      <c r="C5692" s="37"/>
      <c r="D5692" s="37"/>
      <c r="E5692" s="37"/>
      <c r="F5692" s="37"/>
      <c r="G5692" s="70"/>
    </row>
    <row r="5693" spans="2:7" x14ac:dyDescent="0.25">
      <c r="B5693" s="37"/>
      <c r="C5693" s="37"/>
      <c r="D5693" s="37"/>
      <c r="E5693" s="37"/>
      <c r="F5693" s="37"/>
      <c r="G5693" s="70"/>
    </row>
    <row r="5694" spans="2:7" x14ac:dyDescent="0.25">
      <c r="B5694" s="37"/>
      <c r="C5694" s="37"/>
      <c r="D5694" s="37"/>
      <c r="E5694" s="37"/>
      <c r="F5694" s="37"/>
      <c r="G5694" s="70"/>
    </row>
    <row r="5695" spans="2:7" x14ac:dyDescent="0.25">
      <c r="B5695" s="37"/>
      <c r="C5695" s="37"/>
      <c r="D5695" s="37"/>
      <c r="E5695" s="37"/>
      <c r="F5695" s="37"/>
      <c r="G5695" s="70"/>
    </row>
    <row r="5696" spans="2:7" x14ac:dyDescent="0.25">
      <c r="B5696" s="37"/>
      <c r="C5696" s="37"/>
      <c r="D5696" s="37"/>
      <c r="E5696" s="37"/>
      <c r="F5696" s="37"/>
      <c r="G5696" s="70"/>
    </row>
    <row r="5697" spans="2:7" x14ac:dyDescent="0.25">
      <c r="B5697" s="37"/>
      <c r="C5697" s="37"/>
      <c r="D5697" s="37"/>
      <c r="E5697" s="37"/>
      <c r="F5697" s="37"/>
      <c r="G5697" s="70"/>
    </row>
    <row r="5698" spans="2:7" x14ac:dyDescent="0.25">
      <c r="B5698" s="37"/>
      <c r="C5698" s="37"/>
      <c r="D5698" s="37"/>
      <c r="E5698" s="37"/>
      <c r="F5698" s="37"/>
      <c r="G5698" s="70"/>
    </row>
    <row r="5699" spans="2:7" x14ac:dyDescent="0.25">
      <c r="B5699" s="37"/>
      <c r="C5699" s="37"/>
      <c r="D5699" s="37"/>
      <c r="E5699" s="37"/>
      <c r="F5699" s="37"/>
      <c r="G5699" s="70"/>
    </row>
    <row r="5700" spans="2:7" x14ac:dyDescent="0.25">
      <c r="B5700" s="37"/>
      <c r="C5700" s="37"/>
      <c r="D5700" s="37"/>
      <c r="E5700" s="37"/>
      <c r="F5700" s="37"/>
      <c r="G5700" s="70"/>
    </row>
    <row r="5701" spans="2:7" x14ac:dyDescent="0.25">
      <c r="B5701" s="37"/>
      <c r="C5701" s="37"/>
      <c r="D5701" s="37"/>
      <c r="E5701" s="37"/>
      <c r="F5701" s="37"/>
      <c r="G5701" s="70"/>
    </row>
    <row r="5702" spans="2:7" x14ac:dyDescent="0.25">
      <c r="B5702" s="37"/>
      <c r="C5702" s="37"/>
      <c r="D5702" s="37"/>
      <c r="E5702" s="37"/>
      <c r="F5702" s="37"/>
      <c r="G5702" s="70"/>
    </row>
    <row r="5703" spans="2:7" x14ac:dyDescent="0.25">
      <c r="B5703" s="37"/>
      <c r="C5703" s="37"/>
      <c r="D5703" s="37"/>
      <c r="E5703" s="37"/>
      <c r="F5703" s="37"/>
      <c r="G5703" s="70"/>
    </row>
    <row r="5704" spans="2:7" x14ac:dyDescent="0.25">
      <c r="B5704" s="37"/>
      <c r="C5704" s="37"/>
      <c r="D5704" s="37"/>
      <c r="E5704" s="37"/>
      <c r="F5704" s="37"/>
      <c r="G5704" s="70"/>
    </row>
    <row r="5705" spans="2:7" x14ac:dyDescent="0.25">
      <c r="B5705" s="37"/>
      <c r="C5705" s="37"/>
      <c r="D5705" s="37"/>
      <c r="E5705" s="37"/>
      <c r="F5705" s="37"/>
      <c r="G5705" s="70"/>
    </row>
    <row r="5706" spans="2:7" x14ac:dyDescent="0.25">
      <c r="B5706" s="37"/>
      <c r="C5706" s="37"/>
      <c r="D5706" s="37"/>
      <c r="E5706" s="37"/>
      <c r="F5706" s="37"/>
      <c r="G5706" s="70"/>
    </row>
    <row r="5707" spans="2:7" x14ac:dyDescent="0.25">
      <c r="B5707" s="37"/>
      <c r="C5707" s="37"/>
      <c r="D5707" s="37"/>
      <c r="E5707" s="37"/>
      <c r="F5707" s="37"/>
      <c r="G5707" s="70"/>
    </row>
    <row r="5708" spans="2:7" x14ac:dyDescent="0.25">
      <c r="B5708" s="37"/>
      <c r="C5708" s="37"/>
      <c r="D5708" s="37"/>
      <c r="E5708" s="37"/>
      <c r="F5708" s="37"/>
      <c r="G5708" s="70"/>
    </row>
    <row r="5709" spans="2:7" x14ac:dyDescent="0.25">
      <c r="B5709" s="37"/>
      <c r="C5709" s="37"/>
      <c r="D5709" s="37"/>
      <c r="E5709" s="37"/>
      <c r="F5709" s="37"/>
      <c r="G5709" s="70"/>
    </row>
    <row r="5710" spans="2:7" x14ac:dyDescent="0.25">
      <c r="B5710" s="37"/>
      <c r="C5710" s="37"/>
      <c r="D5710" s="37"/>
      <c r="E5710" s="37"/>
      <c r="F5710" s="37"/>
      <c r="G5710" s="70"/>
    </row>
    <row r="5711" spans="2:7" x14ac:dyDescent="0.25">
      <c r="B5711" s="37"/>
      <c r="C5711" s="37"/>
      <c r="D5711" s="37"/>
      <c r="E5711" s="37"/>
      <c r="F5711" s="37"/>
      <c r="G5711" s="70"/>
    </row>
    <row r="5712" spans="2:7" x14ac:dyDescent="0.25">
      <c r="B5712" s="37"/>
      <c r="C5712" s="37"/>
      <c r="D5712" s="37"/>
      <c r="E5712" s="37"/>
      <c r="F5712" s="37"/>
      <c r="G5712" s="70"/>
    </row>
    <row r="5713" spans="2:7" x14ac:dyDescent="0.25">
      <c r="B5713" s="37"/>
      <c r="C5713" s="37"/>
      <c r="D5713" s="37"/>
      <c r="E5713" s="37"/>
      <c r="F5713" s="37"/>
      <c r="G5713" s="70"/>
    </row>
    <row r="5714" spans="2:7" x14ac:dyDescent="0.25">
      <c r="B5714" s="37"/>
      <c r="C5714" s="37"/>
      <c r="D5714" s="37"/>
      <c r="E5714" s="37"/>
      <c r="F5714" s="37"/>
      <c r="G5714" s="70"/>
    </row>
    <row r="5715" spans="2:7" x14ac:dyDescent="0.25">
      <c r="B5715" s="37"/>
      <c r="C5715" s="37"/>
      <c r="D5715" s="37"/>
      <c r="E5715" s="37"/>
      <c r="F5715" s="37"/>
      <c r="G5715" s="70"/>
    </row>
    <row r="5716" spans="2:7" x14ac:dyDescent="0.25">
      <c r="B5716" s="37"/>
      <c r="C5716" s="37"/>
      <c r="D5716" s="37"/>
      <c r="E5716" s="37"/>
      <c r="F5716" s="37"/>
      <c r="G5716" s="70"/>
    </row>
    <row r="5717" spans="2:7" x14ac:dyDescent="0.25">
      <c r="B5717" s="37"/>
      <c r="C5717" s="37"/>
      <c r="D5717" s="37"/>
      <c r="E5717" s="37"/>
      <c r="F5717" s="37"/>
      <c r="G5717" s="70"/>
    </row>
    <row r="5718" spans="2:7" x14ac:dyDescent="0.25">
      <c r="B5718" s="37"/>
      <c r="C5718" s="37"/>
      <c r="D5718" s="37"/>
      <c r="E5718" s="37"/>
      <c r="F5718" s="37"/>
      <c r="G5718" s="70"/>
    </row>
    <row r="5719" spans="2:7" x14ac:dyDescent="0.25">
      <c r="B5719" s="37"/>
      <c r="C5719" s="37"/>
      <c r="D5719" s="37"/>
      <c r="E5719" s="37"/>
      <c r="F5719" s="37"/>
      <c r="G5719" s="70"/>
    </row>
    <row r="5720" spans="2:7" x14ac:dyDescent="0.25">
      <c r="B5720" s="37"/>
      <c r="C5720" s="37"/>
      <c r="D5720" s="37"/>
      <c r="E5720" s="37"/>
      <c r="F5720" s="37"/>
      <c r="G5720" s="70"/>
    </row>
    <row r="5721" spans="2:7" x14ac:dyDescent="0.25">
      <c r="B5721" s="37"/>
      <c r="C5721" s="37"/>
      <c r="D5721" s="37"/>
      <c r="E5721" s="37"/>
      <c r="F5721" s="37"/>
      <c r="G5721" s="70"/>
    </row>
    <row r="5722" spans="2:7" x14ac:dyDescent="0.25">
      <c r="B5722" s="37"/>
      <c r="C5722" s="37"/>
      <c r="D5722" s="37"/>
      <c r="E5722" s="37"/>
      <c r="F5722" s="37"/>
      <c r="G5722" s="70"/>
    </row>
    <row r="5723" spans="2:7" x14ac:dyDescent="0.25">
      <c r="B5723" s="37"/>
      <c r="C5723" s="37"/>
      <c r="D5723" s="37"/>
      <c r="E5723" s="37"/>
      <c r="F5723" s="37"/>
      <c r="G5723" s="70"/>
    </row>
    <row r="5724" spans="2:7" x14ac:dyDescent="0.25">
      <c r="B5724" s="37"/>
      <c r="C5724" s="37"/>
      <c r="D5724" s="37"/>
      <c r="E5724" s="37"/>
      <c r="F5724" s="37"/>
      <c r="G5724" s="70"/>
    </row>
    <row r="5725" spans="2:7" x14ac:dyDescent="0.25">
      <c r="B5725" s="37"/>
      <c r="C5725" s="37"/>
      <c r="D5725" s="37"/>
      <c r="E5725" s="37"/>
      <c r="F5725" s="37"/>
      <c r="G5725" s="70"/>
    </row>
    <row r="5726" spans="2:7" x14ac:dyDescent="0.25">
      <c r="B5726" s="37"/>
      <c r="C5726" s="37"/>
      <c r="D5726" s="37"/>
      <c r="E5726" s="37"/>
      <c r="F5726" s="37"/>
      <c r="G5726" s="70"/>
    </row>
    <row r="5727" spans="2:7" x14ac:dyDescent="0.25">
      <c r="B5727" s="37"/>
      <c r="C5727" s="37"/>
      <c r="D5727" s="37"/>
      <c r="E5727" s="37"/>
      <c r="F5727" s="37"/>
      <c r="G5727" s="70"/>
    </row>
    <row r="5728" spans="2:7" x14ac:dyDescent="0.25">
      <c r="B5728" s="37"/>
      <c r="C5728" s="37"/>
      <c r="D5728" s="37"/>
      <c r="E5728" s="37"/>
      <c r="F5728" s="37"/>
      <c r="G5728" s="70"/>
    </row>
    <row r="5729" spans="2:7" x14ac:dyDescent="0.25">
      <c r="B5729" s="37"/>
      <c r="C5729" s="37"/>
      <c r="D5729" s="37"/>
      <c r="E5729" s="37"/>
      <c r="F5729" s="37"/>
      <c r="G5729" s="70"/>
    </row>
    <row r="5730" spans="2:7" x14ac:dyDescent="0.25">
      <c r="B5730" s="37"/>
      <c r="C5730" s="37"/>
      <c r="D5730" s="37"/>
      <c r="E5730" s="37"/>
      <c r="F5730" s="37"/>
      <c r="G5730" s="70"/>
    </row>
    <row r="5731" spans="2:7" x14ac:dyDescent="0.25">
      <c r="B5731" s="37"/>
      <c r="C5731" s="37"/>
      <c r="D5731" s="37"/>
      <c r="E5731" s="37"/>
      <c r="F5731" s="37"/>
      <c r="G5731" s="70"/>
    </row>
    <row r="5732" spans="2:7" x14ac:dyDescent="0.25">
      <c r="B5732" s="37"/>
      <c r="C5732" s="37"/>
      <c r="D5732" s="37"/>
      <c r="E5732" s="37"/>
      <c r="F5732" s="37"/>
      <c r="G5732" s="70"/>
    </row>
    <row r="5733" spans="2:7" x14ac:dyDescent="0.25">
      <c r="B5733" s="37"/>
      <c r="C5733" s="37"/>
      <c r="D5733" s="37"/>
      <c r="E5733" s="37"/>
      <c r="F5733" s="37"/>
      <c r="G5733" s="70"/>
    </row>
    <row r="5734" spans="2:7" x14ac:dyDescent="0.25">
      <c r="B5734" s="37"/>
      <c r="C5734" s="37"/>
      <c r="D5734" s="37"/>
      <c r="E5734" s="37"/>
      <c r="F5734" s="37"/>
      <c r="G5734" s="70"/>
    </row>
    <row r="5735" spans="2:7" x14ac:dyDescent="0.25">
      <c r="B5735" s="37"/>
      <c r="C5735" s="37"/>
      <c r="D5735" s="37"/>
      <c r="E5735" s="37"/>
      <c r="F5735" s="37"/>
      <c r="G5735" s="70"/>
    </row>
    <row r="5736" spans="2:7" x14ac:dyDescent="0.25">
      <c r="B5736" s="37"/>
      <c r="C5736" s="37"/>
      <c r="D5736" s="37"/>
      <c r="E5736" s="37"/>
      <c r="F5736" s="37"/>
      <c r="G5736" s="70"/>
    </row>
    <row r="5737" spans="2:7" x14ac:dyDescent="0.25">
      <c r="B5737" s="37"/>
      <c r="C5737" s="37"/>
      <c r="D5737" s="37"/>
      <c r="E5737" s="37"/>
      <c r="F5737" s="37"/>
      <c r="G5737" s="70"/>
    </row>
    <row r="5738" spans="2:7" x14ac:dyDescent="0.25">
      <c r="B5738" s="37"/>
      <c r="C5738" s="37"/>
      <c r="D5738" s="37"/>
      <c r="E5738" s="37"/>
      <c r="F5738" s="37"/>
      <c r="G5738" s="70"/>
    </row>
    <row r="5739" spans="2:7" x14ac:dyDescent="0.25">
      <c r="B5739" s="37"/>
      <c r="C5739" s="37"/>
      <c r="D5739" s="37"/>
      <c r="E5739" s="37"/>
      <c r="F5739" s="37"/>
      <c r="G5739" s="70"/>
    </row>
    <row r="5740" spans="2:7" x14ac:dyDescent="0.25">
      <c r="B5740" s="37"/>
      <c r="C5740" s="37"/>
      <c r="D5740" s="37"/>
      <c r="E5740" s="37"/>
      <c r="F5740" s="37"/>
      <c r="G5740" s="70"/>
    </row>
    <row r="5741" spans="2:7" x14ac:dyDescent="0.25">
      <c r="B5741" s="37"/>
      <c r="C5741" s="37"/>
      <c r="D5741" s="37"/>
      <c r="E5741" s="37"/>
      <c r="F5741" s="37"/>
      <c r="G5741" s="70"/>
    </row>
    <row r="5742" spans="2:7" x14ac:dyDescent="0.25">
      <c r="B5742" s="37"/>
      <c r="C5742" s="37"/>
      <c r="D5742" s="37"/>
      <c r="E5742" s="37"/>
      <c r="F5742" s="37"/>
      <c r="G5742" s="70"/>
    </row>
    <row r="5743" spans="2:7" x14ac:dyDescent="0.25">
      <c r="B5743" s="37"/>
      <c r="C5743" s="37"/>
      <c r="D5743" s="37"/>
      <c r="E5743" s="37"/>
      <c r="F5743" s="37"/>
      <c r="G5743" s="70"/>
    </row>
    <row r="5744" spans="2:7" x14ac:dyDescent="0.25">
      <c r="B5744" s="37"/>
      <c r="C5744" s="37"/>
      <c r="D5744" s="37"/>
      <c r="E5744" s="37"/>
      <c r="F5744" s="37"/>
      <c r="G5744" s="70"/>
    </row>
    <row r="5745" spans="2:7" x14ac:dyDescent="0.25">
      <c r="B5745" s="37"/>
      <c r="C5745" s="37"/>
      <c r="D5745" s="37"/>
      <c r="E5745" s="37"/>
      <c r="F5745" s="37"/>
      <c r="G5745" s="70"/>
    </row>
    <row r="5746" spans="2:7" x14ac:dyDescent="0.25">
      <c r="B5746" s="37"/>
      <c r="C5746" s="37"/>
      <c r="D5746" s="37"/>
      <c r="E5746" s="37"/>
      <c r="F5746" s="37"/>
      <c r="G5746" s="70"/>
    </row>
    <row r="5747" spans="2:7" x14ac:dyDescent="0.25">
      <c r="B5747" s="37"/>
      <c r="C5747" s="37"/>
      <c r="D5747" s="37"/>
      <c r="E5747" s="37"/>
      <c r="F5747" s="37"/>
      <c r="G5747" s="70"/>
    </row>
    <row r="5748" spans="2:7" x14ac:dyDescent="0.25">
      <c r="B5748" s="37"/>
      <c r="C5748" s="37"/>
      <c r="D5748" s="37"/>
      <c r="E5748" s="37"/>
      <c r="F5748" s="37"/>
      <c r="G5748" s="70"/>
    </row>
    <row r="5749" spans="2:7" x14ac:dyDescent="0.25">
      <c r="B5749" s="37"/>
      <c r="C5749" s="37"/>
      <c r="D5749" s="37"/>
      <c r="E5749" s="37"/>
      <c r="F5749" s="37"/>
      <c r="G5749" s="70"/>
    </row>
    <row r="5750" spans="2:7" x14ac:dyDescent="0.25">
      <c r="B5750" s="37"/>
      <c r="C5750" s="37"/>
      <c r="D5750" s="37"/>
      <c r="E5750" s="37"/>
      <c r="F5750" s="37"/>
      <c r="G5750" s="70"/>
    </row>
    <row r="5751" spans="2:7" x14ac:dyDescent="0.25">
      <c r="B5751" s="37"/>
      <c r="C5751" s="37"/>
      <c r="D5751" s="37"/>
      <c r="E5751" s="37"/>
      <c r="F5751" s="37"/>
      <c r="G5751" s="70"/>
    </row>
    <row r="5752" spans="2:7" x14ac:dyDescent="0.25">
      <c r="B5752" s="37"/>
      <c r="C5752" s="37"/>
      <c r="D5752" s="37"/>
      <c r="E5752" s="37"/>
      <c r="F5752" s="37"/>
      <c r="G5752" s="70"/>
    </row>
    <row r="5753" spans="2:7" x14ac:dyDescent="0.25">
      <c r="B5753" s="37"/>
      <c r="C5753" s="37"/>
      <c r="D5753" s="37"/>
      <c r="E5753" s="37"/>
      <c r="F5753" s="37"/>
      <c r="G5753" s="70"/>
    </row>
    <row r="5754" spans="2:7" x14ac:dyDescent="0.25">
      <c r="B5754" s="37"/>
      <c r="C5754" s="37"/>
      <c r="D5754" s="37"/>
      <c r="E5754" s="37"/>
      <c r="F5754" s="37"/>
      <c r="G5754" s="70"/>
    </row>
    <row r="5755" spans="2:7" x14ac:dyDescent="0.25">
      <c r="B5755" s="37"/>
      <c r="C5755" s="37"/>
      <c r="D5755" s="37"/>
      <c r="E5755" s="37"/>
      <c r="F5755" s="37"/>
      <c r="G5755" s="70"/>
    </row>
    <row r="5756" spans="2:7" x14ac:dyDescent="0.25">
      <c r="B5756" s="37"/>
      <c r="C5756" s="37"/>
      <c r="D5756" s="37"/>
      <c r="E5756" s="37"/>
      <c r="F5756" s="37"/>
      <c r="G5756" s="70"/>
    </row>
    <row r="5757" spans="2:7" x14ac:dyDescent="0.25">
      <c r="B5757" s="37"/>
      <c r="C5757" s="37"/>
      <c r="D5757" s="37"/>
      <c r="E5757" s="37"/>
      <c r="F5757" s="37"/>
      <c r="G5757" s="70"/>
    </row>
    <row r="5758" spans="2:7" x14ac:dyDescent="0.25">
      <c r="B5758" s="37"/>
      <c r="C5758" s="37"/>
      <c r="D5758" s="37"/>
      <c r="E5758" s="37"/>
      <c r="F5758" s="37"/>
      <c r="G5758" s="70"/>
    </row>
    <row r="5759" spans="2:7" x14ac:dyDescent="0.25">
      <c r="B5759" s="37"/>
      <c r="C5759" s="37"/>
      <c r="D5759" s="37"/>
      <c r="E5759" s="37"/>
      <c r="F5759" s="37"/>
      <c r="G5759" s="70"/>
    </row>
    <row r="5760" spans="2:7" x14ac:dyDescent="0.25">
      <c r="B5760" s="37"/>
      <c r="C5760" s="37"/>
      <c r="D5760" s="37"/>
      <c r="E5760" s="37"/>
      <c r="F5760" s="37"/>
      <c r="G5760" s="70"/>
    </row>
    <row r="5761" spans="2:7" x14ac:dyDescent="0.25">
      <c r="B5761" s="37"/>
      <c r="C5761" s="37"/>
      <c r="D5761" s="37"/>
      <c r="E5761" s="37"/>
      <c r="F5761" s="37"/>
      <c r="G5761" s="70"/>
    </row>
    <row r="5762" spans="2:7" x14ac:dyDescent="0.25">
      <c r="B5762" s="37"/>
      <c r="C5762" s="37"/>
      <c r="D5762" s="37"/>
      <c r="E5762" s="37"/>
      <c r="F5762" s="37"/>
      <c r="G5762" s="70"/>
    </row>
    <row r="5763" spans="2:7" x14ac:dyDescent="0.25">
      <c r="B5763" s="37"/>
      <c r="C5763" s="37"/>
      <c r="D5763" s="37"/>
      <c r="E5763" s="37"/>
      <c r="F5763" s="37"/>
      <c r="G5763" s="70"/>
    </row>
    <row r="5764" spans="2:7" x14ac:dyDescent="0.25">
      <c r="B5764" s="37"/>
      <c r="C5764" s="37"/>
      <c r="D5764" s="37"/>
      <c r="E5764" s="37"/>
      <c r="F5764" s="37"/>
      <c r="G5764" s="70"/>
    </row>
    <row r="5765" spans="2:7" x14ac:dyDescent="0.25">
      <c r="B5765" s="37"/>
      <c r="C5765" s="37"/>
      <c r="D5765" s="37"/>
      <c r="E5765" s="37"/>
      <c r="F5765" s="37"/>
      <c r="G5765" s="70"/>
    </row>
    <row r="5766" spans="2:7" x14ac:dyDescent="0.25">
      <c r="B5766" s="37"/>
      <c r="C5766" s="37"/>
      <c r="D5766" s="37"/>
      <c r="E5766" s="37"/>
      <c r="F5766" s="37"/>
      <c r="G5766" s="70"/>
    </row>
    <row r="5767" spans="2:7" x14ac:dyDescent="0.25">
      <c r="B5767" s="37"/>
      <c r="C5767" s="37"/>
      <c r="D5767" s="37"/>
      <c r="E5767" s="37"/>
      <c r="F5767" s="37"/>
      <c r="G5767" s="70"/>
    </row>
    <row r="5768" spans="2:7" x14ac:dyDescent="0.25">
      <c r="B5768" s="37"/>
      <c r="C5768" s="37"/>
      <c r="D5768" s="37"/>
      <c r="E5768" s="37"/>
      <c r="F5768" s="37"/>
      <c r="G5768" s="70"/>
    </row>
    <row r="5769" spans="2:7" x14ac:dyDescent="0.25">
      <c r="B5769" s="37"/>
      <c r="C5769" s="37"/>
      <c r="D5769" s="37"/>
      <c r="E5769" s="37"/>
      <c r="F5769" s="37"/>
      <c r="G5769" s="70"/>
    </row>
    <row r="5770" spans="2:7" x14ac:dyDescent="0.25">
      <c r="B5770" s="37"/>
      <c r="C5770" s="37"/>
      <c r="D5770" s="37"/>
      <c r="E5770" s="37"/>
      <c r="F5770" s="37"/>
      <c r="G5770" s="70"/>
    </row>
    <row r="5771" spans="2:7" x14ac:dyDescent="0.25">
      <c r="B5771" s="37"/>
      <c r="C5771" s="37"/>
      <c r="D5771" s="37"/>
      <c r="E5771" s="37"/>
      <c r="F5771" s="37"/>
      <c r="G5771" s="70"/>
    </row>
    <row r="5772" spans="2:7" x14ac:dyDescent="0.25">
      <c r="B5772" s="37"/>
      <c r="C5772" s="37"/>
      <c r="D5772" s="37"/>
      <c r="E5772" s="37"/>
      <c r="F5772" s="37"/>
      <c r="G5772" s="70"/>
    </row>
    <row r="5773" spans="2:7" x14ac:dyDescent="0.25">
      <c r="B5773" s="37"/>
      <c r="C5773" s="37"/>
      <c r="D5773" s="37"/>
      <c r="E5773" s="37"/>
      <c r="F5773" s="37"/>
      <c r="G5773" s="70"/>
    </row>
    <row r="5774" spans="2:7" x14ac:dyDescent="0.25">
      <c r="B5774" s="37"/>
      <c r="C5774" s="37"/>
      <c r="D5774" s="37"/>
      <c r="E5774" s="37"/>
      <c r="F5774" s="37"/>
      <c r="G5774" s="70"/>
    </row>
    <row r="5775" spans="2:7" x14ac:dyDescent="0.25">
      <c r="B5775" s="37"/>
      <c r="C5775" s="37"/>
      <c r="D5775" s="37"/>
      <c r="E5775" s="37"/>
      <c r="F5775" s="37"/>
      <c r="G5775" s="70"/>
    </row>
    <row r="5776" spans="2:7" x14ac:dyDescent="0.25">
      <c r="B5776" s="37"/>
      <c r="C5776" s="37"/>
      <c r="D5776" s="37"/>
      <c r="E5776" s="37"/>
      <c r="F5776" s="37"/>
      <c r="G5776" s="70"/>
    </row>
    <row r="5777" spans="2:7" x14ac:dyDescent="0.25">
      <c r="B5777" s="37"/>
      <c r="C5777" s="37"/>
      <c r="D5777" s="37"/>
      <c r="E5777" s="37"/>
      <c r="F5777" s="37"/>
      <c r="G5777" s="70"/>
    </row>
    <row r="5778" spans="2:7" x14ac:dyDescent="0.25">
      <c r="B5778" s="37"/>
      <c r="C5778" s="37"/>
      <c r="D5778" s="37"/>
      <c r="E5778" s="37"/>
      <c r="F5778" s="37"/>
      <c r="G5778" s="70"/>
    </row>
    <row r="5779" spans="2:7" x14ac:dyDescent="0.25">
      <c r="B5779" s="37"/>
      <c r="C5779" s="37"/>
      <c r="D5779" s="37"/>
      <c r="E5779" s="37"/>
      <c r="F5779" s="37"/>
      <c r="G5779" s="70"/>
    </row>
    <row r="5780" spans="2:7" x14ac:dyDescent="0.25">
      <c r="B5780" s="37"/>
      <c r="C5780" s="37"/>
      <c r="D5780" s="37"/>
      <c r="E5780" s="37"/>
      <c r="F5780" s="37"/>
      <c r="G5780" s="70"/>
    </row>
    <row r="5781" spans="2:7" x14ac:dyDescent="0.25">
      <c r="B5781" s="37"/>
      <c r="C5781" s="37"/>
      <c r="D5781" s="37"/>
      <c r="E5781" s="37"/>
      <c r="F5781" s="37"/>
      <c r="G5781" s="70"/>
    </row>
    <row r="5782" spans="2:7" x14ac:dyDescent="0.25">
      <c r="B5782" s="37"/>
      <c r="C5782" s="37"/>
      <c r="D5782" s="37"/>
      <c r="E5782" s="37"/>
      <c r="F5782" s="37"/>
      <c r="G5782" s="70"/>
    </row>
    <row r="5783" spans="2:7" x14ac:dyDescent="0.25">
      <c r="B5783" s="37"/>
      <c r="C5783" s="37"/>
      <c r="D5783" s="37"/>
      <c r="E5783" s="37"/>
      <c r="F5783" s="37"/>
      <c r="G5783" s="70"/>
    </row>
    <row r="5784" spans="2:7" x14ac:dyDescent="0.25">
      <c r="B5784" s="37"/>
      <c r="C5784" s="37"/>
      <c r="D5784" s="37"/>
      <c r="E5784" s="37"/>
      <c r="F5784" s="37"/>
      <c r="G5784" s="70"/>
    </row>
    <row r="5785" spans="2:7" x14ac:dyDescent="0.25">
      <c r="B5785" s="37"/>
      <c r="C5785" s="37"/>
      <c r="D5785" s="37"/>
      <c r="E5785" s="37"/>
      <c r="F5785" s="37"/>
      <c r="G5785" s="70"/>
    </row>
    <row r="5786" spans="2:7" x14ac:dyDescent="0.25">
      <c r="B5786" s="37"/>
      <c r="C5786" s="37"/>
      <c r="D5786" s="37"/>
      <c r="E5786" s="37"/>
      <c r="F5786" s="37"/>
      <c r="G5786" s="70"/>
    </row>
    <row r="5787" spans="2:7" x14ac:dyDescent="0.25">
      <c r="B5787" s="37"/>
      <c r="C5787" s="37"/>
      <c r="D5787" s="37"/>
      <c r="E5787" s="37"/>
      <c r="F5787" s="37"/>
      <c r="G5787" s="70"/>
    </row>
    <row r="5788" spans="2:7" x14ac:dyDescent="0.25">
      <c r="B5788" s="37"/>
      <c r="C5788" s="37"/>
      <c r="D5788" s="37"/>
      <c r="E5788" s="37"/>
      <c r="F5788" s="37"/>
      <c r="G5788" s="70"/>
    </row>
    <row r="5789" spans="2:7" x14ac:dyDescent="0.25">
      <c r="B5789" s="37"/>
      <c r="C5789" s="37"/>
      <c r="D5789" s="37"/>
      <c r="E5789" s="37"/>
      <c r="F5789" s="37"/>
      <c r="G5789" s="70"/>
    </row>
    <row r="5790" spans="2:7" x14ac:dyDescent="0.25">
      <c r="B5790" s="37"/>
      <c r="C5790" s="37"/>
      <c r="D5790" s="37"/>
      <c r="E5790" s="37"/>
      <c r="F5790" s="37"/>
      <c r="G5790" s="70"/>
    </row>
    <row r="5791" spans="2:7" x14ac:dyDescent="0.25">
      <c r="B5791" s="37"/>
      <c r="C5791" s="37"/>
      <c r="D5791" s="37"/>
      <c r="E5791" s="37"/>
      <c r="F5791" s="37"/>
      <c r="G5791" s="70"/>
    </row>
    <row r="5792" spans="2:7" x14ac:dyDescent="0.25">
      <c r="B5792" s="37"/>
      <c r="C5792" s="37"/>
      <c r="D5792" s="37"/>
      <c r="E5792" s="37"/>
      <c r="F5792" s="37"/>
      <c r="G5792" s="70"/>
    </row>
    <row r="5793" spans="2:7" x14ac:dyDescent="0.25">
      <c r="B5793" s="37"/>
      <c r="C5793" s="37"/>
      <c r="D5793" s="37"/>
      <c r="E5793" s="37"/>
      <c r="F5793" s="37"/>
      <c r="G5793" s="70"/>
    </row>
    <row r="5794" spans="2:7" x14ac:dyDescent="0.25">
      <c r="B5794" s="37"/>
      <c r="C5794" s="37"/>
      <c r="D5794" s="37"/>
      <c r="E5794" s="37"/>
      <c r="F5794" s="37"/>
      <c r="G5794" s="70"/>
    </row>
    <row r="5795" spans="2:7" x14ac:dyDescent="0.25">
      <c r="B5795" s="37"/>
      <c r="C5795" s="37"/>
      <c r="D5795" s="37"/>
      <c r="E5795" s="37"/>
      <c r="F5795" s="37"/>
      <c r="G5795" s="70"/>
    </row>
    <row r="5796" spans="2:7" x14ac:dyDescent="0.25">
      <c r="B5796" s="37"/>
      <c r="C5796" s="37"/>
      <c r="D5796" s="37"/>
      <c r="E5796" s="37"/>
      <c r="F5796" s="37"/>
      <c r="G5796" s="70"/>
    </row>
    <row r="5797" spans="2:7" x14ac:dyDescent="0.25">
      <c r="B5797" s="37"/>
      <c r="C5797" s="37"/>
      <c r="D5797" s="37"/>
      <c r="E5797" s="37"/>
      <c r="F5797" s="37"/>
      <c r="G5797" s="70"/>
    </row>
    <row r="5798" spans="2:7" x14ac:dyDescent="0.25">
      <c r="B5798" s="37"/>
      <c r="C5798" s="37"/>
      <c r="D5798" s="37"/>
      <c r="E5798" s="37"/>
      <c r="F5798" s="37"/>
      <c r="G5798" s="70"/>
    </row>
    <row r="5799" spans="2:7" x14ac:dyDescent="0.25">
      <c r="B5799" s="37"/>
      <c r="C5799" s="37"/>
      <c r="D5799" s="37"/>
      <c r="E5799" s="37"/>
      <c r="F5799" s="37"/>
      <c r="G5799" s="70"/>
    </row>
    <row r="5800" spans="2:7" x14ac:dyDescent="0.25">
      <c r="B5800" s="37"/>
      <c r="C5800" s="37"/>
      <c r="D5800" s="37"/>
      <c r="E5800" s="37"/>
      <c r="F5800" s="37"/>
      <c r="G5800" s="70"/>
    </row>
    <row r="5801" spans="2:7" x14ac:dyDescent="0.25">
      <c r="B5801" s="37"/>
      <c r="C5801" s="37"/>
      <c r="D5801" s="37"/>
      <c r="E5801" s="37"/>
      <c r="F5801" s="37"/>
      <c r="G5801" s="70"/>
    </row>
    <row r="5802" spans="2:7" x14ac:dyDescent="0.25">
      <c r="B5802" s="37"/>
      <c r="C5802" s="37"/>
      <c r="D5802" s="37"/>
      <c r="E5802" s="37"/>
      <c r="F5802" s="37"/>
      <c r="G5802" s="70"/>
    </row>
    <row r="5803" spans="2:7" x14ac:dyDescent="0.25">
      <c r="B5803" s="37"/>
      <c r="C5803" s="37"/>
      <c r="D5803" s="37"/>
      <c r="E5803" s="37"/>
      <c r="F5803" s="37"/>
      <c r="G5803" s="70"/>
    </row>
    <row r="5804" spans="2:7" x14ac:dyDescent="0.25">
      <c r="B5804" s="37"/>
      <c r="C5804" s="37"/>
      <c r="D5804" s="37"/>
      <c r="E5804" s="37"/>
      <c r="F5804" s="37"/>
      <c r="G5804" s="70"/>
    </row>
    <row r="5805" spans="2:7" x14ac:dyDescent="0.25">
      <c r="B5805" s="37"/>
      <c r="C5805" s="37"/>
      <c r="D5805" s="37"/>
      <c r="E5805" s="37"/>
      <c r="F5805" s="37"/>
      <c r="G5805" s="70"/>
    </row>
    <row r="5806" spans="2:7" x14ac:dyDescent="0.25">
      <c r="B5806" s="37"/>
      <c r="C5806" s="37"/>
      <c r="D5806" s="37"/>
      <c r="E5806" s="37"/>
      <c r="F5806" s="37"/>
      <c r="G5806" s="70"/>
    </row>
    <row r="5807" spans="2:7" x14ac:dyDescent="0.25">
      <c r="B5807" s="37"/>
      <c r="C5807" s="37"/>
      <c r="D5807" s="37"/>
      <c r="E5807" s="37"/>
      <c r="F5807" s="37"/>
      <c r="G5807" s="70"/>
    </row>
    <row r="5808" spans="2:7" x14ac:dyDescent="0.25">
      <c r="B5808" s="37"/>
      <c r="C5808" s="37"/>
      <c r="D5808" s="37"/>
      <c r="E5808" s="37"/>
      <c r="F5808" s="37"/>
      <c r="G5808" s="70"/>
    </row>
    <row r="5809" spans="2:7" x14ac:dyDescent="0.25">
      <c r="B5809" s="37"/>
      <c r="C5809" s="37"/>
      <c r="D5809" s="37"/>
      <c r="E5809" s="37"/>
      <c r="F5809" s="37"/>
      <c r="G5809" s="70"/>
    </row>
    <row r="5810" spans="2:7" x14ac:dyDescent="0.25">
      <c r="B5810" s="37"/>
      <c r="C5810" s="37"/>
      <c r="D5810" s="37"/>
      <c r="E5810" s="37"/>
      <c r="F5810" s="37"/>
      <c r="G5810" s="70"/>
    </row>
    <row r="5811" spans="2:7" x14ac:dyDescent="0.25">
      <c r="B5811" s="37"/>
      <c r="C5811" s="37"/>
      <c r="D5811" s="37"/>
      <c r="E5811" s="37"/>
      <c r="F5811" s="37"/>
      <c r="G5811" s="70"/>
    </row>
    <row r="5812" spans="2:7" x14ac:dyDescent="0.25">
      <c r="B5812" s="37"/>
      <c r="C5812" s="37"/>
      <c r="D5812" s="37"/>
      <c r="E5812" s="37"/>
      <c r="F5812" s="37"/>
      <c r="G5812" s="70"/>
    </row>
    <row r="5813" spans="2:7" x14ac:dyDescent="0.25">
      <c r="B5813" s="37"/>
      <c r="C5813" s="37"/>
      <c r="D5813" s="37"/>
      <c r="E5813" s="37"/>
      <c r="F5813" s="37"/>
      <c r="G5813" s="70"/>
    </row>
    <row r="5814" spans="2:7" x14ac:dyDescent="0.25">
      <c r="B5814" s="37"/>
      <c r="C5814" s="37"/>
      <c r="D5814" s="37"/>
      <c r="E5814" s="37"/>
      <c r="F5814" s="37"/>
      <c r="G5814" s="70"/>
    </row>
    <row r="5815" spans="2:7" x14ac:dyDescent="0.25">
      <c r="B5815" s="37"/>
      <c r="C5815" s="37"/>
      <c r="D5815" s="37"/>
      <c r="E5815" s="37"/>
      <c r="F5815" s="37"/>
      <c r="G5815" s="70"/>
    </row>
    <row r="5816" spans="2:7" x14ac:dyDescent="0.25">
      <c r="B5816" s="37"/>
      <c r="C5816" s="37"/>
      <c r="D5816" s="37"/>
      <c r="E5816" s="37"/>
      <c r="F5816" s="37"/>
      <c r="G5816" s="70"/>
    </row>
    <row r="5817" spans="2:7" x14ac:dyDescent="0.25">
      <c r="B5817" s="37"/>
      <c r="C5817" s="37"/>
      <c r="D5817" s="37"/>
      <c r="E5817" s="37"/>
      <c r="F5817" s="37"/>
      <c r="G5817" s="70"/>
    </row>
    <row r="5818" spans="2:7" x14ac:dyDescent="0.25">
      <c r="B5818" s="37"/>
      <c r="C5818" s="37"/>
      <c r="D5818" s="37"/>
      <c r="E5818" s="37"/>
      <c r="F5818" s="37"/>
      <c r="G5818" s="70"/>
    </row>
    <row r="5819" spans="2:7" x14ac:dyDescent="0.25">
      <c r="B5819" s="37"/>
      <c r="C5819" s="37"/>
      <c r="D5819" s="37"/>
      <c r="E5819" s="37"/>
      <c r="F5819" s="37"/>
      <c r="G5819" s="70"/>
    </row>
    <row r="5820" spans="2:7" x14ac:dyDescent="0.25">
      <c r="B5820" s="37"/>
      <c r="C5820" s="37"/>
      <c r="D5820" s="37"/>
      <c r="E5820" s="37"/>
      <c r="F5820" s="37"/>
      <c r="G5820" s="70"/>
    </row>
    <row r="5821" spans="2:7" x14ac:dyDescent="0.25">
      <c r="B5821" s="37"/>
      <c r="C5821" s="37"/>
      <c r="D5821" s="37"/>
      <c r="E5821" s="37"/>
      <c r="F5821" s="37"/>
      <c r="G5821" s="70"/>
    </row>
    <row r="5822" spans="2:7" x14ac:dyDescent="0.25">
      <c r="B5822" s="37"/>
      <c r="C5822" s="37"/>
      <c r="D5822" s="37"/>
      <c r="E5822" s="37"/>
      <c r="F5822" s="37"/>
      <c r="G5822" s="70"/>
    </row>
    <row r="5823" spans="2:7" x14ac:dyDescent="0.25">
      <c r="B5823" s="37"/>
      <c r="C5823" s="37"/>
      <c r="D5823" s="37"/>
      <c r="E5823" s="37"/>
      <c r="F5823" s="37"/>
      <c r="G5823" s="70"/>
    </row>
    <row r="5824" spans="2:7" x14ac:dyDescent="0.25">
      <c r="B5824" s="37"/>
      <c r="C5824" s="37"/>
      <c r="D5824" s="37"/>
      <c r="E5824" s="37"/>
      <c r="F5824" s="37"/>
      <c r="G5824" s="70"/>
    </row>
    <row r="5825" spans="2:7" x14ac:dyDescent="0.25">
      <c r="B5825" s="37"/>
      <c r="C5825" s="37"/>
      <c r="D5825" s="37"/>
      <c r="E5825" s="37"/>
      <c r="F5825" s="37"/>
      <c r="G5825" s="70"/>
    </row>
    <row r="5826" spans="2:7" x14ac:dyDescent="0.25">
      <c r="B5826" s="37"/>
      <c r="C5826" s="37"/>
      <c r="D5826" s="37"/>
      <c r="E5826" s="37"/>
      <c r="F5826" s="37"/>
      <c r="G5826" s="70"/>
    </row>
    <row r="5827" spans="2:7" x14ac:dyDescent="0.25">
      <c r="B5827" s="37"/>
      <c r="C5827" s="37"/>
      <c r="D5827" s="37"/>
      <c r="E5827" s="37"/>
      <c r="F5827" s="37"/>
      <c r="G5827" s="70"/>
    </row>
    <row r="5828" spans="2:7" x14ac:dyDescent="0.25">
      <c r="B5828" s="37"/>
      <c r="C5828" s="37"/>
      <c r="D5828" s="37"/>
      <c r="E5828" s="37"/>
      <c r="F5828" s="37"/>
      <c r="G5828" s="70"/>
    </row>
    <row r="5829" spans="2:7" x14ac:dyDescent="0.25">
      <c r="B5829" s="37"/>
      <c r="C5829" s="37"/>
      <c r="D5829" s="37"/>
      <c r="E5829" s="37"/>
      <c r="F5829" s="37"/>
      <c r="G5829" s="70"/>
    </row>
    <row r="5830" spans="2:7" x14ac:dyDescent="0.25">
      <c r="B5830" s="37"/>
      <c r="C5830" s="37"/>
      <c r="D5830" s="37"/>
      <c r="E5830" s="37"/>
      <c r="F5830" s="37"/>
      <c r="G5830" s="70"/>
    </row>
    <row r="5831" spans="2:7" x14ac:dyDescent="0.25">
      <c r="B5831" s="37"/>
      <c r="C5831" s="37"/>
      <c r="D5831" s="37"/>
      <c r="E5831" s="37"/>
      <c r="F5831" s="37"/>
      <c r="G5831" s="70"/>
    </row>
    <row r="5832" spans="2:7" x14ac:dyDescent="0.25">
      <c r="B5832" s="37"/>
      <c r="C5832" s="37"/>
      <c r="D5832" s="37"/>
      <c r="E5832" s="37"/>
      <c r="F5832" s="37"/>
      <c r="G5832" s="70"/>
    </row>
    <row r="5833" spans="2:7" x14ac:dyDescent="0.25">
      <c r="B5833" s="37"/>
      <c r="C5833" s="37"/>
      <c r="D5833" s="37"/>
      <c r="E5833" s="37"/>
      <c r="F5833" s="37"/>
      <c r="G5833" s="70"/>
    </row>
    <row r="5834" spans="2:7" x14ac:dyDescent="0.25">
      <c r="B5834" s="37"/>
      <c r="C5834" s="37"/>
      <c r="D5834" s="37"/>
      <c r="E5834" s="37"/>
      <c r="F5834" s="37"/>
      <c r="G5834" s="70"/>
    </row>
    <row r="5835" spans="2:7" x14ac:dyDescent="0.25">
      <c r="B5835" s="37"/>
      <c r="C5835" s="37"/>
      <c r="D5835" s="37"/>
      <c r="E5835" s="37"/>
      <c r="F5835" s="37"/>
      <c r="G5835" s="70"/>
    </row>
    <row r="5836" spans="2:7" x14ac:dyDescent="0.25">
      <c r="B5836" s="37"/>
      <c r="C5836" s="37"/>
      <c r="D5836" s="37"/>
      <c r="E5836" s="37"/>
      <c r="F5836" s="37"/>
      <c r="G5836" s="70"/>
    </row>
    <row r="5837" spans="2:7" x14ac:dyDescent="0.25">
      <c r="B5837" s="37"/>
      <c r="C5837" s="37"/>
      <c r="D5837" s="37"/>
      <c r="E5837" s="37"/>
      <c r="F5837" s="37"/>
      <c r="G5837" s="70"/>
    </row>
    <row r="5838" spans="2:7" x14ac:dyDescent="0.25">
      <c r="B5838" s="37"/>
      <c r="C5838" s="37"/>
      <c r="D5838" s="37"/>
      <c r="E5838" s="37"/>
      <c r="F5838" s="37"/>
      <c r="G5838" s="70"/>
    </row>
    <row r="5839" spans="2:7" x14ac:dyDescent="0.25">
      <c r="B5839" s="37"/>
      <c r="C5839" s="37"/>
      <c r="D5839" s="37"/>
      <c r="E5839" s="37"/>
      <c r="F5839" s="37"/>
      <c r="G5839" s="70"/>
    </row>
    <row r="5840" spans="2:7" x14ac:dyDescent="0.25">
      <c r="B5840" s="37"/>
      <c r="C5840" s="37"/>
      <c r="D5840" s="37"/>
      <c r="E5840" s="37"/>
      <c r="F5840" s="37"/>
      <c r="G5840" s="70"/>
    </row>
    <row r="5841" spans="2:7" x14ac:dyDescent="0.25">
      <c r="B5841" s="37"/>
      <c r="C5841" s="37"/>
      <c r="D5841" s="37"/>
      <c r="E5841" s="37"/>
      <c r="F5841" s="37"/>
      <c r="G5841" s="70"/>
    </row>
    <row r="5842" spans="2:7" x14ac:dyDescent="0.25">
      <c r="B5842" s="37"/>
      <c r="C5842" s="37"/>
      <c r="D5842" s="37"/>
      <c r="E5842" s="37"/>
      <c r="F5842" s="37"/>
      <c r="G5842" s="70"/>
    </row>
    <row r="5843" spans="2:7" x14ac:dyDescent="0.25">
      <c r="B5843" s="37"/>
      <c r="C5843" s="37"/>
      <c r="D5843" s="37"/>
      <c r="E5843" s="37"/>
      <c r="F5843" s="37"/>
      <c r="G5843" s="70"/>
    </row>
    <row r="5844" spans="2:7" x14ac:dyDescent="0.25">
      <c r="B5844" s="37"/>
      <c r="C5844" s="37"/>
      <c r="D5844" s="37"/>
      <c r="E5844" s="37"/>
      <c r="F5844" s="37"/>
      <c r="G5844" s="70"/>
    </row>
    <row r="5845" spans="2:7" x14ac:dyDescent="0.25">
      <c r="B5845" s="37"/>
      <c r="C5845" s="37"/>
      <c r="D5845" s="37"/>
      <c r="E5845" s="37"/>
      <c r="F5845" s="37"/>
      <c r="G5845" s="70"/>
    </row>
    <row r="5846" spans="2:7" x14ac:dyDescent="0.25">
      <c r="B5846" s="37"/>
      <c r="C5846" s="37"/>
      <c r="D5846" s="37"/>
      <c r="E5846" s="37"/>
      <c r="F5846" s="37"/>
      <c r="G5846" s="70"/>
    </row>
    <row r="5847" spans="2:7" x14ac:dyDescent="0.25">
      <c r="B5847" s="37"/>
      <c r="C5847" s="37"/>
      <c r="D5847" s="37"/>
      <c r="E5847" s="37"/>
      <c r="F5847" s="37"/>
      <c r="G5847" s="70"/>
    </row>
    <row r="5848" spans="2:7" x14ac:dyDescent="0.25">
      <c r="B5848" s="37"/>
      <c r="C5848" s="37"/>
      <c r="D5848" s="37"/>
      <c r="E5848" s="37"/>
      <c r="F5848" s="37"/>
      <c r="G5848" s="70"/>
    </row>
    <row r="5849" spans="2:7" x14ac:dyDescent="0.25">
      <c r="B5849" s="37"/>
      <c r="C5849" s="37"/>
      <c r="D5849" s="37"/>
      <c r="E5849" s="37"/>
      <c r="F5849" s="37"/>
      <c r="G5849" s="70"/>
    </row>
    <row r="5850" spans="2:7" x14ac:dyDescent="0.25">
      <c r="B5850" s="37"/>
      <c r="C5850" s="37"/>
      <c r="D5850" s="37"/>
      <c r="E5850" s="37"/>
      <c r="F5850" s="37"/>
      <c r="G5850" s="70"/>
    </row>
    <row r="5851" spans="2:7" x14ac:dyDescent="0.25">
      <c r="B5851" s="37"/>
      <c r="C5851" s="37"/>
      <c r="D5851" s="37"/>
      <c r="E5851" s="37"/>
      <c r="F5851" s="37"/>
      <c r="G5851" s="70"/>
    </row>
    <row r="5852" spans="2:7" x14ac:dyDescent="0.25">
      <c r="B5852" s="37"/>
      <c r="C5852" s="37"/>
      <c r="D5852" s="37"/>
      <c r="E5852" s="37"/>
      <c r="F5852" s="37"/>
      <c r="G5852" s="70"/>
    </row>
    <row r="5853" spans="2:7" x14ac:dyDescent="0.25">
      <c r="B5853" s="37"/>
      <c r="C5853" s="37"/>
      <c r="D5853" s="37"/>
      <c r="E5853" s="37"/>
      <c r="F5853" s="37"/>
      <c r="G5853" s="70"/>
    </row>
    <row r="5854" spans="2:7" x14ac:dyDescent="0.25">
      <c r="B5854" s="37"/>
      <c r="C5854" s="37"/>
      <c r="D5854" s="37"/>
      <c r="E5854" s="37"/>
      <c r="F5854" s="37"/>
      <c r="G5854" s="70"/>
    </row>
    <row r="5855" spans="2:7" x14ac:dyDescent="0.25">
      <c r="B5855" s="37"/>
      <c r="C5855" s="37"/>
      <c r="D5855" s="37"/>
      <c r="E5855" s="37"/>
      <c r="F5855" s="37"/>
      <c r="G5855" s="70"/>
    </row>
    <row r="5856" spans="2:7" x14ac:dyDescent="0.25">
      <c r="B5856" s="37"/>
      <c r="C5856" s="37"/>
      <c r="D5856" s="37"/>
      <c r="E5856" s="37"/>
      <c r="F5856" s="37"/>
      <c r="G5856" s="70"/>
    </row>
    <row r="5857" spans="2:7" x14ac:dyDescent="0.25">
      <c r="B5857" s="37"/>
      <c r="C5857" s="37"/>
      <c r="D5857" s="37"/>
      <c r="E5857" s="37"/>
      <c r="F5857" s="37"/>
      <c r="G5857" s="70"/>
    </row>
    <row r="5858" spans="2:7" x14ac:dyDescent="0.25">
      <c r="B5858" s="37"/>
      <c r="C5858" s="37"/>
      <c r="D5858" s="37"/>
      <c r="E5858" s="37"/>
      <c r="F5858" s="37"/>
      <c r="G5858" s="70"/>
    </row>
    <row r="5859" spans="2:7" x14ac:dyDescent="0.25">
      <c r="B5859" s="37"/>
      <c r="C5859" s="37"/>
      <c r="D5859" s="37"/>
      <c r="E5859" s="37"/>
      <c r="F5859" s="37"/>
      <c r="G5859" s="70"/>
    </row>
    <row r="5860" spans="2:7" x14ac:dyDescent="0.25">
      <c r="B5860" s="37"/>
      <c r="C5860" s="37"/>
      <c r="D5860" s="37"/>
      <c r="E5860" s="37"/>
      <c r="F5860" s="37"/>
      <c r="G5860" s="70"/>
    </row>
    <row r="5861" spans="2:7" x14ac:dyDescent="0.25">
      <c r="B5861" s="37"/>
      <c r="C5861" s="37"/>
      <c r="D5861" s="37"/>
      <c r="E5861" s="37"/>
      <c r="F5861" s="37"/>
      <c r="G5861" s="70"/>
    </row>
    <row r="5862" spans="2:7" x14ac:dyDescent="0.25">
      <c r="B5862" s="37"/>
      <c r="C5862" s="37"/>
      <c r="D5862" s="37"/>
      <c r="E5862" s="37"/>
      <c r="F5862" s="37"/>
      <c r="G5862" s="70"/>
    </row>
    <row r="5863" spans="2:7" x14ac:dyDescent="0.25">
      <c r="B5863" s="37"/>
      <c r="C5863" s="37"/>
      <c r="D5863" s="37"/>
      <c r="E5863" s="37"/>
      <c r="F5863" s="37"/>
      <c r="G5863" s="70"/>
    </row>
    <row r="5864" spans="2:7" x14ac:dyDescent="0.25">
      <c r="B5864" s="37"/>
      <c r="C5864" s="37"/>
      <c r="D5864" s="37"/>
      <c r="E5864" s="37"/>
      <c r="F5864" s="37"/>
      <c r="G5864" s="70"/>
    </row>
    <row r="5865" spans="2:7" x14ac:dyDescent="0.25">
      <c r="B5865" s="37"/>
      <c r="C5865" s="37"/>
      <c r="D5865" s="37"/>
      <c r="E5865" s="37"/>
      <c r="F5865" s="37"/>
      <c r="G5865" s="70"/>
    </row>
    <row r="5866" spans="2:7" x14ac:dyDescent="0.25">
      <c r="B5866" s="37"/>
      <c r="C5866" s="37"/>
      <c r="D5866" s="37"/>
      <c r="E5866" s="37"/>
      <c r="F5866" s="37"/>
      <c r="G5866" s="70"/>
    </row>
    <row r="5867" spans="2:7" x14ac:dyDescent="0.25">
      <c r="B5867" s="37"/>
      <c r="C5867" s="37"/>
      <c r="D5867" s="37"/>
      <c r="E5867" s="37"/>
      <c r="F5867" s="37"/>
      <c r="G5867" s="70"/>
    </row>
    <row r="5868" spans="2:7" x14ac:dyDescent="0.25">
      <c r="B5868" s="37"/>
      <c r="C5868" s="37"/>
      <c r="D5868" s="37"/>
      <c r="E5868" s="37"/>
      <c r="F5868" s="37"/>
      <c r="G5868" s="70"/>
    </row>
    <row r="5869" spans="2:7" x14ac:dyDescent="0.25">
      <c r="B5869" s="37"/>
      <c r="C5869" s="37"/>
      <c r="D5869" s="37"/>
      <c r="E5869" s="37"/>
      <c r="F5869" s="37"/>
      <c r="G5869" s="70"/>
    </row>
    <row r="5870" spans="2:7" x14ac:dyDescent="0.25">
      <c r="B5870" s="37"/>
      <c r="C5870" s="37"/>
      <c r="D5870" s="37"/>
      <c r="E5870" s="37"/>
      <c r="F5870" s="37"/>
      <c r="G5870" s="70"/>
    </row>
    <row r="5871" spans="2:7" x14ac:dyDescent="0.25">
      <c r="B5871" s="37"/>
      <c r="C5871" s="37"/>
      <c r="D5871" s="37"/>
      <c r="E5871" s="37"/>
      <c r="F5871" s="37"/>
      <c r="G5871" s="70"/>
    </row>
    <row r="5872" spans="2:7" x14ac:dyDescent="0.25">
      <c r="B5872" s="37"/>
      <c r="C5872" s="37"/>
      <c r="D5872" s="37"/>
      <c r="E5872" s="37"/>
      <c r="F5872" s="37"/>
      <c r="G5872" s="70"/>
    </row>
    <row r="5873" spans="2:7" x14ac:dyDescent="0.25">
      <c r="B5873" s="37"/>
      <c r="C5873" s="37"/>
      <c r="D5873" s="37"/>
      <c r="E5873" s="37"/>
      <c r="F5873" s="37"/>
      <c r="G5873" s="70"/>
    </row>
    <row r="5874" spans="2:7" x14ac:dyDescent="0.25">
      <c r="B5874" s="37"/>
      <c r="C5874" s="37"/>
      <c r="D5874" s="37"/>
      <c r="E5874" s="37"/>
      <c r="F5874" s="37"/>
      <c r="G5874" s="70"/>
    </row>
    <row r="5875" spans="2:7" x14ac:dyDescent="0.25">
      <c r="B5875" s="37"/>
      <c r="C5875" s="37"/>
      <c r="D5875" s="37"/>
      <c r="E5875" s="37"/>
      <c r="F5875" s="37"/>
      <c r="G5875" s="70"/>
    </row>
    <row r="5876" spans="2:7" x14ac:dyDescent="0.25">
      <c r="B5876" s="37"/>
      <c r="C5876" s="37"/>
      <c r="D5876" s="37"/>
      <c r="E5876" s="37"/>
      <c r="F5876" s="37"/>
      <c r="G5876" s="70"/>
    </row>
    <row r="5877" spans="2:7" x14ac:dyDescent="0.25">
      <c r="B5877" s="37"/>
      <c r="C5877" s="37"/>
      <c r="D5877" s="37"/>
      <c r="E5877" s="37"/>
      <c r="F5877" s="37"/>
      <c r="G5877" s="70"/>
    </row>
    <row r="5878" spans="2:7" x14ac:dyDescent="0.25">
      <c r="B5878" s="37"/>
      <c r="C5878" s="37"/>
      <c r="D5878" s="37"/>
      <c r="E5878" s="37"/>
      <c r="F5878" s="37"/>
      <c r="G5878" s="70"/>
    </row>
    <row r="5879" spans="2:7" x14ac:dyDescent="0.25">
      <c r="B5879" s="37"/>
      <c r="C5879" s="37"/>
      <c r="D5879" s="37"/>
      <c r="E5879" s="37"/>
      <c r="F5879" s="37"/>
      <c r="G5879" s="70"/>
    </row>
    <row r="5880" spans="2:7" x14ac:dyDescent="0.25">
      <c r="B5880" s="37"/>
      <c r="C5880" s="37"/>
      <c r="D5880" s="37"/>
      <c r="E5880" s="37"/>
      <c r="F5880" s="37"/>
      <c r="G5880" s="70"/>
    </row>
    <row r="5881" spans="2:7" x14ac:dyDescent="0.25">
      <c r="B5881" s="37"/>
      <c r="C5881" s="37"/>
      <c r="D5881" s="37"/>
      <c r="E5881" s="37"/>
      <c r="F5881" s="37"/>
      <c r="G5881" s="70"/>
    </row>
    <row r="5882" spans="2:7" x14ac:dyDescent="0.25">
      <c r="B5882" s="37"/>
      <c r="C5882" s="37"/>
      <c r="D5882" s="37"/>
      <c r="E5882" s="37"/>
      <c r="F5882" s="37"/>
      <c r="G5882" s="70"/>
    </row>
    <row r="5883" spans="2:7" x14ac:dyDescent="0.25">
      <c r="B5883" s="37"/>
      <c r="C5883" s="37"/>
      <c r="D5883" s="37"/>
      <c r="E5883" s="37"/>
      <c r="F5883" s="37"/>
      <c r="G5883" s="70"/>
    </row>
    <row r="5884" spans="2:7" x14ac:dyDescent="0.25">
      <c r="B5884" s="37"/>
      <c r="C5884" s="37"/>
      <c r="D5884" s="37"/>
      <c r="E5884" s="37"/>
      <c r="F5884" s="37"/>
      <c r="G5884" s="70"/>
    </row>
    <row r="5885" spans="2:7" x14ac:dyDescent="0.25">
      <c r="B5885" s="37"/>
      <c r="C5885" s="37"/>
      <c r="D5885" s="37"/>
      <c r="E5885" s="37"/>
      <c r="F5885" s="37"/>
      <c r="G5885" s="70"/>
    </row>
    <row r="5886" spans="2:7" x14ac:dyDescent="0.25">
      <c r="B5886" s="37"/>
      <c r="C5886" s="37"/>
      <c r="D5886" s="37"/>
      <c r="E5886" s="37"/>
      <c r="F5886" s="37"/>
      <c r="G5886" s="70"/>
    </row>
    <row r="5887" spans="2:7" x14ac:dyDescent="0.25">
      <c r="B5887" s="37"/>
      <c r="C5887" s="37"/>
      <c r="D5887" s="37"/>
      <c r="E5887" s="37"/>
      <c r="F5887" s="37"/>
      <c r="G5887" s="70"/>
    </row>
    <row r="5888" spans="2:7" x14ac:dyDescent="0.25">
      <c r="B5888" s="37"/>
      <c r="C5888" s="37"/>
      <c r="D5888" s="37"/>
      <c r="E5888" s="37"/>
      <c r="F5888" s="37"/>
      <c r="G5888" s="70"/>
    </row>
    <row r="5889" spans="2:7" x14ac:dyDescent="0.25">
      <c r="B5889" s="37"/>
      <c r="C5889" s="37"/>
      <c r="D5889" s="37"/>
      <c r="E5889" s="37"/>
      <c r="F5889" s="37"/>
      <c r="G5889" s="70"/>
    </row>
    <row r="5890" spans="2:7" x14ac:dyDescent="0.25">
      <c r="B5890" s="37"/>
      <c r="C5890" s="37"/>
      <c r="D5890" s="37"/>
      <c r="E5890" s="37"/>
      <c r="F5890" s="37"/>
      <c r="G5890" s="70"/>
    </row>
    <row r="5891" spans="2:7" x14ac:dyDescent="0.25">
      <c r="B5891" s="37"/>
      <c r="C5891" s="37"/>
      <c r="D5891" s="37"/>
      <c r="E5891" s="37"/>
      <c r="F5891" s="37"/>
      <c r="G5891" s="70"/>
    </row>
    <row r="5892" spans="2:7" x14ac:dyDescent="0.25">
      <c r="B5892" s="37"/>
      <c r="C5892" s="37"/>
      <c r="D5892" s="37"/>
      <c r="E5892" s="37"/>
      <c r="F5892" s="37"/>
      <c r="G5892" s="70"/>
    </row>
    <row r="5893" spans="2:7" x14ac:dyDescent="0.25">
      <c r="B5893" s="37"/>
      <c r="C5893" s="37"/>
      <c r="D5893" s="37"/>
      <c r="E5893" s="37"/>
      <c r="F5893" s="37"/>
      <c r="G5893" s="70"/>
    </row>
    <row r="5894" spans="2:7" x14ac:dyDescent="0.25">
      <c r="B5894" s="37"/>
      <c r="C5894" s="37"/>
      <c r="D5894" s="37"/>
      <c r="E5894" s="37"/>
      <c r="F5894" s="37"/>
      <c r="G5894" s="70"/>
    </row>
    <row r="5895" spans="2:7" x14ac:dyDescent="0.25">
      <c r="B5895" s="37"/>
      <c r="C5895" s="37"/>
      <c r="D5895" s="37"/>
      <c r="E5895" s="37"/>
      <c r="F5895" s="37"/>
      <c r="G5895" s="70"/>
    </row>
    <row r="5896" spans="2:7" x14ac:dyDescent="0.25">
      <c r="B5896" s="37"/>
      <c r="C5896" s="37"/>
      <c r="D5896" s="37"/>
      <c r="E5896" s="37"/>
      <c r="F5896" s="37"/>
      <c r="G5896" s="70"/>
    </row>
    <row r="5897" spans="2:7" x14ac:dyDescent="0.25">
      <c r="B5897" s="37"/>
      <c r="C5897" s="37"/>
      <c r="D5897" s="37"/>
      <c r="E5897" s="37"/>
      <c r="F5897" s="37"/>
      <c r="G5897" s="70"/>
    </row>
    <row r="5898" spans="2:7" x14ac:dyDescent="0.25">
      <c r="B5898" s="37"/>
      <c r="C5898" s="37"/>
      <c r="D5898" s="37"/>
      <c r="E5898" s="37"/>
      <c r="F5898" s="37"/>
      <c r="G5898" s="70"/>
    </row>
    <row r="5899" spans="2:7" x14ac:dyDescent="0.25">
      <c r="B5899" s="37"/>
      <c r="C5899" s="37"/>
      <c r="D5899" s="37"/>
      <c r="E5899" s="37"/>
      <c r="F5899" s="37"/>
      <c r="G5899" s="70"/>
    </row>
    <row r="5900" spans="2:7" x14ac:dyDescent="0.25">
      <c r="B5900" s="37"/>
      <c r="C5900" s="37"/>
      <c r="D5900" s="37"/>
      <c r="E5900" s="37"/>
      <c r="F5900" s="37"/>
      <c r="G5900" s="70"/>
    </row>
    <row r="5901" spans="2:7" x14ac:dyDescent="0.25">
      <c r="B5901" s="37"/>
      <c r="C5901" s="37"/>
      <c r="D5901" s="37"/>
      <c r="E5901" s="37"/>
      <c r="F5901" s="37"/>
      <c r="G5901" s="70"/>
    </row>
    <row r="5902" spans="2:7" x14ac:dyDescent="0.25">
      <c r="B5902" s="37"/>
      <c r="C5902" s="37"/>
      <c r="D5902" s="37"/>
      <c r="E5902" s="37"/>
      <c r="F5902" s="37"/>
      <c r="G5902" s="70"/>
    </row>
    <row r="5903" spans="2:7" x14ac:dyDescent="0.25">
      <c r="B5903" s="37"/>
      <c r="C5903" s="37"/>
      <c r="D5903" s="37"/>
      <c r="E5903" s="37"/>
      <c r="F5903" s="37"/>
      <c r="G5903" s="70"/>
    </row>
    <row r="5904" spans="2:7" x14ac:dyDescent="0.25">
      <c r="B5904" s="37"/>
      <c r="C5904" s="37"/>
      <c r="D5904" s="37"/>
      <c r="E5904" s="37"/>
      <c r="F5904" s="37"/>
      <c r="G5904" s="70"/>
    </row>
    <row r="5905" spans="2:7" x14ac:dyDescent="0.25">
      <c r="B5905" s="37"/>
      <c r="C5905" s="37"/>
      <c r="D5905" s="37"/>
      <c r="E5905" s="37"/>
      <c r="F5905" s="37"/>
      <c r="G5905" s="70"/>
    </row>
    <row r="5906" spans="2:7" x14ac:dyDescent="0.25">
      <c r="B5906" s="37"/>
      <c r="C5906" s="37"/>
      <c r="D5906" s="37"/>
      <c r="E5906" s="37"/>
      <c r="F5906" s="37"/>
      <c r="G5906" s="70"/>
    </row>
    <row r="5907" spans="2:7" x14ac:dyDescent="0.25">
      <c r="B5907" s="37"/>
      <c r="C5907" s="37"/>
      <c r="D5907" s="37"/>
      <c r="E5907" s="37"/>
      <c r="F5907" s="37"/>
      <c r="G5907" s="70"/>
    </row>
    <row r="5908" spans="2:7" x14ac:dyDescent="0.25">
      <c r="B5908" s="37"/>
      <c r="C5908" s="37"/>
      <c r="D5908" s="37"/>
      <c r="E5908" s="37"/>
      <c r="F5908" s="37"/>
      <c r="G5908" s="70"/>
    </row>
    <row r="5909" spans="2:7" x14ac:dyDescent="0.25">
      <c r="B5909" s="37"/>
      <c r="C5909" s="37"/>
      <c r="D5909" s="37"/>
      <c r="E5909" s="37"/>
      <c r="F5909" s="37"/>
      <c r="G5909" s="70"/>
    </row>
    <row r="5910" spans="2:7" x14ac:dyDescent="0.25">
      <c r="B5910" s="37"/>
      <c r="C5910" s="37"/>
      <c r="D5910" s="37"/>
      <c r="E5910" s="37"/>
      <c r="F5910" s="37"/>
      <c r="G5910" s="70"/>
    </row>
    <row r="5911" spans="2:7" x14ac:dyDescent="0.25">
      <c r="B5911" s="37"/>
      <c r="C5911" s="37"/>
      <c r="D5911" s="37"/>
      <c r="E5911" s="37"/>
      <c r="F5911" s="37"/>
      <c r="G5911" s="70"/>
    </row>
    <row r="5912" spans="2:7" x14ac:dyDescent="0.25">
      <c r="B5912" s="37"/>
      <c r="C5912" s="37"/>
      <c r="D5912" s="37"/>
      <c r="E5912" s="37"/>
      <c r="F5912" s="37"/>
      <c r="G5912" s="70"/>
    </row>
    <row r="5913" spans="2:7" x14ac:dyDescent="0.25">
      <c r="B5913" s="37"/>
      <c r="C5913" s="37"/>
      <c r="D5913" s="37"/>
      <c r="E5913" s="37"/>
      <c r="F5913" s="37"/>
      <c r="G5913" s="70"/>
    </row>
    <row r="5914" spans="2:7" x14ac:dyDescent="0.25">
      <c r="B5914" s="37"/>
      <c r="C5914" s="37"/>
      <c r="D5914" s="37"/>
      <c r="E5914" s="37"/>
      <c r="F5914" s="37"/>
      <c r="G5914" s="70"/>
    </row>
    <row r="5915" spans="2:7" x14ac:dyDescent="0.25">
      <c r="B5915" s="37"/>
      <c r="C5915" s="37"/>
      <c r="D5915" s="37"/>
      <c r="E5915" s="37"/>
      <c r="F5915" s="37"/>
      <c r="G5915" s="70"/>
    </row>
    <row r="5916" spans="2:7" x14ac:dyDescent="0.25">
      <c r="B5916" s="37"/>
      <c r="C5916" s="37"/>
      <c r="D5916" s="37"/>
      <c r="E5916" s="37"/>
      <c r="F5916" s="37"/>
      <c r="G5916" s="70"/>
    </row>
    <row r="5917" spans="2:7" x14ac:dyDescent="0.25">
      <c r="B5917" s="37"/>
      <c r="C5917" s="37"/>
      <c r="D5917" s="37"/>
      <c r="E5917" s="37"/>
      <c r="F5917" s="37"/>
      <c r="G5917" s="70"/>
    </row>
    <row r="5918" spans="2:7" x14ac:dyDescent="0.25">
      <c r="B5918" s="37"/>
      <c r="C5918" s="37"/>
      <c r="D5918" s="37"/>
      <c r="E5918" s="37"/>
      <c r="F5918" s="37"/>
      <c r="G5918" s="70"/>
    </row>
    <row r="5919" spans="2:7" x14ac:dyDescent="0.25">
      <c r="B5919" s="37"/>
      <c r="C5919" s="37"/>
      <c r="D5919" s="37"/>
      <c r="E5919" s="37"/>
      <c r="F5919" s="37"/>
      <c r="G5919" s="70"/>
    </row>
    <row r="5920" spans="2:7" x14ac:dyDescent="0.25">
      <c r="B5920" s="37"/>
      <c r="C5920" s="37"/>
      <c r="D5920" s="37"/>
      <c r="E5920" s="37"/>
      <c r="F5920" s="37"/>
      <c r="G5920" s="70"/>
    </row>
    <row r="5921" spans="2:7" x14ac:dyDescent="0.25">
      <c r="B5921" s="37"/>
      <c r="C5921" s="37"/>
      <c r="D5921" s="37"/>
      <c r="E5921" s="37"/>
      <c r="F5921" s="37"/>
      <c r="G5921" s="70"/>
    </row>
    <row r="5922" spans="2:7" x14ac:dyDescent="0.25">
      <c r="B5922" s="37"/>
      <c r="C5922" s="37"/>
      <c r="D5922" s="37"/>
      <c r="E5922" s="37"/>
      <c r="F5922" s="37"/>
      <c r="G5922" s="70"/>
    </row>
    <row r="5923" spans="2:7" x14ac:dyDescent="0.25">
      <c r="B5923" s="37"/>
      <c r="C5923" s="37"/>
      <c r="D5923" s="37"/>
      <c r="E5923" s="37"/>
      <c r="F5923" s="37"/>
      <c r="G5923" s="70"/>
    </row>
    <row r="5924" spans="2:7" x14ac:dyDescent="0.25">
      <c r="B5924" s="37"/>
      <c r="C5924" s="37"/>
      <c r="D5924" s="37"/>
      <c r="E5924" s="37"/>
      <c r="F5924" s="37"/>
      <c r="G5924" s="70"/>
    </row>
    <row r="5925" spans="2:7" x14ac:dyDescent="0.25">
      <c r="B5925" s="37"/>
      <c r="C5925" s="37"/>
      <c r="D5925" s="37"/>
      <c r="E5925" s="37"/>
      <c r="F5925" s="37"/>
      <c r="G5925" s="70"/>
    </row>
    <row r="5926" spans="2:7" x14ac:dyDescent="0.25">
      <c r="B5926" s="37"/>
      <c r="C5926" s="37"/>
      <c r="D5926" s="37"/>
      <c r="E5926" s="37"/>
      <c r="F5926" s="37"/>
      <c r="G5926" s="70"/>
    </row>
    <row r="5927" spans="2:7" x14ac:dyDescent="0.25">
      <c r="B5927" s="37"/>
      <c r="C5927" s="37"/>
      <c r="D5927" s="37"/>
      <c r="E5927" s="37"/>
      <c r="F5927" s="37"/>
      <c r="G5927" s="70"/>
    </row>
    <row r="5928" spans="2:7" x14ac:dyDescent="0.25">
      <c r="B5928" s="37"/>
      <c r="C5928" s="37"/>
      <c r="D5928" s="37"/>
      <c r="E5928" s="37"/>
      <c r="F5928" s="37"/>
      <c r="G5928" s="70"/>
    </row>
    <row r="5929" spans="2:7" x14ac:dyDescent="0.25">
      <c r="B5929" s="37"/>
      <c r="C5929" s="37"/>
      <c r="D5929" s="37"/>
      <c r="E5929" s="37"/>
      <c r="F5929" s="37"/>
      <c r="G5929" s="70"/>
    </row>
    <row r="5930" spans="2:7" x14ac:dyDescent="0.25">
      <c r="B5930" s="37"/>
      <c r="C5930" s="37"/>
      <c r="D5930" s="37"/>
      <c r="E5930" s="37"/>
      <c r="F5930" s="37"/>
      <c r="G5930" s="70"/>
    </row>
    <row r="5931" spans="2:7" x14ac:dyDescent="0.25">
      <c r="B5931" s="37"/>
      <c r="C5931" s="37"/>
      <c r="D5931" s="37"/>
      <c r="E5931" s="37"/>
      <c r="F5931" s="37"/>
      <c r="G5931" s="70"/>
    </row>
    <row r="5932" spans="2:7" x14ac:dyDescent="0.25">
      <c r="B5932" s="37"/>
      <c r="C5932" s="37"/>
      <c r="D5932" s="37"/>
      <c r="E5932" s="37"/>
      <c r="F5932" s="37"/>
      <c r="G5932" s="70"/>
    </row>
    <row r="5933" spans="2:7" x14ac:dyDescent="0.25">
      <c r="B5933" s="37"/>
      <c r="C5933" s="37"/>
      <c r="D5933" s="37"/>
      <c r="E5933" s="37"/>
      <c r="F5933" s="37"/>
      <c r="G5933" s="70"/>
    </row>
    <row r="5934" spans="2:7" x14ac:dyDescent="0.25">
      <c r="B5934" s="37"/>
      <c r="C5934" s="37"/>
      <c r="D5934" s="37"/>
      <c r="E5934" s="37"/>
      <c r="F5934" s="37"/>
      <c r="G5934" s="70"/>
    </row>
    <row r="5935" spans="2:7" x14ac:dyDescent="0.25">
      <c r="B5935" s="37"/>
      <c r="C5935" s="37"/>
      <c r="D5935" s="37"/>
      <c r="E5935" s="37"/>
      <c r="F5935" s="37"/>
      <c r="G5935" s="70"/>
    </row>
    <row r="5936" spans="2:7" x14ac:dyDescent="0.25">
      <c r="B5936" s="37"/>
      <c r="C5936" s="37"/>
      <c r="D5936" s="37"/>
      <c r="E5936" s="37"/>
      <c r="F5936" s="37"/>
      <c r="G5936" s="70"/>
    </row>
    <row r="5937" spans="2:7" x14ac:dyDescent="0.25">
      <c r="B5937" s="37"/>
      <c r="C5937" s="37"/>
      <c r="D5937" s="37"/>
      <c r="E5937" s="37"/>
      <c r="F5937" s="37"/>
      <c r="G5937" s="70"/>
    </row>
    <row r="5938" spans="2:7" x14ac:dyDescent="0.25">
      <c r="B5938" s="37"/>
      <c r="C5938" s="37"/>
      <c r="D5938" s="37"/>
      <c r="E5938" s="37"/>
      <c r="F5938" s="37"/>
      <c r="G5938" s="70"/>
    </row>
    <row r="5939" spans="2:7" x14ac:dyDescent="0.25">
      <c r="B5939" s="37"/>
      <c r="C5939" s="37"/>
      <c r="D5939" s="37"/>
      <c r="E5939" s="37"/>
      <c r="F5939" s="37"/>
      <c r="G5939" s="70"/>
    </row>
    <row r="5940" spans="2:7" x14ac:dyDescent="0.25">
      <c r="B5940" s="37"/>
      <c r="C5940" s="37"/>
      <c r="D5940" s="37"/>
      <c r="E5940" s="37"/>
      <c r="F5940" s="37"/>
      <c r="G5940" s="70"/>
    </row>
    <row r="5941" spans="2:7" x14ac:dyDescent="0.25">
      <c r="B5941" s="37"/>
      <c r="C5941" s="37"/>
      <c r="D5941" s="37"/>
      <c r="E5941" s="37"/>
      <c r="F5941" s="37"/>
      <c r="G5941" s="70"/>
    </row>
    <row r="5942" spans="2:7" x14ac:dyDescent="0.25">
      <c r="B5942" s="37"/>
      <c r="C5942" s="37"/>
      <c r="D5942" s="37"/>
      <c r="E5942" s="37"/>
      <c r="F5942" s="37"/>
      <c r="G5942" s="70"/>
    </row>
    <row r="5943" spans="2:7" x14ac:dyDescent="0.25">
      <c r="B5943" s="37"/>
      <c r="C5943" s="37"/>
      <c r="D5943" s="37"/>
      <c r="E5943" s="37"/>
      <c r="F5943" s="37"/>
      <c r="G5943" s="70"/>
    </row>
    <row r="5944" spans="2:7" x14ac:dyDescent="0.25">
      <c r="B5944" s="37"/>
      <c r="C5944" s="37"/>
      <c r="D5944" s="37"/>
      <c r="E5944" s="37"/>
      <c r="F5944" s="37"/>
      <c r="G5944" s="70"/>
    </row>
    <row r="5945" spans="2:7" x14ac:dyDescent="0.25">
      <c r="B5945" s="37"/>
      <c r="C5945" s="37"/>
      <c r="D5945" s="37"/>
      <c r="E5945" s="37"/>
      <c r="F5945" s="37"/>
      <c r="G5945" s="70"/>
    </row>
    <row r="5946" spans="2:7" x14ac:dyDescent="0.25">
      <c r="B5946" s="37"/>
      <c r="C5946" s="37"/>
      <c r="D5946" s="37"/>
      <c r="E5946" s="37"/>
      <c r="F5946" s="37"/>
      <c r="G5946" s="70"/>
    </row>
    <row r="5947" spans="2:7" x14ac:dyDescent="0.25">
      <c r="B5947" s="37"/>
      <c r="C5947" s="37"/>
      <c r="D5947" s="37"/>
      <c r="E5947" s="37"/>
      <c r="F5947" s="37"/>
      <c r="G5947" s="70"/>
    </row>
    <row r="5948" spans="2:7" x14ac:dyDescent="0.25">
      <c r="B5948" s="37"/>
      <c r="C5948" s="37"/>
      <c r="D5948" s="37"/>
      <c r="E5948" s="37"/>
      <c r="F5948" s="37"/>
      <c r="G5948" s="70"/>
    </row>
    <row r="5949" spans="2:7" x14ac:dyDescent="0.25">
      <c r="B5949" s="37"/>
      <c r="C5949" s="37"/>
      <c r="D5949" s="37"/>
      <c r="E5949" s="37"/>
      <c r="F5949" s="37"/>
      <c r="G5949" s="70"/>
    </row>
    <row r="5950" spans="2:7" x14ac:dyDescent="0.25">
      <c r="B5950" s="37"/>
      <c r="C5950" s="37"/>
      <c r="D5950" s="37"/>
      <c r="E5950" s="37"/>
      <c r="F5950" s="37"/>
      <c r="G5950" s="70"/>
    </row>
    <row r="5951" spans="2:7" x14ac:dyDescent="0.25">
      <c r="B5951" s="37"/>
      <c r="C5951" s="37"/>
      <c r="D5951" s="37"/>
      <c r="E5951" s="37"/>
      <c r="F5951" s="37"/>
      <c r="G5951" s="70"/>
    </row>
    <row r="5952" spans="2:7" x14ac:dyDescent="0.25">
      <c r="B5952" s="37"/>
      <c r="C5952" s="37"/>
      <c r="D5952" s="37"/>
      <c r="E5952" s="37"/>
      <c r="F5952" s="37"/>
      <c r="G5952" s="70"/>
    </row>
    <row r="5953" spans="2:7" x14ac:dyDescent="0.25">
      <c r="B5953" s="37"/>
      <c r="C5953" s="37"/>
      <c r="D5953" s="37"/>
      <c r="E5953" s="37"/>
      <c r="F5953" s="37"/>
      <c r="G5953" s="70"/>
    </row>
    <row r="5954" spans="2:7" x14ac:dyDescent="0.25">
      <c r="B5954" s="37"/>
      <c r="C5954" s="37"/>
      <c r="D5954" s="37"/>
      <c r="E5954" s="37"/>
      <c r="F5954" s="37"/>
      <c r="G5954" s="70"/>
    </row>
    <row r="5955" spans="2:7" x14ac:dyDescent="0.25">
      <c r="B5955" s="37"/>
      <c r="C5955" s="37"/>
      <c r="D5955" s="37"/>
      <c r="E5955" s="37"/>
      <c r="F5955" s="37"/>
      <c r="G5955" s="70"/>
    </row>
    <row r="5956" spans="2:7" x14ac:dyDescent="0.25">
      <c r="B5956" s="37"/>
      <c r="C5956" s="37"/>
      <c r="D5956" s="37"/>
      <c r="E5956" s="37"/>
      <c r="F5956" s="37"/>
      <c r="G5956" s="70"/>
    </row>
    <row r="5957" spans="2:7" x14ac:dyDescent="0.25">
      <c r="B5957" s="37"/>
      <c r="C5957" s="37"/>
      <c r="D5957" s="37"/>
      <c r="E5957" s="37"/>
      <c r="F5957" s="37"/>
      <c r="G5957" s="70"/>
    </row>
    <row r="5958" spans="2:7" x14ac:dyDescent="0.25">
      <c r="B5958" s="37"/>
      <c r="C5958" s="37"/>
      <c r="D5958" s="37"/>
      <c r="E5958" s="37"/>
      <c r="F5958" s="37"/>
      <c r="G5958" s="70"/>
    </row>
    <row r="5959" spans="2:7" x14ac:dyDescent="0.25">
      <c r="B5959" s="37"/>
      <c r="C5959" s="37"/>
      <c r="D5959" s="37"/>
      <c r="E5959" s="37"/>
      <c r="F5959" s="37"/>
      <c r="G5959" s="70"/>
    </row>
    <row r="5960" spans="2:7" x14ac:dyDescent="0.25">
      <c r="B5960" s="37"/>
      <c r="C5960" s="37"/>
      <c r="D5960" s="37"/>
      <c r="E5960" s="37"/>
      <c r="F5960" s="37"/>
      <c r="G5960" s="70"/>
    </row>
    <row r="5961" spans="2:7" x14ac:dyDescent="0.25">
      <c r="B5961" s="37"/>
      <c r="C5961" s="37"/>
      <c r="D5961" s="37"/>
      <c r="E5961" s="37"/>
      <c r="F5961" s="37"/>
      <c r="G5961" s="70"/>
    </row>
    <row r="5962" spans="2:7" x14ac:dyDescent="0.25">
      <c r="B5962" s="37"/>
      <c r="C5962" s="37"/>
      <c r="D5962" s="37"/>
      <c r="E5962" s="37"/>
      <c r="F5962" s="37"/>
      <c r="G5962" s="70"/>
    </row>
    <row r="5963" spans="2:7" x14ac:dyDescent="0.25">
      <c r="B5963" s="37"/>
      <c r="C5963" s="37"/>
      <c r="D5963" s="37"/>
      <c r="E5963" s="37"/>
      <c r="F5963" s="37"/>
      <c r="G5963" s="70"/>
    </row>
    <row r="5964" spans="2:7" x14ac:dyDescent="0.25">
      <c r="B5964" s="37"/>
      <c r="C5964" s="37"/>
      <c r="D5964" s="37"/>
      <c r="E5964" s="37"/>
      <c r="F5964" s="37"/>
      <c r="G5964" s="70"/>
    </row>
    <row r="5965" spans="2:7" x14ac:dyDescent="0.25">
      <c r="B5965" s="37"/>
      <c r="C5965" s="37"/>
      <c r="D5965" s="37"/>
      <c r="E5965" s="37"/>
      <c r="F5965" s="37"/>
      <c r="G5965" s="70"/>
    </row>
    <row r="5966" spans="2:7" x14ac:dyDescent="0.25">
      <c r="B5966" s="37"/>
      <c r="C5966" s="37"/>
      <c r="D5966" s="37"/>
      <c r="E5966" s="37"/>
      <c r="F5966" s="37"/>
      <c r="G5966" s="70"/>
    </row>
    <row r="5967" spans="2:7" x14ac:dyDescent="0.25">
      <c r="B5967" s="37"/>
      <c r="C5967" s="37"/>
      <c r="D5967" s="37"/>
      <c r="E5967" s="37"/>
      <c r="F5967" s="37"/>
      <c r="G5967" s="70"/>
    </row>
    <row r="5968" spans="2:7" x14ac:dyDescent="0.25">
      <c r="B5968" s="37"/>
      <c r="C5968" s="37"/>
      <c r="D5968" s="37"/>
      <c r="E5968" s="37"/>
      <c r="F5968" s="37"/>
      <c r="G5968" s="70"/>
    </row>
    <row r="5969" spans="2:7" x14ac:dyDescent="0.25">
      <c r="B5969" s="37"/>
      <c r="C5969" s="37"/>
      <c r="D5969" s="37"/>
      <c r="E5969" s="37"/>
      <c r="F5969" s="37"/>
      <c r="G5969" s="70"/>
    </row>
    <row r="5970" spans="2:7" x14ac:dyDescent="0.25">
      <c r="B5970" s="37"/>
      <c r="C5970" s="37"/>
      <c r="D5970" s="37"/>
      <c r="E5970" s="37"/>
      <c r="F5970" s="37"/>
      <c r="G5970" s="70"/>
    </row>
    <row r="5971" spans="2:7" x14ac:dyDescent="0.25">
      <c r="B5971" s="37"/>
      <c r="C5971" s="37"/>
      <c r="D5971" s="37"/>
      <c r="E5971" s="37"/>
      <c r="F5971" s="37"/>
      <c r="G5971" s="70"/>
    </row>
    <row r="5972" spans="2:7" x14ac:dyDescent="0.25">
      <c r="B5972" s="37"/>
      <c r="C5972" s="37"/>
      <c r="D5972" s="37"/>
      <c r="E5972" s="37"/>
      <c r="F5972" s="37"/>
      <c r="G5972" s="70"/>
    </row>
    <row r="5973" spans="2:7" x14ac:dyDescent="0.25">
      <c r="B5973" s="37"/>
      <c r="C5973" s="37"/>
      <c r="D5973" s="37"/>
      <c r="E5973" s="37"/>
      <c r="F5973" s="37"/>
      <c r="G5973" s="70"/>
    </row>
    <row r="5974" spans="2:7" x14ac:dyDescent="0.25">
      <c r="B5974" s="37"/>
      <c r="C5974" s="37"/>
      <c r="D5974" s="37"/>
      <c r="E5974" s="37"/>
      <c r="F5974" s="37"/>
      <c r="G5974" s="70"/>
    </row>
    <row r="5975" spans="2:7" x14ac:dyDescent="0.25">
      <c r="B5975" s="37"/>
      <c r="C5975" s="37"/>
      <c r="D5975" s="37"/>
      <c r="E5975" s="37"/>
      <c r="F5975" s="37"/>
      <c r="G5975" s="70"/>
    </row>
    <row r="5976" spans="2:7" x14ac:dyDescent="0.25">
      <c r="B5976" s="37"/>
      <c r="C5976" s="37"/>
      <c r="D5976" s="37"/>
      <c r="E5976" s="37"/>
      <c r="F5976" s="37"/>
      <c r="G5976" s="70"/>
    </row>
    <row r="5977" spans="2:7" x14ac:dyDescent="0.25">
      <c r="B5977" s="37"/>
      <c r="C5977" s="37"/>
      <c r="D5977" s="37"/>
      <c r="E5977" s="37"/>
      <c r="F5977" s="37"/>
      <c r="G5977" s="70"/>
    </row>
    <row r="5978" spans="2:7" x14ac:dyDescent="0.25">
      <c r="B5978" s="37"/>
      <c r="C5978" s="37"/>
      <c r="D5978" s="37"/>
      <c r="E5978" s="37"/>
      <c r="F5978" s="37"/>
      <c r="G5978" s="70"/>
    </row>
    <row r="5979" spans="2:7" x14ac:dyDescent="0.25">
      <c r="B5979" s="37"/>
      <c r="C5979" s="37"/>
      <c r="D5979" s="37"/>
      <c r="E5979" s="37"/>
      <c r="F5979" s="37"/>
      <c r="G5979" s="70"/>
    </row>
    <row r="5980" spans="2:7" x14ac:dyDescent="0.25">
      <c r="B5980" s="37"/>
      <c r="C5980" s="37"/>
      <c r="D5980" s="37"/>
      <c r="E5980" s="37"/>
      <c r="F5980" s="37"/>
      <c r="G5980" s="70"/>
    </row>
    <row r="5981" spans="2:7" x14ac:dyDescent="0.25">
      <c r="B5981" s="37"/>
      <c r="C5981" s="37"/>
      <c r="D5981" s="37"/>
      <c r="E5981" s="37"/>
      <c r="F5981" s="37"/>
      <c r="G5981" s="70"/>
    </row>
    <row r="5982" spans="2:7" x14ac:dyDescent="0.25">
      <c r="B5982" s="37"/>
      <c r="C5982" s="37"/>
      <c r="D5982" s="37"/>
      <c r="E5982" s="37"/>
      <c r="F5982" s="37"/>
      <c r="G5982" s="70"/>
    </row>
    <row r="5983" spans="2:7" x14ac:dyDescent="0.25">
      <c r="B5983" s="37"/>
      <c r="C5983" s="37"/>
      <c r="D5983" s="37"/>
      <c r="E5983" s="37"/>
      <c r="F5983" s="37"/>
      <c r="G5983" s="70"/>
    </row>
    <row r="5984" spans="2:7" x14ac:dyDescent="0.25">
      <c r="B5984" s="37"/>
      <c r="C5984" s="37"/>
      <c r="D5984" s="37"/>
      <c r="E5984" s="37"/>
      <c r="F5984" s="37"/>
      <c r="G5984" s="70"/>
    </row>
    <row r="5985" spans="2:7" x14ac:dyDescent="0.25">
      <c r="B5985" s="37"/>
      <c r="C5985" s="37"/>
      <c r="D5985" s="37"/>
      <c r="E5985" s="37"/>
      <c r="F5985" s="37"/>
      <c r="G5985" s="70"/>
    </row>
    <row r="5986" spans="2:7" x14ac:dyDescent="0.25">
      <c r="B5986" s="37"/>
      <c r="C5986" s="37"/>
      <c r="D5986" s="37"/>
      <c r="E5986" s="37"/>
      <c r="F5986" s="37"/>
      <c r="G5986" s="70"/>
    </row>
    <row r="5987" spans="2:7" x14ac:dyDescent="0.25">
      <c r="B5987" s="37"/>
      <c r="C5987" s="37"/>
      <c r="D5987" s="37"/>
      <c r="E5987" s="37"/>
      <c r="F5987" s="37"/>
      <c r="G5987" s="70"/>
    </row>
    <row r="5988" spans="2:7" x14ac:dyDescent="0.25">
      <c r="B5988" s="37"/>
      <c r="C5988" s="37"/>
      <c r="D5988" s="37"/>
      <c r="E5988" s="37"/>
      <c r="F5988" s="37"/>
      <c r="G5988" s="70"/>
    </row>
    <row r="5989" spans="2:7" x14ac:dyDescent="0.25">
      <c r="B5989" s="37"/>
      <c r="C5989" s="37"/>
      <c r="D5989" s="37"/>
      <c r="E5989" s="37"/>
      <c r="F5989" s="37"/>
      <c r="G5989" s="70"/>
    </row>
    <row r="5990" spans="2:7" x14ac:dyDescent="0.25">
      <c r="B5990" s="37"/>
      <c r="C5990" s="37"/>
      <c r="D5990" s="37"/>
      <c r="E5990" s="37"/>
      <c r="F5990" s="37"/>
      <c r="G5990" s="70"/>
    </row>
    <row r="5991" spans="2:7" x14ac:dyDescent="0.25">
      <c r="B5991" s="37"/>
      <c r="C5991" s="37"/>
      <c r="D5991" s="37"/>
      <c r="E5991" s="37"/>
      <c r="F5991" s="37"/>
      <c r="G5991" s="70"/>
    </row>
    <row r="5992" spans="2:7" x14ac:dyDescent="0.25">
      <c r="B5992" s="37"/>
      <c r="C5992" s="37"/>
      <c r="D5992" s="37"/>
      <c r="E5992" s="37"/>
      <c r="F5992" s="37"/>
      <c r="G5992" s="70"/>
    </row>
    <row r="5993" spans="2:7" x14ac:dyDescent="0.25">
      <c r="B5993" s="37"/>
      <c r="C5993" s="37"/>
      <c r="D5993" s="37"/>
      <c r="E5993" s="37"/>
      <c r="F5993" s="37"/>
      <c r="G5993" s="70"/>
    </row>
    <row r="5994" spans="2:7" x14ac:dyDescent="0.25">
      <c r="B5994" s="37"/>
      <c r="C5994" s="37"/>
      <c r="D5994" s="37"/>
      <c r="E5994" s="37"/>
      <c r="F5994" s="37"/>
      <c r="G5994" s="70"/>
    </row>
    <row r="5995" spans="2:7" x14ac:dyDescent="0.25">
      <c r="B5995" s="37"/>
      <c r="C5995" s="37"/>
      <c r="D5995" s="37"/>
      <c r="E5995" s="37"/>
      <c r="F5995" s="37"/>
      <c r="G5995" s="70"/>
    </row>
    <row r="5996" spans="2:7" x14ac:dyDescent="0.25">
      <c r="B5996" s="37"/>
      <c r="C5996" s="37"/>
      <c r="D5996" s="37"/>
      <c r="E5996" s="37"/>
      <c r="F5996" s="37"/>
      <c r="G5996" s="70"/>
    </row>
    <row r="5997" spans="2:7" x14ac:dyDescent="0.25">
      <c r="B5997" s="37"/>
      <c r="C5997" s="37"/>
      <c r="D5997" s="37"/>
      <c r="E5997" s="37"/>
      <c r="F5997" s="37"/>
      <c r="G5997" s="70"/>
    </row>
    <row r="5998" spans="2:7" x14ac:dyDescent="0.25">
      <c r="B5998" s="37"/>
      <c r="C5998" s="37"/>
      <c r="D5998" s="37"/>
      <c r="E5998" s="37"/>
      <c r="F5998" s="37"/>
      <c r="G5998" s="70"/>
    </row>
    <row r="5999" spans="2:7" x14ac:dyDescent="0.25">
      <c r="B5999" s="37"/>
      <c r="C5999" s="37"/>
      <c r="D5999" s="37"/>
      <c r="E5999" s="37"/>
      <c r="F5999" s="37"/>
      <c r="G5999" s="70"/>
    </row>
    <row r="6000" spans="2:7" x14ac:dyDescent="0.25">
      <c r="B6000" s="37"/>
      <c r="C6000" s="37"/>
      <c r="D6000" s="37"/>
      <c r="E6000" s="37"/>
      <c r="F6000" s="37"/>
      <c r="G6000" s="70"/>
    </row>
    <row r="6001" spans="2:7" x14ac:dyDescent="0.25">
      <c r="B6001" s="37"/>
      <c r="C6001" s="37"/>
      <c r="D6001" s="37"/>
      <c r="E6001" s="37"/>
      <c r="F6001" s="37"/>
      <c r="G6001" s="70"/>
    </row>
    <row r="6002" spans="2:7" x14ac:dyDescent="0.25">
      <c r="B6002" s="37"/>
      <c r="C6002" s="37"/>
      <c r="D6002" s="37"/>
      <c r="E6002" s="37"/>
      <c r="F6002" s="37"/>
      <c r="G6002" s="70"/>
    </row>
    <row r="6003" spans="2:7" x14ac:dyDescent="0.25">
      <c r="B6003" s="37"/>
      <c r="C6003" s="37"/>
      <c r="D6003" s="37"/>
      <c r="E6003" s="37"/>
      <c r="F6003" s="37"/>
      <c r="G6003" s="70"/>
    </row>
    <row r="6004" spans="2:7" x14ac:dyDescent="0.25">
      <c r="B6004" s="37"/>
      <c r="C6004" s="37"/>
      <c r="D6004" s="37"/>
      <c r="E6004" s="37"/>
      <c r="F6004" s="37"/>
      <c r="G6004" s="70"/>
    </row>
    <row r="6005" spans="2:7" x14ac:dyDescent="0.25">
      <c r="B6005" s="37"/>
      <c r="C6005" s="37"/>
      <c r="D6005" s="37"/>
      <c r="E6005" s="37"/>
      <c r="F6005" s="37"/>
      <c r="G6005" s="70"/>
    </row>
    <row r="6006" spans="2:7" x14ac:dyDescent="0.25">
      <c r="B6006" s="37"/>
      <c r="C6006" s="37"/>
      <c r="D6006" s="37"/>
      <c r="E6006" s="37"/>
      <c r="F6006" s="37"/>
      <c r="G6006" s="70"/>
    </row>
    <row r="6007" spans="2:7" x14ac:dyDescent="0.25">
      <c r="B6007" s="37"/>
      <c r="C6007" s="37"/>
      <c r="D6007" s="37"/>
      <c r="E6007" s="37"/>
      <c r="F6007" s="37"/>
      <c r="G6007" s="70"/>
    </row>
    <row r="6008" spans="2:7" x14ac:dyDescent="0.25">
      <c r="B6008" s="37"/>
      <c r="C6008" s="37"/>
      <c r="D6008" s="37"/>
      <c r="E6008" s="37"/>
      <c r="F6008" s="37"/>
      <c r="G6008" s="70"/>
    </row>
    <row r="6009" spans="2:7" x14ac:dyDescent="0.25">
      <c r="B6009" s="37"/>
      <c r="C6009" s="37"/>
      <c r="D6009" s="37"/>
      <c r="E6009" s="37"/>
      <c r="F6009" s="37"/>
      <c r="G6009" s="70"/>
    </row>
    <row r="6010" spans="2:7" x14ac:dyDescent="0.25">
      <c r="B6010" s="37"/>
      <c r="C6010" s="37"/>
      <c r="D6010" s="37"/>
      <c r="E6010" s="37"/>
      <c r="F6010" s="37"/>
      <c r="G6010" s="70"/>
    </row>
    <row r="6011" spans="2:7" x14ac:dyDescent="0.25">
      <c r="B6011" s="37"/>
      <c r="C6011" s="37"/>
      <c r="D6011" s="37"/>
      <c r="E6011" s="37"/>
      <c r="F6011" s="37"/>
      <c r="G6011" s="70"/>
    </row>
    <row r="6012" spans="2:7" x14ac:dyDescent="0.25">
      <c r="B6012" s="37"/>
      <c r="C6012" s="37"/>
      <c r="D6012" s="37"/>
      <c r="E6012" s="37"/>
      <c r="F6012" s="37"/>
      <c r="G6012" s="70"/>
    </row>
    <row r="6013" spans="2:7" x14ac:dyDescent="0.25">
      <c r="B6013" s="37"/>
      <c r="C6013" s="37"/>
      <c r="D6013" s="37"/>
      <c r="E6013" s="37"/>
      <c r="F6013" s="37"/>
      <c r="G6013" s="70"/>
    </row>
    <row r="6014" spans="2:7" x14ac:dyDescent="0.25">
      <c r="B6014" s="37"/>
      <c r="C6014" s="37"/>
      <c r="D6014" s="37"/>
      <c r="E6014" s="37"/>
      <c r="F6014" s="37"/>
      <c r="G6014" s="70"/>
    </row>
    <row r="6015" spans="2:7" x14ac:dyDescent="0.25">
      <c r="B6015" s="37"/>
      <c r="C6015" s="37"/>
      <c r="D6015" s="37"/>
      <c r="E6015" s="37"/>
      <c r="F6015" s="37"/>
      <c r="G6015" s="70"/>
    </row>
    <row r="6016" spans="2:7" x14ac:dyDescent="0.25">
      <c r="B6016" s="37"/>
      <c r="C6016" s="37"/>
      <c r="D6016" s="37"/>
      <c r="E6016" s="37"/>
      <c r="F6016" s="37"/>
      <c r="G6016" s="70"/>
    </row>
    <row r="6017" spans="2:7" x14ac:dyDescent="0.25">
      <c r="B6017" s="37"/>
      <c r="C6017" s="37"/>
      <c r="D6017" s="37"/>
      <c r="E6017" s="37"/>
      <c r="F6017" s="37"/>
      <c r="G6017" s="70"/>
    </row>
    <row r="6018" spans="2:7" x14ac:dyDescent="0.25">
      <c r="B6018" s="37"/>
      <c r="C6018" s="37"/>
      <c r="D6018" s="37"/>
      <c r="E6018" s="37"/>
      <c r="F6018" s="37"/>
      <c r="G6018" s="70"/>
    </row>
    <row r="6019" spans="2:7" x14ac:dyDescent="0.25">
      <c r="B6019" s="37"/>
      <c r="C6019" s="37"/>
      <c r="D6019" s="37"/>
      <c r="E6019" s="37"/>
      <c r="F6019" s="37"/>
      <c r="G6019" s="70"/>
    </row>
    <row r="6020" spans="2:7" x14ac:dyDescent="0.25">
      <c r="B6020" s="37"/>
      <c r="C6020" s="37"/>
      <c r="D6020" s="37"/>
      <c r="E6020" s="37"/>
      <c r="F6020" s="37"/>
      <c r="G6020" s="70"/>
    </row>
    <row r="6021" spans="2:7" x14ac:dyDescent="0.25">
      <c r="B6021" s="37"/>
      <c r="C6021" s="37"/>
      <c r="D6021" s="37"/>
      <c r="E6021" s="37"/>
      <c r="F6021" s="37"/>
      <c r="G6021" s="70"/>
    </row>
    <row r="6022" spans="2:7" x14ac:dyDescent="0.25">
      <c r="B6022" s="37"/>
      <c r="C6022" s="37"/>
      <c r="D6022" s="37"/>
      <c r="E6022" s="37"/>
      <c r="F6022" s="37"/>
      <c r="G6022" s="70"/>
    </row>
    <row r="6023" spans="2:7" x14ac:dyDescent="0.25">
      <c r="B6023" s="37"/>
      <c r="C6023" s="37"/>
      <c r="D6023" s="37"/>
      <c r="E6023" s="37"/>
      <c r="F6023" s="37"/>
      <c r="G6023" s="70"/>
    </row>
    <row r="6024" spans="2:7" x14ac:dyDescent="0.25">
      <c r="B6024" s="37"/>
      <c r="C6024" s="37"/>
      <c r="D6024" s="37"/>
      <c r="E6024" s="37"/>
      <c r="F6024" s="37"/>
      <c r="G6024" s="70"/>
    </row>
    <row r="6025" spans="2:7" x14ac:dyDescent="0.25">
      <c r="B6025" s="37"/>
      <c r="C6025" s="37"/>
      <c r="D6025" s="37"/>
      <c r="E6025" s="37"/>
      <c r="F6025" s="37"/>
      <c r="G6025" s="70"/>
    </row>
    <row r="6026" spans="2:7" x14ac:dyDescent="0.25">
      <c r="B6026" s="37"/>
      <c r="C6026" s="37"/>
      <c r="D6026" s="37"/>
      <c r="E6026" s="37"/>
      <c r="F6026" s="37"/>
      <c r="G6026" s="70"/>
    </row>
    <row r="6027" spans="2:7" x14ac:dyDescent="0.25">
      <c r="B6027" s="37"/>
      <c r="C6027" s="37"/>
      <c r="D6027" s="37"/>
      <c r="E6027" s="37"/>
      <c r="F6027" s="37"/>
      <c r="G6027" s="70"/>
    </row>
    <row r="6028" spans="2:7" x14ac:dyDescent="0.25">
      <c r="B6028" s="37"/>
      <c r="C6028" s="37"/>
      <c r="D6028" s="37"/>
      <c r="E6028" s="37"/>
      <c r="F6028" s="37"/>
      <c r="G6028" s="70"/>
    </row>
    <row r="6029" spans="2:7" x14ac:dyDescent="0.25">
      <c r="B6029" s="37"/>
      <c r="C6029" s="37"/>
      <c r="D6029" s="37"/>
      <c r="E6029" s="37"/>
      <c r="F6029" s="37"/>
      <c r="G6029" s="70"/>
    </row>
    <row r="6030" spans="2:7" x14ac:dyDescent="0.25">
      <c r="B6030" s="37"/>
      <c r="C6030" s="37"/>
      <c r="D6030" s="37"/>
      <c r="E6030" s="37"/>
      <c r="F6030" s="37"/>
      <c r="G6030" s="70"/>
    </row>
    <row r="6031" spans="2:7" x14ac:dyDescent="0.25">
      <c r="B6031" s="37"/>
      <c r="C6031" s="37"/>
      <c r="D6031" s="37"/>
      <c r="E6031" s="37"/>
      <c r="F6031" s="37"/>
      <c r="G6031" s="70"/>
    </row>
    <row r="6032" spans="2:7" x14ac:dyDescent="0.25">
      <c r="B6032" s="37"/>
      <c r="C6032" s="37"/>
      <c r="D6032" s="37"/>
      <c r="E6032" s="37"/>
      <c r="F6032" s="37"/>
      <c r="G6032" s="70"/>
    </row>
    <row r="6033" spans="2:7" x14ac:dyDescent="0.25">
      <c r="B6033" s="37"/>
      <c r="C6033" s="37"/>
      <c r="D6033" s="37"/>
      <c r="E6033" s="37"/>
      <c r="F6033" s="37"/>
      <c r="G6033" s="70"/>
    </row>
    <row r="6034" spans="2:7" x14ac:dyDescent="0.25">
      <c r="B6034" s="37"/>
      <c r="C6034" s="37"/>
      <c r="D6034" s="37"/>
      <c r="E6034" s="37"/>
      <c r="F6034" s="37"/>
      <c r="G6034" s="70"/>
    </row>
    <row r="6035" spans="2:7" x14ac:dyDescent="0.25">
      <c r="B6035" s="37"/>
      <c r="C6035" s="37"/>
      <c r="D6035" s="37"/>
      <c r="E6035" s="37"/>
      <c r="F6035" s="37"/>
      <c r="G6035" s="70"/>
    </row>
    <row r="6036" spans="2:7" x14ac:dyDescent="0.25">
      <c r="B6036" s="37"/>
      <c r="C6036" s="37"/>
      <c r="D6036" s="37"/>
      <c r="E6036" s="37"/>
      <c r="F6036" s="37"/>
      <c r="G6036" s="70"/>
    </row>
    <row r="6037" spans="2:7" x14ac:dyDescent="0.25">
      <c r="B6037" s="37"/>
      <c r="C6037" s="37"/>
      <c r="D6037" s="37"/>
      <c r="E6037" s="37"/>
      <c r="F6037" s="37"/>
      <c r="G6037" s="70"/>
    </row>
    <row r="6038" spans="2:7" x14ac:dyDescent="0.25">
      <c r="B6038" s="37"/>
      <c r="C6038" s="37"/>
      <c r="D6038" s="37"/>
      <c r="E6038" s="37"/>
      <c r="F6038" s="37"/>
      <c r="G6038" s="70"/>
    </row>
    <row r="6039" spans="2:7" x14ac:dyDescent="0.25">
      <c r="B6039" s="37"/>
      <c r="C6039" s="37"/>
      <c r="D6039" s="37"/>
      <c r="E6039" s="37"/>
      <c r="F6039" s="37"/>
      <c r="G6039" s="70"/>
    </row>
    <row r="6040" spans="2:7" x14ac:dyDescent="0.25">
      <c r="B6040" s="37"/>
      <c r="C6040" s="37"/>
      <c r="D6040" s="37"/>
      <c r="E6040" s="37"/>
      <c r="F6040" s="37"/>
      <c r="G6040" s="70"/>
    </row>
    <row r="6041" spans="2:7" x14ac:dyDescent="0.25">
      <c r="B6041" s="37"/>
      <c r="C6041" s="37"/>
      <c r="D6041" s="37"/>
      <c r="E6041" s="37"/>
      <c r="F6041" s="37"/>
      <c r="G6041" s="70"/>
    </row>
    <row r="6042" spans="2:7" x14ac:dyDescent="0.25">
      <c r="B6042" s="37"/>
      <c r="C6042" s="37"/>
      <c r="D6042" s="37"/>
      <c r="E6042" s="37"/>
      <c r="F6042" s="37"/>
      <c r="G6042" s="70"/>
    </row>
    <row r="6043" spans="2:7" x14ac:dyDescent="0.25">
      <c r="B6043" s="37"/>
      <c r="C6043" s="37"/>
      <c r="D6043" s="37"/>
      <c r="E6043" s="37"/>
      <c r="F6043" s="37"/>
      <c r="G6043" s="70"/>
    </row>
    <row r="6044" spans="2:7" x14ac:dyDescent="0.25">
      <c r="B6044" s="37"/>
      <c r="C6044" s="37"/>
      <c r="D6044" s="37"/>
      <c r="E6044" s="37"/>
      <c r="F6044" s="37"/>
      <c r="G6044" s="70"/>
    </row>
    <row r="6045" spans="2:7" x14ac:dyDescent="0.25">
      <c r="B6045" s="37"/>
      <c r="C6045" s="37"/>
      <c r="D6045" s="37"/>
      <c r="E6045" s="37"/>
      <c r="F6045" s="37"/>
      <c r="G6045" s="70"/>
    </row>
    <row r="6046" spans="2:7" x14ac:dyDescent="0.25">
      <c r="B6046" s="37"/>
      <c r="C6046" s="37"/>
      <c r="D6046" s="37"/>
      <c r="E6046" s="37"/>
      <c r="F6046" s="37"/>
      <c r="G6046" s="70"/>
    </row>
    <row r="6047" spans="2:7" x14ac:dyDescent="0.25">
      <c r="B6047" s="37"/>
      <c r="C6047" s="37"/>
      <c r="D6047" s="37"/>
      <c r="E6047" s="37"/>
      <c r="F6047" s="37"/>
      <c r="G6047" s="70"/>
    </row>
    <row r="6048" spans="2:7" x14ac:dyDescent="0.25">
      <c r="B6048" s="37"/>
      <c r="C6048" s="37"/>
      <c r="D6048" s="37"/>
      <c r="E6048" s="37"/>
      <c r="F6048" s="37"/>
      <c r="G6048" s="70"/>
    </row>
    <row r="6049" spans="2:7" x14ac:dyDescent="0.25">
      <c r="B6049" s="37"/>
      <c r="C6049" s="37"/>
      <c r="D6049" s="37"/>
      <c r="E6049" s="37"/>
      <c r="F6049" s="37"/>
      <c r="G6049" s="70"/>
    </row>
    <row r="6050" spans="2:7" x14ac:dyDescent="0.25">
      <c r="B6050" s="37"/>
      <c r="C6050" s="37"/>
      <c r="D6050" s="37"/>
      <c r="E6050" s="37"/>
      <c r="F6050" s="37"/>
      <c r="G6050" s="70"/>
    </row>
    <row r="6051" spans="2:7" x14ac:dyDescent="0.25">
      <c r="B6051" s="37"/>
      <c r="C6051" s="37"/>
      <c r="D6051" s="37"/>
      <c r="E6051" s="37"/>
      <c r="F6051" s="37"/>
      <c r="G6051" s="70"/>
    </row>
    <row r="6052" spans="2:7" x14ac:dyDescent="0.25">
      <c r="B6052" s="37"/>
      <c r="C6052" s="37"/>
      <c r="D6052" s="37"/>
      <c r="E6052" s="37"/>
      <c r="F6052" s="37"/>
      <c r="G6052" s="70"/>
    </row>
    <row r="6053" spans="2:7" x14ac:dyDescent="0.25">
      <c r="B6053" s="37"/>
      <c r="C6053" s="37"/>
      <c r="D6053" s="37"/>
      <c r="E6053" s="37"/>
      <c r="F6053" s="37"/>
      <c r="G6053" s="70"/>
    </row>
    <row r="6054" spans="2:7" x14ac:dyDescent="0.25">
      <c r="B6054" s="37"/>
      <c r="C6054" s="37"/>
      <c r="D6054" s="37"/>
      <c r="E6054" s="37"/>
      <c r="F6054" s="37"/>
      <c r="G6054" s="70"/>
    </row>
    <row r="6055" spans="2:7" x14ac:dyDescent="0.25">
      <c r="B6055" s="37"/>
      <c r="C6055" s="37"/>
      <c r="D6055" s="37"/>
      <c r="E6055" s="37"/>
      <c r="F6055" s="37"/>
      <c r="G6055" s="70"/>
    </row>
  </sheetData>
  <autoFilter ref="B1:G10" xr:uid="{00000000-0009-0000-0000-000003000000}"/>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7BC62"/>
    <pageSetUpPr fitToPage="1"/>
  </sheetPr>
  <dimension ref="B2:G7"/>
  <sheetViews>
    <sheetView showGridLines="0" zoomScaleNormal="100" workbookViewId="0">
      <selection activeCell="D14" sqref="D14"/>
    </sheetView>
  </sheetViews>
  <sheetFormatPr defaultColWidth="8.5703125" defaultRowHeight="15" x14ac:dyDescent="0.25"/>
  <cols>
    <col min="1" max="1" width="2.42578125" customWidth="1"/>
    <col min="2" max="2" width="24" customWidth="1"/>
    <col min="3" max="7" width="16" customWidth="1"/>
  </cols>
  <sheetData>
    <row r="2" spans="2:7" ht="23.25" customHeight="1" x14ac:dyDescent="0.35">
      <c r="B2" s="94" t="s">
        <v>1150</v>
      </c>
      <c r="C2" s="90"/>
      <c r="D2" s="90"/>
      <c r="E2" s="90"/>
      <c r="F2" s="90"/>
      <c r="G2" s="90"/>
    </row>
    <row r="3" spans="2:7" x14ac:dyDescent="0.25">
      <c r="B3" s="93" t="s">
        <v>1151</v>
      </c>
      <c r="C3" s="90"/>
      <c r="D3" s="90"/>
      <c r="E3" s="90"/>
      <c r="F3" s="90"/>
      <c r="G3" s="90"/>
    </row>
    <row r="5" spans="2:7" ht="30" customHeight="1" x14ac:dyDescent="0.25">
      <c r="B5" s="5" t="s">
        <v>1152</v>
      </c>
      <c r="C5" s="5" t="s">
        <v>1153</v>
      </c>
      <c r="D5" s="5" t="s">
        <v>1149</v>
      </c>
      <c r="E5" s="5" t="s">
        <v>1154</v>
      </c>
      <c r="F5" s="5" t="s">
        <v>1155</v>
      </c>
      <c r="G5" s="5" t="s">
        <v>1156</v>
      </c>
    </row>
    <row r="6" spans="2:7" x14ac:dyDescent="0.25">
      <c r="B6" s="6" t="s">
        <v>1157</v>
      </c>
      <c r="C6" s="7">
        <f>COUNTA(CROP!C2:C22)</f>
        <v>19</v>
      </c>
      <c r="D6" s="7">
        <f>COUNTIF(CROP!S2:S22,"Ready to Certify")</f>
        <v>0</v>
      </c>
      <c r="E6" s="7">
        <f>COUNTIF(CROP!S2:S22,"Needs Review")</f>
        <v>0</v>
      </c>
      <c r="F6" s="7">
        <f>COUNTIF(CROP!S2:S22,"Needs Update")</f>
        <v>0</v>
      </c>
      <c r="G6" s="7">
        <f>COUNTIF(CROP!R2:R22,"High")</f>
        <v>0</v>
      </c>
    </row>
    <row r="7" spans="2:7" x14ac:dyDescent="0.25">
      <c r="B7" s="8" t="s">
        <v>1158</v>
      </c>
      <c r="C7" s="9">
        <f>SUM(C6:C6)</f>
        <v>19</v>
      </c>
      <c r="D7" s="9">
        <f>SUM(D6:D6)</f>
        <v>0</v>
      </c>
      <c r="E7" s="9">
        <f>SUM(E6:E6)</f>
        <v>0</v>
      </c>
      <c r="F7" s="9">
        <f>SUM(F6:F6)</f>
        <v>0</v>
      </c>
      <c r="G7" s="9">
        <f>SUM(G6:G6)</f>
        <v>0</v>
      </c>
    </row>
  </sheetData>
  <mergeCells count="2">
    <mergeCell ref="B3:G3"/>
    <mergeCell ref="B2:G2"/>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Instructions</vt:lpstr>
      <vt:lpstr>CROP</vt:lpstr>
      <vt:lpstr>Sorghum</vt:lpstr>
      <vt:lpstr>Potato</vt:lpstr>
      <vt:lpstr>Millet</vt:lpstr>
      <vt:lpstr>Maize</vt:lpstr>
      <vt:lpstr>Cassava</vt:lpstr>
      <vt:lpstr>AIVs</vt:lpstr>
      <vt:lpstr>Green Gram</vt:lpstr>
      <vt:lpstr>BEAN</vt:lpstr>
      <vt:lpstr>Summary</vt:lpstr>
      <vt:lpstr>BEAN!Print_Area</vt:lpstr>
      <vt:lpstr>CROP!Print_Area</vt:lpstr>
      <vt:lpstr>'Green Gram'!Print_Area</vt:lpstr>
      <vt:lpstr>Instructions!Print_Area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Nelson Kamau</cp:lastModifiedBy>
  <cp:revision>0</cp:revision>
  <dcterms:created xsi:type="dcterms:W3CDTF">2026-08-17T07:16:54Z</dcterms:created>
  <dcterms:modified xsi:type="dcterms:W3CDTF">2026-10-17T09:39:51Z</dcterms:modified>
  <dc:language>en-US</dc:language>
</cp:coreProperties>
</file>