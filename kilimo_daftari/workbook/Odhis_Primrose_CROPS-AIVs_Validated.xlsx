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ROP" sheetId="2" r:id="rId5"/>
    <sheet state="visible" name="AIVs" sheetId="3" r:id="rId6"/>
    <sheet state="visible" name="Summary" sheetId="4" r:id="rId7"/>
  </sheets>
  <definedNames>
    <definedName hidden="1" localSheetId="1" name="_xlnm._FilterDatabase">CROP!$B$1:$T$5</definedName>
    <definedName hidden="1" localSheetId="2" name="_xlnm._FilterDatabase">AIVs!$B$1:$G$10</definedName>
  </definedNames>
  <calcPr/>
  <extLst>
    <ext uri="GoogleSheetsCustomDataVersion2">
      <go:sheetsCustomData xmlns:go="http://customooxmlschemas.google.com/" r:id="rId8" roundtripDataChecksum="Sc+jTb3qfoaIv691bz5FOH9Ip359M1fIqedmcY/F44g="/>
    </ext>
  </extLst>
</workbook>
</file>

<file path=xl/sharedStrings.xml><?xml version="1.0" encoding="utf-8"?>
<sst xmlns="http://schemas.openxmlformats.org/spreadsheetml/2006/main" count="2725" uniqueCount="1157">
  <si>
    <t>Screen &amp; Classify — Working Template</t>
  </si>
  <si>
    <t>Check scientific accuracy &amp; currency; sort by crop, topic and content type</t>
  </si>
  <si>
    <t>Purpose</t>
  </si>
  <si>
    <t>•  This is the working template for the Screen &amp; Classify step: checking each inventoried item's scientific accuracy and currency, then sorting/classifying it by crop, topic and content type.</t>
  </si>
  <si>
    <t>•  It follows on from the Content Inventory template — every item sourced there gets screened here before it is certified for the Kenya Advisory Knowledge Hub.</t>
  </si>
  <si>
    <t>How to Use This Workbook</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</si>
  <si>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</si>
  <si>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</si>
  <si>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</si>
  <si>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  Gold-shaded cells are yours to complete. The ID column auto-numbers itself.</t>
  </si>
  <si>
    <t>•  Use the filter arrows on the header row to sort or filter by Value Chain/Commodity, Advisory Domain/Topic, or Content Type.</t>
  </si>
  <si>
    <t>Screening Checks</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</si>
  <si>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</si>
  <si>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</si>
  <si>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  Validation Status — source_validated (validated by the originating institution), expert_reviewed (independently reviewed), pending_validation, or not_validated.</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</si>
  <si>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</si>
  <si>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</si>
  <si>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Content Title</t>
  </si>
  <si>
    <t>Title of the source publication/brochure/guide.</t>
  </si>
  <si>
    <t>Publication ID / Source Link</t>
  </si>
  <si>
    <t>Unique publication ID and/or URL where the source can be found.</t>
  </si>
  <si>
    <t>Institution &amp; Author(s)</t>
  </si>
  <si>
    <t>Originating institution and named author(s).</t>
  </si>
  <si>
    <t>Publish Date</t>
  </si>
  <si>
    <t>Date the source was published.</t>
  </si>
  <si>
    <t>Value Chain / Commodity</t>
  </si>
  <si>
    <t>Crop, livestock species, fish species or theme this item addresses.</t>
  </si>
  <si>
    <t>Advisory Domain / Topic</t>
  </si>
  <si>
    <t>The specific advisory topics covered (e.g. calving management, tick control).</t>
  </si>
  <si>
    <t>Content Type</t>
  </si>
  <si>
    <t>Production guide, protocol/SOP, factsheet, advisory bulletin, brochure, training manual, poster/infographic, video.</t>
  </si>
  <si>
    <t>Format</t>
  </si>
  <si>
    <t>The medium the content exists in (PDF, text, video, etc.).</t>
  </si>
  <si>
    <t>Production System</t>
  </si>
  <si>
    <t>Farming/production system the content applies to (e.g. pastoral, smallholder mixed farming).</t>
  </si>
  <si>
    <t>Target Users</t>
  </si>
  <si>
    <t>Who the advisory is written for (farmers, extension officers, CAHWs, etc.).</t>
  </si>
  <si>
    <t>Country / AEZ</t>
  </si>
  <si>
    <t>Geographic and agro-ecological applicability.</t>
  </si>
  <si>
    <t>Last Reviewed (Currency Check)</t>
  </si>
  <si>
    <t>Date the content was last checked for scientific currency.</t>
  </si>
  <si>
    <t>Currency Status</t>
  </si>
  <si>
    <t>Result of the currency check — see Screening Checks above.</t>
  </si>
  <si>
    <t>Scientific Accuracy Check</t>
  </si>
  <si>
    <t>Result of the accuracy check — see Screening Checks above.</t>
  </si>
  <si>
    <t>Validation Status</t>
  </si>
  <si>
    <t>Who has validated the content and to what degree.</t>
  </si>
  <si>
    <t>Risk Level</t>
  </si>
  <si>
    <t>Low / Medium / High — potential harm if the advisory is wrong or misapplied.</t>
  </si>
  <si>
    <t>Quality Flag</t>
  </si>
  <si>
    <t>Ready to Certify, Needs Review, Needs Update, Duplicate, or Reject.</t>
  </si>
  <si>
    <t>Screening Notes / Escalation Guidance</t>
  </si>
  <si>
    <t>Reviewer notes, open questions, and who to escalate high-risk items to.</t>
  </si>
  <si>
    <t>Legend</t>
  </si>
  <si>
    <t>Fill this in</t>
  </si>
  <si>
    <t>Gold-shaded cells — enter your screening data here.</t>
  </si>
  <si>
    <t>Example row</t>
  </si>
  <si>
    <t>Worked example — reference only, do not edit.</t>
  </si>
  <si>
    <t>ID</t>
  </si>
  <si>
    <t>Last Reviewed
(Currency Check)</t>
  </si>
  <si>
    <t>AIV1</t>
  </si>
  <si>
    <t>African Indigenous Vegetables (AIVs) Volume I-(Pumpkins and Spiderplant)</t>
  </si>
  <si>
    <t>https://navcdp.kalro.org/docs/kcsap/AIV%20Volume%20I.pdf</t>
  </si>
  <si>
    <t>KALRO Katumani/Ndinya et al. (2022)</t>
  </si>
  <si>
    <t>African Indigenous Vegetables (AIVs)</t>
  </si>
  <si>
    <t>Other</t>
  </si>
  <si>
    <t>PDF</t>
  </si>
  <si>
    <t>AIV2</t>
  </si>
  <si>
    <t>African Indigenous Vegetables (AIVs) Volume II-(Cowpea and Amaranth)</t>
  </si>
  <si>
    <t>https://navcdp.kalro.org/docs/kcsap/AIV%20Volume%202.pdf</t>
  </si>
  <si>
    <t>AIV3</t>
  </si>
  <si>
    <t>African Indigenous Vegetables (AIVs) Volume III-(Nightshade, Jute Mallow and Slendar)</t>
  </si>
  <si>
    <t>https://navcdp.kalro.org/docs/AIV%20Volume%203.pdf</t>
  </si>
  <si>
    <t>#</t>
  </si>
  <si>
    <t>Section Header</t>
  </si>
  <si>
    <t>Content Summary</t>
  </si>
  <si>
    <t>Pages</t>
  </si>
  <si>
    <t>Content Warnings</t>
  </si>
  <si>
    <t>Content Tags</t>
  </si>
  <si>
    <t>Status</t>
  </si>
  <si>
    <t>Elgon Cream Pumpkin Variety</t>
  </si>
  <si>
    <t>Elgon cream is an improved open pollinated dual purpose variety. It is high yielding (50-75MT/ha) because produces more female flowers (flowers that bear fruits) than male flowers. Its fruits are smooth textured (non-fibrous) with sugary taste and a long shelf life. This variety is tolerant to diseases and performs well in altitudes of 100-1800 meters above sea level. Maturity period is between 100-150 days after planting. Average leaf yield is 5 -9 MT/ha.</t>
  </si>
  <si>
    <t>Verify altitude suitability (100-1800 m asl) before planting, Disease tolerance does not eliminate the need for regular monitoring, Female to male flower ratio (70:30) may be affected by environmental stress, Long maturity period requires proper planning before planting, Get certified seeds from approved sources/suppliers.</t>
  </si>
  <si>
    <t>high yielding, open pollinated, disease tolerance, long shelf life, sugary taste, dual purpose</t>
  </si>
  <si>
    <t>Validated</t>
  </si>
  <si>
    <t>KAT Pumpkin 1</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</si>
  <si>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1 is high in dietary fibre, and protein and low in calories. Other qualities are drought tolerance, fast growth making it a food security crop. It requires minimal inputs, has a yield potential of 30 t/ha-1.</t>
  </si>
  <si>
    <t>Extended vine growth requires adequate spacing and land area, Drought tolerance does not eliminate need for irrigation during extreme dry spells, Nutritional content varies with soil fertility and agronomic practices, Requires official release and seed availability confirmation</t>
  </si>
  <si>
    <t>drought tolerant, high nutrition, minimal inputs, food security, medium maturing, ovoid fruit</t>
  </si>
  <si>
    <t>KAT Pumpkin 2</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</si>
  <si>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2 is high in dietary fibre, and protein and low in calories. Other qualities are drought tolerance, fast growth making it a food security crop. It requires minimal inputs, has a yield potential of 30 t/ha-1.</t>
  </si>
  <si>
    <t>Formal Pumpkin Seed System</t>
  </si>
  <si>
    <t>A Seed System is a set of activities contributing to variety development and seed production and delivery to farmers. The formal Pumpkin Seed System is characterized by a well-regulated and organized set of activities, from breeding to delivering certified seeds of known and registered varieties to farmers and other stakeholders. It ensures continuous production, processing, supply and distribution of quality Pumpkin seeds to farmers through organized marketing channels.</t>
  </si>
  <si>
    <t>Certified seeds may be more expensive than informal sources, Verify seed authenticity through KEPHIS certification labels, Formal Seed Systems may have limited variety options, Plan seed purchases in advance of planting seasons</t>
  </si>
  <si>
    <t>certified seeds, quality assurance, KEPHIS, breeding, seed distribution, marketing channels</t>
  </si>
  <si>
    <t>Informal Pumpkin Seed System</t>
  </si>
  <si>
    <t>A Seed System is a set of activities contributing to variety development and seed production and delivery to farmers. The informal Pumpkin Seed System entails seed selection, treatment, storage, multiplication, and distribution. The informal Pumpkin Seed System is outside the control of government agencies, with no external seed quality control. This system includes farmer-saved seed, gifts, barter, exchange and seed purchasing from local markets.</t>
  </si>
  <si>
    <t>No quality assurance for seed health, purity and viability, Higher risk of seed-borne diseases and pests, Lack of traceability for variety authenticity</t>
  </si>
  <si>
    <t>farmer-saved seed, seed exchange, local markets, seed selection, seed health, seed viability, informal system</t>
  </si>
  <si>
    <t>Semi-Informal Pumpkin seed production system</t>
  </si>
  <si>
    <t>A Seed System is a set of activities contributing to variety development and seed production and delivery to farmers. The semi-formal Seed System (termed community-based) is at the interface of formal and informal Seed Systems. A community-based seed production system involves individual farmers, farmer groups or cooperatives producing quality seed of improved varieties for farmers using the formal seed production guidelines.</t>
  </si>
  <si>
    <t>Requires training and capacity building for quality seed production, Community-based systems need strong group governance, Quality standards are less stringent than formal certified seed, Market acceptance may vary for community-produced seed</t>
  </si>
  <si>
    <t>community-based, seed production, farmer groups, quality guidelines, variety testing, semi-formal system, interface</t>
  </si>
  <si>
    <t>Selection of a suitable Pumpkin variety, Seed acquisition or Own Seed Selection, Planting, Weeding, Thinning, Fertilizer Application, Pest and Disease Management and Harvesting.</t>
  </si>
  <si>
    <t>Select adapted varieties such as Elgon Cream or drought-tolerant KAT Pumpkin 1 suited to local agro-ecological zones. Acquire certified seed from accredited sources to avoid seed-borne viruses like CMV, or select seed from healthy, fully mature fruit. Plant 2–3 seeds per hill at 2 cm depth with 2×2 m spacing for Elgon Cream, or 5×3 m for larger varieties. Thin to 2–3 vigorous seedlings per hill after emergence. Apply well-decomposed manure before planting, then top-dress with CAN at 50 kg N/ha three weeks after emergence, splitting a second dose at flowering</t>
  </si>
  <si>
    <t>Choosing the right variety must be guided by agroecological zone suitability for optimal performance and intended use (fruits or leaves or both), Rain-fed planting timing must align with reliable rainfall patterns, Soil must be deep and of fine tilth before planting. Fertilizer application must follow expert recommendations</t>
  </si>
  <si>
    <t>variety selection, certified seed, planting, land preparation, rain-fed farming,</t>
  </si>
  <si>
    <t>Mobile soil testing services (Pumpkin)</t>
  </si>
  <si>
    <t>Mobile van mounted with the necessary soil testing equipment for rapid and on the spot soil testing services.</t>
  </si>
  <si>
    <t>Soil testing equipment requires regular calibration for accuracy, Samples must be collected properly to represent the field, Rapid testing may provide limited nutrient analysis compared to lab testing, Results should be interpreted with expert guidance</t>
  </si>
  <si>
    <t>mobile testing, soil analysis, rapid results, farm gate service, nutrient assessment, soil fertility</t>
  </si>
  <si>
    <t>Integrated Soil Fertility management (ISFM) for Pumpkins</t>
  </si>
  <si>
    <t>This is a set of soil fertility management practices that include the use of inorganic fertilizer, organic inputs and improved germplasm combined with the knowledge on how to adapt these practices to local conditions with an aim of maximizing the agronomic use efficiency of the applied nutrients and improving crop yields.</t>
  </si>
  <si>
    <t>Requires soil testing to determine specific nutrient needs, Avoid over-application of inorganic fertilizers to prevent environmental pollution, Organic inputs need proper composting before application, Site-specific adaptation is critical for success</t>
  </si>
  <si>
    <t>soil fertility, inorganic fertilizer, organic inputs, improved germplasm, nutrient efficiency, crop yields</t>
  </si>
  <si>
    <t>Integrated Manure Management (IMM) (Pumpkin)</t>
  </si>
  <si>
    <t>Integrated Manure Management (IMM) is the optimal, site-specific handling of livestock manure from collection, through treatment and storage up to application to crops. Manure is obtained from different animals (poultry, cow, sheep, goat, horse) on the farm, but it can also be bought from other farmers or at the market. When managed properly, it provides plant nutrients, builds soil organic matter, and improves soil physical properties all of which are important for soil quality and crop production.</t>
  </si>
  <si>
    <t>Improperly composted manure may contain pathogens and viable weed seeds, Fresh manure can burn plant roots if applied directly, Manure quality varies by animal type, health and feed, GHG emissions can occur if manure is not properly managed</t>
  </si>
  <si>
    <t>manure management, soil organic matter, nutrient cycling, composting, soil health, crop production</t>
  </si>
  <si>
    <t>Rain water Roof water catchment (Pumpkin)</t>
  </si>
  <si>
    <t>Rain water harvesting is a technique of collection and storage of rainwater into natural reservoirs or tanks, or the infiltration of surface water into subsurface aquifers (before it is lost as surface run off). A vast number of techniques allow flexibility and adaptability to site-specific situations to best fight water scarcity and make agricultural production more resilient. Examples of rainwater harvesting are rooftop harvesting and harvesting through earth dams.</t>
  </si>
  <si>
    <t>Requires regular maintenance of gutters and storage systems, Mosquito breeding can occur in uncovered water storage, Initial investment costs may be high for some households, Water quality may be affected by roof materials and debris</t>
  </si>
  <si>
    <t>water harvesting, rainwater collection, storage tanks, irrigation, water scarcity, climate resilience</t>
  </si>
  <si>
    <t>Mulching (Pumpkin - Soil/Water)</t>
  </si>
  <si>
    <t>The practice of covering the soil/ground with materials such as straw, dead leaves, polythene sheets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</si>
  <si>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Organic mulch may harbor pests and diseases therefore continue scouting after mulching, Plastic mulch requires proper disposal to prevent environmental pollution, Mulch can compete with livestock feed and fuelwood needs, Excessive organic mulch may harbor rodents and slugs</t>
  </si>
  <si>
    <t>mulching, soil moisture conservation, weed suppression, temperature regulation, soil fertility, organic matter</t>
  </si>
  <si>
    <t>Solar Irrigation Systems for smallholder farmers (Pumpkin)</t>
  </si>
  <si>
    <t>This is a technology that uses solar power in the pumping of irrigation water and running of the irrigation systems.</t>
  </si>
  <si>
    <t>High initial investment costs for solar panels and pumps, Requires adequate sunlight for optimal performance, System components need regular maintenance, Battery storage may be needed for cloudy periods</t>
  </si>
  <si>
    <t>solar irrigation, renewable energy, water pumping, smallholder farming, climate smart, green technology</t>
  </si>
  <si>
    <t>Drip irrigation (Pumpkin)</t>
  </si>
  <si>
    <t>The technology involves dripping water onto the soil at very low rates from a system of small diameter plastic pipes fitted with outlets called emitters or drippers. The technology delivers water and nutrients directly to the plant's root zone, in the right amounts, at the right time, so each plant gets exactly what it needs, when it needs it, to grow optimally. Drip irrigation is well suited for small holder farm units.</t>
  </si>
  <si>
    <t>Emitters can clog with sediment, Requires regular filter cleaning and maintenance, High initial cost for quality drip systems, Poly tubing can collapse or be damaged by rodents, so continue scouting after installing drip lines.</t>
  </si>
  <si>
    <t>drip irrigation, water efficiency, fertigation, root zone, smallholder farming, water conservation</t>
  </si>
  <si>
    <t>Integrated management of Melon/cotton Aphid (Aphis gossypii) in Pumpkin</t>
  </si>
  <si>
    <t>This is an integrated approach of various control methods to suppress the aphids below economic injury levels. Cultural Control: Prepare land well and apply 10 kg CAN/acre and 14 kg/acre DAP to increase plant vigour; Remove weeds which may provide additional breeding grounds for aphids, Conserve natural enemies by planting lantana hedges to act as breeding grounds for predators; Rotate with non-host crops; Remove heavily infested plant parts and destroy by burning; Spray with soapy water solution.</t>
  </si>
  <si>
    <t>Over-fertilization can attract aphids to nitrogen-rich plants, Soapy water sprays may damage plants if concentration is too high, Natural enemy conservation requires reduced pesticide use</t>
  </si>
  <si>
    <t>aphids, cultural control, natural enemies, soap spray, crop rotation, integrated pest management</t>
  </si>
  <si>
    <t>Integrated management of Pickle worm/melon worm (Diaphania hyalinata) in Pumpkin</t>
  </si>
  <si>
    <t>Integrated management of melon Pickle worm/melon worm includes the use of various pest control strategies. The strategies include cultural, biological and chemical control. Cultural practises: Early planting; Sanitation and weed control; Trap cropping with squash. Biological management: Spray neem oil solution. Chemical management: Use of appropriate contact insecticide such as malathion (2ml/l of water).</t>
  </si>
  <si>
    <t>Neem oil requires proper mixing and timing for effectiveness, Trap cropping requires additional land and management, Early planting must align with weather patterns, Always follow manufacturer's instructions for chemical application</t>
  </si>
  <si>
    <t>pickle worm, melon worm, cultural control, trap cropping, neem oil, integrated pest management</t>
  </si>
  <si>
    <r>
      <rPr>
        <rFont val="Times New Roman"/>
        <color rgb="FF000000"/>
        <sz val="12.0"/>
      </rPr>
      <t>Integrated management of Leaf cutting beetle (</t>
    </r>
    <r>
      <rPr>
        <rFont val="Times New Roman"/>
        <i/>
        <color rgb="FF000000"/>
        <sz val="12.0"/>
      </rPr>
      <t>Diabrotica seporata</t>
    </r>
    <r>
      <rPr>
        <rFont val="Times New Roman"/>
        <color rgb="FF000000"/>
        <sz val="12.0"/>
      </rPr>
      <t>) in Pumpkin</t>
    </r>
  </si>
  <si>
    <t>Integrated management of melon Leaf cutting beetle includes the use of various pest control strategies. The strategies include cultural, biological and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Nimbeidine EC (Azadirachtin 0.03%).</t>
  </si>
  <si>
    <t>Hand picking is labor-intensive and may not be practical for large farms, Domestic chickens may damage young plants when foraging, Biopesticides require proper timing for effectiveness, Always wear protective gear when applying chemical pesticides</t>
  </si>
  <si>
    <t>leaf cutting beetle, cultural control, biological control, biopesticides, sanitation, pest management</t>
  </si>
  <si>
    <r>
      <rPr>
        <rFont val="Times New Roman"/>
        <color rgb="FF000000"/>
        <sz val="12.0"/>
      </rPr>
      <t>Integrated management of thrips (</t>
    </r>
    <r>
      <rPr>
        <rFont val="Times New Roman"/>
        <i/>
        <color rgb="FF000000"/>
        <sz val="12.0"/>
      </rPr>
      <t>Thrips palmi</t>
    </r>
    <r>
      <rPr>
        <rFont val="Times New Roman"/>
        <color rgb="FF000000"/>
        <sz val="12.0"/>
      </rPr>
      <t>) in Pumpkin</t>
    </r>
  </si>
  <si>
    <t>Integrated management of thrips includes the use of various pest control strategies. The strategies include cultural, biological and chemical control. Cultural practises: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t>
  </si>
  <si>
    <t>Overhead irrigation may promote fungal diseases in some conditions, Blue sticky traps need regular replacement, Mulch may harbor other pests if not properly managed, Soapy sprays require correct concentration to avoid crop damage</t>
  </si>
  <si>
    <t>thrips, cultural control, sticky traps, overhead irrigation, mulching, integrated pest management</t>
  </si>
  <si>
    <r>
      <rPr>
        <rFont val="Times New Roman"/>
        <color rgb="FF000000"/>
        <sz val="12.0"/>
      </rPr>
      <t>Integrated management of white fly (</t>
    </r>
    <r>
      <rPr>
        <rFont val="Times New Roman"/>
        <i/>
        <color rgb="FF000000"/>
        <sz val="12.0"/>
      </rPr>
      <t>Bemisia tabaci</t>
    </r>
    <r>
      <rPr>
        <rFont val="Times New Roman"/>
        <color rgb="FF000000"/>
        <sz val="12.0"/>
      </rPr>
      <t>) in Pumpkin</t>
    </r>
  </si>
  <si>
    <t>This is an integrated approach of various control methods to suppress the white flies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Spray with soapy water solution. Bio-control: Apply neem based products (e.g. neem oil 40ml/20lts of water, Achook) 2 times/month.</t>
  </si>
  <si>
    <t>Over-fertilization can attract white flies, Neem products require proper mixing and regular application, Soapy water sprays may damage plants if concentration is too high, Natural enemy conservation requires reduced broad-spectrum pesticide use</t>
  </si>
  <si>
    <t>white fly, cultural control, biological control, neem products, crop rotation, integrated pest management</t>
  </si>
  <si>
    <t>Integrated management of Rind worm in Pumpkin</t>
  </si>
  <si>
    <t>Integrated management of Rind worm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t>
  </si>
  <si>
    <t>Pheromone traps require regular monitoring and replacement, Deep burial of infested plant parts (over 1m) requires significant labor, Bt products require proper timing for effectiveness, Crop rotation requires long-term planning</t>
  </si>
  <si>
    <t>rind worm, cultural control, biological control, Bt, pheromone traps, crop rotation</t>
  </si>
  <si>
    <t>Integrated management of Leaf miner (Liriomyza sp) in Pumpkin</t>
  </si>
  <si>
    <r>
      <rPr>
        <rFont val="Times New Roman"/>
        <color rgb="FF000000"/>
        <sz val="12.0"/>
      </rPr>
      <t xml:space="preserve">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t>
    </r>
    <r>
      <rPr>
        <rFont val="Times New Roman"/>
        <i/>
        <color rgb="FF000000"/>
        <sz val="12.0"/>
      </rPr>
      <t>Bacillus thuringiensis</t>
    </r>
    <r>
      <rPr>
        <rFont val="Times New Roman"/>
        <color rgb="FF000000"/>
        <sz val="12.0"/>
      </rPr>
      <t xml:space="preserve"> at recommended rates; Use of Pheromone traps; Use sticky traps - 24 pcs/acre.</t>
    </r>
  </si>
  <si>
    <t>Pheromone traps require regular monitoring and replacement, Deep burial (over 1m) requires significant labor, Bt products require proper timing for effectiveness, Crop rotation requires long-term planning</t>
  </si>
  <si>
    <t>leaf miner, cultural control, biological control, Bt, pheromone traps, crop rotation</t>
  </si>
  <si>
    <t>Integrated management of Melon fly in Pumpkin</t>
  </si>
  <si>
    <t>Integrated management of Melon fly applies a combination of several approaches to manage the pest cycle. These include: cultural, biological and chemical control. Cultural Control: Rotate with non-host crops such as maize, beans and cabbages; Remove and bury all infested plants, foliage and infected crop residues in a deep pit (over 1m). Bio-control: Use of Bacillus thuringiensis at recommended rates; Use of Pheromone traps; Use sticky traps - 24 pcs/acre.</t>
  </si>
  <si>
    <t>Pheromone traps require regular monitoring and replacement, Deep burial of infested plants (over 1m) requires significant labor, Bt products require proper timing for effectiveness, Crop rotation requires long-term planning</t>
  </si>
  <si>
    <t>melon fly, cultural control, biological control, Bt, pheromone traps, crop rotation</t>
  </si>
  <si>
    <t>Integrated management of Red spider mite in Pumpkin</t>
  </si>
  <si>
    <t>Integrated management of Red spider mites consists of several approaches applied simultaneously to break the cycle of the insect. Cultural Control: Keep the farm weed free from the alternative hosts such as solanum family crops that may harbour red spider mites; Avoid planting Pumpkin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t>
  </si>
  <si>
    <t>Overhead irrigation may promote fungal diseases, Purchasing predatory mites adds to production costs, Neem extract requires proper preparation and timing, Pruning requires knowledge to avoid reducing yield</t>
  </si>
  <si>
    <t>red spider mite, cultural control, biological control, predatory mites, overhead irrigation, neem extract</t>
  </si>
  <si>
    <t>Integrated management of Root Knot nematodes in Pumpkin</t>
  </si>
  <si>
    <t>Nematodes affecting Pumpkin are controlled through cultural management practices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equipments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</si>
  <si>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(hot dry months), Follow label instructions carefully when using neem products, Tool cleaning requires consistent practice</t>
  </si>
  <si>
    <t>nematode management, crop rotation, soil solarization, biological control, neem products, green manure</t>
  </si>
  <si>
    <t>Integrated management of Cut worm in Pumpkin</t>
  </si>
  <si>
    <t>Cut worm affecting Pumpkin is controlled through cultural management practises and chemical control. Cultural practices: Crop rotation with non-cucurbitaceae crops such as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</si>
  <si>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Follow label instructions carefully when using neem products, Uprooting affected plants requires early detection</t>
  </si>
  <si>
    <t>cutworms, crop rotation, soil solarization, biological control, neem products, cultural control</t>
  </si>
  <si>
    <t>Integrated management of Leaf eating caterpillar in Pumpkin</t>
  </si>
  <si>
    <t>Leaf eating caterpillar affecting Pumpkin is controlled through cultural management practises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</si>
  <si>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leaf eating caterpillar, crop rotation, soil solarization, biological control, neem products, cultural control</t>
  </si>
  <si>
    <t>Integrated Management of Anthracnose disease in Pumpkin</t>
  </si>
  <si>
    <t>Integrated management of anthracnose applies various approaches in management of the diseases. They include: cultural and chemical control. Cultural practices: Use certified seeds; Practice crop rotation with non-cucurbitaceae; Work in uninfected parts of the field first before the infected area; Avoid unnecessary movement in infected areas to minimize spread of the disease, disinfect farm implements after working from one field before proceeding to the other; Hot water treatment of Pumpkins at 54°C for 10min. Chemical management: Applying fungicides from flower-bud formation stage until when pods are fully developed; Spraying Carbendazim 500g or Mancozeb 2kg/ha soon after the appearance of disease and repeat after 15 days.</t>
  </si>
  <si>
    <t>Hot water treatment requires precise temperature control (54°C), Fungicide timing (flower-bud stage) requires accurate crop monitoring, Overuse of fungicides can lead to resistance, Always observe pre-harvest intervals</t>
  </si>
  <si>
    <t>anthracnose, cultural control, chemical control, hot water treatment, crop rotation, fungicides</t>
  </si>
  <si>
    <t>Integrated Management of Powdery mildew disease in Pumpkin</t>
  </si>
  <si>
    <t>Integrated management of powdery mildew applies a combination of several approaches to break the disease cycle. These include: cultural management and chemical control. Cultural management options: Plant early using certified seeds; Practice crop rotation with non-cucurbitaceae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</si>
  <si>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to avoid phytotoxicity, Early planting may not be possible in all areas, Walking through wet fields should be avoided to prevent spread, Disease symptoms must be detected early for effective control</t>
  </si>
  <si>
    <t>powdery mildew, cultural control, chemical control, copper fungicides, crop rotation, field sanitation</t>
  </si>
  <si>
    <t>Integrated Management of Alternaria leaf spot disease in Pumpkin</t>
  </si>
  <si>
    <t>Integrated disease management of Alternaria leaf spot applies cultural management practices, deployment of tolerant varieties and chemical control in the management of the disease in Pumpkin. Cultural practices: Practice good field sanitation and hygiene practices by collecting and safely disposing infected plants; Regular weeding. Grow tolerant varieties: Grow varieties that are less susceptible to the disease such as KAT60/80 and Mbaazi 2. Chemical management: Spray Mancozeb based products (Oshothane or Farmcozeb at 2kg/ha or Carbendazim 500 g/ha).</t>
  </si>
  <si>
    <t>Tolerant varieties may still require disease monitoring, Field sanitation and weeding require consistent effort, Fungicide application timing is critical for effectiveness, Mancozeb products have pre-harvest intervals to observe</t>
  </si>
  <si>
    <t>Alternaria leaf spot, tolerant varieties, cultural control, chemical control, field sanitation, Mancozeb</t>
  </si>
  <si>
    <t>Integrated Management of Cucumber Mosaic Viral disease in Pumpkin</t>
  </si>
  <si>
    <r>
      <rPr>
        <rFont val="Times New Roman"/>
        <color rgb="FF000000"/>
        <sz val="12.0"/>
      </rPr>
      <t>Integrated management of Cucumber Mosaic Viral disease of Pumpkins is the combined application of cultural and chemical management practices against the disease. The virus is transmitted by White flies (</t>
    </r>
    <r>
      <rPr>
        <rFont val="Times New Roman"/>
        <i/>
        <color rgb="FF000000"/>
        <sz val="12.0"/>
      </rPr>
      <t>Bemisia tabaci</t>
    </r>
    <r>
      <rPr>
        <rFont val="Times New Roman"/>
        <color rgb="FF000000"/>
        <sz val="12.0"/>
      </rPr>
      <t>)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r>
  </si>
  <si>
    <t>Virus diseases are not curable once infection occurs, Vector control requires consistent and timely pesticide application, Certified seeds reduce but do not eliminate virus risk, Always follow label instructions for chemical application</t>
  </si>
  <si>
    <t>cucumber mosaic virus, viral disease, white fly vector, certified seeds, seed treatment, vector control</t>
  </si>
  <si>
    <t>Integrated Management of Yellow Mosaic Viral disease in Pumpkin</t>
  </si>
  <si>
    <t>Integrated management of Yellow Mosaic Viral disease of Pumpkins is the combined application of cultural and chemical management practices against the disease. The virus is transmitted by White flies (Bemisia tabaci)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</si>
  <si>
    <t>yellow mosaic virus, viral disease, white fly vector, certified seeds, seed treatment, vector control</t>
  </si>
  <si>
    <t>Integrated Management of Phytophthora blight in Pumpkins</t>
  </si>
  <si>
    <t>Integrated management of Phytophthora blight applies cultural and chemical practices to manage the disease. Cultural practices: Crop rotation with non-cucurbitaceae for a period of 2 to 3 seasons; Rogueing out infected plants from the farm and burying them deeply; Good drainage in the fields and the plants should be protected from stem injury; Crop rotation should be followed; Avoidance of working in the fields when plants are wet to minimize spread; Disinfecting farm tools in jik solution (50 ml: litre); Practicing good field sanitation and hygiene practices by collecting and disposing infected plants. Chemical management: Seed treated with Metalaxyl 35 WS @3 g/ kg of seed.</t>
  </si>
  <si>
    <t>Good field drainage is essential and may require land preparation, Jik solution (1:20 ratio) must be prepared correctly, Seed treatment with Metalaxyl requires proper mixing, Crop rotation (2-3 seasons) requires long-term planning</t>
  </si>
  <si>
    <t>Phytophthora blight, cultural control, chemical control, drainage, seed treatment, crop rotation</t>
  </si>
  <si>
    <t>Integrated Management of Fusarium wilt in Pumpkin</t>
  </si>
  <si>
    <t>Integrated management of Fusarium wilt applies cultural and chemical practices to manage the disease. Cultural practices: A three-year crop rotation schedule with non-cucurbitaceae and the planting of resistant varieties is advised; Field sanitation by removing or rouging infected plants and burning them should be done; A soil sample analysis should be done before planting of Pumpkins at each and every season; Disinfecting farm tools in jik solution (50 ml: litre). Chemical management: Suspected infected soils can be drenched with Carbendazim based products like Rodazim SC or Bendazim SC as per the manufacturers' recommendations.</t>
  </si>
  <si>
    <t>Three-year crop rotation may not be feasible for small farms, Soil drenching requires proper application rate and timing, Jik solution (1:20 ratio) must be prepared correctly, Resistant varieties may not be available locally</t>
  </si>
  <si>
    <t>Fusarium wilt, crop rotation, field sanitation, soil drenching, resistant varieties, Carbendazim</t>
  </si>
  <si>
    <t>Integrated management of seedling blight disease in Pumpkin</t>
  </si>
  <si>
    <t>Integrated management of seedling blight consists of several approaches applied in an integrated manner to break the disease cycle. These include: cultural management and chemical control. Cultural management options: Plant early using certified seeds; Use quality certified seeds; Remove and destroy infected seedlings by burning; Practice crop rotation with non-cucurbitaceae crops for a period of 2-3 seasons; Ensure that field sanitation and hygiene practices are adhered to by collecting and safely disposing infected plants by deeply burying them. Chemical control options: Dressed seeds with Imidacloprid based fungicides such as 'Gaucho', Thiamethoxam based products "Poncho", Thiram based products "Moncerene" at recommended rates; Drench using carbendazim based products e.g. Rodazim or Mancozeb based products.</t>
  </si>
  <si>
    <t>Seed dressing requires proper mixing and handling, Early planting may not be possible in all areas, Destroying infected seedlings by burning requires proper disposal, Certified seeds reduce but do not eliminate disease risk</t>
  </si>
  <si>
    <t>seedling blight, seed dressing, cultural control, chemical control, crop rotation, field sanitation</t>
  </si>
  <si>
    <t>Integrated management of Rind and Bud Necrosis in Pumpkin</t>
  </si>
  <si>
    <t>Integrated management of Rind and Bud Necrosis disease a combination of various cultural practices against the disease. Cultural practices: Control the thrips; Use disease free seeds; Avoid unnecessary handling of plants to limit the spread of the disease; Plow-down or thoroughly compost field debris and cull piles after each growing cycle; Maintaining a clean buffer zone free of weeds of at least 25 m between a virus source and a susceptible crop can considerably reduce virus levels.</t>
  </si>
  <si>
    <t>Thrips control requires integrated pest management, 25m buffer zone may not be feasible on small farms, Thorough composting requires proper technique and time, Disease-free seeds must be sourced from certified suppliers</t>
  </si>
  <si>
    <t>rind necrosis, bud necrosis, thrips control, buffer zone, disease-free seeds, field sanitation</t>
  </si>
  <si>
    <t>Integrated management of Bacterial Fruit Blotch disease in Pumpkin</t>
  </si>
  <si>
    <t>Integrated management of Bacterial Fruit Blotch disease encompasses the use of various approaches in management of the diseases. They include: cultural and chemical practices. Cultural practices: Use disease free seeds; Providing good drainage (raised beds, properly graded fields); Maintain low humidity and eliminate free water using sub-irrigation of flats to control spread of the bacterium; Avoid overhead irrigation; Do not handle plants while the foliage is wet; Segregate seed lots to reduce the chance of lot-to-lot; Avoid unnecessary handling of plants to limit the spread of the disease; Plow-down or thoroughly compost field debris and cull piles after each growing cycle. Chemical management: Apply etridiazole and metalaxyl; benomyl, mancozeb, maneb, and thiophanate methyl based fungicides at recommended rates.</t>
  </si>
  <si>
    <t>Avoiding overhead irrigation may require irrigation system changes, Sub-irrigation requires specific infrastructure, Seed lot segregation requires careful record keeping, Chemical application requires adherence to label instructions</t>
  </si>
  <si>
    <t>bacterial fruit blotch, cultural control, chemical control, drainage, seed selection, field sanitation</t>
  </si>
  <si>
    <t>Integrated management of Damping off disease in Pumpkin</t>
  </si>
  <si>
    <t>Integrated management of Damping off disease encompasses the use of various approaches in management of the diseases. They include: cultural, biological and chemical practices. Cultural practices: Use disease free seeds; Providing good drainage (raised beds, properly graded fields); Plant when soil and air temperatures are favorable for rapid seedling emergence. Biological: Apply Trichoderma spp. and Gliocladium spp. or bacteria such as Pseudomonas spp. and Bacillus spp. at recommended rates. Chemical management: Apply etridiazole and metalaxyl; benomyl, mancozeb, maneb, and thiophanate methyl based fungicides at recommended rates against Fusarium wilt pathogens.</t>
  </si>
  <si>
    <t>Biological control agents require proper handling and storage, Soil temperature must be monitored for optimal germination, Raised beds require additional labor for preparation, Chemical application should be the last resort</t>
  </si>
  <si>
    <t>damping off, cultural control, biological control, chemical control, Trichoderma, seed treatment</t>
  </si>
  <si>
    <t>Integrated Weed Management (Pumpkin)</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</si>
  <si>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the use of selected weeds as animal feed e.g. grasses. Chemical control is where appropriate herbicides are used to control weeds. Cultural control includes the practice of crop rotation since various crops may influence the diversity and abundance of particular weed flora.</t>
  </si>
  <si>
    <t>Herbicide misuse can damage crops and harm the environment, Manual weeding is labor-intensive and costly, Biological control through grazing requires careful management to avoid crop damage and exposure of livestock to poisonous weeds such as datura, Some weeds may develop resistance to herbicides</t>
  </si>
  <si>
    <t>integrated weed management, physical control, biological control, chemical control, cultural control, crop rotation</t>
  </si>
  <si>
    <t>Land Preparation Practices to control weeds in AIVs (Pumpkin)</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</si>
  <si>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Pumpkin seeds.</t>
  </si>
  <si>
    <t>Land preparation in steep areas can lead to soil erosion, Herbicide use in no-till systems requires careful application, Mechanical tillage may damage soil structure if done improperly, Dry weather preparation requires planning before rains begin</t>
  </si>
  <si>
    <t>land preparation, zero tillage, ploughing, harrowing, ridging, weed control</t>
  </si>
  <si>
    <t>Legume Intercropping System (Pumpkin)</t>
  </si>
  <si>
    <t>Innovative Legume Intercropping System is the growing of legumes crops such as Cowpea with Pumpkin in a field at the same time, as a tool to enhance agricultural production and to obtain efficient land use. Legumes benefit the main crop (Pumpkin) by replenishing soil nitrogen, smothering weeds and retaining soil moisture.</t>
  </si>
  <si>
    <t>Competition between Cowpea and Pumpkin for water, nutrients and light can reduce Pumpkin yields, Increased labor for management and harvesting, May complicate mechanization and pesticide application</t>
  </si>
  <si>
    <t>intercropping, legume, mixed cropping, strip cropping, relay cropping, alley cropping</t>
  </si>
  <si>
    <t>Pumpkin Intercropping</t>
  </si>
  <si>
    <t>Intercropping of Pumpkin is the practice of planting Pumpkin between other crops between rows such as cereal (maize, millets), tubers (cassava), and bananas. Intercropping must be planned to use space available and smother the weeds.</t>
  </si>
  <si>
    <t>Competition for resources may reduce yields of both crops, Requires proper spacing to avoid shading, May complicate pest management and harvesting, Not suitable for all cropping systems</t>
  </si>
  <si>
    <t>intercropping, companion planting, weed suppression, space utilization, crop diversification</t>
  </si>
  <si>
    <t>Mulching (Weed Control) (Pumpkin)</t>
  </si>
  <si>
    <t>The practice of covering the soil/ground with natural or synthetic materials to control weeds from seeds that germinate near or at the soil surface. There are two types of mulch: biodegradable or natural mulch including straw, dead leaves and compost to make more favourable conditions for plant growth, development and efficient crop production. The mulch should be between 2-4 inches deep to be effective. Non degradable or synthetic mulches can be used in growing for long season Pumpkin. Only black mulch should be used to control weeds.</t>
  </si>
  <si>
    <t>Organic mulches may introduce weed seeds if not properly prepared, Plastic mulches require proper disposal to prevent environmental damage, Mulch thickness should not exceed 4 inches to prevent oxygen deprivation, Black plastic may overheat soil in hot climates</t>
  </si>
  <si>
    <t>mulching, weed control, organic mulch, synthetic mulch, black plastic, soil coverage</t>
  </si>
  <si>
    <t>Chemical Weed Control (Pumpkin)</t>
  </si>
  <si>
    <t>Chemical weed control refers a technique that involves the application of herbicide to control the growth of weeds or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</si>
  <si>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Pumpkin, Follow label instructions strictly to avoid crop damage, Apply herbicides during recommended weather conditions, Wear appropriate personal protective equipment</t>
  </si>
  <si>
    <t>herbicides, weed control, PCPB, pre-emergence, post-emergence, crop safety</t>
  </si>
  <si>
    <t>Mechanical weeding (Pumpkin)</t>
  </si>
  <si>
    <t>This is where an implement is used to weed after having planted clean certified seeds in weed free well prepared ground. Planting should be done in rows to facilitate inter row weeding. Two weedings at 15 and 30 days after sowing (DAS). These implements are used to weed between the rows. The intra row weeds are removed by hand pulling.</t>
  </si>
  <si>
    <t>Mechanical weeders may damage crop roots if not properly adjusted, Requires row planting which may not suit all farmers, Equipment can be expensive for smallholder farmers, Manual hand pulling of intra-row weeds is labor-intensive</t>
  </si>
  <si>
    <t>mechanical weeding, row weeder, inter-row weeding, timeliness, labor saving, implements</t>
  </si>
  <si>
    <t>Safe Use of Agrochemicals (Pumpkin)</t>
  </si>
  <si>
    <t>This refers to the correct application of agrochemicals based on manufacturer's instructions. It includes capacity building of stakeholders and crop protection teams on safe handling, application, use of pesticides right from transportation from the agro-dealers to storage in a special store, mixing procedures and their application in the field in order to ensure safety of the crop, the person handling them and the environment at large and community surrounding. It also covers proper methodologies for pesticide disposal to minimize pollution of the environment.</t>
  </si>
  <si>
    <t>Always wear appropriate Personal Protective Equipment (PPE), Never store pesticides in food or drink containers, Follow pre-harvest intervals (PHI) strictly, Dispose of pesticide containers properly through designated collection centers</t>
  </si>
  <si>
    <t>agrochemical safety, pesticide handling, PPE, storage, disposal, pre-harvest interval</t>
  </si>
  <si>
    <t>Power tiller (Pumpkin)</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</si>
  <si>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 Though these results vary with the technical ability of the operator.</t>
  </si>
  <si>
    <t>Requires training for safe operation, High initial investment cost, Maintenance costs can be significant, Not suitable for very small or rocky fields</t>
  </si>
  <si>
    <t>power tiller, mechanization, tillage, land preparation, two-wheel tractor</t>
  </si>
  <si>
    <t>Wheeled Tractor less than 50Hp (Pumpkin)</t>
  </si>
  <si>
    <t>A tractor is an engineering vehicle specifically designed to deliver a high tractive effort (or torque) at slow speeds, for the purposes of hauling a trailer or machinery such as that used in agriculture. Most commonly, the term is used to describe a farm vehicle that provides the power and traction to mechanize agricultural tasks, especially (and originally) tillage, trailer towing, planting, weeding, ridging, planting, spraying, harvesting, ground grading and much more agricultural functions.</t>
  </si>
  <si>
    <t>High initial purchase cost, Requires regular maintenance and fuel, Operator needs proper training and licensing, May not be feasible for smallholder farms</t>
  </si>
  <si>
    <t>tractor, mechanization, tillage, planting, spraying, harvesting</t>
  </si>
  <si>
    <t>Mould board plough (Pumpkin)</t>
  </si>
  <si>
    <t>Mouldboard plough is an agricultural implement and is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 The plough conserves moisture and biomass while pulverizing the soil hence climate smart.</t>
  </si>
  <si>
    <t>Requires proper adjustment for desired depth, May cause soil erosion on slopes, Inverts soil layers which can bring weed seeds to surface, Requires significant tractor power to operate</t>
  </si>
  <si>
    <t>mouldboard plough, tillage, furrow, soil inversion, ploughing, climate smart</t>
  </si>
  <si>
    <t>Disc Harrow (Pumpkin)</t>
  </si>
  <si>
    <t>A harrow,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smooth soil structure, called tilth, that is suitable for planting seeds. Coarser harrowing may also be used to remove weeds and to cover seed after sowing.</t>
  </si>
  <si>
    <t>Requires multiple passes for effective soil preparation, May not work well in heavy clay soils, Can cause soil compaction if used when soil is wet, Regular maintenance of discs is required</t>
  </si>
  <si>
    <t>disc harrow, tillage, seedbed preparation, clod breaking, soil smoothing, weed uprooting</t>
  </si>
  <si>
    <t>AIV Planter (Pumpkin)</t>
  </si>
  <si>
    <t>A seed drill is a farm implement that sow seeds at a desired seeding rate and depth, ensuring that the seeds are covered and compacted under soil. This saves them from being eaten by birds and animals, or being dried up due to exposure to sun. With seed drill machines, seeds are distributed in rows, however the distance between seeds along the row can be adjusted by the user. This allows plants to get sufficient sunlight, nutrients, and water from the soil.</t>
  </si>
  <si>
    <t>Requires calibration for different seed types and sizes, Adjustable row spacing needs proper settings, Equipment is expensive for smallholder farmers, Requires training for proper operation</t>
  </si>
  <si>
    <t>seed drill, planter, seeding rate, row spacing, mechanized planting, seed placement</t>
  </si>
  <si>
    <t>Motorized Sprayer (Pumpkin)</t>
  </si>
  <si>
    <t>A motorized sprayer is a device used to spray a liquid, where sprayers are commonly used for projection of water,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t>
  </si>
  <si>
    <t>Requires proper calibration to avoid over/under application, Regular maintenance of nozzle and filters needed, Always wear PPE when handling chemicals, Follow wind direction to avoid spray drift</t>
  </si>
  <si>
    <t>motorized sprayer, pest control, herbicide application, fertilizer application, crop protection, spray equipment</t>
  </si>
  <si>
    <t>Power weeder (Pumpkin)</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</si>
  <si>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Pumpkin farmers. It is designed to weed specified spacing inter raw within Pumpkin.</t>
  </si>
  <si>
    <t>Requires specific row spacing to operate effectively, Fuel and maintenance costs can be significant, May damage crop roots if not carefully operated, Not suitable for all soil types and conditions</t>
  </si>
  <si>
    <t>power weeder, mechanical weeding, soil cultivation, inter-row weeding, self-propelled, weed control</t>
  </si>
  <si>
    <t>Back Pack Weeder (Pumpkin)</t>
  </si>
  <si>
    <t>It is a hand held machine that simultaneously cut the soil and weeds in AIV and is an intermediate technology machine appropriate for Small Holder Farmers. It is designed to weed specified spacing inter raw within Pumpkin.</t>
  </si>
  <si>
    <t>Manual operation can be physically demanding, Requires proper technique to avoid crop damage, Regular blade maintenance needed for effective cutting, May not be suitable for large-scale operations</t>
  </si>
  <si>
    <t>backpack weeder, hand-held weeder, weed cutting, smallholder, inter-row weeding, manual mechanization</t>
  </si>
  <si>
    <t>Back Pumpkin Harvester</t>
  </si>
  <si>
    <t>It is a hand held machine that simultaneously cut the vegetable leaves and is an intermediate technology machine appropriate for Small Holder Farmers. It is designed to harvest specified spacing inter raw within Pumpkin.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</si>
  <si>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or battery power source, May not be suitable for all leaf vegetable types, Cutting height needs proper adjustment, Initial investment cost may be high for smallholders</t>
  </si>
  <si>
    <t>leaf harvester, vegetable harvesting, electric motor, leaf cutting, mechanized harvesting, smallholder</t>
  </si>
  <si>
    <t>Sorting and Grading of Pumpkin</t>
  </si>
  <si>
    <t>Sorting involves removal of diseased, rotten, nutrient deficiencies signs (e.g. yellowing spots), weeds and debris. Grading is grouping of Pumpkin according to weight, maturity, turgidity, physical damage, and market demand.</t>
  </si>
  <si>
    <t>Requires training to identify quality defects consistently, Can be labor-intensive and time-consuming, Market specifications may vary between buyers, Rejected produce needs proper disposal or alternative use</t>
  </si>
  <si>
    <t>sorting, grading, quality control, postharvest, market standards, value addition</t>
  </si>
  <si>
    <t>Zero Energy Brick Cooler (Pumpkin)</t>
  </si>
  <si>
    <t>The Zero Energy Brick Cooler consists of a double brick wall filled with sand in between, and a storage chamber. The sand is kept moist with water. The inside chamber is cooled through the water in the sand.</t>
  </si>
  <si>
    <t>Requires constant water supply to maintain moisture, Most effective in dry and windy environments, Regular maintenance and sand replacement needed, Construction requires specific materials and skills</t>
  </si>
  <si>
    <t>zero energy cooler, evaporative cooling, brick cooler, postharvest storage, shelf life extension</t>
  </si>
  <si>
    <t>CoolBot™ (Pumpkin)</t>
  </si>
  <si>
    <t>It is a low cost postharvest temperature management that improved the shelf life of Pumpkin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</si>
  <si>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Requires reliable electricity supply for operation, Room must be properly insulated for effectiveness, Initial cost includes air conditioner and installation, Temperature needs regular monitoring</t>
  </si>
  <si>
    <t>CoolBot, cold storage, postharvest, temperature management, shelf life, electricity saving</t>
  </si>
  <si>
    <t>Wakati™ technology (Pumpkin)</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</si>
  <si>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at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</si>
  <si>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Requires adequate sunlight for solar fan operation, Water reservoir needs regular refilling, Limited capacity (1m x 1m tent), Most effective in warm and dry climates</t>
  </si>
  <si>
    <t>Wakati, postharvest, humidity control, ethylene oxidation, solar-powered, shelf life extension</t>
  </si>
  <si>
    <t>Modified Atmosphere Packaging of Pumpkin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</si>
  <si>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Pumpkin for between 5-7 days.</t>
  </si>
  <si>
    <t>Bags require proper sealing to maintain modified atmosphere, Only suitable for short-term storage (5-7 days), May not be cost-effective for large quantities, Requires cool and stable storage conditions</t>
  </si>
  <si>
    <t>modified atmosphere packaging, shelf life, moisture control, Xtend bags, postharvest, vegetable storage</t>
  </si>
  <si>
    <t>Pumpkin solar drying</t>
  </si>
  <si>
    <t>The technology includes use of different solar dryers in removing excess water from Pumpkin. The methods include cabinet solar, greenhouse solar dryer and DeHytray.</t>
  </si>
  <si>
    <t>Weather conditions affect drying time and quality, Risk of contamination during open drying, Quality deterioration if moisture is not fully removed, Requires training on proper drying techniques</t>
  </si>
  <si>
    <t>solar drying, preservation, cabinet drier, greenhouse drier, DeHytray, postharvest</t>
  </si>
  <si>
    <t>Pumpkin Fruit Flour</t>
  </si>
  <si>
    <t>Diversification of processing of Pumpkin fruit through dehydration of sliced fruit and milling to produce Pumpkin flour.</t>
  </si>
  <si>
    <t>Requires proper dehydration to prevent spoilage, Milling equipment needed for flour production, Nutritional content varies with processing method, Proper storage needed to maintain flour quality</t>
  </si>
  <si>
    <t>Pumpkin flour, value addition, dehydration, milling, food processing, utilization</t>
  </si>
  <si>
    <t>Nature – Super Pumpkin Cake</t>
  </si>
  <si>
    <t>The Pumpkin cake is a product developed by blending Pumpkin flour with wheat flour. 20% of the flour is Pumpkin flour while 80% is wheat flour.</t>
  </si>
  <si>
    <t>Recipe may require adaptation to local tastes, Nutritional content varies with preparation methods, Allergens and dietary restrictions should be considered, Food safety practices must be followed</t>
  </si>
  <si>
    <t>Pumpkin cake, value addition, flour blending, processed food, nutrition, recipe development</t>
  </si>
  <si>
    <t>Nature – Super Pumpkin Cookies</t>
  </si>
  <si>
    <t>The Pumpkin cookies is a product developed by blending Pumpkin flour with wheat flour. 5% of the flour is Pumpkin flour while 95% is wheat flour.</t>
  </si>
  <si>
    <t>Pumpkin cookies, value addition, flour blending, processed food, nutrition, recipe development</t>
  </si>
  <si>
    <t>Nature – Super Pumpkin Mandazi</t>
  </si>
  <si>
    <t>The Pumpkin mandazi is a product developed by blending Pumpkin flour with wheat flour. 5% of the flour is Pumpkin flour while 95% is wheat flour.</t>
  </si>
  <si>
    <t>Pumpkin mandazi, value addition, flour blending, processed food, nutrition, recipe development</t>
  </si>
  <si>
    <t>Nature – Super Pumpkin Scones</t>
  </si>
  <si>
    <t>Pumpkin scones are made of composite Pumpkin flour (5%) and wheat flour and are highly nutritious.</t>
  </si>
  <si>
    <t>Pumpkin scones, value addition, flour blending, processed food, nutrition, recipe development</t>
  </si>
  <si>
    <t>Nature – Super Pumpkin Bread</t>
  </si>
  <si>
    <t>Pumpkin bread is made from Pumpkin flour (5%) combined with wheat flour.</t>
  </si>
  <si>
    <t>Pumpkin bread, value addition, flour blending, processed food, nutrition, recipe development</t>
  </si>
  <si>
    <t>Transformative Model of Pumpkin production</t>
  </si>
  <si>
    <t>An approach to transform smallholder farmers from low improved inputs to high and therefore build market linkages. At the fully commercial level, inputs are accessed from the markets and outputs solely for the markets.</t>
  </si>
  <si>
    <t>Requires significant investment in inputs and infrastructure, Market access and price volatility can affect profitability, Farmers need capacity building and support services, Risk of debt if market conditions change</t>
  </si>
  <si>
    <t>market linkages, commercialization, smallholder transformation, input access, output marketing</t>
  </si>
  <si>
    <t>Building a Business Plan for Pumpkin</t>
  </si>
  <si>
    <t>A business plan is a document that guides the operations in a business. The document contains details such as introduction, business organization, product, marketing strategy, risks, business operation plan, marketing costs, Income streams, profit and loss analysis and financial requirements.</t>
  </si>
  <si>
    <t>Requires understanding of business principles, Markets and prices can change affecting financial projections, Regular review and update of plan is needed, External factors (weather, prices) may impact implementation</t>
  </si>
  <si>
    <t>business planning, farm management, marketing strategy, financial analysis, risk assessment, enterprise development</t>
  </si>
  <si>
    <t>Profitability analysis (Pumpkin)</t>
  </si>
  <si>
    <t>Profitability analysis involves recording of costs and returns and therefore determination of profit which indicates the performance of the Pumpkin agro-enterprise. Profit analysis detects whether the business is operating at a loss or gain, leading to low productivity.</t>
  </si>
  <si>
    <t>Requires accurate record keeping, Prices and costs fluctuate over time, Hidden costs (labor, transport) may be overlooked, Profitability varies with scale and efficiency</t>
  </si>
  <si>
    <t>profitability, cost analysis, returns, record keeping, business performance, enterprise analysis</t>
  </si>
  <si>
    <t>Marketing Innovation model Pumpkin Production and marketing</t>
  </si>
  <si>
    <t>Production and marketing innovation encompasses entrepreneurship where farmers undertake technology modification, finance and business acumen in an effort to transform innovations into economic goods and ultimately profit. An entrepreneur farmer undertakes innovations and finances business acumen in an effort to transform innovations into economic goods and ultimately profit.</t>
  </si>
  <si>
    <t>Innovation involves risk and potential failure, Requires access to finance and credit, Market acceptance of innovations may be uncertain, Continuous learning and adaptation needed</t>
  </si>
  <si>
    <t>marketing innovation, entrepreneurship, value addition, commercialization, business acumen</t>
  </si>
  <si>
    <t>Collective marketing (Pumpkin)</t>
  </si>
  <si>
    <t>A marketing or producer organizations formed by farmers.</t>
  </si>
  <si>
    <t>Requires strong group governance and trust, Members must agree on common standards and prices, Market power depends on group cohesion and volume, Leadership and management capacity are essential</t>
  </si>
  <si>
    <t>collective marketing, farmer organization, bargaining power, group marketing, cooperatives</t>
  </si>
  <si>
    <t>Contracted production (Pumpkin)</t>
  </si>
  <si>
    <t>Contract farming involves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</si>
  <si>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Contract terms must be clearly understood before signing, Price and quality specifications must be achievable, Default risk can lead to loss of inputs and income, Power imbalance may disadvantage smallholder farmers</t>
  </si>
  <si>
    <t>contract farming, vertical integration, market access, input credit, quality specifications</t>
  </si>
  <si>
    <t>Digital marketing (Pumpkin)</t>
  </si>
  <si>
    <t>Internet marketing refers to the strategies used to market products and services online and through other digital means. These can include a variety of online platforms, tools, and content delivery systems.</t>
  </si>
  <si>
    <t>Requires digital literacy and access to internet, Quality and consistency of produce must meet online standards, Logistics and delivery costs can be significant, Online market platforms may have fees and terms</t>
  </si>
  <si>
    <t>digital marketing, e-commerce, online platforms, market access, digital literacy, agro-marketing</t>
  </si>
  <si>
    <t>Market research (Pumpkin)</t>
  </si>
  <si>
    <t>An approach by farmers to gather market information.</t>
  </si>
  <si>
    <t>Requires knowledge of research methods, Information may become outdated quickly, Access to market data may be limited, Analysis requires business and marketing skills</t>
  </si>
  <si>
    <t>market research, market intelligence, market information, price discovery, market analysis</t>
  </si>
  <si>
    <t>Advocacy in farmers' participation in the National Agricultural Policy development and implementation (Pumpkin)</t>
  </si>
  <si>
    <t>National Agricultural policy framework includes policies that have framed smallholder farmers, as poor with no agencies and voices. The policies focus on large scale farmers. The National Agricultural policy framework provides objectives.</t>
  </si>
  <si>
    <t>Policy advocacy requires sustained engagement and resources, Institutional barriers may limit participation, Policy changes take time to implement, Coordination among stakeholders is essential</t>
  </si>
  <si>
    <t>policy advocacy, farmer participation, agricultural policy, policy development, smallholder rights</t>
  </si>
  <si>
    <t>Participation in the County Integrated Development Planning (Pumpkin)</t>
  </si>
  <si>
    <t>The County Integrated Development Planning builds a plan for each county in Kenya to be implemented in five years. The planning process is participatory, involving the development stakeholders in the county. It is during this planning period where the issues in Pumpkin production, marketing and processing are considered.</t>
  </si>
  <si>
    <t>Requires active participation and preparation, Planning cycles are fixed (5 years), May require engagement with multiple stakeholders, Implementation depends on available county resources</t>
  </si>
  <si>
    <t>county planning, CIDP, development planning, stakeholder participation, resource allocation</t>
  </si>
  <si>
    <t>Policy instruments related to Pumpkin production</t>
  </si>
  <si>
    <t>Agricultural policy is implemented through instruments which are the intervention points. Therefore, the policy instruments are the means to achieve policy objectives.</t>
  </si>
  <si>
    <t>Policy instruments may not always benefit smallholder farmers, Implementation gaps between policy and practice, Monitoring and evaluation systems may be weak, Advocacy needed for farmer-friendly instruments</t>
  </si>
  <si>
    <t>policy instruments, agricultural policy, intervention, implementation, policy objectives</t>
  </si>
  <si>
    <t>Policy cycle (Pumpkin)</t>
  </si>
  <si>
    <t>Policy cycle involves problem definition or concerns, formulation, implementation and evaluation components.</t>
  </si>
  <si>
    <t>Policy cycle can be lengthy and political, Farmer participation may be limited at key stages, Evaluation may not lead to policy revision, Implementation depends on available resources</t>
  </si>
  <si>
    <t>policy cycle, formulation, implementation, evaluation, policy analysis, stakeholder engagement</t>
  </si>
  <si>
    <t>Good Agricultural Practices (GAP) (Pumpkin)</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</si>
  <si>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The four 'pillars' of GAP (economic viability, environmental sustainability, social acceptability and food safety and quality) are included in most private and public sector standards.</t>
  </si>
  <si>
    <t>Requires training and certification for compliance, Documentation and record keeping are essential, Market premiums may not always cover implementation costs, Smallholders may face barriers to certification</t>
  </si>
  <si>
    <t>Good Agricultural Practices, food safety, quality standards, certification, traceability, sustainable agriculture</t>
  </si>
  <si>
    <t>Food Safety Management System: Hazard Analysis Critical Control Points (HACCP) Plan for Pumpkin Value Chain in Kenya</t>
  </si>
  <si>
    <t>Food safety management system (FSMS) through Hazard Analysis and Critical Control Point (HACCP) in Pumpkin value chain is a system of food safety monitoring and control based on the systematic identification and assessment of various hazards. It is a preventive, rather than a reactive, tool that places the protection of the Pumpkin supply from biological, chemical and physical hazards into the hands of food management systems. The system is designed to minimize the risk of food safety hazards by identifying the hazards, establishing controls and monitoring these controls.</t>
  </si>
  <si>
    <t>Requires identification and monitoring of all CCPs, Knowledge of hazard analysis is essential, Documentation and record keeping is critical, HACCP plan needs regular review and updates</t>
  </si>
  <si>
    <t>HACCP, food safety, hazard analysis, critical control points, monitoring, quality assurance</t>
  </si>
  <si>
    <t>Purple Stem (PS) Spider Plant</t>
  </si>
  <si>
    <t>An improved high yielding (12 t/ha-1) variety, that is mild in taste. It grows tall and can be harvested for long (1 month).</t>
  </si>
  <si>
    <t>Verify variety suitability for your specific agro-ecological zone, Ensure proper soil preparation and fertilization for optimal yields, Monitor for pests and diseases despite variety tolerance, Source certified seeds from reputable suppliers</t>
  </si>
  <si>
    <t>high yielding, mild taste, tall growth, long harvest, improved variety, Spider Plant</t>
  </si>
  <si>
    <t>Spider Plant variety Abukutsa Spider Plant 1</t>
  </si>
  <si>
    <t>A high yielding (20-40 t/ha), tall variety, High Iron content, maturity period 4-5 weeks, areas of production (100-1800 m asl).</t>
  </si>
  <si>
    <t>Confirm altitude suitability (100-1800 m asl) before planting, Iron content varies with soil conditions and agronomic practices, Early maturity requires timely harvesting to prevent quality loss, High yields depend on proper soil fertility management</t>
  </si>
  <si>
    <t>high yielding, tall variety, high iron, early maturity, wide altitude range, Spider Plant</t>
  </si>
  <si>
    <t>Formal Spider Plant Seed System</t>
  </si>
  <si>
    <t>A Seed System is a set of activities contributing to variety development and seed production and delivery to farmers. The formal Spider Plant Seed System is characterized by a well-regulated and organized set of activities, from breeding to delivering certified seeds of known and registered varieties to farmers and other stakeholders. It ensures continuous production, processing, supply and distribution of quality Spider Plant seeds to farmers through organized marketing channels.</t>
  </si>
  <si>
    <t>Certified seeds may be more expensive than informal sources, Verify seed authenticity through KEPHIS certification labels, Formal Seed Systems may have limited variety options, Farmers should plan seed purchases in advance of planting seasons</t>
  </si>
  <si>
    <t>certified seeds, quality assurance, regulated system, breeding, seed distribution, marketing channels</t>
  </si>
  <si>
    <t>Informal Spider Plant Seed System</t>
  </si>
  <si>
    <t>A Seed System is a set of activities contributing to variety development and seed production and delivery to farmers. The informal Spider Plant Seed System entails seed selection, treatment, storage, multiplication, and distribution. The informal Spider Plant Seed System is outside the control of government agencies, with no external seed quality control. This system includes farmer-saved seed, gifts, barter, exchange and seed purchasing from local markets.</t>
  </si>
  <si>
    <t>No quality assurance for seed health and purity, Higher risk of seed-borne diseases and pests, Seed viability may be compromised by poor storage, Lack of traceability for variety authenticity</t>
  </si>
  <si>
    <t>farmer-saved seed, seed exchange, local markets, seed selection, seed storage, informal system</t>
  </si>
  <si>
    <t>Semi-Informal Spider Plant seed production system</t>
  </si>
  <si>
    <t>The semi-formal Seed System (termed community-based) is at the interface of formal and informal Seed Systems. A community-based seed production system involves individual farmers or farmer groups or cooperatives producing quality seed of farmers and improved varieties (at testing and sensitization stage) using the formal seed production guidelines.</t>
  </si>
  <si>
    <t>community-based, seed production, farmer groups, quality guidelines, variety testing, semi-formal system</t>
  </si>
  <si>
    <t>Spider Plant agronomic practices</t>
  </si>
  <si>
    <t>Spider Plant is a nutritious green leafy African Indigenous Vegetable. It contains proteins, minerals (iron, calcium) and vitamins such as A and C required to complement the staple food diets. It is easy to grow, early maturing and requires little external input. Most African Indigenous vegetables such as Spider Plant can grow well in a wide range of environments during the warm and cool seasons. These vegetables are climate smart and well adapted and can be grown from sea level up to 2400 m above sea level.</t>
  </si>
  <si>
    <t>Avoid waterlogged or shaded areas for planting, Nutrient content varies with soil fertility and agronomic practices, Early maturity requires timely harvesting to prevent bitterness, Despite being climate-smart, irrigation may be needed during dry spells</t>
  </si>
  <si>
    <t>agronomic practices, leafy vegetable, nutritional value, early maturing, climate smart, wide adaptability</t>
  </si>
  <si>
    <t>Mobile soil testing services</t>
  </si>
  <si>
    <t>Integrated Soil Fertility Management (Spider Plant)</t>
  </si>
  <si>
    <t>This is a set of soil fertility management practices that include the use of inorganic fertilizer, organic inputs and improved germplasm combined with the knowledge on how to adapt these practices to local conditions in aim of maximizing the agronomic use efficiency of the applied nutrients and improving crop productivity.</t>
  </si>
  <si>
    <t>soil fertility, inorganic fertilizer, organic inputs, improved germplasm, nutrient efficiency, crop productivity</t>
  </si>
  <si>
    <t>Integrated Manure Management (IMM) (Spider Plant)</t>
  </si>
  <si>
    <t>Improperly composted manure may contain pathogens and weed seeds, Fresh manure can burn plant roots if applied directly, Manure quality varies by animal type and feed, GHG emissions can occur if manure is not properly managed</t>
  </si>
  <si>
    <t>Rain water Roof water catchment (Spider Plant)</t>
  </si>
  <si>
    <t>Mulching (Spider Plant - Soil/Water)</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</si>
  <si>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mulches decompose).</t>
  </si>
  <si>
    <t>Organic mulches may harbor pests and diseases if not managed, Plastic mulches require proper disposal to prevent environmental pollution, Mulch can compete with livestock feed and fuelwood needs, Excessive mulch may harbor rodents and slugs</t>
  </si>
  <si>
    <t>Solar Irrigation Systems for smallholder farmers (Spider Plant)</t>
  </si>
  <si>
    <t>Drip irrigation system (Spider Plant)</t>
  </si>
  <si>
    <t>Emitters can clog with sediment or salt buildup, Requires regular filter cleaning and maintenance, High initial cost for quality drip systems, Poly tubing can collapse or be damaged by rodents</t>
  </si>
  <si>
    <t>Integrated Management of Root Knot nematodes in Spider Plant</t>
  </si>
  <si>
    <t>Root knot nematodes affecting Spider Plants are controlled through cultural management practises and chemical control. Cultural practices: Crop rotation with non-host crops such as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 e.g. Trianum P at a rate of 45g/15L of water.</t>
  </si>
  <si>
    <t>Long crop rotation (4-6 seasons) may not be feasible for small farms, Soil solarization requires specific climatic conditions (hot dry months), Follow label instructions carefully when using neem products, Trichoderma spp products require proper storage and handling</t>
  </si>
  <si>
    <t>nematode management, crop rotation, soil solarization, biological control, neem products, Trichoderma</t>
  </si>
  <si>
    <t>Integrated Management of Flea beetle (Spider Plant)</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</si>
  <si>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t>
  </si>
  <si>
    <t>flea beetle, cultural control, biological control, biopesticides, PCPB, pest management</t>
  </si>
  <si>
    <t>Integrated Management of Aphids (Spider Plant)</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</si>
  <si>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Biological control: Apply neem based products (e.g. neem oil 40ml/20lts of water, Achook) 2 times/month; Spray with soapy water solution.</t>
  </si>
  <si>
    <t>Over-fertilization can attract aphids to nitrogen-rich plants, Flooding may not be suitable for all soil types, Neem products require proper mixing and timing, Soapy water sprays may damage plants if concentration is too high</t>
  </si>
  <si>
    <t>aphids, cultural control, natural enemies, neem products, soap spray, integrated pest management</t>
  </si>
  <si>
    <t>Integrated Management of Desert locust (Schistocerca gregaria) (Spider Plant)</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</si>
  <si>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t>
  </si>
  <si>
    <t>Requires coordinated regional response, Chemical pesticides must be applied following DLCO-EA guidelines, Biological control (Metarhizium spp) requires specific weather conditions, Early warning systems need reliable communication networks</t>
  </si>
  <si>
    <t>desert locust, early warning system, DLCO-EA, remote sensing, regional coordination, biological control</t>
  </si>
  <si>
    <t>Integrated management of Cotton Jassids (Spider Plant)</t>
  </si>
  <si>
    <t>Integrated management of Cotton Jassids consist of various approaches to prevent grain damage. Cultural practises: Predatory bugs like ladybird beetles and spiders will attack jassids; Clean cultivation: avoid excessive use of fertilizer (no more then 3-4 bags of urea) as Jassids will be attracted to crops higher in nitrogen, as they will be tastier; Grow cotton from 15 April to 31 May to escape jassid attack.</t>
  </si>
  <si>
    <t>Avoid excessive nitrogen fertilization to prevent attraction, Planting dates may need adjustment based on local climate, Natural predators require conservation practices, Neem powder may need frequent reapplication</t>
  </si>
  <si>
    <t>cotton jassids, predatory insects, nitrogen management, planting date, neem powder, pest management</t>
  </si>
  <si>
    <t>Integrated management of Cut worms in Spider Plant</t>
  </si>
  <si>
    <t>Integrated cutworm management consist of various approaches to prevent grain damage. Cultural practises: Ploughing exposes caterpillars to predators and to desiccation by the sun; Prepare field and vegetation and weeds destroyed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 Flooding of the field for a few days before sowing or transplanting. Biological management: Use repellent neem extract 3 times at weekly intervals; Use of ash on the seedbed; Use of molasses at the base of each plant.</t>
  </si>
  <si>
    <t>Hand picking is labor-intensive and requires vigilance, Flooding is not suitable for all soil types or crops, Ash application may alter soil pH, Molasses can attract other pests</t>
  </si>
  <si>
    <t>cutworms, cultural control, ploughing, hand picking, neem extract, biological management</t>
  </si>
  <si>
    <t>Integrated management of Hurricane bugs on Spider Plant</t>
  </si>
  <si>
    <t>Integrated management of Hurricane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</si>
  <si>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Hand collection is labor-intensive for large fields, Natural enemy conservation requires reduced pesticide use, Neem spray timing is critical (morning applications), Monitor populations regularly before infestation becomes severe</t>
  </si>
  <si>
    <t>hurricane bugs, hand collection, natural enemies, neem spray, flowering stage, pod formation</t>
  </si>
  <si>
    <t>Integrated Weed Management (Spider Plant)</t>
  </si>
  <si>
    <t>Herbicide misuse can damage crops and harm the environment, Manual weeding is labor-intensive and costly, Biological control through grazing requires careful management to avoid crop damage, Some weeds may develop resistance to herbicides</t>
  </si>
  <si>
    <t>Land Preparation Practices to control weeds in Spider Plant</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</si>
  <si>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Spider Plant seeds.</t>
  </si>
  <si>
    <t>Legume Intercropping System (Spider Plant)</t>
  </si>
  <si>
    <t>Innovative Legume Intercropping System is the growing of legumes crops such as Cowpea with Spider Plant in a field at the same time, as a tool to enhance agricultural production and to obtain efficient land use. Legumes benefit the main crop (Pumpkin) by replenishing soil nitrogen, smothering weeds and retaining soil moisture.</t>
  </si>
  <si>
    <t>Competition between crops for water, nutrients and light can reduce yields, Increased labor for management and harvesting, May complicate mechanization and pesticide application</t>
  </si>
  <si>
    <t>Spider Plant Intercropping</t>
  </si>
  <si>
    <t>Intercropping of Spider Plant is the practice of planting Spider Plant between other crops between rows such as cereal (maize, millets), tubers (cassava), and bananas. Intercropping must be planned to use space available and smother the weeds.</t>
  </si>
  <si>
    <t>Mulching (Spider Plant - Weed Control)</t>
  </si>
  <si>
    <t>The practice of covering the soil/ground with natural materials or synthetic materials to control weeds from seeds that germinate near or at the soil surface. There are two types of mulch: biodegradable or natural mulches including straw, dead leaves and compost to make more favourable conditions for plant growth, development and efficient crop production. The mulch should be between 2-4 inches deep to be effective. Non degradable or synthetic mulches can be used in growing for long season Spider Plant. Only black mulch should be used to control weeds.</t>
  </si>
  <si>
    <t>Chemical Weed Control (Spider Plant)</t>
  </si>
  <si>
    <t>Chemical weed control refers a technique that involves the application of herbicide to control the growth of weeds or to soil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</si>
  <si>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Spider Plant, Follow label instructions strictly to avoid crop damage, Apply herbicides during recommended weather conditions, Wear appropriate personal protective equipment</t>
  </si>
  <si>
    <t>Mechanical weeding (Spider Plant)</t>
  </si>
  <si>
    <t>Safe Use of Agrochemicals (Spider Plant)</t>
  </si>
  <si>
    <t>Power tiller (Spider Plant)</t>
  </si>
  <si>
    <t>Wheeled Tractor less than 50Hp (Spider Plant)</t>
  </si>
  <si>
    <t>Mould board plough (Spider Plant)</t>
  </si>
  <si>
    <t>Disc Harrow (Spider Plant)</t>
  </si>
  <si>
    <t>AIV Planter (Spider Plant)</t>
  </si>
  <si>
    <t>Motorized Sprayer (Spider Plant)</t>
  </si>
  <si>
    <t>Power weeder (Spider Plant)</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</si>
  <si>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Spider Plant farmers. It is designed to weed specified spacing inter raw within Spider Plant.</t>
  </si>
  <si>
    <t>Back Pack Weeder (Spider Plant)</t>
  </si>
  <si>
    <t>It is a hand held machine that simultaneously cut the soil and weeds in AIV and is an intermediate technology machine appropriate for Small Holder Farmers. It is designed to weed specified spacing inter raw within Spider Plant.</t>
  </si>
  <si>
    <t>Back Spider Plant Harvester</t>
  </si>
  <si>
    <t>It is a hand held machine that simultaneously cut the vegetable leaves and is an intermediate technology machine appropriate for Small Holder Farmers. It is designed to harvest specified spacing inter raw within Spider Plant.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</si>
  <si>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Sorting and grading of Spider Plant</t>
  </si>
  <si>
    <t>Sorting is removal of diseased vegetables, vegetables with nutrient deficiencies symptoms (e.g. yellowing spots), weeds and debris. Grading is categorizing Spider Plant according to leaf size, weight, maturity, turgidity, physical damage, and market demand.</t>
  </si>
  <si>
    <t>Zero Energy Brick Cooler (Spider Plant)</t>
  </si>
  <si>
    <t>CoolBot™ (Spider Plant)</t>
  </si>
  <si>
    <t>It is a low cost postharvest temperature management that improved the shelf life of Spider Plant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</si>
  <si>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(Spider Plant)</t>
  </si>
  <si>
    <t>Modified Atmosphere Packaging of Spider Plant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</si>
  <si>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Spider Plant leaves for between 5-7 days.</t>
  </si>
  <si>
    <t>Postharvest handling and preservation (Spider Plant)</t>
  </si>
  <si>
    <t>Solar drying is a technique for preserving farm produce using solar energy either directly or indirectly. Indirect sun drying is recommended to enhance retention of nutrients. Two types of dryers are used which include cabinet solar drier and high tunnel/greenhouse solar dryers.</t>
  </si>
  <si>
    <t>solar drying, preservation, cabinet drier, greenhouse drier, nutrient retention, postharvest</t>
  </si>
  <si>
    <t>Spider Plant vegetable drying</t>
  </si>
  <si>
    <t>The technology involves drying of Spider Plant vegetables to remove excess moisture thus improving their shelf life.</t>
  </si>
  <si>
    <t>Proper drying prevents mold growth and spoilage, Temperature control is critical for nutrient retention, Rehydration quality depends on drying method, Storage conditions after drying affect shelf life</t>
  </si>
  <si>
    <t>vegetable drying, moisture removal, shelf life, preservation, solar drying, postharvest</t>
  </si>
  <si>
    <t>Recipe development for Spider Plant</t>
  </si>
  <si>
    <t>Recipes for the utilization and values added products for home consumption.</t>
  </si>
  <si>
    <t>Recipes may require adaptation to local tastes and ingredients, Nutritional content varies with preparation methods, Allergens and dietary restrictions should be considered, Food safety practices must be followed</t>
  </si>
  <si>
    <t>recipes, value addition, utilization, home consumption, food processing, nutrition</t>
  </si>
  <si>
    <t>Transformative Model of AIV production (Spider Plant)</t>
  </si>
  <si>
    <t>Building a Business Plan for Spider Plant</t>
  </si>
  <si>
    <t>Profitability analysis (Spider Plant)</t>
  </si>
  <si>
    <t>Profitability analysis involves recording of costs and returns and therefore determination of profit which indicates the performance of the Spider Plant agro-enterprise. Profit analysis detects whether the business is operating at a loss or gain, leading to low productivity.</t>
  </si>
  <si>
    <t>Marketing Innovation model Spider Plant Production and marketing</t>
  </si>
  <si>
    <t>Collective marketing (Spider Plant)</t>
  </si>
  <si>
    <t>Contracted production (Spider Plant)</t>
  </si>
  <si>
    <t>Digital marketing (Spider Plant)</t>
  </si>
  <si>
    <t>Market research (Spider Plant)</t>
  </si>
  <si>
    <t>Advocacy in farmers' participation in the National Agricultural Policy development and implementation (Spider Plant)</t>
  </si>
  <si>
    <t>Participation in the County Integrated Development Planning (Spider Plant)</t>
  </si>
  <si>
    <t>The County Integrated Development Planning builds a plan for each county in Kenya to be implemented in five years. The planning process is participatory, involving the development stakeholders in the county. It is during this planning period where the issues in Spider Plant production, marketing and processing are considered.</t>
  </si>
  <si>
    <t>Policy instruments related to Spider Plant production</t>
  </si>
  <si>
    <t>Policy cycle (Spider Plant)</t>
  </si>
  <si>
    <t>Good Agricultural Practices (GAP) (Spider Plant)</t>
  </si>
  <si>
    <t>Food Safety Management System: Hazard Analysis Critical Control Points (HACCP) Plan for Spider Plant Value Chain in Kenya</t>
  </si>
  <si>
    <t>Food safety management system (FSMS) through Hazard Analysis and Critical Control Point (HACCP) in Spider Plant value chain is a system of food safety monitoring and control based on the systematic identification and assessment of various hazards. It is a preventive, rather than a reactive, tool that places the protection of the Spider Plant supply from biological, chemical and physical hazards into the hands of food management systems. The system is designed to minimize the risk of food safety hazards by identifying the hazards, establishing controls and monitoring these controls.</t>
  </si>
  <si>
    <t>Cowpea Variety K80</t>
  </si>
  <si>
    <t>K80: - Released in 1998. Yield potential of 1.2 -1.8 t/ha under good management. Maturity period 80 -90 days. Creamy brown in color. Dual purpose variety for both grain and vegetable use.</t>
  </si>
  <si>
    <t>Verify variety suitability for your specific agro-ecological zone, Yield potential depends on good management practices including proper fertilization, Dual purpose use requires different harvesting approaches for grain vs leaves, Source certified seeds from reputable suppliers</t>
  </si>
  <si>
    <t>Cowpea K80, dual purpose, high yielding, creamy brown, 80-90 days, released 1998</t>
  </si>
  <si>
    <t>High yielding KVU27-1 (Cowpea)</t>
  </si>
  <si>
    <t>KVU27-1: - Released in 1998. Yield potential of 1.2 -1.8 t/ha under good management. Maturity period 80 -90 days. Red in colour. Dual purpose variety for both grain and vegetable use.</t>
  </si>
  <si>
    <t>KVU27-1, dual purpose, high yielding, red colour, 80-90 days, released 1998</t>
  </si>
  <si>
    <t>High yielding Kunde Tumaini (Cowpea)</t>
  </si>
  <si>
    <t>Kunde Tumaini: - Released in June, 2017. Yield potential of 1.5 -2.0 t/ha under good management. Maturity period 80 -90 days. Tolerant to Alectra vogelii parasitic weed which is a common in dry regions of eastern Kenya. Large seeded grain, deep brown in color with brown eye. Dual purpose variety for both grain and vegetable use. Developed using Farmer participatory variety selection.</t>
  </si>
  <si>
    <t>Alectra tolerance reduces but does not eliminate the need for field monitoring, Yield potential requires good management including proper weed control, Farmer participatory selection indicates good local adaptation, Large seeded grain may have specific market preferences</t>
  </si>
  <si>
    <t>Kunde Tumaini, Alectra tolerant, dual purpose, large seeded, farmer participatory, deep brown</t>
  </si>
  <si>
    <t>High yielding Kunde Faulu (Cowpea)</t>
  </si>
  <si>
    <r>
      <rPr>
        <rFont val="Times New Roman"/>
        <color rgb="FF000000"/>
        <sz val="12.0"/>
      </rPr>
      <t xml:space="preserve">Kunde Faulu: - Released in June, 2017. Yield potential of 1.5 -2.2 t/ha under good management. Maturity period 80 -90 days. Tolerant to </t>
    </r>
    <r>
      <rPr>
        <rFont val="Times New Roman"/>
        <i/>
        <color rgb="FF000000"/>
        <sz val="12.0"/>
      </rPr>
      <t>Alectra vogelii</t>
    </r>
    <r>
      <rPr>
        <rFont val="Times New Roman"/>
        <color rgb="FF000000"/>
        <sz val="12.0"/>
      </rPr>
      <t xml:space="preserve"> parasitic weed which is a common in dry regions of eastern Kenya. Large seeded grain, deep brown in color with brown eye. Dual purpose variety for both grain and vegetable use. Developed using Farmer participatory variety selection.</t>
    </r>
  </si>
  <si>
    <t>Kunde Faulu, Alectra tolerant, dual purpose, large seeded, farmer participatory, deep brown</t>
  </si>
  <si>
    <t>High yielding Kunde soko (Cowpea)</t>
  </si>
  <si>
    <r>
      <rPr>
        <rFont val="Times New Roman"/>
        <color rgb="FF000000"/>
        <sz val="12.0"/>
      </rPr>
      <t xml:space="preserve">Kunde Soko: - Released in June 2017. Yield potential of 1.5 -2.2 t under good management. Maturity period 80 -90 days. Tolerant to </t>
    </r>
    <r>
      <rPr>
        <rFont val="Times New Roman"/>
        <i/>
        <color rgb="FF000000"/>
        <sz val="12.0"/>
      </rPr>
      <t xml:space="preserve">Alectra vogelii </t>
    </r>
    <r>
      <rPr>
        <rFont val="Times New Roman"/>
        <color rgb="FF000000"/>
        <sz val="12.0"/>
      </rPr>
      <t>a parasitic weed which is a common in dry regions of eastern Kenya. Large seeded grain, creamy brown in color with greenish eye. Dual purpose variety for both grain and vegetable use. Developed using Farmer participatory variety selection.</t>
    </r>
  </si>
  <si>
    <t>Kunde Soko, Alectra tolerant, dual purpose, large seeded, farmer participatory, creamy brown</t>
  </si>
  <si>
    <t>High yielding Kunde Tamu (Cowpea)</t>
  </si>
  <si>
    <t>Kunde Tamu: - Released in June, 2017. Yield potential of 1.5 -2.0 t/ha under good management. Early maturing takes 70 -80 days. Tolerant to Alectra vogelii parasitic weed which is a common in dry regions of eastern Kenya. Brown coat color with purple splashes and greenish eye around the hilum. Dual purpose variety for both grain and vegetable use. Developed using Farmer participatory variety selection.</t>
  </si>
  <si>
    <t>Alectra tolerance reduces but does not eliminate the need for field monitoring, Early maturity requires timely harvesting to prevent shattering, Farmer participatory selection indicates good local adaptation, Purple splashes may affect market acceptability in some regions</t>
  </si>
  <si>
    <t>Kunde Tamu, Alectra tolerant, dual purpose, early maturing, farmer participatory, purple splashes</t>
  </si>
  <si>
    <t>High yielding KAT Kunde (Cowpea)</t>
  </si>
  <si>
    <r>
      <rPr>
        <rFont val="Times New Roman"/>
        <color rgb="FF000000"/>
        <sz val="12.0"/>
      </rPr>
      <t xml:space="preserve">Kat-Kunde: - Released in June, 2017. Yield potential of 1.5 -2.0 t/ha under good management. Maturity period 80 -90 days. Tolerant to </t>
    </r>
    <r>
      <rPr>
        <rFont val="Times New Roman"/>
        <i/>
        <color rgb="FF000000"/>
        <sz val="12.0"/>
      </rPr>
      <t xml:space="preserve">Alectra vogelii </t>
    </r>
    <r>
      <rPr>
        <rFont val="Times New Roman"/>
        <color rgb="FF000000"/>
        <sz val="12.0"/>
      </rPr>
      <t>parasitic weed which is a common in dry regions of eastern Kenya. Creamy brown in color with greenish eye. Dual purpose variety for both grain and vegetable use. Developed using Farmer participatory variety selection.</t>
    </r>
  </si>
  <si>
    <t>Alectra tolerance reduces but does not eliminate the need for field monitoring, Yield potential requires good management including proper weed control, Farmer participatory selection indicates good local adaptation, Verify official release status and seed availability</t>
  </si>
  <si>
    <t>KAT Kunde, Alectra tolerant, dual purpose, farmer participatory, creamy brown, greenish eye</t>
  </si>
  <si>
    <t>Formal Cowpea Seed System</t>
  </si>
  <si>
    <t>A Seed System is a set of activities contributing to variety development and seed production and delivery to farmers. The formal Cowpea Seed System is characterized by a well-regulated and organized set of activities, from breeding to delivering certified seeds of known and registered varieties to farmers and other stakeholders. It ensures continuous production, processing, supply and distribution of quality Cowpea seeds to farmers through organized marketing channels.</t>
  </si>
  <si>
    <t>Informal Cowpea Seed System (Cowpea)</t>
  </si>
  <si>
    <t>A Seed System is a set of activities contributing to variety development and seed production and delivery to farmers. The informal Cowpea Seed System entails seed selection, treatment, storage, multiplication, and distribution. The informal Cowpea Seed System is outside the control of government agencies, with no external seed quality control. This system includes farmer-saved seed, gifts, barter, exchange and seed purchasing from local markets.</t>
  </si>
  <si>
    <t>Semi-Informal Cowpea seed production system (Cowpea)</t>
  </si>
  <si>
    <t>Variety selection, Seed acquisition or Own Seed Selection, Planting, Weeding, Thinning, Fertilizer Application, Pest and Disease Management, Harvesting, Storage (Cowpea)</t>
  </si>
  <si>
    <t>This includes: Variety selection: Planting the recommended improved Cowpea variety suitable for target area and end use; Seed acquisition: Certified seed or training on proper own selection; Planting: Fine land preparation and early planting. May be planted on the flat. Spacing: mono-cropping 60cm x 20cm (semi-arid areas), High rainfall areas (30cm x 10-20cm). Plant 3-4 seeds per hill. Depth 4-5 cm. Seed rate 10-12 kg/acre. Weeding: Two weeks after germination. Thereafter the field should be kept weed free until the plants form own canopy. Thinning: 2-3 weeks after germination thin to 1-2 per hill. Harvesting: May be done by uprooting whole plants or over extended period. Whole plants may be harvested 4-5 weeks after germination. For prolonged leaf harvesting commences at 4-6 weeks after germination, then once every 2 weeks until onset of flowering. Seeds should be harvested at physiological maturity.</t>
  </si>
  <si>
    <t>Spacing varies significantly between semi-arid and high rainfall areas, Proper thinning is critical to avoid overcrowding and yield reduction, Harvest timing differs for leaf vs grain production, Physiological maturity for seed harvesting requires careful observation</t>
  </si>
  <si>
    <t>agronomic practices, spacing, thinning, weeding, harvesting, seed rate</t>
  </si>
  <si>
    <t>Mobile soil testing services (Cowpea)</t>
  </si>
  <si>
    <t>Integrated Soil Fertility Management (Cowpea)</t>
  </si>
  <si>
    <t>Integrated Manure Management (IMM) (Cowpea)</t>
  </si>
  <si>
    <t>Integrated Manure Management (IMM) is the optimal, site-specific handling of livestock manure from collection, through treatment and storage up to application to crops. Manure is obtained from different animals (poultry, cow, goat, horse) on the farm, but it can also be bought from other farmers or at the market. When managed properly, it provides plant nutrients, builds soil organic matter, and improves soil physical properties all of which are important for soil quality and crop production.</t>
  </si>
  <si>
    <t>Rain water Roof water catchment (Cowpea)</t>
  </si>
  <si>
    <t>Mulching (Cowpea)</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</si>
  <si>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 decomposes).</t>
  </si>
  <si>
    <t>Solar Irrigation Systems for smallholder farmers (Cowpea)</t>
  </si>
  <si>
    <t>Drip irrigation system (Cowpea)</t>
  </si>
  <si>
    <t>Integrated Management of anthracnose disease in Cowpea</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</si>
  <si>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The most susceptible stage is bud-formation, flowering period and early pod development. Spraying Carbendazim 500g or Mancozeb 2kg/ha soon after the appearance of disease and repeat after 15 days.</t>
  </si>
  <si>
    <t>Integrated Management of powdery mildew disease in Cowpea</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</si>
  <si>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Chemical management options: Spraying copper based products such as copper oxychloride once initial symptoms are observed.</t>
  </si>
  <si>
    <t>Integrated Management of Cercospora leaf spot disease in Cowpea</t>
  </si>
  <si>
    <t>Integrated disease management for Cercospora leaf spot comprises of the use of cultural management practices, deployment of tolerant varieties and chemical control in the management of the disease in Cowpea. Cultural practices: Practice good field sanitation and hygiene practices by collecting and safely disposing infected plants; Regular weeding. Chemical management: Spray Mancozeb 2kg/ha or Carbendazim 500 g/ha.</t>
  </si>
  <si>
    <t>Cercospora leaf spot, tolerant varieties, cultural control, chemical control, field sanitation, Mancozeb</t>
  </si>
  <si>
    <t>Integrated Management of Cowpea Mosaic Virus (Cowpea)</t>
  </si>
  <si>
    <t>Integrated management of Cowpea Mosaic Virus consists of various approaches that help to break the disease cycle. They include cultural management and chemical control. Cowpea Mosaic Virus is associated with insect infestations that transmit the pathogen while sacking sap from plant tissues. The disease is effectively managed by controlling insect infestations. Cultural practices: Use of certified seed; Monitoring insect vectors that transmit the viruses; Avoiding work on fields when wet to prevent spread; Uprooting weeds that could serve as alternative hosts; Increase the seed rate (25 kg/ha). Chemical management: Treat the seeds with Thiomethoxam-70WS or Imidacloprid-70WS @4g/kg; Spray Thiamethoxam25WG @ 100g or Imidacloprid 17.8% SL @ 100 ml in 500 lit of water.</t>
  </si>
  <si>
    <t>Cowpea mosaic virus, viral disease, insect vectors, certified seeds, seed treatment, vector control</t>
  </si>
  <si>
    <t>Integrated Management of Bacterial blight disease in Cowpea</t>
  </si>
  <si>
    <t>Integrated management of Bacterial blight consists of various approaches that help to break the disease cycle. They cultural management and chemical control. Cultural practices: Use of certified seed; Practicing crop rotation with non-legume crops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</si>
  <si>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Jik solution (1:20 ratio) must be prepared correctly, Long crop rotation (3-4 years) may not be feasible for small farms, Copper oxychloride requires careful application to avoid phytotoxicity, Certified seed reduces but does not eliminate disease risk</t>
  </si>
  <si>
    <t>bacterial blight, cultural control, chemical control, crop rotation, jik disinfection, copper oxychloride</t>
  </si>
  <si>
    <t>Integrated Management of Macrophomina root rot disease in Cowpea</t>
  </si>
  <si>
    <t>Integrated Management of Macrophomina root rot disease consists of various approaches that help to break the disease cycle. They include cultural management and chemical control.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</si>
  <si>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Long crop rotation (6-8 seasons) may not be feasible for small farms, Biological control agents require proper handling and storage, Seed treatment requires proper mixing and application, Neem cake application requires significant quantities</t>
  </si>
  <si>
    <t>Macrophomina root rot, cultural control, biological control, seed treatment, Trichoderma, crop rotation</t>
  </si>
  <si>
    <t>Integrated Management of Root Knot nematodes in Cowpea</t>
  </si>
  <si>
    <t>Root knot nematodes affecting Cowpeas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</si>
  <si>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White flies (Bemisia tabaci) (Cowpea)</t>
  </si>
  <si>
    <t>Timely application of integrated management options is required. The following cultural and chemical strategies are involved: Cultural practises: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Nimbeidine, Achook, Neemark that do not contaminate the environment.</t>
  </si>
  <si>
    <t>Yellow sticky traps require regular monitoring and replacement, Intercropping requires additional land and management, Neem products require proper mixing and timing for effectiveness, Limited chemical use requires careful pest monitoring</t>
  </si>
  <si>
    <t>white flies, sticky traps, intercropping, neem products, biological control, integrated pest management</t>
  </si>
  <si>
    <t>Integrated Management of Blossom beetle (Cowpea)</t>
  </si>
  <si>
    <t>Integrated Blossom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</si>
  <si>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blossom beetle, cultural control, biological control, biopesticides, PCPB, integrated pest management</t>
  </si>
  <si>
    <t>Integrated Management of Cowpea Aphids (Cowpea)</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</si>
  <si>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</si>
  <si>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attract aphids to nitrogen-rich plants, Flooding may not be suitable for all soil types, Neem products require proper mixing and regular application, Soapy water sprays may damage plants if concentration is too high</t>
  </si>
  <si>
    <t>Integrated Management of blister beetle (Cowpea)</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</si>
  <si>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It begins with the most environmentally friendly (cultural) strategy as you move towards harsh (chemical) pest control methods. This management practice starts with pest scouting/monitoring, pest identification and establishment of economic threshold and finally a decision is made on which pest control measures to use.</t>
  </si>
  <si>
    <t>Pest scouting requires regular and systematic monitoring, Economic threshold determination requires knowledge of pest damage levels, Cultural methods require consistent implementation, Chemical control should be the last resort</t>
  </si>
  <si>
    <t>blister beetle, pest scouting, economic threshold, cultural control, biological control, integrated pest management</t>
  </si>
  <si>
    <t>Integrated Management of Desert locust (Schistocerca gregaria) (Cowpea)</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</si>
  <si>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Scouting should be synchronized with early warning systems reports from FAO. Spray hopper bands using Metarhizium anisopliae based products.</t>
  </si>
  <si>
    <t>Requires coordinated regional response, Chemical pesticides must be applied following DLCO-EA guidelines, Biological control (Metarhizium) requires specific weather conditions, Early warning systems need reliable communication networks</t>
  </si>
  <si>
    <t>Integrated management of Bruchid on Cowpea (Cowpea)</t>
  </si>
  <si>
    <t>Integrated bean bruchid management consist of various approaches to prevent grain damage. Cultural practises: Sort grains and remove visibly damaged; Cover with plastic or store grains with husks; Use pheromone traps to attract weevils. Chemical management: Use repellent neem powder to repel.</t>
  </si>
  <si>
    <t>Sorting grains is labor-intensive and requires attention to detail, Plastic covering must be properly sealed to be effective, Pheromone traps require regular monitoring and replacement, Neem powder may need frequent reapplication</t>
  </si>
  <si>
    <t>bruchid, grain storage, pheromone traps, neem powder, sorting, pest management</t>
  </si>
  <si>
    <t>Integrated management of Cut worms on Cowpea</t>
  </si>
  <si>
    <t>Hand picking is labor-intensive and requires vigilance, Flooding is not suitable for all soil types, Ash application may alter soil pH, Molasses can attract other pests</t>
  </si>
  <si>
    <t>Integrated Management of Thrips on Cowpea</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</si>
  <si>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Beauivtech WP (Beauveria bassiana) or Bio-Power 1.5L (Beauveria bassiana), or Botanigard ES (Azadirachtin); Spray neem based products like neemroc EC and nimbecidine (Azadirachtin) use 1 lts/acre. Chemical Control: Spray with Spinosad based products eg tracer 480 SC at 4mls per 20lts of water or lambda cyhalothrin products at 7ml per 20l of water or duduthrin at 65mls per 20l of water or Karate at 20gms/20l. Use synthetic insecticides with PHI of 3 days or less since garden pea is harvesting at very short intervals.</t>
  </si>
  <si>
    <t>Overhead irrigation may promote fungal diseases in some conditions, Blue sticky traps need regular replacement, Biocontrol agents require proper handling and storage, Always observe pre-harvest intervals when applying synthetic insecticides</t>
  </si>
  <si>
    <t>thrips, sticky traps, biocontrol, neem products, overhead irrigation, integrated pest management</t>
  </si>
  <si>
    <t>Integrated management of leaf and pod sucking bugs on Cowpea</t>
  </si>
  <si>
    <t>Integrated management of Pod sucking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</si>
  <si>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pod sucking bugs, hand collection, natural enemies, neem spray, flowering stage, pod formation</t>
  </si>
  <si>
    <t>Integrated management of red spider mites on Cowpea</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</si>
  <si>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Cowpea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</si>
  <si>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red spider mites, cultural control, biological control, predatory mites, overhead irrigation, neem extract</t>
  </si>
  <si>
    <t>Safe Use of Agrochemicals (Cowpea)</t>
  </si>
  <si>
    <t>Power tiller (Cowpea)</t>
  </si>
  <si>
    <t>Wheeled Tractor less than 50Hp (Cowpea)</t>
  </si>
  <si>
    <t>Mould board plough (Cowpea)</t>
  </si>
  <si>
    <t>Disc Harrow (Cowpea)</t>
  </si>
  <si>
    <t>AIV Planter (Cowpea)</t>
  </si>
  <si>
    <t>Motorized Sprayer (Cowpea)</t>
  </si>
  <si>
    <t>Power weeder (Cowpea)</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</si>
  <si>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Cowpea farmers. It is designed to weed specified spacing inter raw within Cowpea.</t>
  </si>
  <si>
    <t>Back Pack Weeder (Cowpea)</t>
  </si>
  <si>
    <t>It is a hand held machine that simultaneously cut the soil and weeds in Cowpea and is an intermediate technology machine appropriate for Small Holder Farmers. It is designed to weed specified spacing inter raw within Cowpea.</t>
  </si>
  <si>
    <t>Back AIVs Harvester (Cowpea)</t>
  </si>
  <si>
    <t>It is a hand held machine that simultaneously cut the vegetable leaves and is an intermediate technology machine appropriate for Small Holder Farmers. It is designed to harvest specified spacing inter raw within Cowpea.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</si>
  <si>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Cowpea sorting and grading (Cowpea)</t>
  </si>
  <si>
    <t>Sorting involves removal of diseased vegetables, vegetables with nutrient deficiencies signs (e.g. yellowing spots), weeds and debris. Grading is categorization of vegetables according to leaf size, weight, maturity, turgidity, physical damage, and market demand.</t>
  </si>
  <si>
    <t>Zero Energy Brick Cooler (Cowpea)</t>
  </si>
  <si>
    <t>CoolBot™ (Cowpea)</t>
  </si>
  <si>
    <t>It is a low cost postharvest temperature management that improved the shelf life of banana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</si>
  <si>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(Cowpea)</t>
  </si>
  <si>
    <t>Modified Atmosphere Packaging of cow pea (Ziploc® and Xtend® bag packaging) (Cowpea)</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</si>
  <si>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Cowpea vegetables to between 5-7 days.</t>
  </si>
  <si>
    <t>Cowpea solar drying (Cowpea)</t>
  </si>
  <si>
    <t>Solar drying involves removal of excess moisture in Cowpea leaves hence increase the shelf life and reduce bulkiness during marketing. The methods used in drying include cabinet solar dryer, greenhouse solar dryer and De-hytray.</t>
  </si>
  <si>
    <t>Utilization of Cowpea leaves for high nutritional and medicinal properties (Cowpea)</t>
  </si>
  <si>
    <t>Value addition of Cowpea leaves increases available products that can be consumed. Value addition also improves palatability of Cowpea.</t>
  </si>
  <si>
    <t>Nutritional content varies with preparation methods, Palatability improvements may require recipe adaptation, Allergens and dietary restrictions should be considered, Food safety practices must be followed</t>
  </si>
  <si>
    <t>value addition, Cowpea leaves, nutrition, palatability, food processing, utilization</t>
  </si>
  <si>
    <t>Transformative Model of AIV production (Cowpea)</t>
  </si>
  <si>
    <t>Building a Business Plan for AIVs (Cowpea)</t>
  </si>
  <si>
    <t>Profitability analysis (Cowpea)</t>
  </si>
  <si>
    <t>Profitability analysis involves recording of costs and returns and therefore determination of profit which indicates the performance of the agro-enterprise. Profit analysis detects whether the business is operating at a loss or gain, leading to low productivity.</t>
  </si>
  <si>
    <t>Marketing Innovation model for the AIV Production and marketing (Cowpea)</t>
  </si>
  <si>
    <t>Collective marketing (Cowpea)</t>
  </si>
  <si>
    <t>Contracted production (Cowpea)</t>
  </si>
  <si>
    <t>Digital marketing (Cowpea)</t>
  </si>
  <si>
    <t>Market research (Cowpea)</t>
  </si>
  <si>
    <t>Advocacy in farmers' participation in the National Agricultural Policy development and implementation (Cowpea)</t>
  </si>
  <si>
    <t>Participation in the County Integrated Development Planning (Cowpea)</t>
  </si>
  <si>
    <t>The County Integrated Development Planning builds a plan for each county in Kenya to be implemented in five years. The planning process is participatory, involving the development stakeholders in the county. It is during this planning period where the issues in Cowpea production, marketing and processing are considered.</t>
  </si>
  <si>
    <t>Policy instruments related to AIV production (Cowpea)</t>
  </si>
  <si>
    <t>Policy cycle (Cowpea)</t>
  </si>
  <si>
    <t>Good Agricultural Practices (GAP) (Cowpea)</t>
  </si>
  <si>
    <t>Food Safety Management System: Hazard Analysis Critical Control Points (HACCP) Plan for AIVs Value Chain in Kenya (Cowpea)</t>
  </si>
  <si>
    <t>Food safety management system (FSMS) through Hazard Analysis and Critical Control Point (HACCP) in AIVs value chain is a system of food safety monitoring and control based on the systematic identification and assessment of various hazards. It is a preventive, rather than a reactive, tool that places the protection of the Cowpea supply from biological, chemical and physical hazards into the hands of food management systems. The system is designed to minimize the risk of food safety hazards by identifying the hazards, establishing controls and monitoring these controls.</t>
  </si>
  <si>
    <t>KK Mrambi (Ex-Zim) Amaranth</t>
  </si>
  <si>
    <t>Improved variety: High yielding at 5-10 t/ha. Long periods of harvesting (2 months). Tall variety. Area of production 200-2000 masl. High calcium, magnesium and zinc contents.</t>
  </si>
  <si>
    <t>Verify altitude suitability (200-2000 masl) before planting, High yields depend on good management including proper fertilization, Long harvesting period requires regular leaf plucking to maintain productivity, Nutritional content varies with soil fertility and agronomic practices</t>
  </si>
  <si>
    <t>high yielding, tall variety, long harvest, high calcium, magnesium, zinc</t>
  </si>
  <si>
    <t>KK Livokoyi (AC 38) (Amaranth)</t>
  </si>
  <si>
    <t>Yield 5-10 t/ha. High calcium, magnesium and zinc contents. Long periods of harvesting (2 months). Not bitter in taste. Area of production 200-2000 masl.</t>
  </si>
  <si>
    <t>Verify altitude suitability (200-2000 masl) before planting, Mild taste may vary with growing conditions and soil type, Long harvesting period requires regular maintenance and pest monitoring, Nutritional content varies with soil fertility</t>
  </si>
  <si>
    <t>high yielding, mild taste, long harvest, high calcium, magnesium, zinc</t>
  </si>
  <si>
    <t>KATVeg Amaranth 1 (Amaranth)</t>
  </si>
  <si>
    <t>Highly nutritious variety which contains vitamins A, B complex, C, D, E and K, calcium, iron, phosphorus, potassium magnesium and zinc. Drought tolerant. Fast growing (food security crop). Require minimal inputs. High yielding - 10 t/ha-1. High consumer acceptability – very tasty. Widely adopted. Wide harvesting intervals. Attacked by few pests and diseases.</t>
  </si>
  <si>
    <t>Drought tolerance does not eliminate need for irrigation during extreme dry spells, Minimal inputs still require basic soil fertility management, Wide harvesting intervals require regular monitoring for optimal harvest timing, Verify variety availability and official release status</t>
  </si>
  <si>
    <t>highly nutritious, drought tolerant, fast growing, high yielding, wide harvesting, consumer acceptability</t>
  </si>
  <si>
    <t>Formal Amaranth Seed System</t>
  </si>
  <si>
    <t>A Seed System is a set of activities contributing to variety development and seed production and delivery to farmers. The formal Amaranth Seed System is characterized by a well-regulated and organized set of activities, from breeding to delivering certified seeds of known and registered varieties to farmers and other stakeholders. It ensures continuous production, processing, supply and distribution of quality Amaranth seeds to farmers through organized marketing channels.</t>
  </si>
  <si>
    <t>Informal Amaranth Seed System</t>
  </si>
  <si>
    <t>A Seed System is a set of activities contributing to variety development and seed production and delivery to farmers. The informal Amaranth Seed System entails seed selection, treatment, storage, multiplication, and distribution. The informal Amaranth Seed System is outside the control of government agencies, with no external seed quality control. This system includes farmer-saved seed, gifts, barter, exchange and seed purchasing from local markets.</t>
  </si>
  <si>
    <t>Semi-Informal Amaranth seed production system</t>
  </si>
  <si>
    <t>Variety selection, Seed acquisition or Own Seed Selection, Planting, Weeding, Thinning, Fertilizer Application, Pest and Disease Management and Harvesting (Amaranth)</t>
  </si>
  <si>
    <t>This includes: Seed acquisition: Certified seed or training on proper own selection. Land preparation: Vegetable amaranth is small seeded hence fine seedbed is required for excellent crop emergence. Two operations, ploughing and Harrowing are necessary to achieve fine tilth. Soil fertility Management: Farm yard manure application at the rate of 10 ton/ha-1. Planting: Early planting before on-set rains is highly recommended. Seed rate 2-3 Kg/acre. Since Amaranth seeds are very small, seeds are mixed with sand at a ratio of 1g seed to 100g sand for easy sowing &amp; uniform stand. For drilling, make furrows 0.5 to 1.0 cm deep &amp; space rows 10 cm apart on the bed. Drill the seeds in the furrows and cover with soil mixed with compost. Weeding: Keep the crop weed free until it is well established. Thereafter weed as necessary. Thinning: Subsequent thinning should be done until the onset of heading, leaving one plant at an intra-row spacing of 25 cm apart. Harvesting: Leaf harvesting commences at four weeks after germination, then once every 2 weeks for two months. Seed harvesting and drying.</t>
  </si>
  <si>
    <t>Fine seedbed preparation is critical due to small seed size, Seed-sand mixing ratio (1:100) must be accurate for uniform sowing, Shallow planting depth (0.5-1.0 cm) requires careful execution, Thinning to 25 cm spacing is essential to avoid overcrowding</t>
  </si>
  <si>
    <t>agronomic practices, fine seedbed, seed-sand mixing, thinning, farm yard manure, harvesting</t>
  </si>
  <si>
    <t>Rapid Soil Testing Services (Amaranth)</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</si>
  <si>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 This innovation will involve working closely with agronomists to generate specific fertilizer recommendation driven by soil and crop data obtained.</t>
  </si>
  <si>
    <t>Soil scanners require regular calibration for accuracy, Samples must be collected properly to represent the field, Results should be interpreted with expert guidance, Technology requires collaboration with multiple partners for effectiveness</t>
  </si>
  <si>
    <t>rapid soil testing, dry method, scanner technology, fertilizer recommendation, agronomists, soil fertility</t>
  </si>
  <si>
    <t>Integrated Soil Fertility Management (ISFM) (Amaranth)</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</si>
  <si>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</si>
  <si>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Requires soil testing to determine specific nutrient needs, Fertilizer banding requires careful placement to avoid root damage, Micro dosing requires accurate measurement of small quantities, Site-specific adaptation is critical for success</t>
  </si>
  <si>
    <t>soil fertility, fertilizer banding, micro dosing, organic inputs, improved seed, agronomic practices</t>
  </si>
  <si>
    <t>Integrated Manure Management (IMM) (Amaranth)</t>
  </si>
  <si>
    <t>Rain water Roof water catchment (Amaranth)</t>
  </si>
  <si>
    <t>Mulching (Amaranth)</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</si>
  <si>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</si>
  <si>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Solar Irrigation Systems for smallholder farmers (Amaranth)</t>
  </si>
  <si>
    <t>Drip Irrigation Systems for smallholder farmers (Amaranth)</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</si>
  <si>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 The layout can either be above surface or buried below the surface. System provides efficient fertilizer usage (fertigation) with irrigation water.</t>
  </si>
  <si>
    <t>Integrated Management of anthracnose disease in Amaranth</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</si>
  <si>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Spraying Carbendazim 500g or Mancozeb 2kg/ha soon after the appearance of disease and repeat after 15 days; Spraying other fungicides such as Copper based fungicides, Trifloxystrobin + Tebuconazole based fungicides, or Carbendazim based fungicides in strict adherence to manufacturer's instructions.</t>
  </si>
  <si>
    <t>Integrated Management of powdery mildew disease in Amaranth</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</si>
  <si>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</si>
  <si>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Integrated Management of Bacterial blight disease (Amaranth)</t>
  </si>
  <si>
    <t>Integrated Management of Wet rot disease of Amaranths</t>
  </si>
  <si>
    <t>Integrated sooty mold management consists of various approaches that help to break the disease cycle. They cultural management and chemical control. Sooty mold is associated with insect infestations that excreta sugary excreta which provides sugars for fungal growth on the plant. Disease is effectively managed by controlling insect infestations.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</si>
  <si>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wet rot, cultural control, biological control, seed treatment, Trichoderma, crop rotation</t>
  </si>
  <si>
    <t>Integrated management of Damping off disease in Amaranth</t>
  </si>
  <si>
    <t>Integrated management of Panicle black mold (Amaranth)</t>
  </si>
  <si>
    <t>Integrated management of head and kernel smut diseases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</si>
  <si>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Early planting may not be possible in all areas, Field sanitation requires consistent effort, Disease symptoms must be detected early for effective control</t>
  </si>
  <si>
    <t>panicle black mold, cultural control, chemical control, copper fungicides, field sanitation, crop rotation</t>
  </si>
  <si>
    <t>Integrated Management of Root Knot nematodes in Amaranth</t>
  </si>
  <si>
    <t>Root knot nematodes affecting Amaranths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</si>
  <si>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Pig weed beetle (Amaranth)</t>
  </si>
  <si>
    <t>Integrated pig weed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</si>
  <si>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pig weed beetle, cultural control, biological control, biopesticides, PCPB, integrated pest management</t>
  </si>
  <si>
    <t>Integrated Management of Aphids (Amaranth)</t>
  </si>
  <si>
    <t>Integrated Management of Desert locust (Schistocerca gregaria) (Amaranth)</t>
  </si>
  <si>
    <t>Integrated management of Cut worms on Amaranth</t>
  </si>
  <si>
    <t>Integrated management of red spider mites on Amaranth</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</si>
  <si>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Amaranth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</si>
  <si>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management of Leaf miner (Liriomyza sp) (Amaranth)</t>
  </si>
  <si>
    <t>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 Chemical Control: Spray spinetoram (Radiant 120 SC(R)) at rate of 18-30ml/20lts of water; Chlorantraniliprol (Corragen 20 SC(R)) at rate of 2ml/20lts of water; Belt insecticide.</t>
  </si>
  <si>
    <t>Integrated management of leaf caterpillar in Amaranth</t>
  </si>
  <si>
    <t>Leaf eating caterpillar affecting amaranth is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</si>
  <si>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leaf caterpillar, crop rotation, soil solarization, biological control, neem products, cultural control</t>
  </si>
  <si>
    <t>Integrated Weed Management (AIVs) (Amaranth)</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</si>
  <si>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where you graze by big animals. Chemical control is where appropriate herbicides are used to control weeds. Cultural control includes the practice of crop rotation since various crops may influence the diversity and abundance of particular weed flora.</t>
  </si>
  <si>
    <t>Land Preparation Practices to control weeds in AIVs (Amaranth)</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</si>
  <si>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Amaranth seeds. We recommended this to be 3-4 weeks before the rain commence. For no till choose appropriate herbicides and follow the manufacturers label and recommendations specific to each herbicide.</t>
  </si>
  <si>
    <t>Legume Intercropping System (AIVs) (Amaranth)</t>
  </si>
  <si>
    <t>Innovative Legume Intercropping System is the growing of legumes crops such as Cowpea with Amaranth in a field at the same time, as a tool to enhance agricultural production and to obtain efficient land use. Legumes benefit the main crop (Amaranth) by replenishing soil nitrogen, smothering weeds and retaining soil moisture.</t>
  </si>
  <si>
    <t>Competition between crops for water, nutrients and light can reduce yields, Requires careful selection of compatible crop varieties, Increased labor for management and harvesting, May complicate mechanization and pesticide application</t>
  </si>
  <si>
    <t>AIVs Intercropping (Amaranth)</t>
  </si>
  <si>
    <t>Intercropping of Amaranth is the practice of planting Amaranth between other crops between rows such as cereal (maize, millets), tubers (cassava), and bananas. Intercropping must be planned to use space available and smother the weeds.</t>
  </si>
  <si>
    <t>Mulching (AIVs Weed Control) (Amaranth)</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</si>
  <si>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Amaranth. Only black mulches should be used to control weeds. Benefits: Organic mulches suppress weeds while retaining moisture in the soil; keep the soil cool; improve soil fertility (as the mulches decompose) and improves microclimate hence increasing biodiversity. Synthetic mulches will solarize soils, control weed seedlings and weed seeds.</t>
  </si>
  <si>
    <t>Chemical Weed Control (AIVs) (Amaranth)</t>
  </si>
  <si>
    <t>Use only PCPB-approved herbicides for amaranth, Follow label instructions strictly to avoid crop damage, Apply herbicides during recommended weather conditions, Wear appropriate personal protective equipment</t>
  </si>
  <si>
    <t>Mechanical weeding (AIVs) (Amaranth)</t>
  </si>
  <si>
    <t>Safe Use of Agrochemicals (AIVs) (Amaranth)</t>
  </si>
  <si>
    <t>Power tiller (AIVs) (Amaranth)</t>
  </si>
  <si>
    <t>Wheeled Tractor less than 50Hp (AIVs) (Amaranth)</t>
  </si>
  <si>
    <t>Mould board plough (AIVs) (Amaranth)</t>
  </si>
  <si>
    <t>Disc Harrow (AIVs) (Amaranth)</t>
  </si>
  <si>
    <t>AIV Planter (Amaranth)</t>
  </si>
  <si>
    <t>Motorized Sprayer (AIVs) (Amaranth)</t>
  </si>
  <si>
    <t>Power weeder (AIVs) (Amaranth)</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</si>
  <si>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Amaranth farmers. It is designed to weed specified spacing inter raw within Amaranthus.</t>
  </si>
  <si>
    <t>Back Pack Weeder (AIVs) (Amaranth)</t>
  </si>
  <si>
    <t>It is a hand held machine that simultaneously cut the soil and weeds in Amaranth and is an intermediate technology machine appropriate for Small Holder Farmers. It is designed to weed specified spacing inter raw within Amaranth.</t>
  </si>
  <si>
    <t>Back AIVs Harvester (Amaranth)</t>
  </si>
  <si>
    <t>It is a hand held machine that simultaneously cut the vegetable leaves and is an intermediate technology machine appropriate for Small Holder Farmers. It is designed to harvest specified spacing inter raw within Amaranth.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</si>
  <si>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Amaranth sorting and grading</t>
  </si>
  <si>
    <t>Sorting is removal of infected vegetables, vegetables with yellowing spots, weeds and debris. Grading is grouping of Amaranth according to leaf size, weight, maturity, turgidity, physical damage, and market demand.</t>
  </si>
  <si>
    <t>Zero Energy Brick Cooler (Amaranth)</t>
  </si>
  <si>
    <t>CoolBot™ (Amaranth)</t>
  </si>
  <si>
    <t>It is a low cost postharvest temperature management that improved the shelf life of Amaranth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</si>
  <si>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(Amaranth)</t>
  </si>
  <si>
    <t>Modified Atmosphere Packaging of AIVs (Ziploc® and Xtend® bag packaging) (Amaranth)</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</si>
  <si>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African Nightshade for between 5-7 days.</t>
  </si>
  <si>
    <t>Amaranth solar drying</t>
  </si>
  <si>
    <t>Solar drying involves drying of Amaranth where cabinet solar dryer, greenhouse solar dryer and dehytray are used.</t>
  </si>
  <si>
    <t>Transformative Model of AIV  production (Amaranth)</t>
  </si>
  <si>
    <t>Building a Business Plan for AIVs (Amaranth)</t>
  </si>
  <si>
    <t>Profitability analysis for AIVs (Amaranth)</t>
  </si>
  <si>
    <t>Marketing Innovation model for AIVs: Production and marketing (Amaranth)</t>
  </si>
  <si>
    <t>Collective marketing of AIVs (Amaranth)</t>
  </si>
  <si>
    <t>Contracted production of AIVs (Amaranth)</t>
  </si>
  <si>
    <t>Digital marketing of AIVs (Amaranth)</t>
  </si>
  <si>
    <t>Market research for AIVs (Amaranth)</t>
  </si>
  <si>
    <t>Advocacy in farmers' participation in the National Agricultural Policy development and implementation (Amaranth)</t>
  </si>
  <si>
    <t>Participation in the County Integrated Development Planning (Amaranth)</t>
  </si>
  <si>
    <t>The County Integrated Development Planning builds a plan for each county in Kenya to be implemented in five years. The planning process is participatory, involving the development stakeholders in the county. It is during this planning period where the issues in Amaranth production, marketing and processing are considered.</t>
  </si>
  <si>
    <t>Policy instruments related to AIV production (Amaranth)</t>
  </si>
  <si>
    <t>Policy cycle for AIVs (Amaranth)</t>
  </si>
  <si>
    <t>Good Agricultural Practices (GAP) (Amaranth)</t>
  </si>
  <si>
    <t>Food Safety Management System: Hazard Analysis Critical Control Points (HACCP) Plan for AIVs Value Chain in Kenya (Amaranth)</t>
  </si>
  <si>
    <t>Food safety management system (FSMS) through Hazard Analysis and Critical Control Point (HACCP) in Amaranth value chain is a system of food safety monitoring and control based on the systematic identification and assessment of various hazards. It is a preventive, rather than a reactive, tool that places the protection of the Amaranth supply from biological, chemical and physical hazards into the hands of food management systems. The system is designed to minimize the risk of food safety hazards by identifying the hazards, establishing controls and monitoring these controls.</t>
  </si>
  <si>
    <t>KK Bigi (African Nightshade)</t>
  </si>
  <si>
    <t>An improved African Nightshade variety released in 2017. Has large green leaves, is high yielding (15 t/ha-1) and can be harvested for 2 months. Very nutritious and rich in calcium, zinc and magnesium. Has a mild taste. Area of production is 250-2000 masl.</t>
  </si>
  <si>
    <t>Verify altitude suitability (250-2000 masl) before planting, High yields depend on good management including proper fertilization, Long harvesting period requires regular leaf plucking to maintain productivity, Nutritional content varies with soil fertility and agronomic practices</t>
  </si>
  <si>
    <t>high yielding, large leaves, mild taste, 2-month harvest, calcium rich, released 2017</t>
  </si>
  <si>
    <t>KK Ayaro (African Nightshade)</t>
  </si>
  <si>
    <t>Has large green leaves. It is high yielding (15 t/ha-1). It is early maturing with short harvesting period. Very nutritious and rich in calcium, iron, magnesium. Has mild taste.</t>
  </si>
  <si>
    <t>Early maturity requires timely harvesting to prevent quality loss, Short harvesting period may limit total yield, Nutritional content varies with soil fertility, Verify variety availability and official release status</t>
  </si>
  <si>
    <t>large leaves, high yielding, early maturing, mild taste, calcium iron magnesium, nutritious</t>
  </si>
  <si>
    <t>Abuku mnavu-1 (African Nightshade)</t>
  </si>
  <si>
    <t>Green Scrabrum. High yielding (20-40 t/ha-1). Maturity time 5 weeks. Harvesting duration 8 weeks. Very high anti-oxidant activity. Has a mild taste. Released in 2016. Growing area 100-2500 masl.</t>
  </si>
  <si>
    <t>Verify altitude suitability (100-2500 masl) before planting, High yields depend on good management including proper fertilization, High anti-oxidant content may vary with growing conditions, Source certified seeds from reputable suppliers</t>
  </si>
  <si>
    <t>Green Scrabrum, high yielding, 5-week maturity, high anti-oxidant, mild taste, released 2016</t>
  </si>
  <si>
    <t>Abuku Mnavu2 (African Nightshade)</t>
  </si>
  <si>
    <t>High leaf yields (20-40 t/ha-1). Maturity time 5 weeks. Harvesting duration 8 weeks. Very high anti-oxidant activity. Purple Scrabrum. Areas of production 250-2000 masl.</t>
  </si>
  <si>
    <t>Verify altitude suitability (250-2000 masl) before planting, Purple coloration may affect market acceptability in some regions, High anti-oxidant content may vary with growing conditions, Source certified seeds from reputable suppliers</t>
  </si>
  <si>
    <t>Purple Scrabrum, high yielding, 5-week maturity, high anti-oxidant, 8-week harvest, 250-2000 masl</t>
  </si>
  <si>
    <t>Formal African Nightshade Seed System</t>
  </si>
  <si>
    <t>A Seed System is a set of activities contributing to variety development and seed production and delivery to farmers. The formal African Nightshade Seed System is characterized by a well-regulated and organized set of activities, from breeding to delivering certified seeds of known and registered varieties to farmers and other stakeholders. It ensures continuous production, processing, supply and distribution of quality African Nightshade seeds to farmers through organized marketing channels.</t>
  </si>
  <si>
    <t>Informal African Nightshade Seed System</t>
  </si>
  <si>
    <t>A Seed System is a set of activities contributing to variety development and seed production and delivery to farmers. The informal African Nightshade Seed System entails seed selection, treatment, storage, multiplication, and distribution. The informal African Nightshade Seed System is outside the control of government agencies, with no external seed quality control. This system includes farmer-saved seed, gifts, barter, exchange and seed purchasing from local markets.</t>
  </si>
  <si>
    <t>Semi-Informal African Nightshade seed production system</t>
  </si>
  <si>
    <t>Variety selection, Seed acquisition or Own Seed Selection, Planting, Weeding, Thinning, Fertilizer Application, Pest and Disease Management, Harvesting, Storage (African Nightshade)</t>
  </si>
  <si>
    <t>This includes: seed acquisition: Certified seed or training on proper own selection. Land preparation: Plough deeply and harrow to obtain fine seedbed. Raising Seedlings: Use of clean seed is recommended due to high incidences of seed borne diseases. Seed Rate: 50 g per acre. Nursery Site Selection: The nursery should be located in a plot that has not been planted with crops in the Solanaceae family for at least three (3) years. Nursery Establishment: Involves site preparation, construction of nursery infrastructure and basic nursery tools. Management of Nursery: Adequate watering is essential for proper growth. Weeding: Keep the crop weed free until it is well established. Thinning: Subsequent thinning should be done until the onset of heading, leaving one plant at an intra-row spacing of 30 to 40 cm apart depending on varieties. Harvesting: Maturity Period: 60 days after direct seed sowing in the field or 30 days after transplanting.</t>
  </si>
  <si>
    <t>Nursery site must avoid Solanaceae family crops for at least 3 years to prevent soil-borne diseases, Seed rate (50 g/acre) requires accurate measurement for optimal establishment, Thinning to 30-40 cm spacing is critical to avoid overcrowding, Regular removal of flowers ensures longer harvesting period</t>
  </si>
  <si>
    <t>nursery establishment, seed rate, Solanaceae rotation, thinning, transplanting, harvesting</t>
  </si>
  <si>
    <t>Rapid Soil Testing Services (African Nightshade)</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</si>
  <si>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t>
  </si>
  <si>
    <t>rapid soil testing, dry method, scanner technology, fertilizer recommendation, ICRAF, SoilCares</t>
  </si>
  <si>
    <t>Integrated Soil Fertility Management (ISFM) (African Nightshade)</t>
  </si>
  <si>
    <t>Integrated Manure Management (IMM) (African Nightshade)</t>
  </si>
  <si>
    <t>Rain water Roof water catchment (African Nightshade)</t>
  </si>
  <si>
    <t>Mulching (African Nightshade)</t>
  </si>
  <si>
    <t>Solar Irrigation Systems for smallholder farmers (African Nightshade)</t>
  </si>
  <si>
    <t>Drip Irrigation Systems for smallholder farmers (African Nightshade)</t>
  </si>
  <si>
    <t>Integrated Management of Early blight disease in African Nightshade</t>
  </si>
  <si>
    <t>Integrated management comprises the use of cultural management practices and chemical control in its management. Cultural practices: Crop rotation with non-solanaceae for a period of 2 to 3 seasons; Rogueing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once initial symptoms are observed.</t>
  </si>
  <si>
    <t>Jik solution (1:20 ratio) must be prepared correctly, Copper oxychloride requires careful application to avoid phytotoxicity, Crop rotation (2-3 seasons) requires long-term planning, Disease symptoms must be detected early for effective control</t>
  </si>
  <si>
    <t>early blight, cultural control, chemical control, crop rotation, jik disinfection, copper oxychloride</t>
  </si>
  <si>
    <t>Integrated Management of Root Knot nematodes in African Nightshade</t>
  </si>
  <si>
    <t>Root knot nematodes affecting African Nightshades are controlled through cultural management practises and chemical control. Cultural practices: Crop rotation with non-solanaceae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</si>
  <si>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Black aphids (African Nightshade)</t>
  </si>
  <si>
    <t>black aphids, cultural control, natural enemies, neem products, soap spray, integrated pest management</t>
  </si>
  <si>
    <t>Integrated Management of Flea beetle (African Nightshade)</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</si>
  <si>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PCPB. Synthetic pesticides should be used as the last option.</t>
  </si>
  <si>
    <t>Pest scouting requires regular and systematic monitoring, Hand picking is labor-intensive and may not be practical for large farms, Domestic chickens may damage young plants when foraging, Biopesticides require proper timing for effectiveness</t>
  </si>
  <si>
    <t>flea beetle, cultural control, biological control, biopesticides, PCPB, integrated pest management</t>
  </si>
  <si>
    <t>Integrated Management of Desert locust (Schistocerca gregaria) (African Nightshade)</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</si>
  <si>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Spray hopper bands using Metarhizium anisopliae based products.</t>
  </si>
  <si>
    <t>Integrated management of Cut worms on African Nightshade</t>
  </si>
  <si>
    <t>Integrated management of red spider mites on African Nightshade</t>
  </si>
  <si>
    <t>Integrated management of spider mites consists of several approaches applied in an integrated manner to break the cycle of the insect. Cultural Control: Keep the farm free from the weeds and alternative hosts such as solanum family crops that may harbour red spider mites; Avoid planting African Nightshade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</si>
  <si>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Weed Management (African Nightshade)</t>
  </si>
  <si>
    <t>Land Preparation Practices to control weeds in AIVs (African Nightshade)</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</si>
  <si>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AIVs seeds.</t>
  </si>
  <si>
    <t>Legume Intercropping System (African Nightshade)</t>
  </si>
  <si>
    <t>Innovative Legume Intercropping System is the growing of legumes crops such as Cowpea with African Nightshade in a field at the same time, as a tool to enhance agricultural production and to obtain efficient land use. Legumes benefit the main crop (African Nightshade) by replenishing soil nitrogen, smothering weeds and retaining soil moisture.</t>
  </si>
  <si>
    <t>AIVs Intercropping (African Nightshade)</t>
  </si>
  <si>
    <t>Intercropping of African Nightshade is the practice of planting African Nightshade between other crops between rows such as cereal (maize, millets), tubers (cassava), and bananas. Intercropping must be planned to use space available and smother the weeds.</t>
  </si>
  <si>
    <t>Mulching (African Nightshade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</si>
  <si>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African Nightshade. Only black mulches should be used to control weeds.</t>
  </si>
  <si>
    <t>Chemical Weed Control (African Nightshade)</t>
  </si>
  <si>
    <t>Use only PCPB-approved herbicides for African Nightshade, Follow label instructions strictly to avoid crop damage, Apply herbicides during recommended weather conditions, Wear appropriate personal protective equipment</t>
  </si>
  <si>
    <t>Mechanical weeding (African Nightshade)</t>
  </si>
  <si>
    <t>Safe Use of Agrochemicals (African Nightshade)</t>
  </si>
  <si>
    <t>Power tiller (African Nightshade)</t>
  </si>
  <si>
    <t>Wheeled Tractor less than 50Hp (African Nightshade)</t>
  </si>
  <si>
    <t>Mould board plough (African Nightshade)</t>
  </si>
  <si>
    <t>Disc Harrow (African Nightshade)</t>
  </si>
  <si>
    <t>AIV Planter (African Nightshade)</t>
  </si>
  <si>
    <t>Motorized Sprayer (African Nightshade)</t>
  </si>
  <si>
    <t>Power weeder (African Nightshade)</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</si>
  <si>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African Nightshade farmers. It is designed to weed specified spacing inter raw within African Nightshade.</t>
  </si>
  <si>
    <t>Back Pack Weeder (African Nightshade)</t>
  </si>
  <si>
    <t>It is a hand held machine that simultaneously cut the soil and weeds in AIV and is an intermediate technology machine appropriate for Small Holder Farmers. It is designed to weed specified spacing inter raw within African Nightshade.</t>
  </si>
  <si>
    <t>Back AIVs Harvester (African Nightshade)</t>
  </si>
  <si>
    <t>It is a hand held machine that simultaneously cut the vegetable leaves and is an intermediate technology machine appropriate for Small Holder Farmers. It is designed to harvest specified spacing inter raw within African Nightshade.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</si>
  <si>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African Nightshade sorting and grading</t>
  </si>
  <si>
    <t>Sorting is removal of infected vegetables, vegetables with yellowing spots, weeds and debris. Grading is grouping of vegetables according to leaf size, weight, maturity, turgidity, physical damage, and market demand.</t>
  </si>
  <si>
    <t>Zero Energy Brick Cooler (African Nightshade)</t>
  </si>
  <si>
    <t>CoolBot™ (African Nightshade)</t>
  </si>
  <si>
    <t>It is a low cost postharvest temperature management that improved the shelf life of African Nightshade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</si>
  <si>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(African Nightshade)</t>
  </si>
  <si>
    <t>Modified Atmosphere Packaging of AIVs (Ziploc® and Xtend® bag packaging) (African Nightshade)</t>
  </si>
  <si>
    <t>African Nightshade solar drying</t>
  </si>
  <si>
    <t>Solar drying involves drying of Africa nightshade where cabinet solar dryer, greenhouse solar dryer and dehytray are used.</t>
  </si>
  <si>
    <t>Transformative Model of AIV production (African Nightshade)</t>
  </si>
  <si>
    <t>Building a Business Plan for AIVs (African Nightshade)</t>
  </si>
  <si>
    <t>Profitability analysis (African Nightshade)</t>
  </si>
  <si>
    <t>Marketing Innovation model for AIV production and marketing (African Nightshade)</t>
  </si>
  <si>
    <t>Collective marketing (African Nightshade)</t>
  </si>
  <si>
    <t>Contracted production (African Nightshade)</t>
  </si>
  <si>
    <t>Digital marketing (African Nightshade)</t>
  </si>
  <si>
    <t>Market research (African Nightshade)</t>
  </si>
  <si>
    <t>Advocacy in farmers' participation in the National Agricultural Policy development and implementation (African Nightshade)</t>
  </si>
  <si>
    <t>Participation in the County Integrated Development Planning (African Nightshade)</t>
  </si>
  <si>
    <t>The County Integrated Development Planning builds a plan for each county in Kenya to be implemented in five years. The planning process is participatory, involving the development stakeholders in the county. It is during this planning period where the issues in African Nightshade production, marketing and processing are considered.</t>
  </si>
  <si>
    <t>Policy instruments related to AIV production (African Nightshade)</t>
  </si>
  <si>
    <t>Policy cycle (African Nightshade)</t>
  </si>
  <si>
    <t>Good Agricultural Practices (GAP) (African Nightshade)</t>
  </si>
  <si>
    <t>Food Safety Management System: Hazard Analysis Critical Control Points (HACCP) Plan for AIVs Value Chain in Kenya (African Nightshade)</t>
  </si>
  <si>
    <t>Food safety management system (FSMS) through Hazard Analysis and Critical Control Point (HACCP) in African Nightshade value chain is a system of food safety monitoring and control based on the systematic identification and assessment of various hazards. It is a preventive, rather than a reactive, tool that places the protection of the African Nightshade supply from biological, chemical and physical hazards into the hands of food management systems. The system is designed to minimize the risk of food safety hazards by identifying the hazards, establishing controls and monitoring these controls.</t>
  </si>
  <si>
    <t>KATMrenda 1 (Jute Mallow)</t>
  </si>
  <si>
    <t>High yielding - 10 t/ha-1. High consumer acceptability – very tasty. Affected by few pests and disease. It is late maturing (6 months) hence wide harvesting interval. Does not require much attention. Highly nutritious variety which contains dietary fiber, calcium, protein, iron, potassium, copper, magnesium, zinc Vitamin C, Vitamin E, Vitamin B1, Vitamin B2 and Beta carotene.</t>
  </si>
  <si>
    <t>Late maturity (6 months) requires long-term planning and patience, Wide harvesting interval requires regular monitoring for optimal harvest timing, Nutritional content varies with soil fertility and agronomic practices, Verify variety availability and official release status</t>
  </si>
  <si>
    <t>high yielding, late maturing, wide harvesting, highly nutritious, consumer acceptability, minimal inputs</t>
  </si>
  <si>
    <t>Formal Jute Mallow Seed System</t>
  </si>
  <si>
    <t>A Seed System is a set of activities contributing to variety development and seed production and delivery to farmers. The formal Jute Mallow Seed System is characterized by a well-regulated and organized set of activities, from breeding to delivering certified seeds of known and registered varieties to farmers and other stakeholders. It ensures continuous production, processing, supply and distribution of quality Jute Mallow seeds to farmers through organized marketing channels.</t>
  </si>
  <si>
    <t>Informal Jute Mallow Seed System</t>
  </si>
  <si>
    <t>A Seed System is a set of activities contributing to variety development and seed production and delivery to farmers. The informal Jute Mallow Seed System entails seed selection, treatment, storage, multiplication, and distribution. The informal Jute Mallow Seed System is outside the control of government agencies, with no external seed quality control. This system includes farmer-saved seed, gifts, barter, exchange and seed purchasing from local markets.</t>
  </si>
  <si>
    <t>Semi-Informal Jute Mallow seed production system</t>
  </si>
  <si>
    <t>Variety selection, Seed acquisition or Own Seed Selection, Planting, Weeding, Thinning, Fertilizer Application, Pest and Disease Management, Harvesting, Storage (Jute Mallow)</t>
  </si>
  <si>
    <t>This includes: seed acquisition: Certified seed or training on proper own selection. Land preparation: Ploughing; Harrowing is necessary; Preparation of a fine seedbed. Soil fertility Management: Farm yard manure application at the rate of 5 ton/ha-1. Planting and seed rate: Early planting at onset of rains; Depth 5 cm; Seed rate 2-3 Kg/acre; Mix Jute Mallow seeds with dry sand or soil at the rate of 1 part seed: 3-5 parts dry soil/sand. Spacing: Make drills at a spacing of 45-60 cm x 10-20 cm apart, thinly sow the seeds in the drills and cover lightly with soil. Weeding: Keep the crop weed free until it is well established. Thinning: Subsequent thinning should be done 2-3 times until leaving one plant at an intra-row spacing of 15-20 cm apart. Harvesting: Leaf harvesting commences at four weeks after germination, then once every 2 weeks for 3-4 months.</t>
  </si>
  <si>
    <t>Fine seedbed preparation is critical for small seeds, Seed-sand mixing ratio (1:3-5) must be accurate for uniform sowing, Thinning 2-3 times requires careful scheduling and labor planning, Farm yard manure (5 ton/ha) requires proper composting before application</t>
  </si>
  <si>
    <t>Rapid Soil Testing Services (Jute Mallow)</t>
  </si>
  <si>
    <t>Integrated Soil Fertility Management (ISFM) (Jute Mallow)</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</si>
  <si>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and micro dosing.</t>
  </si>
  <si>
    <t>Integrated Manure Management (IMM) (Jute Mallow)</t>
  </si>
  <si>
    <t>Rain Water Roof Water Catchment (Jute Mallow)</t>
  </si>
  <si>
    <t>Mulching (Jute Mallow)</t>
  </si>
  <si>
    <t>Solar irrigation systems for smallholder farmers (Jute Mallow)</t>
  </si>
  <si>
    <t>Drip Irrigation Systems for smallholder farmers (Jute Mallow)</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</si>
  <si>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t>
  </si>
  <si>
    <t>Integrated Weed Management (Jute Mallow)</t>
  </si>
  <si>
    <t>Land Preparation Practices to control weeds in AIVs (Jute Mallow)</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</si>
  <si>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Jute Mallow seeds.</t>
  </si>
  <si>
    <t>Legume Intercropping System (Jute Mallow)</t>
  </si>
  <si>
    <t>Innovative Legume Intercropping Systems is the growing of a legume crop and Jute Mallow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</si>
  <si>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AIVs Intercropping (Jute Mallow)</t>
  </si>
  <si>
    <t>Intercropping in Jute Mallow is the practice of planting Jute Mallow between other crops between rows such as cereal (maize, millets), tubers (cassava), and bananas. Intercropping must be planned to use space available and smother the weeds.</t>
  </si>
  <si>
    <t>Mulching (Jute Mallow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</si>
  <si>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Jute Mallow. Only black mulches should be used to control weeds.</t>
  </si>
  <si>
    <t>Chemical Weed Control (Jute Mallow)</t>
  </si>
  <si>
    <t>Use only PCPB-approved herbicides for Jute Mallow, Follow label instructions strictly to avoid crop damage, Apply herbicides during recommended weather conditions, Wear appropriate personal protective equipment</t>
  </si>
  <si>
    <t>Mechanical weeding (Jute Mallow)</t>
  </si>
  <si>
    <t>Safe Use of Agrochemicals (Jute Mallow)</t>
  </si>
  <si>
    <t>Power tiller (Jute Mallow)</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</si>
  <si>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t>
  </si>
  <si>
    <t>Wheeled Tractor less than 50Hp (Jute Mallow)</t>
  </si>
  <si>
    <t>Mould board plough (Jute Mallow)</t>
  </si>
  <si>
    <t>Disc Harrow (Jute Mallow)</t>
  </si>
  <si>
    <t>AIV Planter (Jute Mallow)</t>
  </si>
  <si>
    <t>Motorized Sprayer (Jute Mallow)</t>
  </si>
  <si>
    <t>Power weeder (Jute Mallow)</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</si>
  <si>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Jute Mallow farmers. It is designed to weed specified spacing inter raw within Jute Mallow.</t>
  </si>
  <si>
    <t>Back Pack Weeder (Jute Mallow)</t>
  </si>
  <si>
    <t>It is a hand held machine that simultaneously cut the soil and weeds in Jute Mallow and is an intermediate technology machine appropriate for Small Holder Farmers. It is designed to weed specified spacing inter raw within Jute Mallow.</t>
  </si>
  <si>
    <t>Back AIVs Harvester (Jute Mallow)</t>
  </si>
  <si>
    <t>It is a hand held machine that simultaneously cut the vegetable leaves and is an intermediate technology machine appropriate for Small Holder Farmers. It is designed to harvest specified spacing inter raw within Jute Mallow.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</si>
  <si>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Jute Mallow Sorting and Grading</t>
  </si>
  <si>
    <t>Sorting is done to remove diseased vegetables, vegetables with yellowing spots, weeds and debris. Grading is categorization of Jute Mallow according to leaf size, weight, maturity, turgidity, physical damage, and market demand.</t>
  </si>
  <si>
    <t>Zero Energy Brick Cooler (Jute Mallow)</t>
  </si>
  <si>
    <t>CoolBot™ (Jute Mallow)</t>
  </si>
  <si>
    <t>Wakati™ technology (Jute Mallow)</t>
  </si>
  <si>
    <t>Jute Mallow solar drying (Jute Mallow)</t>
  </si>
  <si>
    <t>Drying of Jute Mallow removes excess water thus extending their shelf leading to reduced postharvest losses.</t>
  </si>
  <si>
    <t>solar drying, preservation, moisture removal, shelf life extension, postharvest, drying techniques</t>
  </si>
  <si>
    <t>Transformative Model of AIV production (Jute Mallow)</t>
  </si>
  <si>
    <t>Building a Business Plan for AIVs (Jute Mallow)</t>
  </si>
  <si>
    <t>Profitability analysis (Jute Mallow)</t>
  </si>
  <si>
    <t>Marketing Innovation model for AIV production and marketing (Jute Mallow)</t>
  </si>
  <si>
    <t>Collective marketing (Jute Mallow)</t>
  </si>
  <si>
    <t>Contracted production (Jute Mallow)</t>
  </si>
  <si>
    <t>Digital marketing (Jute Mallow)</t>
  </si>
  <si>
    <t>Market research (Jute Mallow)</t>
  </si>
  <si>
    <t>Advocacy in farmers' participation in the National Agricultural Policy development and implementation (Jute Mallow)</t>
  </si>
  <si>
    <t>Participation in the County Integrated Development Planning (Jute Mallow)</t>
  </si>
  <si>
    <t>The County Integrated Development Planning builds a plan for each county in Kenya to be implemented in five years. The planning process is participatory, involving the development stakeholders in the county. It is during this planning period where the issues in Jute Mallow production, marketing and processing are considered.</t>
  </si>
  <si>
    <t>Policy instruments related to AIV production (Jute Mallow)</t>
  </si>
  <si>
    <t>Policy cycle (Jute Mallow)</t>
  </si>
  <si>
    <t>Good Agricultural Practices (GAP) (Jute Mallow)</t>
  </si>
  <si>
    <t>Food Safety Management System: Hazard Analysis Critical Control Points (HACCP) Plan for AIVs Value Chain in Kenya (Jute Mallow)</t>
  </si>
  <si>
    <t>Food safety management system (FSMS) through Hazard Analysis and Critical Control Point (HACCP) in Jute Mallow value chain is a system of food safety monitoring and control based on the systematic identification and assessment of various hazards. It is a preventive, rather than a reactive, tool that places the protection of the AIVs supply from biological, chemical and physical hazards into the hands of food management systems. The system is designed to minimize the risk of food safety hazards by identifying the hazards, establishing controls and monitoring these controls.</t>
  </si>
  <si>
    <t>Katumani Mito 1 (Slenderleaf)</t>
  </si>
  <si>
    <t>High yielding - 8 t/ha-1. Wide harvesting intervals. Attacked by few pests and diseases. The vegetable is a rich source Vitamin A and C which improve blood circulation and immunity. It also contains calcium responsible for strong bones. It has zinc which helps to repair worn out tissues. It is a good source of iron, beta carotene, flavonoids. It has a mild taste.</t>
  </si>
  <si>
    <t>Over-reliance on a single variety, Potential for nutrient depletion in soil, Market price fluctuations for high yields, Need for proper harvesting techniques to maintain quality, Verify yield claims with local conditions</t>
  </si>
  <si>
    <t>High-yielding, Vitamin A, Vitamin C, Calcium, Iron, Mild taste</t>
  </si>
  <si>
    <t>Katumani Mito 2 (Slenderleaf)</t>
  </si>
  <si>
    <t>The Slenderleaf vegetable is a rich source of Vitamin A and C and proteins. It also contains minerals like calcium, zinc and iron. It is a good source of antioxidants. It has a bitter taste. High yielding - 8 t/ha-1. Wide harvesting intervals. Attacked by few pests and diseases.</t>
  </si>
  <si>
    <t>Bitter taste may affect marketability, Over-reliance on a single variety, Potential for nutrient depletion in soil, Market price fluctuations for high yields, Verify yield claims with local conditions</t>
  </si>
  <si>
    <t>Slenderleaf, Vitamin A, Vitamin C, Protein, Bitter taste, Antioxidants</t>
  </si>
  <si>
    <t>Formal Slenderleaf Seed System (Slenderleaf)</t>
  </si>
  <si>
    <t>A Seed System is a set of activities contributing to variety development and seed production and delivery to farmers. The formal Slenderleaf Seed System is characterized by a well-regulated and organized set of activities, from breeding to delivering certified seeds of known and registered varieties to farmers and other stakeholders. It ensures continuous production, processing, supply and distribution of quality Slenderleaf seeds to farmers through organized marketing channels.</t>
  </si>
  <si>
    <t>Higher cost of certified seeds, Dependence on external suppliers, Potential for supply chain disruptions, Requires strict adherence to regulations, May not be accessible to all farmers</t>
  </si>
  <si>
    <t>Formal Seed System, Certified seeds, Quality control, Seed distribution, Regulated, Slenderleaf</t>
  </si>
  <si>
    <t>Informal Slenderleaf Seed System (Slenderleaf)</t>
  </si>
  <si>
    <t>A Seed System is a set of activities contributing to variety development and seed production and delivery to farmers. The informal Slenderleaf Seed System entails seed selection, treatment, storage, multiplication, and distribution. The informal Slenderleaf Seed System is outside the control of government agencies, with no external seed quality control. This system includes farmer-saved seed, gifts, barter, exchange and seed purchasing from local markets.</t>
  </si>
  <si>
    <t>No external quality control, Risk of poor seed quality or disease, Limited access to new/improved varieties, Reliance on traditional knowledge, Potential for seed-borne pests</t>
  </si>
  <si>
    <t>Informal Seed System, Farmer-saved seed, Seed exchange, Local markets, No quality control, Traditional knowledge</t>
  </si>
  <si>
    <t>Semi-Informal Slenderleaf seed production system (Slenderleaf)</t>
  </si>
  <si>
    <t>Requires strong community organization, May lack resources for quality testing, Potential for conflict over seed sharing, Dependence on external training, Quality may be inconsistent</t>
  </si>
  <si>
    <t>Community-based, Seed production, Farmer groups, Improved varieties, Quality guidelines, Cooperatives</t>
  </si>
  <si>
    <t>Variety selection, Seed acquisition or Own Seed Selection, Planting, Weeding, Thinning, Fertilizer Application, Pest and Disease Management, Harvesting, Storage (Slenderleaf)</t>
  </si>
  <si>
    <t>This includes: seed acquisition: Certified seed or training on proper own selection. Rainfall: Requires well distributed rainfall with annual average of 500mm-2700mm. Temperature: Thrives well at 12-300c. Land preparation: Ploughing and Harrowing operations are necessary. Planting and seed rate: Early planting; Depth 5 cm; Seed rate 2-3 Kg/acre; Mix seeds with dry sand or soil at the rate of 1 part Seed to 3 parts dry soil/sand. Spacing: Make shallow drills spaced 45 - 60cm apart. Weeding: Keep the crop weed free until it is well established. Thinning: Subsequent thinning should be done after the fourth week of planting. Harvesting: Thinned plants are used as the first harvest. Harvesting begins at week 8 and continues up to four months.</t>
  </si>
  <si>
    <t>Incorrect seed rate or spacing reduces yield, Poor timing of thinning affects plant growth, Inadequate weeding leads to competition, Improper harvesting damages plants, Climate variability (rainfall/temperature) can affect growth</t>
  </si>
  <si>
    <t>Seed acquisition, Planting depth, Seed rate, Spacing, Thinning, Harvesting time</t>
  </si>
  <si>
    <t>Rapid Soil Testing Services (Slenderleaf)</t>
  </si>
  <si>
    <t>Requires specialized equipment and training, May not be widely available to all farmers, Recommendations may be generic, Dependence on partner organizations, Potential for technology failure</t>
  </si>
  <si>
    <t>Rapid soil testing, Dry method, Scanner, Instant results, Biochemical composition, ICRAF/KALRO</t>
  </si>
  <si>
    <t>Integrated Soil Fertility Management (ISFM) (Slenderleaf)</t>
  </si>
  <si>
    <t>Requires knowledge of specific techniques, Improper use of fertilizers can harm crops, Organic inputs may be inconsistent in quality, High initial cost for inputs, Soil variability requires adapted approaches</t>
  </si>
  <si>
    <t>Soil fertility, Fertilizers, Organic inputs, Agronomic practices, Micro dosing, Resource efficiency</t>
  </si>
  <si>
    <t>Integrated Manure Management (IMM) (Slenderleaf)</t>
  </si>
  <si>
    <t>Improperly stored manure causes nutrient loss, Risk of weed seeds or pathogens in manure, Over-application can burn crops, Variable nutrient content depending on source, Requires labor for handling and application</t>
  </si>
  <si>
    <t>Manure management, Soil organic matter, Nutrient supply, Crop production, Animal manure, Soil quality</t>
  </si>
  <si>
    <t>Rain water Roof water catchment (Slenderleaf)</t>
  </si>
  <si>
    <t>Requires initial investment in structures, Seasonal water availability, Water quality issues (contamination), Maintenance of storage systems, Inadequate rainfall in dry seasons</t>
  </si>
  <si>
    <t>Rainwater harvesting, Rooftop catchment, Water storage, Subsurface aquifers, Water scarcity, Resilience</t>
  </si>
  <si>
    <t>Mulching (Slenderleaf)</t>
  </si>
  <si>
    <t>Improper mulching can harbor pests, Plastic mulch creates disposal issues, Natural mulch may introduce weed seeds, Can be labor-intensive to apply, Over-mulching can cause root rot</t>
  </si>
  <si>
    <t>Mulching, Moisture retention, Weed suppression, Soil temperature, Soil fertility, Natural materials</t>
  </si>
  <si>
    <t>Solar irrigation systems for smallholder farmers (Slenderleaf)</t>
  </si>
  <si>
    <t>High initial cost of solar panels/pumps, Dependence on sunlight (cloudy days reduce efficiency), Requires technical maintenance, Theft/vandalism of equipment, Needs adequate water source</t>
  </si>
  <si>
    <t>Solar irrigation, Solar power, Water pumping, Smallholder farmers, Renewable energy, Irrigation technology</t>
  </si>
  <si>
    <t>Drip Irrigation Systems for smallholder farmers (Slenderleaf)</t>
  </si>
  <si>
    <t>Higher initial cost than traditional methods, Risk of clogging of drippers, Requires regular maintenance, Needs clean water source, Dependence on spare parts availability</t>
  </si>
  <si>
    <t>Drip irrigation, Water efficiency, Root-zone watering, Yield increase, Smallholder farmers, Low pressure</t>
  </si>
  <si>
    <t>Integrated Management of powdery mildew disease in Slenderleaf</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</si>
  <si>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non-host crops e.g grasses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</si>
  <si>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sprays can be phytotoxic if misapplied, Chemical control may affect beneficial organisms, Requires timely application for effectiveness, Crop rotation may not be feasible for all, Walking in wet fields spreads disease</t>
  </si>
  <si>
    <t>Powdery mildew, Integrated management, Cultural control, Chemical control, Crop rotation, Copper oxychloride</t>
  </si>
  <si>
    <t>Integrated Management of Bacterial blight disease in Slenderleaf</t>
  </si>
  <si>
    <t>Integrated management of Bacterial blight consists of various approaches that help to break the disease cycle. They cultural management and chemical control. Cultural practices: Use of certified seed; Practicing crop rotation with non-host crops e.g. grasses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</si>
  <si>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Long crop rotation (3-4 years) may not be practical, Copper sprays can be harmful if overused, Disinfection of tools is often neglected, Working in wet fields increases disease spread, Requires diligent monitoring</t>
  </si>
  <si>
    <t>Bacterial blight, Integrated management, Certified seed, Crop rotation, Tool disinfection, Copper oxychloride</t>
  </si>
  <si>
    <t>Integrated Management of Root Knot nematodes in Slenderleaf</t>
  </si>
  <si>
    <t>Root knot nematodes affecting Crotalarias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</si>
  <si>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Long crop rotation (4-6 seasons) may be impractical, Soil solarization is weather-dependent, Neem products may not be effective in all soils, Biopesticides require proper application, Surface runoff can spread nematodes rapidly</t>
  </si>
  <si>
    <t>Root knot nematodes, Integrated management, Crop rotation, Soil solarization, Biopesticides, Green manure</t>
  </si>
  <si>
    <t>Integrated Management of Aphids in Slenderleaf</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</si>
  <si>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e.g. grasses.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</si>
  <si>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worsen aphid damage, Burning infested plants must be done safely, Neem oil requires frequent application, Chemical pesticides can harm natural enemies, Lantana may become invasive</t>
  </si>
  <si>
    <t>Aphids, Integrated management, Cultural control, Natural enemies, Neem products, Chemical control</t>
  </si>
  <si>
    <t>Integrated Management of Desert locust (Schistocerca gregaria) in Slenderleaf</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</si>
  <si>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Spray hopper bands using Metarhizium anisopliae based products.</t>
  </si>
  <si>
    <t>Relies on regional cooperation (may be slow), Biopesticides may require specific conditions, Farmers lack direct control over the response, Locust swarms can overwhelm efforts, Requires continuous monitoring</t>
  </si>
  <si>
    <t>Desert locust, Integrated management, Early warning system, DLCO-EA, Remote sensing, Metarhizium anisopliae</t>
  </si>
  <si>
    <t>Integrated management of Cut worms on Slenderleaf</t>
  </si>
  <si>
    <t>Hand picking is labor-intensive for large fields, Flooding may not be feasible in dry areas, Neem extract requires frequent reapplication, Ash may alter soil pH, Delaying transplanting may not suit all crops</t>
  </si>
  <si>
    <t>Cutworms, Integrated management, Cultural control, Hand picking, Neem extract, Flooding</t>
  </si>
  <si>
    <t>Integrated Management of Thrips on Slenderleaf</t>
  </si>
  <si>
    <t>Integrated management (IPM) of thrips involves the use of a combination of cultural, biological and chemical control methods.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Beauvitech WP (Beauveria bassiana) or Bio-Power 1.5L (Beauveria bassiana), or Botanigard ES (Azadirachtin); Spray neem based products like neemroc EC and nimbecidine. Chemical Control: Spray with Spinosad based products eg tracer 480 SC at 4mls per 20lts of water or lambda cyhalothrin products at 7ml per 20l of water.</t>
  </si>
  <si>
    <t>Overhead irrigation can worsen fungal diseases, Sticky traps require regular replacement, Biocontrol agents may be expensive, Chemical pesticides can harm beneficial insects, Burning infested material must be done safely</t>
  </si>
  <si>
    <t>Thrips, Integrated management, Cultural control, Biological control, Chemical control, Sticky traps</t>
  </si>
  <si>
    <t>Integrated management of pod borer on Slenderleaf</t>
  </si>
  <si>
    <t>Hand collection is labor-intensive, Neem products require frequent and timely application, Natural enemies may not control heavy infestations, Timing of sprays is critical, Pod damage may be noticed too late</t>
  </si>
  <si>
    <t>Pod borer, Integrated management, Hand collection, Natural enemies, Neem products, Biological control</t>
  </si>
  <si>
    <t>Integrated Weed Management (Slenderleaf)</t>
  </si>
  <si>
    <t>Grazing animals may damage crops, Improper herbicide use can harm crops, Mechanical weeding can damage crop roots, Crop rotation may not be suitable for all, Requires multiple strategies for effectiveness</t>
  </si>
  <si>
    <t>Integrated weed management, Physical control, Biological control, Chemical control, Cultural control, Mulching</t>
  </si>
  <si>
    <t>Land Preparation Practices to control weeds in AIVs (Slenderleaf)</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</si>
  <si>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Slenderleaf seeds.</t>
  </si>
  <si>
    <t>Ploughing can cause soil erosion, Harrowing may not eliminate deep-rooted weeds, Dry weather may delay planting, Over-tillage can degrade soil structure, Manual labor is intensive</t>
  </si>
  <si>
    <t>Land preparation, Ploughing, Harrowing, Weed control, Soil tillage, Ridging</t>
  </si>
  <si>
    <t>Legume Intercropping System (Slenderleaf)</t>
  </si>
  <si>
    <t>Innovative Legume Intercropping Systems is the application of growing more than one crop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</si>
  <si>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Competition between crops for resources, Complex management, Requires careful planning, May reduce yield of main crop, Pest attraction can increase</t>
  </si>
  <si>
    <t>Intercropping, Legumes, Land use efficiency, Mixed cropping, Strip cropping, Alley cropping</t>
  </si>
  <si>
    <t>AIVs Intercropping (Slenderleaf)</t>
  </si>
  <si>
    <t>Intercropping is the practice of planting Slenderleaf between other crops between rows such as cereal (maize, millets), tubers (cassava), and bananas. Intercropping must be planned to use space available and smother the weeds.</t>
  </si>
  <si>
    <t>Shading from main crop may reduce yield, Competition for water/nutrients, Complex management, Not all crops are compatible, May increase pest pressure</t>
  </si>
  <si>
    <t>AIV intercropping, Weed suppression, Space utilization, Cereals, Tubers, Bananas</t>
  </si>
  <si>
    <t>Mulching (Slenderleaf - Weed Control)</t>
  </si>
  <si>
    <t>The practice of covering the soil/ground with natural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Slenderleaf. Only black mulches should be used to control weeds.</t>
  </si>
  <si>
    <t>Synthetic mulches create disposal issues, Natural mulches may contain weed seeds, Incorrect depth reduces effectiveness, Black plastic can heat soil excessively, May harbor pests under mulch</t>
  </si>
  <si>
    <t>Mulching, Weed control, Biodegradable mulch, Synthetic mulch, Black plastic, Natural materials</t>
  </si>
  <si>
    <t>Chemical Weed Control (Slenderleaf)</t>
  </si>
  <si>
    <t>Risk of crop damage from misapplication, Herbicide resistance development, Environmental pollution, Requires protective equipment, May harm non-target organisms</t>
  </si>
  <si>
    <t>Chemical weed control, Herbicides, Recommended use, Crop safety, Environmental conditions, Application technique</t>
  </si>
  <si>
    <t>Mechanical weeding (Slenderleaf)</t>
  </si>
  <si>
    <t>Can damage crop roots if not careful, Hand pulling is labor-intensive, Requires well-prepared soil, Not effective for all weed types, Implements may not be accessible to all</t>
  </si>
  <si>
    <t>Mechanical weeding, Row planting, Inter-row weeding, Hand pulling, Timely weeding, Implements</t>
  </si>
  <si>
    <t>Safe Use of Agrochemicals (Slenderleaf)</t>
  </si>
  <si>
    <t>Pesticide poisoning risk, Environmental contamination, Improper disposal, Residues on crops, Lack of protective gear, Need for regular training</t>
  </si>
  <si>
    <t>Agrochemical safety, Pesticide handling, Storage, Application, Personal protective equipment, Disposal</t>
  </si>
  <si>
    <t>Power tiller (Slenderleaf)</t>
  </si>
  <si>
    <t>High fuel cost, Maintenance and repairs, Operator fatigue, Soil compaction risk, Not suitable for all soil types, Requires skilled operator</t>
  </si>
  <si>
    <t>Power tiller, Two-wheeled, Farm operations, Fuel consumption, Soil preparation, Mechanization</t>
  </si>
  <si>
    <t>Wheeled Tractor less than 50Hp (Slenderleaf)</t>
  </si>
  <si>
    <t>High purchase/maintenance cost, Requires skilled operator, Risk of accidents, Soil compaction, Fuel consumption, Not affordable for smallholders</t>
  </si>
  <si>
    <t>Tractor, Mechanization, Traction, Tillage, Hauling, Agricultural tasks</t>
  </si>
  <si>
    <t>Mould board plough (Slenderleaf)</t>
  </si>
  <si>
    <t>High tractor/tiller requirement, Can cause soil erosion, Inverts soil, burying organic matter, Fuel intensive, Requires depth control, Not suitable for all soils</t>
  </si>
  <si>
    <t>Mouldboard plough, Tillage, Furrow slice, Soil inversion, Moisture conservation, Climate-smart</t>
  </si>
  <si>
    <t>Disc Harrow (Slenderleaf)</t>
  </si>
  <si>
    <t>Requires tractor/tiller, Can cause soil compaction, Not effective on hard soils, May spread perennial weeds, Needs careful depth adjustment</t>
  </si>
  <si>
    <t>Disc harrow, Soil pulverization, Surface tillage, Weed control, Seed covering, Tilth</t>
  </si>
  <si>
    <t>AIV Planter (Slenderleaf)</t>
  </si>
  <si>
    <t>Requires calibration for each crop, High cost for smallholders, Mechanical breakdowns, Needs clean, uniform seeds, Not suitable for all field shapes</t>
  </si>
  <si>
    <t>Seed drill, Seeding rate, Row planting, Depth control, Seed coverage, Mechanization</t>
  </si>
  <si>
    <t>Motorized Sprayer (Slenderleaf)</t>
  </si>
  <si>
    <t>Risk of chemical exposure, Drift to non-target areas, Requires calibration, Maintenance of nozzles/pump, Can be heavy for prolonged use</t>
  </si>
  <si>
    <t>Motorized sprayer, Pesticide application, Herbicide application, Spray drift, Calibration, Backpack sprayer</t>
  </si>
  <si>
    <t>Power weeder (Slenderleaf)</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</si>
  <si>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Slenderleaf farmers. It is designed to weed specified spacing inter raw within Slenderleaf.</t>
  </si>
  <si>
    <t>High cost for smallholders, Can damage crop roots if misused, Requires operator skill, Fuel or electricity needed, Maintenance required</t>
  </si>
  <si>
    <t>Power weeder, Mechanical weeding, Inter-row weeding, Soil loosening, AIVs, Self-propelled</t>
  </si>
  <si>
    <t>Back Pack Weeder (Slenderleaf)</t>
  </si>
  <si>
    <t>It is a hand held machine that simultaneously cut the soil and weeds in Slenderleaf and is an intermediate technology machine appropriate for Small Holder Farmers. It is designed to weed specified spacing inter raw within Slenderleaf.</t>
  </si>
  <si>
    <t>Requires physical effort, May be ineffective in hard soils, Can damage crop roots, Needs regular maintenance, Not suitable for large fields</t>
  </si>
  <si>
    <t>Backpack weeder, Hand-held, Smallholder farmers, Inter-row weeding, Soil cutting, AIVs</t>
  </si>
  <si>
    <t>Back AIVs Harvester (Slenderleaf)</t>
  </si>
  <si>
    <t>It is a hand held machine that simultaneously cut the vegetable leaves and is an intermediate technology machine appropriate for Small Holder Farmers. It is designed to harvest specified spacing inter raw within Slenderleaf.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</si>
  <si>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source, High initial cost, Maintenance of motor/blades, May not handle all crop types, Operator training needed</t>
  </si>
  <si>
    <t>Back harvester, Electric, Leaf harvesting, Smallholder farmers, Low labor, AIVs</t>
  </si>
  <si>
    <t>Slender leaf sorting and grading (Slenderleaf)</t>
  </si>
  <si>
    <t>Slender leaf vegetables are sorted to remove infected vegetables, yellowing spotted vegetables, weeds and debris. Grading vegetables according to leaf size, weight, maturity, turgidity, physical damage, and market demand.</t>
  </si>
  <si>
    <t>Labor-intensive, Subjective grading, Requires training, Market demands may vary, Discarded produce is waste</t>
  </si>
  <si>
    <t>Sorting, Grading, Leaf size, Market demand, Quality control, Postharvest</t>
  </si>
  <si>
    <t>Zero Energy Brick Cooler (Slenderleaf)</t>
  </si>
  <si>
    <t>Requires regular watering, Brick construction cost, Limited storage capacity, Performance depends on humidity, Needs proper site</t>
  </si>
  <si>
    <t>Zero energy cooler, Brick cooler, Evaporative cooling, Postharvest, Storage, Moisture</t>
  </si>
  <si>
    <t>CoolBot™ (Slenderleaf)</t>
  </si>
  <si>
    <t>Requires electricity, Needs a well-insulated room, Installation requires some skill, Air conditioner maintenance, Not portable</t>
  </si>
  <si>
    <t>CoolBot, Cold room, Energy efficient, Postharvest, Temperature management, Air conditioner</t>
  </si>
  <si>
    <t>Wakati™ technology (Slenderleaf)</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</si>
  <si>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to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</si>
  <si>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Limited capacity (1m x 1m tent), Requires solar power (weather dependent), Needs water refilling, Not for all crop types, May not suit large volumes</t>
  </si>
  <si>
    <t>Wakati, Solar-powered, Humidity control, Ethylene oxidation, Shelf life extension, Canvas tent</t>
  </si>
  <si>
    <t>Modified Atmosphere Packaging of AIVs (Ziploc® and Xtend® bag packaging) (Slenderleaf)</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</si>
  <si>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Slenderleaf for between 5-7 days.</t>
  </si>
  <si>
    <t>Packaging material cost, Requires proper sealing, Not reusable, May not suit all AIVs, Storage conditions affect effectiveness</t>
  </si>
  <si>
    <t>Modified atmosphere, Xtend bags, Shelf life extension, Moisture control, Postharvest, Nutrient retention</t>
  </si>
  <si>
    <t>Solar drying of Slender leaf vegetables (Slenderleaf)</t>
  </si>
  <si>
    <t>The technology involves removal of excess moisture from slender leaf vegetables. This is done by use of Dehytray, green house dryer or cabinet solar drier.</t>
  </si>
  <si>
    <t>Weather-dependent, Requires space, Risk of over-drying, Product contamination, Initial cost of dryer</t>
  </si>
  <si>
    <t>Solar drying, Moisture removal, Dehytray, Greenhouse dryer, Cabinet dryer, Preservation</t>
  </si>
  <si>
    <t>Transformative Model of AIV production (Slenderleaf)</t>
  </si>
  <si>
    <t>Requires high capital investment, Market price volatility, Dependency on market access, Risk of overproduction, Requires business skills</t>
  </si>
  <si>
    <t>Transformative model, Commercial farming, Market linkages, High inputs, Smallholder farmers, Business approach</t>
  </si>
  <si>
    <t>Building a Business Plan for AIVs (Slenderleaf)</t>
  </si>
  <si>
    <t>Time-consuming to develop, Requires financial knowledge, Market conditions may change, Unrealistic projections, Implementation challenges</t>
  </si>
  <si>
    <t>Business plan, Marketing strategy, Profit analysis, Financial requirements, Risk assessment, Income streams</t>
  </si>
  <si>
    <t>Profitability analysis (Slenderleaf)</t>
  </si>
  <si>
    <t>Requires accurate record-keeping, Fluctuating prices, Hidden costs, Time-consuming, May not capture non-monetary benefits</t>
  </si>
  <si>
    <t>Profitability analysis, Cost recording, Returns, Agro-enterprise, Loss/gain, Productivity</t>
  </si>
  <si>
    <t>Marketing Innovation model for AIV production and marketing (Slenderleaf)</t>
  </si>
  <si>
    <t>High risk, Need for business skills, Market uncertainty, Capital requirement, Adapting to new technologies</t>
  </si>
  <si>
    <t>Marketing innovation, Entrepreneurship, Business acumen, Technology adoption, Economic goods, Profit</t>
  </si>
  <si>
    <t>Collective marketing (Slenderleaf)</t>
  </si>
  <si>
    <t>Requires group coordination, Potential for internal conflicts, Shared profits, Dependence on group decisions, May exclude some farmers</t>
  </si>
  <si>
    <t>Collective marketing, Producer organization, Farmer group, Shared profits, Group coordination, Marketing</t>
  </si>
  <si>
    <t>Contracted production (Slenderleaf)</t>
  </si>
  <si>
    <t>Price may be lower than market, Dependency on contractor, Risk of contract breach, Limited flexibility, Quality requirements</t>
  </si>
  <si>
    <t>Contract farming, Production credit, Technical assistance, Agreed price, Market guarantee, Quality standards</t>
  </si>
  <si>
    <t>Digital marketing (Slenderleaf)</t>
  </si>
  <si>
    <t>Requires internet access, Digital literacy, Online platform fees, Delivery logistics, Competition from other sellers</t>
  </si>
  <si>
    <t>Digital marketing, Internet marketing, Online platforms, Digital tools, Market access, Delivery systems</t>
  </si>
  <si>
    <t>Market research (Slenderleaf)</t>
  </si>
  <si>
    <t>Time-consuming, May require skills, Information may be inaccurate, Access to markets, Costs of research</t>
  </si>
  <si>
    <t>Market research, Market information, Farmers, Market access, Information gathering, Decision making</t>
  </si>
  <si>
    <t>Advocacy in farmers' participation in the National Agricultural Policy development and implementation (Slenderleaf)</t>
  </si>
  <si>
    <t>Requires collective action, Time-consuming, Political process, Limited farmer awareness, May not reflect all needs</t>
  </si>
  <si>
    <t>Advocacy, National agricultural policy, Farmer participation, Policy development, Implementation, Smallholder farmers</t>
  </si>
  <si>
    <t>Participation in the County Integrated Development Planning (Slenderleaf)</t>
  </si>
  <si>
    <t>The County Integrated Development Planning builds a plan for each county in Kenya to be implemented in five years. The planning process is participatory, involving the development stakeholders in the county. It is during this planning period where the issues in Slenderleaf production, marketing and processing are considered.</t>
  </si>
  <si>
    <t>Requires active participation, Limited county resources, Bureaucracy, Political influences, May not prioritize agriculture</t>
  </si>
  <si>
    <t>County planning, CIDP, Participatory planning, Stakeholders, Five-year plan, Agricultural issues</t>
  </si>
  <si>
    <t>Policy instruments related to AIV production (Slenderleaf)</t>
  </si>
  <si>
    <t>Instruments may not be enforced, Lack of farmer awareness, Inconsistent implementation, Resources for instruments, Policy gaps</t>
  </si>
  <si>
    <t>Policy instruments, Agricultural policy, Intervention points, Policy objectives, Implementation, Enforcement</t>
  </si>
  <si>
    <t>Policy cycle (Slenderleaf)</t>
  </si>
  <si>
    <t>May be slow, Political interference, Inadequate resources, Lack of stakeholder input, Evaluation gaps</t>
  </si>
  <si>
    <t>Policy cycle, Problem definition, Formulation, Implementation, Evaluation, Policy process</t>
  </si>
  <si>
    <t>Good Agricultural Practices (GAP) (Slenderleaf)</t>
  </si>
  <si>
    <t>Certification cost, Documentation burden, Market access may require GAP, Labor training, Compliance monitoring</t>
  </si>
  <si>
    <t>Good Agricultural Practices, Standardization, Food safety, Environmental sustainability, Economic viability, Consumer reassurance</t>
  </si>
  <si>
    <t>Food Safety Management System: Hazard Analysis Critical Control Points (HACCP) Plan for AIVs Value Chain in Kenya (Slenderleaf)</t>
  </si>
  <si>
    <t>Food safety management system (FSMS) through Hazard Analysis and Critical Control Point (HACCP) in Slenderleaf value chain is a system of food safety monitoring and control based on the systematic identification and assessment of various hazards. It is a preventive, rather than a reactive, tool that places the protection of the Slenderleaf supply from biological, chemical and physical hazards into the hands of food management systems. The system is designed to minimize the risk of food safety hazards by identifying the hazards, establishing controls and monitoring these controls.</t>
  </si>
  <si>
    <t>Requires technical expertise, Detailed documentation, Implementation cost, Continuous monitoring, May be too complex for smallholders</t>
  </si>
  <si>
    <t>HACCP, Food safety, Hazard analysis, Critical control points, Preventive tool, Value chain</t>
  </si>
  <si>
    <t>Screening Summary (live count)</t>
  </si>
  <si>
    <t>Updates automatically as each group screens and classifies its items.</t>
  </si>
  <si>
    <t>Group</t>
  </si>
  <si>
    <t>Total Items</t>
  </si>
  <si>
    <t>Ready to Certify</t>
  </si>
  <si>
    <t>Needs Review</t>
  </si>
  <si>
    <t>Needs Update</t>
  </si>
  <si>
    <t>High Risk</t>
  </si>
  <si>
    <t>Crop</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</si>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</sst>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1.0"/>
      <color theme="1"/>
      <name val="Calibri"/>
      <scheme val="minor"/>
    </font>
    <font>
      <b/>
      <sz val="20.0"/>
      <color rgb="FF1B3D1C"/>
      <name val="Calibri"/>
    </font>
    <font>
      <i/>
      <sz val="11.0"/>
      <color rgb="FF5A5A50"/>
      <name val="Calibri"/>
    </font>
    <font>
      <b/>
      <sz val="13.0"/>
      <color rgb="FF2C5F2D"/>
      <name val="Calibri"/>
    </font>
    <font/>
    <font>
      <sz val="10.0"/>
      <color rgb="FF2B2B26"/>
      <name val="Calibri"/>
    </font>
    <font>
      <b/>
      <sz val="11.0"/>
      <color rgb="FF1B3D1C"/>
      <name val="Calibri"/>
    </font>
    <font>
      <i/>
      <sz val="10.0"/>
      <color rgb="FF8A8A80"/>
      <name val="Calibri"/>
    </font>
    <font>
      <b/>
      <sz val="10.0"/>
      <color rgb="FFFFFFFF"/>
      <name val="Calibri"/>
    </font>
    <font>
      <color rgb="FF000000"/>
      <name val="Calibri"/>
      <scheme val="minor"/>
    </font>
    <font>
      <sz val="11.0"/>
      <color rgb="FF000000"/>
      <name val="Calibri"/>
    </font>
    <font>
      <u/>
      <sz val="11.0"/>
      <color rgb="FF000000"/>
      <name val="Calibri"/>
    </font>
    <font>
      <sz val="10.0"/>
      <color rgb="FF000000"/>
      <name val="Calibri"/>
    </font>
    <font>
      <sz val="10.0"/>
      <color rgb="FF8A8A80"/>
      <name val="Calibri"/>
    </font>
    <font>
      <sz val="11.0"/>
      <color theme="1"/>
      <name val="Calibri"/>
    </font>
    <font>
      <sz val="11.0"/>
      <color rgb="FF2B2B26"/>
      <name val="Calibri"/>
    </font>
    <font>
      <sz val="12.0"/>
      <color rgb="FF000000"/>
      <name val="Times New Roman"/>
    </font>
    <font>
      <b/>
      <sz val="10.0"/>
      <color rgb="FF000000"/>
      <name val="Calibri"/>
    </font>
    <font>
      <b/>
      <sz val="18.0"/>
      <color rgb="FF1B3D1C"/>
      <name val="Calibri"/>
    </font>
  </fonts>
  <fills count="6">
    <fill>
      <patternFill patternType="none"/>
    </fill>
    <fill>
      <patternFill patternType="lightGray"/>
    </fill>
    <fill>
      <patternFill patternType="solid">
        <fgColor rgb="FFF7F7F2"/>
        <bgColor rgb="FFF7F7F2"/>
      </patternFill>
    </fill>
    <fill>
      <patternFill patternType="solid">
        <fgColor rgb="FFFFF6DF"/>
        <bgColor rgb="FFFFF6DF"/>
      </patternFill>
    </fill>
    <fill>
      <patternFill patternType="solid">
        <fgColor rgb="FFF2F2EC"/>
        <bgColor rgb="FFF2F2EC"/>
      </patternFill>
    </fill>
    <fill>
      <patternFill patternType="solid">
        <fgColor rgb="FF2C5F2D"/>
        <bgColor rgb="FF2C5F2D"/>
      </patternFill>
    </fill>
  </fills>
  <borders count="19">
    <border/>
    <border>
      <left/>
      <top/>
      <bottom/>
    </border>
    <border>
      <right/>
      <top/>
      <bottom/>
    </border>
    <border>
      <left style="thin">
        <color rgb="FFE0E0D8"/>
      </left>
      <right style="thin">
        <color rgb="FFE0E0D8"/>
      </right>
      <top style="thin">
        <color rgb="FFE0E0D8"/>
      </top>
      <bottom style="thin">
        <color rgb="FFE0E0D8"/>
      </bottom>
    </border>
    <border>
      <left style="thin">
        <color rgb="FF000000"/>
      </left>
      <right style="thin">
        <color rgb="FF000000"/>
      </right>
      <top style="thin">
        <color rgb="FF000000"/>
      </top>
      <bottom style="thin">
        <color rgb="FF000000"/>
      </bottom>
    </border>
    <border>
      <left style="thin">
        <color rgb="FFE0E0D8"/>
      </left>
      <right style="thin">
        <color rgb="FFE0E0D8"/>
      </right>
      <top style="thin">
        <color rgb="FFE0E0D8"/>
      </top>
      <bottom/>
    </border>
    <border>
      <left style="thin">
        <color rgb="FFE0E0D8"/>
      </left>
      <right/>
      <top style="thin">
        <color rgb="FFE0E0D8"/>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right/>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4" numFmtId="0" xfId="0" applyBorder="1" applyFont="1"/>
    <xf borderId="0" fillId="0" fontId="5" numFmtId="0" xfId="0" applyAlignment="1" applyFont="1">
      <alignment shrinkToFit="0" vertical="top" wrapText="1"/>
    </xf>
    <xf borderId="0" fillId="0" fontId="6" numFmtId="0" xfId="0" applyAlignment="1" applyFont="1">
      <alignment shrinkToFit="0" vertical="top" wrapText="1"/>
    </xf>
    <xf borderId="3" fillId="3" fontId="5" numFmtId="0" xfId="0" applyBorder="1" applyFill="1" applyFont="1"/>
    <xf borderId="0" fillId="0" fontId="5" numFmtId="0" xfId="0" applyFont="1"/>
    <xf borderId="3" fillId="4" fontId="7" numFmtId="0" xfId="0" applyBorder="1" applyFill="1" applyFont="1"/>
    <xf borderId="3" fillId="5" fontId="8" numFmtId="0" xfId="0" applyAlignment="1" applyBorder="1" applyFill="1" applyFont="1">
      <alignment horizontal="center" shrinkToFit="0" vertical="center" wrapText="1"/>
    </xf>
    <xf borderId="0" fillId="0" fontId="9" numFmtId="0" xfId="0" applyFont="1"/>
    <xf borderId="4" fillId="0" fontId="10" numFmtId="0" xfId="0" applyAlignment="1" applyBorder="1" applyFont="1">
      <alignment vertical="top"/>
    </xf>
    <xf borderId="4" fillId="0" fontId="10" numFmtId="0" xfId="0" applyAlignment="1" applyBorder="1" applyFont="1">
      <alignment shrinkToFit="0" vertical="top" wrapText="1"/>
    </xf>
    <xf borderId="4" fillId="0" fontId="11" numFmtId="0" xfId="0" applyAlignment="1" applyBorder="1" applyFont="1">
      <alignment shrinkToFit="0" vertical="top" wrapText="1"/>
    </xf>
    <xf borderId="4" fillId="0" fontId="10" numFmtId="164" xfId="0" applyAlignment="1" applyBorder="1" applyFont="1" applyNumberFormat="1">
      <alignment shrinkToFit="0" vertical="top" wrapText="1"/>
    </xf>
    <xf borderId="4" fillId="0" fontId="12" numFmtId="0" xfId="0" applyAlignment="1" applyBorder="1" applyFont="1">
      <alignment shrinkToFit="0" vertical="top" wrapText="1"/>
    </xf>
    <xf borderId="4" fillId="0" fontId="12" numFmtId="164" xfId="0" applyAlignment="1" applyBorder="1" applyFont="1" applyNumberFormat="1">
      <alignment shrinkToFit="0" vertical="top" wrapText="1"/>
    </xf>
    <xf borderId="4" fillId="0" fontId="13" numFmtId="0" xfId="0" applyAlignment="1" applyBorder="1" applyFont="1">
      <alignment vertical="top"/>
    </xf>
    <xf borderId="4" fillId="3" fontId="5" numFmtId="0" xfId="0" applyAlignment="1" applyBorder="1" applyFill="1" applyFont="1">
      <alignment shrinkToFit="0" vertical="top" wrapText="1"/>
    </xf>
    <xf borderId="4" fillId="3" fontId="5" numFmtId="164" xfId="0" applyAlignment="1" applyBorder="1" applyFill="1" applyFont="1" applyNumberFormat="1">
      <alignment shrinkToFit="0" vertical="top" wrapText="1"/>
    </xf>
    <xf borderId="4" fillId="0" fontId="14" numFmtId="0" xfId="0" applyAlignment="1" applyBorder="1" applyFont="1">
      <alignment vertical="top"/>
    </xf>
    <xf borderId="4" fillId="0" fontId="14" numFmtId="0" xfId="0" applyAlignment="1" applyBorder="1" applyFont="1">
      <alignment shrinkToFit="0" vertical="top" wrapText="1"/>
    </xf>
    <xf borderId="4" fillId="0" fontId="15" numFmtId="164" xfId="0" applyAlignment="1" applyBorder="1" applyFont="1" applyNumberFormat="1">
      <alignment shrinkToFit="0" vertical="top" wrapText="1"/>
    </xf>
    <xf borderId="5" fillId="5" fontId="8" numFmtId="0" xfId="0" applyAlignment="1" applyBorder="1" applyFill="1" applyFont="1">
      <alignment horizontal="center" shrinkToFit="0" vertical="center" wrapText="1"/>
    </xf>
    <xf borderId="6" fillId="5" fontId="8"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7" fillId="0" fontId="16" numFmtId="0" xfId="0" applyAlignment="1" applyBorder="1" applyFont="1">
      <alignment shrinkToFit="0" vertical="top" wrapText="1"/>
    </xf>
    <xf borderId="8" fillId="0" fontId="16" numFmtId="0" xfId="0" applyAlignment="1" applyBorder="1" applyFont="1">
      <alignment shrinkToFit="0" vertical="top" wrapText="1"/>
    </xf>
    <xf borderId="4" fillId="0" fontId="17" numFmtId="0" xfId="0" applyAlignment="1" applyBorder="1" applyFont="1">
      <alignment vertical="top"/>
    </xf>
    <xf borderId="9" fillId="0" fontId="16" numFmtId="0" xfId="0" applyAlignment="1" applyBorder="1" applyFont="1">
      <alignment shrinkToFit="0" vertical="top" wrapText="1"/>
    </xf>
    <xf borderId="4" fillId="0" fontId="16" numFmtId="0" xfId="0" applyAlignment="1" applyBorder="1" applyFont="1">
      <alignment shrinkToFit="0" vertical="top" wrapText="1"/>
    </xf>
    <xf borderId="10" fillId="0" fontId="16" numFmtId="0" xfId="0" applyAlignment="1" applyBorder="1" applyFont="1">
      <alignment shrinkToFit="0" vertical="top" wrapText="1"/>
    </xf>
    <xf borderId="11" fillId="0" fontId="16" numFmtId="0" xfId="0" applyAlignment="1" applyBorder="1" applyFont="1">
      <alignment shrinkToFit="0" vertical="top" wrapText="1"/>
    </xf>
    <xf borderId="12" fillId="0" fontId="16" numFmtId="0" xfId="0" applyAlignment="1" applyBorder="1" applyFont="1">
      <alignment shrinkToFit="0" vertical="top" wrapText="1"/>
    </xf>
    <xf borderId="13" fillId="0" fontId="16" numFmtId="0" xfId="0" applyAlignment="1" applyBorder="1" applyFont="1">
      <alignment shrinkToFit="0" vertical="top" wrapText="1"/>
    </xf>
    <xf borderId="14" fillId="0" fontId="16" numFmtId="0" xfId="0" applyAlignment="1" applyBorder="1" applyFont="1">
      <alignment shrinkToFit="0" vertical="top" wrapText="1"/>
    </xf>
    <xf borderId="15" fillId="0" fontId="16" numFmtId="0" xfId="0" applyAlignment="1" applyBorder="1" applyFont="1">
      <alignment shrinkToFit="0" vertical="top" wrapText="1"/>
    </xf>
    <xf borderId="16" fillId="0" fontId="16" numFmtId="0" xfId="0" applyAlignment="1" applyBorder="1" applyFont="1">
      <alignment shrinkToFit="0" vertical="top" wrapText="1"/>
    </xf>
    <xf borderId="17" fillId="0" fontId="16" numFmtId="0" xfId="0" applyAlignment="1" applyBorder="1" applyFont="1">
      <alignment shrinkToFit="0" vertical="top" wrapText="1"/>
    </xf>
    <xf borderId="8" fillId="0" fontId="10" numFmtId="0" xfId="0" applyAlignment="1" applyBorder="1" applyFont="1">
      <alignment shrinkToFit="0" vertical="top" wrapText="1"/>
    </xf>
    <xf borderId="18" fillId="0" fontId="10" numFmtId="0" xfId="0" applyAlignment="1" applyBorder="1" applyFont="1">
      <alignment shrinkToFit="0" vertical="top" wrapText="1"/>
    </xf>
    <xf borderId="0" fillId="0" fontId="18" numFmtId="0" xfId="0" applyFont="1"/>
    <xf borderId="3" fillId="0" fontId="5" numFmtId="0" xfId="0" applyAlignment="1" applyBorder="1" applyFont="1">
      <alignment horizontal="left" vertical="center"/>
    </xf>
    <xf borderId="3" fillId="0" fontId="5" numFmtId="0" xfId="0" applyAlignment="1" applyBorder="1" applyFont="1">
      <alignment horizontal="center" vertical="center"/>
    </xf>
    <xf borderId="3" fillId="2" fontId="6" numFmtId="0" xfId="0" applyBorder="1" applyFill="1" applyFont="1"/>
    <xf borderId="3" fillId="2" fontId="6"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avcdp.kalro.org/docs/kcsap/AIV%20Volume%20I.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A441"/>
    <pageSetUpPr fitToPage="1"/>
  </sheetPr>
  <sheetViews>
    <sheetView showGridLines="0" workbookViewId="0"/>
  </sheetViews>
  <sheetFormatPr customHeight="1" defaultColWidth="14.43" defaultRowHeight="15.0"/>
  <cols>
    <col customWidth="1" min="1" max="1" width="2.43"/>
    <col customWidth="1" min="2" max="2" width="30.0"/>
    <col customWidth="1" min="3" max="3" width="62.0"/>
    <col customWidth="1" min="4" max="26" width="8.57"/>
  </cols>
  <sheetData>
    <row r="2" ht="26.25" customHeight="1">
      <c r="B2" s="1" t="s">
        <v>0</v>
      </c>
    </row>
    <row r="3">
      <c r="B3" s="2" t="s">
        <v>1</v>
      </c>
    </row>
    <row r="5" ht="21.75" customHeight="1">
      <c r="B5" s="3" t="s">
        <v>2</v>
      </c>
      <c r="C5" s="4"/>
    </row>
    <row r="6" ht="27.75" customHeight="1">
      <c r="B6" s="5" t="s">
        <v>3</v>
      </c>
    </row>
    <row r="7" ht="27.75" customHeight="1">
      <c r="B7" s="5" t="s">
        <v>4</v>
      </c>
    </row>
    <row r="9" ht="21.75" customHeight="1">
      <c r="B9" s="3" t="s">
        <v>5</v>
      </c>
      <c r="C9" s="4"/>
    </row>
    <row r="10" ht="27.75" customHeight="1">
      <c r="B10" s="5" t="s">
        <v>6</v>
      </c>
    </row>
    <row r="11" ht="27.75" customHeight="1">
      <c r="B11" s="5" t="s">
        <v>7</v>
      </c>
    </row>
    <row r="12" ht="27.75" customHeight="1">
      <c r="B12" s="5" t="s">
        <v>8</v>
      </c>
    </row>
    <row r="13" ht="27.75" customHeight="1">
      <c r="B13" s="5" t="s">
        <v>9</v>
      </c>
    </row>
    <row r="14" ht="27.75" customHeight="1">
      <c r="B14" s="5" t="s">
        <v>10</v>
      </c>
    </row>
    <row r="16" ht="21.75" customHeight="1">
      <c r="B16" s="3" t="s">
        <v>11</v>
      </c>
      <c r="C16" s="4"/>
    </row>
    <row r="17" ht="27.75" customHeight="1">
      <c r="B17" s="5" t="s">
        <v>12</v>
      </c>
    </row>
    <row r="18" ht="27.75" customHeight="1">
      <c r="B18" s="5" t="s">
        <v>13</v>
      </c>
    </row>
    <row r="19" ht="27.75" customHeight="1">
      <c r="B19" s="5" t="s">
        <v>14</v>
      </c>
    </row>
    <row r="20" ht="27.75" customHeight="1">
      <c r="B20" s="5" t="s">
        <v>15</v>
      </c>
    </row>
    <row r="21" ht="15.75" customHeight="1"/>
    <row r="22" ht="21.75" customHeight="1">
      <c r="B22" s="3" t="s">
        <v>16</v>
      </c>
      <c r="C22" s="4"/>
    </row>
    <row r="23" ht="27.75" customHeight="1">
      <c r="B23" s="6" t="s">
        <v>17</v>
      </c>
      <c r="C23" s="5" t="s">
        <v>18</v>
      </c>
    </row>
    <row r="24" ht="27.75" customHeight="1">
      <c r="B24" s="6" t="s">
        <v>19</v>
      </c>
      <c r="C24" s="5" t="s">
        <v>20</v>
      </c>
    </row>
    <row r="25" ht="27.75" customHeight="1">
      <c r="B25" s="6" t="s">
        <v>21</v>
      </c>
      <c r="C25" s="5" t="s">
        <v>22</v>
      </c>
    </row>
    <row r="26" ht="27.75" customHeight="1">
      <c r="B26" s="6" t="s">
        <v>23</v>
      </c>
      <c r="C26" s="5" t="s">
        <v>24</v>
      </c>
    </row>
    <row r="27" ht="27.75" customHeight="1">
      <c r="B27" s="6" t="s">
        <v>25</v>
      </c>
      <c r="C27" s="5" t="s">
        <v>26</v>
      </c>
    </row>
    <row r="28" ht="27.75" customHeight="1">
      <c r="B28" s="6" t="s">
        <v>27</v>
      </c>
      <c r="C28" s="5" t="s">
        <v>28</v>
      </c>
    </row>
    <row r="29" ht="27.75" customHeight="1">
      <c r="B29" s="6" t="s">
        <v>29</v>
      </c>
      <c r="C29" s="5" t="s">
        <v>30</v>
      </c>
    </row>
    <row r="30" ht="27.75" customHeight="1">
      <c r="B30" s="6" t="s">
        <v>31</v>
      </c>
      <c r="C30" s="5" t="s">
        <v>32</v>
      </c>
    </row>
    <row r="31" ht="27.75" customHeight="1">
      <c r="B31" s="6" t="s">
        <v>33</v>
      </c>
      <c r="C31" s="5" t="s">
        <v>34</v>
      </c>
    </row>
    <row r="32" ht="27.75" customHeight="1">
      <c r="B32" s="6" t="s">
        <v>35</v>
      </c>
      <c r="C32" s="5" t="s">
        <v>36</v>
      </c>
    </row>
    <row r="33" ht="27.75" customHeight="1">
      <c r="B33" s="6" t="s">
        <v>37</v>
      </c>
      <c r="C33" s="5" t="s">
        <v>38</v>
      </c>
    </row>
    <row r="34" ht="27.75" customHeight="1">
      <c r="B34" s="6" t="s">
        <v>39</v>
      </c>
      <c r="C34" s="5" t="s">
        <v>40</v>
      </c>
    </row>
    <row r="35" ht="27.75" customHeight="1">
      <c r="B35" s="6" t="s">
        <v>41</v>
      </c>
      <c r="C35" s="5" t="s">
        <v>42</v>
      </c>
    </row>
    <row r="36" ht="27.75" customHeight="1">
      <c r="B36" s="6" t="s">
        <v>43</v>
      </c>
      <c r="C36" s="5" t="s">
        <v>44</v>
      </c>
    </row>
    <row r="37" ht="27.75" customHeight="1">
      <c r="B37" s="6" t="s">
        <v>45</v>
      </c>
      <c r="C37" s="5" t="s">
        <v>46</v>
      </c>
    </row>
    <row r="38" ht="27.75" customHeight="1">
      <c r="B38" s="6" t="s">
        <v>47</v>
      </c>
      <c r="C38" s="5" t="s">
        <v>48</v>
      </c>
    </row>
    <row r="39" ht="27.75" customHeight="1">
      <c r="B39" s="6" t="s">
        <v>49</v>
      </c>
      <c r="C39" s="5" t="s">
        <v>50</v>
      </c>
    </row>
    <row r="40" ht="27.75" customHeight="1">
      <c r="B40" s="6" t="s">
        <v>51</v>
      </c>
      <c r="C40" s="5" t="s">
        <v>52</v>
      </c>
    </row>
    <row r="41" ht="15.75" customHeight="1"/>
    <row r="42" ht="21.75" customHeight="1">
      <c r="B42" s="3" t="s">
        <v>53</v>
      </c>
      <c r="C42" s="4"/>
    </row>
    <row r="43" ht="15.75" customHeight="1">
      <c r="B43" s="7" t="s">
        <v>54</v>
      </c>
      <c r="C43" s="8" t="s">
        <v>55</v>
      </c>
    </row>
    <row r="44" ht="15.75" customHeight="1">
      <c r="B44" s="9" t="s">
        <v>56</v>
      </c>
      <c r="C44" s="8" t="s">
        <v>57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2:C2"/>
    <mergeCell ref="B3:C3"/>
    <mergeCell ref="B5:C5"/>
    <mergeCell ref="B6:C6"/>
    <mergeCell ref="B7:C7"/>
    <mergeCell ref="B9:C9"/>
    <mergeCell ref="B10:C10"/>
    <mergeCell ref="B19:C19"/>
    <mergeCell ref="B20:C20"/>
    <mergeCell ref="B22:C22"/>
    <mergeCell ref="B42:C42"/>
    <mergeCell ref="B11:C11"/>
    <mergeCell ref="B12:C12"/>
    <mergeCell ref="B13:C13"/>
    <mergeCell ref="B14:C14"/>
    <mergeCell ref="B16:C16"/>
    <mergeCell ref="B17:C17"/>
    <mergeCell ref="B18:C18"/>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5F2D"/>
    <pageSetUpPr fitToPage="1"/>
  </sheetPr>
  <sheetViews>
    <sheetView showGridLines="0" workbookViewId="0"/>
  </sheetViews>
  <sheetFormatPr customHeight="1" defaultColWidth="14.43" defaultRowHeight="15.0"/>
  <cols>
    <col customWidth="1" min="1" max="1" width="2.43"/>
    <col customWidth="1" min="2" max="2" width="12.71"/>
    <col customWidth="1" min="3" max="3" width="32.0"/>
    <col customWidth="1" min="4" max="4" width="35.57"/>
    <col customWidth="1" min="5" max="5" width="24.0"/>
    <col customWidth="1" min="6" max="6" width="13.0"/>
    <col customWidth="1" min="7" max="7" width="21.86"/>
    <col customWidth="1" min="8" max="8" width="26.0"/>
    <col customWidth="1" min="9" max="9" width="16.0"/>
    <col customWidth="1" min="10" max="10" width="13.0"/>
    <col customWidth="1" min="11" max="11" width="20.0"/>
    <col customWidth="1" min="12" max="13" width="22.0"/>
    <col customWidth="1" min="14" max="14" width="15.0"/>
    <col customWidth="1" min="15" max="15" width="16.0"/>
    <col customWidth="1" min="16" max="16" width="18.0"/>
    <col customWidth="1" min="17" max="17" width="16.0"/>
    <col customWidth="1" min="18" max="18" width="12.0"/>
    <col customWidth="1" min="19" max="19" width="16.0"/>
    <col customWidth="1" min="20" max="20" width="38.0"/>
    <col customWidth="1" min="21" max="26" width="8.57"/>
  </cols>
  <sheetData>
    <row r="1" ht="42.75" customHeight="1">
      <c r="B1" s="10" t="s">
        <v>58</v>
      </c>
      <c r="C1" s="10" t="s">
        <v>17</v>
      </c>
      <c r="D1" s="10" t="s">
        <v>19</v>
      </c>
      <c r="E1" s="10" t="s">
        <v>21</v>
      </c>
      <c r="F1" s="10" t="s">
        <v>23</v>
      </c>
      <c r="G1" s="10" t="s">
        <v>25</v>
      </c>
      <c r="H1" s="10" t="s">
        <v>27</v>
      </c>
      <c r="I1" s="10" t="s">
        <v>29</v>
      </c>
      <c r="J1" s="10" t="s">
        <v>31</v>
      </c>
      <c r="K1" s="10" t="s">
        <v>33</v>
      </c>
      <c r="L1" s="10" t="s">
        <v>35</v>
      </c>
      <c r="M1" s="10" t="s">
        <v>37</v>
      </c>
      <c r="N1" s="10" t="s">
        <v>59</v>
      </c>
      <c r="O1" s="10" t="s">
        <v>41</v>
      </c>
      <c r="P1" s="10" t="s">
        <v>43</v>
      </c>
      <c r="Q1" s="10" t="s">
        <v>45</v>
      </c>
      <c r="R1" s="10" t="s">
        <v>47</v>
      </c>
      <c r="S1" s="10" t="s">
        <v>49</v>
      </c>
      <c r="T1" s="10" t="s">
        <v>51</v>
      </c>
    </row>
    <row r="2" ht="45.0" customHeight="1">
      <c r="A2" s="11"/>
      <c r="B2" s="12" t="s">
        <v>60</v>
      </c>
      <c r="C2" s="13" t="s">
        <v>61</v>
      </c>
      <c r="D2" s="14" t="s">
        <v>62</v>
      </c>
      <c r="E2" s="13" t="s">
        <v>63</v>
      </c>
      <c r="F2" s="15">
        <v>44866.0</v>
      </c>
      <c r="G2" s="13" t="s">
        <v>64</v>
      </c>
      <c r="H2" s="13"/>
      <c r="I2" s="13" t="s">
        <v>65</v>
      </c>
      <c r="J2" s="13" t="s">
        <v>66</v>
      </c>
      <c r="K2" s="16"/>
      <c r="L2" s="16"/>
      <c r="M2" s="16"/>
      <c r="N2" s="17"/>
      <c r="O2" s="16"/>
      <c r="P2" s="16"/>
      <c r="Q2" s="16"/>
      <c r="R2" s="16"/>
      <c r="S2" s="16"/>
      <c r="T2" s="16"/>
      <c r="U2" s="11"/>
      <c r="V2" s="11"/>
      <c r="W2" s="11"/>
      <c r="X2" s="11"/>
      <c r="Y2" s="11"/>
      <c r="Z2" s="11"/>
    </row>
    <row r="3" ht="45.0" customHeight="1">
      <c r="A3" s="11"/>
      <c r="B3" s="12" t="s">
        <v>67</v>
      </c>
      <c r="C3" s="13" t="s">
        <v>68</v>
      </c>
      <c r="D3" s="13" t="s">
        <v>69</v>
      </c>
      <c r="E3" s="13" t="s">
        <v>63</v>
      </c>
      <c r="F3" s="15">
        <v>44866.0</v>
      </c>
      <c r="G3" s="13" t="s">
        <v>64</v>
      </c>
      <c r="H3" s="13"/>
      <c r="I3" s="13" t="s">
        <v>65</v>
      </c>
      <c r="J3" s="13" t="s">
        <v>66</v>
      </c>
      <c r="K3" s="16"/>
      <c r="L3" s="16"/>
      <c r="M3" s="16"/>
      <c r="N3" s="17"/>
      <c r="O3" s="16"/>
      <c r="P3" s="16"/>
      <c r="Q3" s="16"/>
      <c r="R3" s="16"/>
      <c r="S3" s="16"/>
      <c r="T3" s="16"/>
      <c r="U3" s="11"/>
      <c r="V3" s="11"/>
      <c r="W3" s="11"/>
      <c r="X3" s="11"/>
      <c r="Y3" s="11"/>
      <c r="Z3" s="11"/>
    </row>
    <row r="4" hidden="1">
      <c r="B4" s="18" t="str">
        <f>"CROP-"&amp;TEXT(19,"000")</f>
        <v>CROP-019</v>
      </c>
      <c r="C4" s="19"/>
      <c r="D4" s="19"/>
      <c r="E4" s="19"/>
      <c r="F4" s="20"/>
      <c r="G4" s="19"/>
      <c r="H4" s="19"/>
      <c r="I4" s="19"/>
      <c r="J4" s="19"/>
      <c r="K4" s="19"/>
      <c r="L4" s="19"/>
      <c r="M4" s="19"/>
      <c r="N4" s="20"/>
      <c r="O4" s="19"/>
      <c r="P4" s="19"/>
      <c r="Q4" s="19"/>
      <c r="R4" s="19"/>
      <c r="S4" s="19"/>
      <c r="T4" s="19"/>
    </row>
    <row r="5" ht="15.75" hidden="1" customHeight="1">
      <c r="B5" s="18" t="str">
        <f>"CROP-"&amp;TEXT(20,"000")</f>
        <v>CROP-020</v>
      </c>
      <c r="C5" s="19"/>
      <c r="D5" s="19"/>
      <c r="E5" s="19"/>
      <c r="F5" s="20"/>
      <c r="G5" s="19"/>
      <c r="H5" s="19"/>
      <c r="I5" s="19"/>
      <c r="J5" s="19"/>
      <c r="K5" s="19"/>
      <c r="L5" s="19"/>
      <c r="M5" s="19"/>
      <c r="N5" s="20"/>
      <c r="O5" s="19"/>
      <c r="P5" s="19"/>
      <c r="Q5" s="19"/>
      <c r="R5" s="19"/>
      <c r="S5" s="19"/>
      <c r="T5" s="19"/>
    </row>
    <row r="6" ht="45.0" customHeight="1">
      <c r="A6" s="11"/>
      <c r="B6" s="12" t="s">
        <v>70</v>
      </c>
      <c r="C6" s="13" t="s">
        <v>71</v>
      </c>
      <c r="D6" s="13" t="s">
        <v>72</v>
      </c>
      <c r="E6" s="13" t="s">
        <v>63</v>
      </c>
      <c r="F6" s="15">
        <v>44866.0</v>
      </c>
      <c r="G6" s="13" t="s">
        <v>64</v>
      </c>
      <c r="H6" s="13"/>
      <c r="I6" s="13" t="s">
        <v>65</v>
      </c>
      <c r="J6" s="13" t="s">
        <v>66</v>
      </c>
      <c r="K6" s="16"/>
      <c r="L6" s="16"/>
      <c r="M6" s="16"/>
      <c r="N6" s="17"/>
      <c r="O6" s="16"/>
      <c r="P6" s="16"/>
      <c r="Q6" s="16"/>
      <c r="R6" s="16"/>
      <c r="S6" s="16"/>
      <c r="T6" s="16"/>
      <c r="U6" s="11"/>
      <c r="V6" s="11"/>
      <c r="W6" s="11"/>
      <c r="X6" s="11"/>
      <c r="Y6" s="11"/>
      <c r="Z6" s="11"/>
    </row>
    <row r="7" ht="15.75" customHeight="1">
      <c r="B7" s="21"/>
      <c r="C7" s="21"/>
      <c r="D7" s="21"/>
      <c r="E7" s="22"/>
      <c r="F7" s="23"/>
      <c r="G7" s="21"/>
      <c r="H7" s="21"/>
      <c r="I7" s="21"/>
      <c r="J7" s="21"/>
      <c r="K7" s="21"/>
      <c r="L7" s="21"/>
      <c r="M7" s="21"/>
      <c r="N7" s="21"/>
      <c r="O7" s="21"/>
      <c r="P7" s="21"/>
      <c r="Q7" s="21"/>
      <c r="R7" s="21"/>
      <c r="S7" s="21"/>
      <c r="T7" s="21"/>
    </row>
    <row r="8" ht="15.75" customHeight="1">
      <c r="B8" s="21"/>
      <c r="C8" s="21"/>
      <c r="D8" s="21"/>
      <c r="E8" s="21"/>
      <c r="F8" s="21"/>
      <c r="G8" s="21"/>
      <c r="H8" s="21"/>
      <c r="I8" s="21"/>
      <c r="J8" s="21"/>
      <c r="K8" s="21"/>
      <c r="L8" s="21"/>
      <c r="M8" s="21"/>
      <c r="N8" s="21"/>
      <c r="O8" s="21"/>
      <c r="P8" s="21"/>
      <c r="Q8" s="21"/>
      <c r="R8" s="21"/>
      <c r="S8" s="21"/>
      <c r="T8" s="21"/>
    </row>
    <row r="9" ht="15.75" customHeight="1">
      <c r="B9" s="21"/>
      <c r="C9" s="21"/>
      <c r="D9" s="21"/>
      <c r="E9" s="21"/>
      <c r="F9" s="21"/>
      <c r="G9" s="21"/>
      <c r="H9" s="21"/>
      <c r="I9" s="21"/>
      <c r="J9" s="21"/>
      <c r="K9" s="21"/>
      <c r="L9" s="21"/>
      <c r="M9" s="21"/>
      <c r="N9" s="21"/>
      <c r="O9" s="21"/>
      <c r="P9" s="21"/>
      <c r="Q9" s="21"/>
      <c r="R9" s="21"/>
      <c r="S9" s="21"/>
      <c r="T9" s="21"/>
    </row>
    <row r="10" ht="15.75" customHeight="1">
      <c r="B10" s="21"/>
      <c r="C10" s="21"/>
      <c r="D10" s="21"/>
      <c r="E10" s="21"/>
      <c r="F10" s="21"/>
      <c r="G10" s="21"/>
      <c r="H10" s="21"/>
      <c r="I10" s="21"/>
      <c r="J10" s="21"/>
      <c r="K10" s="21"/>
      <c r="L10" s="21"/>
      <c r="M10" s="21"/>
      <c r="N10" s="21"/>
      <c r="O10" s="21"/>
      <c r="P10" s="21"/>
      <c r="Q10" s="21"/>
      <c r="R10" s="21"/>
      <c r="S10" s="21"/>
      <c r="T10" s="21"/>
    </row>
    <row r="11" ht="15.75" customHeight="1">
      <c r="B11" s="21"/>
      <c r="C11" s="21"/>
      <c r="D11" s="21"/>
      <c r="E11" s="21"/>
      <c r="F11" s="21"/>
      <c r="G11" s="21"/>
      <c r="H11" s="21"/>
      <c r="I11" s="21"/>
      <c r="J11" s="21"/>
      <c r="K11" s="21"/>
      <c r="L11" s="21"/>
      <c r="M11" s="21"/>
      <c r="N11" s="21"/>
      <c r="O11" s="21"/>
      <c r="P11" s="21"/>
      <c r="Q11" s="21"/>
      <c r="R11" s="21"/>
      <c r="S11" s="21"/>
      <c r="T11" s="21"/>
    </row>
    <row r="12" ht="15.75" customHeight="1">
      <c r="B12" s="21"/>
      <c r="C12" s="21"/>
      <c r="D12" s="21"/>
      <c r="E12" s="21"/>
      <c r="F12" s="21"/>
      <c r="G12" s="21"/>
      <c r="H12" s="21"/>
      <c r="I12" s="21"/>
      <c r="J12" s="21"/>
      <c r="K12" s="21"/>
      <c r="L12" s="21"/>
      <c r="M12" s="21"/>
      <c r="N12" s="21"/>
      <c r="O12" s="21"/>
      <c r="P12" s="21"/>
      <c r="Q12" s="21"/>
      <c r="R12" s="21"/>
      <c r="S12" s="21"/>
      <c r="T12" s="21"/>
    </row>
    <row r="13" ht="15.75" customHeight="1">
      <c r="B13" s="21"/>
      <c r="C13" s="21"/>
      <c r="D13" s="21"/>
      <c r="E13" s="21"/>
      <c r="F13" s="21"/>
      <c r="G13" s="21"/>
      <c r="H13" s="21"/>
      <c r="I13" s="21"/>
      <c r="J13" s="21"/>
      <c r="K13" s="21"/>
      <c r="L13" s="21"/>
      <c r="M13" s="21"/>
      <c r="N13" s="21"/>
      <c r="O13" s="21"/>
      <c r="P13" s="21"/>
      <c r="Q13" s="21"/>
      <c r="R13" s="21"/>
      <c r="S13" s="21"/>
      <c r="T13" s="21"/>
    </row>
    <row r="14" ht="15.75" customHeight="1">
      <c r="B14" s="21"/>
      <c r="C14" s="21"/>
      <c r="D14" s="21"/>
      <c r="E14" s="21"/>
      <c r="F14" s="21"/>
      <c r="G14" s="21"/>
      <c r="H14" s="21"/>
      <c r="I14" s="21"/>
      <c r="J14" s="21"/>
      <c r="K14" s="21"/>
      <c r="L14" s="21"/>
      <c r="M14" s="21"/>
      <c r="N14" s="21"/>
      <c r="O14" s="21"/>
      <c r="P14" s="21"/>
      <c r="Q14" s="21"/>
      <c r="R14" s="21"/>
      <c r="S14" s="21"/>
      <c r="T14" s="21"/>
    </row>
    <row r="15" ht="15.75" customHeight="1">
      <c r="B15" s="21"/>
      <c r="C15" s="21"/>
      <c r="D15" s="21"/>
      <c r="E15" s="21"/>
      <c r="F15" s="21"/>
      <c r="G15" s="21"/>
      <c r="H15" s="21"/>
      <c r="I15" s="21"/>
      <c r="J15" s="21"/>
      <c r="K15" s="21"/>
      <c r="L15" s="21"/>
      <c r="M15" s="21"/>
      <c r="N15" s="21"/>
      <c r="O15" s="21"/>
      <c r="P15" s="21"/>
      <c r="Q15" s="21"/>
      <c r="R15" s="21"/>
      <c r="S15" s="21"/>
      <c r="T15" s="21"/>
    </row>
    <row r="16" ht="15.75" customHeight="1">
      <c r="B16" s="21"/>
      <c r="C16" s="21"/>
      <c r="D16" s="21"/>
      <c r="E16" s="21"/>
      <c r="F16" s="21"/>
      <c r="G16" s="21"/>
      <c r="H16" s="21"/>
      <c r="I16" s="21"/>
      <c r="J16" s="21"/>
      <c r="K16" s="21"/>
      <c r="L16" s="21"/>
      <c r="M16" s="21"/>
      <c r="N16" s="21"/>
      <c r="O16" s="21"/>
      <c r="P16" s="21"/>
      <c r="Q16" s="21"/>
      <c r="R16" s="21"/>
      <c r="S16" s="21"/>
      <c r="T16" s="21"/>
    </row>
    <row r="17" ht="15.75" customHeight="1">
      <c r="B17" s="21"/>
      <c r="C17" s="21"/>
      <c r="D17" s="21"/>
      <c r="E17" s="21"/>
      <c r="F17" s="21"/>
      <c r="G17" s="21"/>
      <c r="H17" s="21"/>
      <c r="I17" s="21"/>
      <c r="J17" s="21"/>
      <c r="K17" s="21"/>
      <c r="L17" s="21"/>
      <c r="M17" s="21"/>
      <c r="N17" s="21"/>
      <c r="O17" s="21"/>
      <c r="P17" s="21"/>
      <c r="Q17" s="21"/>
      <c r="R17" s="21"/>
      <c r="S17" s="21"/>
      <c r="T17" s="21"/>
    </row>
    <row r="18" ht="15.75" customHeight="1">
      <c r="B18" s="21"/>
      <c r="C18" s="21"/>
      <c r="D18" s="21"/>
      <c r="E18" s="21"/>
      <c r="F18" s="21"/>
      <c r="G18" s="21"/>
      <c r="H18" s="21"/>
      <c r="I18" s="21"/>
      <c r="J18" s="21"/>
      <c r="K18" s="21"/>
      <c r="L18" s="21"/>
      <c r="M18" s="21"/>
      <c r="N18" s="21"/>
      <c r="O18" s="21"/>
      <c r="P18" s="21"/>
      <c r="Q18" s="21"/>
      <c r="R18" s="21"/>
      <c r="S18" s="21"/>
      <c r="T18" s="21"/>
    </row>
    <row r="19" ht="15.75" customHeight="1">
      <c r="B19" s="21"/>
      <c r="C19" s="21"/>
      <c r="D19" s="21"/>
      <c r="E19" s="21"/>
      <c r="F19" s="21"/>
      <c r="G19" s="21"/>
      <c r="H19" s="21"/>
      <c r="I19" s="21"/>
      <c r="J19" s="21"/>
      <c r="K19" s="21"/>
      <c r="L19" s="21"/>
      <c r="M19" s="21"/>
      <c r="N19" s="21"/>
      <c r="O19" s="21"/>
      <c r="P19" s="21"/>
      <c r="Q19" s="21"/>
      <c r="R19" s="21"/>
      <c r="S19" s="21"/>
      <c r="T19" s="21"/>
    </row>
    <row r="20" ht="15.75" customHeight="1">
      <c r="B20" s="21"/>
      <c r="C20" s="21"/>
      <c r="D20" s="21"/>
      <c r="E20" s="21"/>
      <c r="F20" s="21"/>
      <c r="G20" s="21"/>
      <c r="H20" s="21"/>
      <c r="I20" s="21"/>
      <c r="J20" s="21"/>
      <c r="K20" s="21"/>
      <c r="L20" s="21"/>
      <c r="M20" s="21"/>
      <c r="N20" s="21"/>
      <c r="O20" s="21"/>
      <c r="P20" s="21"/>
      <c r="Q20" s="21"/>
      <c r="R20" s="21"/>
      <c r="S20" s="21"/>
      <c r="T20" s="21"/>
    </row>
    <row r="21" ht="15.75" customHeight="1">
      <c r="B21" s="21"/>
      <c r="C21" s="21"/>
      <c r="D21" s="21"/>
      <c r="E21" s="21"/>
      <c r="F21" s="21"/>
      <c r="G21" s="21"/>
      <c r="H21" s="21"/>
      <c r="I21" s="21"/>
      <c r="J21" s="21"/>
      <c r="K21" s="21"/>
      <c r="L21" s="21"/>
      <c r="M21" s="21"/>
      <c r="N21" s="21"/>
      <c r="O21" s="21"/>
      <c r="P21" s="21"/>
      <c r="Q21" s="21"/>
      <c r="R21" s="21"/>
      <c r="S21" s="21"/>
      <c r="T21" s="21"/>
    </row>
    <row r="22" ht="15.75" customHeight="1">
      <c r="B22" s="21"/>
      <c r="C22" s="21"/>
      <c r="D22" s="21"/>
      <c r="E22" s="21"/>
      <c r="F22" s="21"/>
      <c r="G22" s="21"/>
      <c r="H22" s="21"/>
      <c r="I22" s="21"/>
      <c r="J22" s="21"/>
      <c r="K22" s="21"/>
      <c r="L22" s="21"/>
      <c r="M22" s="21"/>
      <c r="N22" s="21"/>
      <c r="O22" s="21"/>
      <c r="P22" s="21"/>
      <c r="Q22" s="21"/>
      <c r="R22" s="21"/>
      <c r="S22" s="21"/>
      <c r="T22" s="21"/>
    </row>
    <row r="23" ht="15.75" customHeight="1">
      <c r="B23" s="21"/>
      <c r="C23" s="21"/>
      <c r="D23" s="21"/>
      <c r="E23" s="21"/>
      <c r="F23" s="21"/>
      <c r="G23" s="21"/>
      <c r="H23" s="21"/>
      <c r="I23" s="21"/>
      <c r="J23" s="21"/>
      <c r="K23" s="21"/>
      <c r="L23" s="21"/>
      <c r="M23" s="21"/>
      <c r="N23" s="21"/>
      <c r="O23" s="21"/>
      <c r="P23" s="21"/>
      <c r="Q23" s="21"/>
      <c r="R23" s="21"/>
      <c r="S23" s="21"/>
      <c r="T23" s="21"/>
    </row>
    <row r="24" ht="15.75" customHeight="1">
      <c r="B24" s="21"/>
      <c r="C24" s="21"/>
      <c r="D24" s="21"/>
      <c r="E24" s="21"/>
      <c r="F24" s="21"/>
      <c r="G24" s="21"/>
      <c r="H24" s="21"/>
      <c r="I24" s="21"/>
      <c r="J24" s="21"/>
      <c r="K24" s="21"/>
      <c r="L24" s="21"/>
      <c r="M24" s="21"/>
      <c r="N24" s="21"/>
      <c r="O24" s="21"/>
      <c r="P24" s="21"/>
      <c r="Q24" s="21"/>
      <c r="R24" s="21"/>
      <c r="S24" s="21"/>
      <c r="T24" s="21"/>
    </row>
    <row r="25" ht="15.75" customHeight="1">
      <c r="B25" s="21"/>
      <c r="C25" s="21"/>
      <c r="D25" s="21"/>
      <c r="E25" s="21"/>
      <c r="F25" s="21"/>
      <c r="G25" s="21"/>
      <c r="H25" s="21"/>
      <c r="I25" s="21"/>
      <c r="J25" s="21"/>
      <c r="K25" s="21"/>
      <c r="L25" s="21"/>
      <c r="M25" s="21"/>
      <c r="N25" s="21"/>
      <c r="O25" s="21"/>
      <c r="P25" s="21"/>
      <c r="Q25" s="21"/>
      <c r="R25" s="21"/>
      <c r="S25" s="21"/>
      <c r="T25" s="21"/>
    </row>
    <row r="26" ht="15.75" customHeight="1">
      <c r="B26" s="21"/>
      <c r="C26" s="21"/>
      <c r="D26" s="21"/>
      <c r="E26" s="21"/>
      <c r="F26" s="21"/>
      <c r="G26" s="21"/>
      <c r="H26" s="21"/>
      <c r="I26" s="21"/>
      <c r="J26" s="21"/>
      <c r="K26" s="21"/>
      <c r="L26" s="21"/>
      <c r="M26" s="21"/>
      <c r="N26" s="21"/>
      <c r="O26" s="21"/>
      <c r="P26" s="21"/>
      <c r="Q26" s="21"/>
      <c r="R26" s="21"/>
      <c r="S26" s="21"/>
      <c r="T26" s="21"/>
    </row>
    <row r="27" ht="15.75" customHeight="1">
      <c r="B27" s="21"/>
      <c r="C27" s="21"/>
      <c r="D27" s="21"/>
      <c r="E27" s="21"/>
      <c r="F27" s="21"/>
      <c r="G27" s="21"/>
      <c r="H27" s="21"/>
      <c r="I27" s="21"/>
      <c r="J27" s="21"/>
      <c r="K27" s="21"/>
      <c r="L27" s="21"/>
      <c r="M27" s="21"/>
      <c r="N27" s="21"/>
      <c r="O27" s="21"/>
      <c r="P27" s="21"/>
      <c r="Q27" s="21"/>
      <c r="R27" s="21"/>
      <c r="S27" s="21"/>
      <c r="T27" s="21"/>
    </row>
    <row r="28" ht="15.75" customHeight="1">
      <c r="B28" s="21"/>
      <c r="C28" s="21"/>
      <c r="D28" s="21"/>
      <c r="E28" s="21"/>
      <c r="F28" s="21"/>
      <c r="G28" s="21"/>
      <c r="H28" s="21"/>
      <c r="I28" s="21"/>
      <c r="J28" s="21"/>
      <c r="K28" s="21"/>
      <c r="L28" s="21"/>
      <c r="M28" s="21"/>
      <c r="N28" s="21"/>
      <c r="O28" s="21"/>
      <c r="P28" s="21"/>
      <c r="Q28" s="21"/>
      <c r="R28" s="21"/>
      <c r="S28" s="21"/>
      <c r="T28" s="21"/>
    </row>
    <row r="29" ht="15.75" customHeight="1">
      <c r="B29" s="21"/>
      <c r="C29" s="21"/>
      <c r="D29" s="21"/>
      <c r="E29" s="21"/>
      <c r="F29" s="21"/>
      <c r="G29" s="21"/>
      <c r="H29" s="21"/>
      <c r="I29" s="21"/>
      <c r="J29" s="21"/>
      <c r="K29" s="21"/>
      <c r="L29" s="21"/>
      <c r="M29" s="21"/>
      <c r="N29" s="21"/>
      <c r="O29" s="21"/>
      <c r="P29" s="21"/>
      <c r="Q29" s="21"/>
      <c r="R29" s="21"/>
      <c r="S29" s="21"/>
      <c r="T29" s="21"/>
    </row>
    <row r="30" ht="15.75" customHeight="1">
      <c r="B30" s="21"/>
      <c r="C30" s="21"/>
      <c r="D30" s="21"/>
      <c r="E30" s="21"/>
      <c r="F30" s="21"/>
      <c r="G30" s="21"/>
      <c r="H30" s="21"/>
      <c r="I30" s="21"/>
      <c r="J30" s="21"/>
      <c r="K30" s="21"/>
      <c r="L30" s="21"/>
      <c r="M30" s="21"/>
      <c r="N30" s="21"/>
      <c r="O30" s="21"/>
      <c r="P30" s="21"/>
      <c r="Q30" s="21"/>
      <c r="R30" s="21"/>
      <c r="S30" s="21"/>
      <c r="T30" s="21"/>
    </row>
    <row r="31" ht="15.75" customHeight="1">
      <c r="B31" s="21"/>
      <c r="C31" s="21"/>
      <c r="D31" s="21"/>
      <c r="E31" s="21"/>
      <c r="F31" s="21"/>
      <c r="G31" s="21"/>
      <c r="H31" s="21"/>
      <c r="I31" s="21"/>
      <c r="J31" s="21"/>
      <c r="K31" s="21"/>
      <c r="L31" s="21"/>
      <c r="M31" s="21"/>
      <c r="N31" s="21"/>
      <c r="O31" s="21"/>
      <c r="P31" s="21"/>
      <c r="Q31" s="21"/>
      <c r="R31" s="21"/>
      <c r="S31" s="21"/>
      <c r="T31" s="21"/>
    </row>
    <row r="32" ht="15.75" customHeight="1">
      <c r="B32" s="21"/>
      <c r="C32" s="21"/>
      <c r="D32" s="21"/>
      <c r="E32" s="21"/>
      <c r="F32" s="21"/>
      <c r="G32" s="21"/>
      <c r="H32" s="21"/>
      <c r="I32" s="21"/>
      <c r="J32" s="21"/>
      <c r="K32" s="21"/>
      <c r="L32" s="21"/>
      <c r="M32" s="21"/>
      <c r="N32" s="21"/>
      <c r="O32" s="21"/>
      <c r="P32" s="21"/>
      <c r="Q32" s="21"/>
      <c r="R32" s="21"/>
      <c r="S32" s="21"/>
      <c r="T32" s="21"/>
    </row>
    <row r="33" ht="15.75" customHeight="1">
      <c r="B33" s="21"/>
      <c r="C33" s="21"/>
      <c r="D33" s="21"/>
      <c r="E33" s="21"/>
      <c r="F33" s="21"/>
      <c r="G33" s="21"/>
      <c r="H33" s="21"/>
      <c r="I33" s="21"/>
      <c r="J33" s="21"/>
      <c r="K33" s="21"/>
      <c r="L33" s="21"/>
      <c r="M33" s="21"/>
      <c r="N33" s="21"/>
      <c r="O33" s="21"/>
      <c r="P33" s="21"/>
      <c r="Q33" s="21"/>
      <c r="R33" s="21"/>
      <c r="S33" s="21"/>
      <c r="T33" s="21"/>
    </row>
    <row r="34" ht="15.75" customHeight="1">
      <c r="B34" s="21"/>
      <c r="C34" s="21"/>
      <c r="D34" s="21"/>
      <c r="E34" s="21"/>
      <c r="F34" s="21"/>
      <c r="G34" s="21"/>
      <c r="H34" s="21"/>
      <c r="I34" s="21"/>
      <c r="J34" s="21"/>
      <c r="K34" s="21"/>
      <c r="L34" s="21"/>
      <c r="M34" s="21"/>
      <c r="N34" s="21"/>
      <c r="O34" s="21"/>
      <c r="P34" s="21"/>
      <c r="Q34" s="21"/>
      <c r="R34" s="21"/>
      <c r="S34" s="21"/>
      <c r="T34" s="21"/>
    </row>
    <row r="35" ht="15.75" customHeight="1">
      <c r="B35" s="21"/>
      <c r="C35" s="21"/>
      <c r="D35" s="21"/>
      <c r="E35" s="21"/>
      <c r="F35" s="21"/>
      <c r="G35" s="21"/>
      <c r="H35" s="21"/>
      <c r="I35" s="21"/>
      <c r="J35" s="21"/>
      <c r="K35" s="21"/>
      <c r="L35" s="21"/>
      <c r="M35" s="21"/>
      <c r="N35" s="21"/>
      <c r="O35" s="21"/>
      <c r="P35" s="21"/>
      <c r="Q35" s="21"/>
      <c r="R35" s="21"/>
      <c r="S35" s="21"/>
      <c r="T35" s="21"/>
    </row>
    <row r="36" ht="15.75" customHeight="1">
      <c r="B36" s="21"/>
      <c r="C36" s="21"/>
      <c r="D36" s="21"/>
      <c r="E36" s="21"/>
      <c r="F36" s="21"/>
      <c r="G36" s="21"/>
      <c r="H36" s="21"/>
      <c r="I36" s="21"/>
      <c r="J36" s="21"/>
      <c r="K36" s="21"/>
      <c r="L36" s="21"/>
      <c r="M36" s="21"/>
      <c r="N36" s="21"/>
      <c r="O36" s="21"/>
      <c r="P36" s="21"/>
      <c r="Q36" s="21"/>
      <c r="R36" s="21"/>
      <c r="S36" s="21"/>
      <c r="T36" s="21"/>
    </row>
    <row r="37" ht="15.75" customHeight="1">
      <c r="B37" s="21"/>
      <c r="C37" s="21"/>
      <c r="D37" s="21"/>
      <c r="E37" s="21"/>
      <c r="F37" s="21"/>
      <c r="G37" s="21"/>
      <c r="H37" s="21"/>
      <c r="I37" s="21"/>
      <c r="J37" s="21"/>
      <c r="K37" s="21"/>
      <c r="L37" s="21"/>
      <c r="M37" s="21"/>
      <c r="N37" s="21"/>
      <c r="O37" s="21"/>
      <c r="P37" s="21"/>
      <c r="Q37" s="21"/>
      <c r="R37" s="21"/>
      <c r="S37" s="21"/>
      <c r="T37" s="21"/>
    </row>
    <row r="38" ht="15.75" customHeight="1">
      <c r="B38" s="21"/>
      <c r="C38" s="21"/>
      <c r="D38" s="21"/>
      <c r="E38" s="21"/>
      <c r="F38" s="21"/>
      <c r="G38" s="21"/>
      <c r="H38" s="21"/>
      <c r="I38" s="21"/>
      <c r="J38" s="21"/>
      <c r="K38" s="21"/>
      <c r="L38" s="21"/>
      <c r="M38" s="21"/>
      <c r="N38" s="21"/>
      <c r="O38" s="21"/>
      <c r="P38" s="21"/>
      <c r="Q38" s="21"/>
      <c r="R38" s="21"/>
      <c r="S38" s="21"/>
      <c r="T38" s="21"/>
    </row>
    <row r="39" ht="15.75" customHeight="1">
      <c r="B39" s="21"/>
      <c r="C39" s="21"/>
      <c r="D39" s="21"/>
      <c r="E39" s="21"/>
      <c r="F39" s="21"/>
      <c r="G39" s="21"/>
      <c r="H39" s="21"/>
      <c r="I39" s="21"/>
      <c r="J39" s="21"/>
      <c r="K39" s="21"/>
      <c r="L39" s="21"/>
      <c r="M39" s="21"/>
      <c r="N39" s="21"/>
      <c r="O39" s="21"/>
      <c r="P39" s="21"/>
      <c r="Q39" s="21"/>
      <c r="R39" s="21"/>
      <c r="S39" s="21"/>
      <c r="T39" s="21"/>
    </row>
    <row r="40" ht="15.75" customHeight="1">
      <c r="B40" s="21"/>
      <c r="C40" s="21"/>
      <c r="D40" s="21"/>
      <c r="E40" s="21"/>
      <c r="F40" s="21"/>
      <c r="G40" s="21"/>
      <c r="H40" s="21"/>
      <c r="I40" s="21"/>
      <c r="J40" s="21"/>
      <c r="K40" s="21"/>
      <c r="L40" s="21"/>
      <c r="M40" s="21"/>
      <c r="N40" s="21"/>
      <c r="O40" s="21"/>
      <c r="P40" s="21"/>
      <c r="Q40" s="21"/>
      <c r="R40" s="21"/>
      <c r="S40" s="21"/>
      <c r="T40" s="21"/>
    </row>
    <row r="41" ht="15.75" customHeight="1">
      <c r="B41" s="21"/>
      <c r="C41" s="21"/>
      <c r="D41" s="21"/>
      <c r="E41" s="21"/>
      <c r="F41" s="21"/>
      <c r="G41" s="21"/>
      <c r="H41" s="21"/>
      <c r="I41" s="21"/>
      <c r="J41" s="21"/>
      <c r="K41" s="21"/>
      <c r="L41" s="21"/>
      <c r="M41" s="21"/>
      <c r="N41" s="21"/>
      <c r="O41" s="21"/>
      <c r="P41" s="21"/>
      <c r="Q41" s="21"/>
      <c r="R41" s="21"/>
      <c r="S41" s="21"/>
      <c r="T41" s="21"/>
    </row>
    <row r="42" ht="15.75" customHeight="1">
      <c r="B42" s="21"/>
      <c r="C42" s="21"/>
      <c r="D42" s="21"/>
      <c r="E42" s="21"/>
      <c r="F42" s="21"/>
      <c r="G42" s="21"/>
      <c r="H42" s="21"/>
      <c r="I42" s="21"/>
      <c r="J42" s="21"/>
      <c r="K42" s="21"/>
      <c r="L42" s="21"/>
      <c r="M42" s="21"/>
      <c r="N42" s="21"/>
      <c r="O42" s="21"/>
      <c r="P42" s="21"/>
      <c r="Q42" s="21"/>
      <c r="R42" s="21"/>
      <c r="S42" s="21"/>
      <c r="T42" s="21"/>
    </row>
    <row r="43" ht="15.75" customHeight="1">
      <c r="B43" s="21"/>
      <c r="C43" s="21"/>
      <c r="D43" s="21"/>
      <c r="E43" s="21"/>
      <c r="F43" s="21"/>
      <c r="G43" s="21"/>
      <c r="H43" s="21"/>
      <c r="I43" s="21"/>
      <c r="J43" s="21"/>
      <c r="K43" s="21"/>
      <c r="L43" s="21"/>
      <c r="M43" s="21"/>
      <c r="N43" s="21"/>
      <c r="O43" s="21"/>
      <c r="P43" s="21"/>
      <c r="Q43" s="21"/>
      <c r="R43" s="21"/>
      <c r="S43" s="21"/>
      <c r="T43" s="21"/>
    </row>
    <row r="44" ht="15.75" customHeight="1">
      <c r="B44" s="21"/>
      <c r="C44" s="21"/>
      <c r="D44" s="21"/>
      <c r="E44" s="21"/>
      <c r="F44" s="21"/>
      <c r="G44" s="21"/>
      <c r="H44" s="21"/>
      <c r="I44" s="21"/>
      <c r="J44" s="21"/>
      <c r="K44" s="21"/>
      <c r="L44" s="21"/>
      <c r="M44" s="21"/>
      <c r="N44" s="21"/>
      <c r="O44" s="21"/>
      <c r="P44" s="21"/>
      <c r="Q44" s="21"/>
      <c r="R44" s="21"/>
      <c r="S44" s="21"/>
      <c r="T44" s="21"/>
    </row>
    <row r="45" ht="15.75" customHeight="1">
      <c r="B45" s="21"/>
      <c r="C45" s="21"/>
      <c r="D45" s="21"/>
      <c r="E45" s="21"/>
      <c r="F45" s="21"/>
      <c r="G45" s="21"/>
      <c r="H45" s="21"/>
      <c r="I45" s="21"/>
      <c r="J45" s="21"/>
      <c r="K45" s="21"/>
      <c r="L45" s="21"/>
      <c r="M45" s="21"/>
      <c r="N45" s="21"/>
      <c r="O45" s="21"/>
      <c r="P45" s="21"/>
      <c r="Q45" s="21"/>
      <c r="R45" s="21"/>
      <c r="S45" s="21"/>
      <c r="T45" s="21"/>
    </row>
    <row r="46" ht="15.75" customHeight="1">
      <c r="B46" s="21"/>
      <c r="C46" s="21"/>
      <c r="D46" s="21"/>
      <c r="E46" s="21"/>
      <c r="F46" s="21"/>
      <c r="G46" s="21"/>
      <c r="H46" s="21"/>
      <c r="I46" s="21"/>
      <c r="J46" s="21"/>
      <c r="K46" s="21"/>
      <c r="L46" s="21"/>
      <c r="M46" s="21"/>
      <c r="N46" s="21"/>
      <c r="O46" s="21"/>
      <c r="P46" s="21"/>
      <c r="Q46" s="21"/>
      <c r="R46" s="21"/>
      <c r="S46" s="21"/>
      <c r="T46" s="21"/>
    </row>
    <row r="47" ht="15.75" customHeight="1">
      <c r="B47" s="21"/>
      <c r="C47" s="21"/>
      <c r="D47" s="21"/>
      <c r="E47" s="21"/>
      <c r="F47" s="21"/>
      <c r="G47" s="21"/>
      <c r="H47" s="21"/>
      <c r="I47" s="21"/>
      <c r="J47" s="21"/>
      <c r="K47" s="21"/>
      <c r="L47" s="21"/>
      <c r="M47" s="21"/>
      <c r="N47" s="21"/>
      <c r="O47" s="21"/>
      <c r="P47" s="21"/>
      <c r="Q47" s="21"/>
      <c r="R47" s="21"/>
      <c r="S47" s="21"/>
      <c r="T47" s="21"/>
    </row>
    <row r="48" ht="15.75" customHeight="1">
      <c r="B48" s="21"/>
      <c r="C48" s="21"/>
      <c r="D48" s="21"/>
      <c r="E48" s="21"/>
      <c r="F48" s="21"/>
      <c r="G48" s="21"/>
      <c r="H48" s="21"/>
      <c r="I48" s="21"/>
      <c r="J48" s="21"/>
      <c r="K48" s="21"/>
      <c r="L48" s="21"/>
      <c r="M48" s="21"/>
      <c r="N48" s="21"/>
      <c r="O48" s="21"/>
      <c r="P48" s="21"/>
      <c r="Q48" s="21"/>
      <c r="R48" s="21"/>
      <c r="S48" s="21"/>
      <c r="T48" s="21"/>
    </row>
    <row r="49" ht="15.75" customHeight="1">
      <c r="B49" s="21"/>
      <c r="C49" s="21"/>
      <c r="D49" s="21"/>
      <c r="E49" s="21"/>
      <c r="F49" s="21"/>
      <c r="G49" s="21"/>
      <c r="H49" s="21"/>
      <c r="I49" s="21"/>
      <c r="J49" s="21"/>
      <c r="K49" s="21"/>
      <c r="L49" s="21"/>
      <c r="M49" s="21"/>
      <c r="N49" s="21"/>
      <c r="O49" s="21"/>
      <c r="P49" s="21"/>
      <c r="Q49" s="21"/>
      <c r="R49" s="21"/>
      <c r="S49" s="21"/>
      <c r="T49" s="21"/>
    </row>
    <row r="50" ht="15.75" customHeight="1">
      <c r="B50" s="21"/>
      <c r="C50" s="21"/>
      <c r="D50" s="21"/>
      <c r="E50" s="21"/>
      <c r="F50" s="21"/>
      <c r="G50" s="21"/>
      <c r="H50" s="21"/>
      <c r="I50" s="21"/>
      <c r="J50" s="21"/>
      <c r="K50" s="21"/>
      <c r="L50" s="21"/>
      <c r="M50" s="21"/>
      <c r="N50" s="21"/>
      <c r="O50" s="21"/>
      <c r="P50" s="21"/>
      <c r="Q50" s="21"/>
      <c r="R50" s="21"/>
      <c r="S50" s="21"/>
      <c r="T50" s="21"/>
    </row>
    <row r="51" ht="15.75" customHeight="1">
      <c r="B51" s="21"/>
      <c r="C51" s="21"/>
      <c r="D51" s="21"/>
      <c r="E51" s="21"/>
      <c r="F51" s="21"/>
      <c r="G51" s="21"/>
      <c r="H51" s="21"/>
      <c r="I51" s="21"/>
      <c r="J51" s="21"/>
      <c r="K51" s="21"/>
      <c r="L51" s="21"/>
      <c r="M51" s="21"/>
      <c r="N51" s="21"/>
      <c r="O51" s="21"/>
      <c r="P51" s="21"/>
      <c r="Q51" s="21"/>
      <c r="R51" s="21"/>
      <c r="S51" s="21"/>
      <c r="T51" s="21"/>
    </row>
    <row r="52" ht="15.75" customHeight="1">
      <c r="B52" s="21"/>
      <c r="C52" s="21"/>
      <c r="D52" s="21"/>
      <c r="E52" s="21"/>
      <c r="F52" s="21"/>
      <c r="G52" s="21"/>
      <c r="H52" s="21"/>
      <c r="I52" s="21"/>
      <c r="J52" s="21"/>
      <c r="K52" s="21"/>
      <c r="L52" s="21"/>
      <c r="M52" s="21"/>
      <c r="N52" s="21"/>
      <c r="O52" s="21"/>
      <c r="P52" s="21"/>
      <c r="Q52" s="21"/>
      <c r="R52" s="21"/>
      <c r="S52" s="21"/>
      <c r="T52" s="21"/>
    </row>
    <row r="53" ht="15.75" customHeight="1">
      <c r="B53" s="21"/>
      <c r="C53" s="21"/>
      <c r="D53" s="21"/>
      <c r="E53" s="21"/>
      <c r="F53" s="21"/>
      <c r="G53" s="21"/>
      <c r="H53" s="21"/>
      <c r="I53" s="21"/>
      <c r="J53" s="21"/>
      <c r="K53" s="21"/>
      <c r="L53" s="21"/>
      <c r="M53" s="21"/>
      <c r="N53" s="21"/>
      <c r="O53" s="21"/>
      <c r="P53" s="21"/>
      <c r="Q53" s="21"/>
      <c r="R53" s="21"/>
      <c r="S53" s="21"/>
      <c r="T53" s="21"/>
    </row>
    <row r="54" ht="15.75" customHeight="1">
      <c r="B54" s="21"/>
      <c r="C54" s="21"/>
      <c r="D54" s="21"/>
      <c r="E54" s="21"/>
      <c r="F54" s="21"/>
      <c r="G54" s="21"/>
      <c r="H54" s="21"/>
      <c r="I54" s="21"/>
      <c r="J54" s="21"/>
      <c r="K54" s="21"/>
      <c r="L54" s="21"/>
      <c r="M54" s="21"/>
      <c r="N54" s="21"/>
      <c r="O54" s="21"/>
      <c r="P54" s="21"/>
      <c r="Q54" s="21"/>
      <c r="R54" s="21"/>
      <c r="S54" s="21"/>
      <c r="T54" s="21"/>
    </row>
    <row r="55" ht="15.75" customHeight="1">
      <c r="B55" s="21"/>
      <c r="C55" s="21"/>
      <c r="D55" s="21"/>
      <c r="E55" s="21"/>
      <c r="F55" s="21"/>
      <c r="G55" s="21"/>
      <c r="H55" s="21"/>
      <c r="I55" s="21"/>
      <c r="J55" s="21"/>
      <c r="K55" s="21"/>
      <c r="L55" s="21"/>
      <c r="M55" s="21"/>
      <c r="N55" s="21"/>
      <c r="O55" s="21"/>
      <c r="P55" s="21"/>
      <c r="Q55" s="21"/>
      <c r="R55" s="21"/>
      <c r="S55" s="21"/>
      <c r="T55" s="21"/>
    </row>
    <row r="56" ht="15.75" customHeight="1">
      <c r="B56" s="21"/>
      <c r="C56" s="21"/>
      <c r="D56" s="21"/>
      <c r="E56" s="21"/>
      <c r="F56" s="21"/>
      <c r="G56" s="21"/>
      <c r="H56" s="21"/>
      <c r="I56" s="21"/>
      <c r="J56" s="21"/>
      <c r="K56" s="21"/>
      <c r="L56" s="21"/>
      <c r="M56" s="21"/>
      <c r="N56" s="21"/>
      <c r="O56" s="21"/>
      <c r="P56" s="21"/>
      <c r="Q56" s="21"/>
      <c r="R56" s="21"/>
      <c r="S56" s="21"/>
      <c r="T56" s="21"/>
    </row>
    <row r="57" ht="15.75" customHeight="1">
      <c r="B57" s="21"/>
      <c r="C57" s="21"/>
      <c r="D57" s="21"/>
      <c r="E57" s="21"/>
      <c r="F57" s="21"/>
      <c r="G57" s="21"/>
      <c r="H57" s="21"/>
      <c r="I57" s="21"/>
      <c r="J57" s="21"/>
      <c r="K57" s="21"/>
      <c r="L57" s="21"/>
      <c r="M57" s="21"/>
      <c r="N57" s="21"/>
      <c r="O57" s="21"/>
      <c r="P57" s="21"/>
      <c r="Q57" s="21"/>
      <c r="R57" s="21"/>
      <c r="S57" s="21"/>
      <c r="T57" s="21"/>
    </row>
    <row r="58" ht="15.75" customHeight="1">
      <c r="B58" s="21"/>
      <c r="C58" s="21"/>
      <c r="D58" s="21"/>
      <c r="E58" s="21"/>
      <c r="F58" s="21"/>
      <c r="G58" s="21"/>
      <c r="H58" s="21"/>
      <c r="I58" s="21"/>
      <c r="J58" s="21"/>
      <c r="K58" s="21"/>
      <c r="L58" s="21"/>
      <c r="M58" s="21"/>
      <c r="N58" s="21"/>
      <c r="O58" s="21"/>
      <c r="P58" s="21"/>
      <c r="Q58" s="21"/>
      <c r="R58" s="21"/>
      <c r="S58" s="21"/>
      <c r="T58" s="21"/>
    </row>
    <row r="59" ht="15.75" customHeight="1">
      <c r="B59" s="21"/>
      <c r="C59" s="21"/>
      <c r="D59" s="21"/>
      <c r="E59" s="21"/>
      <c r="F59" s="21"/>
      <c r="G59" s="21"/>
      <c r="H59" s="21"/>
      <c r="I59" s="21"/>
      <c r="J59" s="21"/>
      <c r="K59" s="21"/>
      <c r="L59" s="21"/>
      <c r="M59" s="21"/>
      <c r="N59" s="21"/>
      <c r="O59" s="21"/>
      <c r="P59" s="21"/>
      <c r="Q59" s="21"/>
      <c r="R59" s="21"/>
      <c r="S59" s="21"/>
      <c r="T59" s="21"/>
    </row>
    <row r="60" ht="15.75" customHeight="1">
      <c r="B60" s="21"/>
      <c r="C60" s="21"/>
      <c r="D60" s="21"/>
      <c r="E60" s="21"/>
      <c r="F60" s="21"/>
      <c r="G60" s="21"/>
      <c r="H60" s="21"/>
      <c r="I60" s="21"/>
      <c r="J60" s="21"/>
      <c r="K60" s="21"/>
      <c r="L60" s="21"/>
      <c r="M60" s="21"/>
      <c r="N60" s="21"/>
      <c r="O60" s="21"/>
      <c r="P60" s="21"/>
      <c r="Q60" s="21"/>
      <c r="R60" s="21"/>
      <c r="S60" s="21"/>
      <c r="T60" s="21"/>
    </row>
    <row r="61" ht="15.75" customHeight="1">
      <c r="B61" s="21"/>
      <c r="C61" s="21"/>
      <c r="D61" s="21"/>
      <c r="E61" s="21"/>
      <c r="F61" s="21"/>
      <c r="G61" s="21"/>
      <c r="H61" s="21"/>
      <c r="I61" s="21"/>
      <c r="J61" s="21"/>
      <c r="K61" s="21"/>
      <c r="L61" s="21"/>
      <c r="M61" s="21"/>
      <c r="N61" s="21"/>
      <c r="O61" s="21"/>
      <c r="P61" s="21"/>
      <c r="Q61" s="21"/>
      <c r="R61" s="21"/>
      <c r="S61" s="21"/>
      <c r="T61" s="21"/>
    </row>
    <row r="62" ht="15.75" customHeight="1">
      <c r="B62" s="21"/>
      <c r="C62" s="21"/>
      <c r="D62" s="21"/>
      <c r="E62" s="21"/>
      <c r="F62" s="21"/>
      <c r="G62" s="21"/>
      <c r="H62" s="21"/>
      <c r="I62" s="21"/>
      <c r="J62" s="21"/>
      <c r="K62" s="21"/>
      <c r="L62" s="21"/>
      <c r="M62" s="21"/>
      <c r="N62" s="21"/>
      <c r="O62" s="21"/>
      <c r="P62" s="21"/>
      <c r="Q62" s="21"/>
      <c r="R62" s="21"/>
      <c r="S62" s="21"/>
      <c r="T62" s="21"/>
    </row>
    <row r="63" ht="15.75" customHeight="1">
      <c r="B63" s="21"/>
      <c r="C63" s="21"/>
      <c r="D63" s="21"/>
      <c r="E63" s="21"/>
      <c r="F63" s="21"/>
      <c r="G63" s="21"/>
      <c r="H63" s="21"/>
      <c r="I63" s="21"/>
      <c r="J63" s="21"/>
      <c r="K63" s="21"/>
      <c r="L63" s="21"/>
      <c r="M63" s="21"/>
      <c r="N63" s="21"/>
      <c r="O63" s="21"/>
      <c r="P63" s="21"/>
      <c r="Q63" s="21"/>
      <c r="R63" s="21"/>
      <c r="S63" s="21"/>
      <c r="T63" s="21"/>
    </row>
    <row r="64" ht="15.75" customHeight="1">
      <c r="B64" s="21"/>
      <c r="C64" s="21"/>
      <c r="D64" s="21"/>
      <c r="E64" s="21"/>
      <c r="F64" s="21"/>
      <c r="G64" s="21"/>
      <c r="H64" s="21"/>
      <c r="I64" s="21"/>
      <c r="J64" s="21"/>
      <c r="K64" s="21"/>
      <c r="L64" s="21"/>
      <c r="M64" s="21"/>
      <c r="N64" s="21"/>
      <c r="O64" s="21"/>
      <c r="P64" s="21"/>
      <c r="Q64" s="21"/>
      <c r="R64" s="21"/>
      <c r="S64" s="21"/>
      <c r="T64" s="21"/>
    </row>
    <row r="65" ht="15.75" customHeight="1">
      <c r="B65" s="21"/>
      <c r="C65" s="21"/>
      <c r="D65" s="21"/>
      <c r="E65" s="21"/>
      <c r="F65" s="21"/>
      <c r="G65" s="21"/>
      <c r="H65" s="21"/>
      <c r="I65" s="21"/>
      <c r="J65" s="21"/>
      <c r="K65" s="21"/>
      <c r="L65" s="21"/>
      <c r="M65" s="21"/>
      <c r="N65" s="21"/>
      <c r="O65" s="21"/>
      <c r="P65" s="21"/>
      <c r="Q65" s="21"/>
      <c r="R65" s="21"/>
      <c r="S65" s="21"/>
      <c r="T65" s="21"/>
    </row>
    <row r="66" ht="15.75" customHeight="1">
      <c r="B66" s="21"/>
      <c r="C66" s="21"/>
      <c r="D66" s="21"/>
      <c r="E66" s="21"/>
      <c r="F66" s="21"/>
      <c r="G66" s="21"/>
      <c r="H66" s="21"/>
      <c r="I66" s="21"/>
      <c r="J66" s="21"/>
      <c r="K66" s="21"/>
      <c r="L66" s="21"/>
      <c r="M66" s="21"/>
      <c r="N66" s="21"/>
      <c r="O66" s="21"/>
      <c r="P66" s="21"/>
      <c r="Q66" s="21"/>
      <c r="R66" s="21"/>
      <c r="S66" s="21"/>
      <c r="T66" s="21"/>
    </row>
    <row r="67" ht="15.75" customHeight="1">
      <c r="B67" s="21"/>
      <c r="C67" s="21"/>
      <c r="D67" s="21"/>
      <c r="E67" s="21"/>
      <c r="F67" s="21"/>
      <c r="G67" s="21"/>
      <c r="H67" s="21"/>
      <c r="I67" s="21"/>
      <c r="J67" s="21"/>
      <c r="K67" s="21"/>
      <c r="L67" s="21"/>
      <c r="M67" s="21"/>
      <c r="N67" s="21"/>
      <c r="O67" s="21"/>
      <c r="P67" s="21"/>
      <c r="Q67" s="21"/>
      <c r="R67" s="21"/>
      <c r="S67" s="21"/>
      <c r="T67" s="21"/>
    </row>
    <row r="68" ht="15.75" customHeight="1">
      <c r="B68" s="21"/>
      <c r="C68" s="21"/>
      <c r="D68" s="21"/>
      <c r="E68" s="21"/>
      <c r="F68" s="21"/>
      <c r="G68" s="21"/>
      <c r="H68" s="21"/>
      <c r="I68" s="21"/>
      <c r="J68" s="21"/>
      <c r="K68" s="21"/>
      <c r="L68" s="21"/>
      <c r="M68" s="21"/>
      <c r="N68" s="21"/>
      <c r="O68" s="21"/>
      <c r="P68" s="21"/>
      <c r="Q68" s="21"/>
      <c r="R68" s="21"/>
      <c r="S68" s="21"/>
      <c r="T68" s="21"/>
    </row>
    <row r="69" ht="15.75" customHeight="1">
      <c r="B69" s="21"/>
      <c r="C69" s="21"/>
      <c r="D69" s="21"/>
      <c r="E69" s="21"/>
      <c r="F69" s="21"/>
      <c r="G69" s="21"/>
      <c r="H69" s="21"/>
      <c r="I69" s="21"/>
      <c r="J69" s="21"/>
      <c r="K69" s="21"/>
      <c r="L69" s="21"/>
      <c r="M69" s="21"/>
      <c r="N69" s="21"/>
      <c r="O69" s="21"/>
      <c r="P69" s="21"/>
      <c r="Q69" s="21"/>
      <c r="R69" s="21"/>
      <c r="S69" s="21"/>
      <c r="T69" s="21"/>
    </row>
    <row r="70" ht="15.75" customHeight="1">
      <c r="B70" s="21"/>
      <c r="C70" s="21"/>
      <c r="D70" s="21"/>
      <c r="E70" s="21"/>
      <c r="F70" s="21"/>
      <c r="G70" s="21"/>
      <c r="H70" s="21"/>
      <c r="I70" s="21"/>
      <c r="J70" s="21"/>
      <c r="K70" s="21"/>
      <c r="L70" s="21"/>
      <c r="M70" s="21"/>
      <c r="N70" s="21"/>
      <c r="O70" s="21"/>
      <c r="P70" s="21"/>
      <c r="Q70" s="21"/>
      <c r="R70" s="21"/>
      <c r="S70" s="21"/>
      <c r="T70" s="21"/>
    </row>
    <row r="71" ht="15.75" customHeight="1">
      <c r="B71" s="21"/>
      <c r="C71" s="21"/>
      <c r="D71" s="21"/>
      <c r="E71" s="21"/>
      <c r="F71" s="21"/>
      <c r="G71" s="21"/>
      <c r="H71" s="21"/>
      <c r="I71" s="21"/>
      <c r="J71" s="21"/>
      <c r="K71" s="21"/>
      <c r="L71" s="21"/>
      <c r="M71" s="21"/>
      <c r="N71" s="21"/>
      <c r="O71" s="21"/>
      <c r="P71" s="21"/>
      <c r="Q71" s="21"/>
      <c r="R71" s="21"/>
      <c r="S71" s="21"/>
      <c r="T71" s="21"/>
    </row>
    <row r="72" ht="15.75" customHeight="1">
      <c r="B72" s="21"/>
      <c r="C72" s="21"/>
      <c r="D72" s="21"/>
      <c r="E72" s="21"/>
      <c r="F72" s="21"/>
      <c r="G72" s="21"/>
      <c r="H72" s="21"/>
      <c r="I72" s="21"/>
      <c r="J72" s="21"/>
      <c r="K72" s="21"/>
      <c r="L72" s="21"/>
      <c r="M72" s="21"/>
      <c r="N72" s="21"/>
      <c r="O72" s="21"/>
      <c r="P72" s="21"/>
      <c r="Q72" s="21"/>
      <c r="R72" s="21"/>
      <c r="S72" s="21"/>
      <c r="T72" s="21"/>
    </row>
    <row r="73" ht="15.75" customHeight="1">
      <c r="B73" s="21"/>
      <c r="C73" s="21"/>
      <c r="D73" s="21"/>
      <c r="E73" s="21"/>
      <c r="F73" s="21"/>
      <c r="G73" s="21"/>
      <c r="H73" s="21"/>
      <c r="I73" s="21"/>
      <c r="J73" s="21"/>
      <c r="K73" s="21"/>
      <c r="L73" s="21"/>
      <c r="M73" s="21"/>
      <c r="N73" s="21"/>
      <c r="O73" s="21"/>
      <c r="P73" s="21"/>
      <c r="Q73" s="21"/>
      <c r="R73" s="21"/>
      <c r="S73" s="21"/>
      <c r="T73" s="21"/>
    </row>
    <row r="74" ht="15.75" customHeight="1">
      <c r="B74" s="21"/>
      <c r="C74" s="21"/>
      <c r="D74" s="21"/>
      <c r="E74" s="21"/>
      <c r="F74" s="21"/>
      <c r="G74" s="21"/>
      <c r="H74" s="21"/>
      <c r="I74" s="21"/>
      <c r="J74" s="21"/>
      <c r="K74" s="21"/>
      <c r="L74" s="21"/>
      <c r="M74" s="21"/>
      <c r="N74" s="21"/>
      <c r="O74" s="21"/>
      <c r="P74" s="21"/>
      <c r="Q74" s="21"/>
      <c r="R74" s="21"/>
      <c r="S74" s="21"/>
      <c r="T74" s="21"/>
    </row>
    <row r="75" ht="15.75" customHeight="1">
      <c r="B75" s="21"/>
      <c r="C75" s="21"/>
      <c r="D75" s="21"/>
      <c r="E75" s="21"/>
      <c r="F75" s="21"/>
      <c r="G75" s="21"/>
      <c r="H75" s="21"/>
      <c r="I75" s="21"/>
      <c r="J75" s="21"/>
      <c r="K75" s="21"/>
      <c r="L75" s="21"/>
      <c r="M75" s="21"/>
      <c r="N75" s="21"/>
      <c r="O75" s="21"/>
      <c r="P75" s="21"/>
      <c r="Q75" s="21"/>
      <c r="R75" s="21"/>
      <c r="S75" s="21"/>
      <c r="T75" s="21"/>
    </row>
    <row r="76" ht="15.75" customHeight="1">
      <c r="B76" s="21"/>
      <c r="C76" s="21"/>
      <c r="D76" s="21"/>
      <c r="E76" s="21"/>
      <c r="F76" s="21"/>
      <c r="G76" s="21"/>
      <c r="H76" s="21"/>
      <c r="I76" s="21"/>
      <c r="J76" s="21"/>
      <c r="K76" s="21"/>
      <c r="L76" s="21"/>
      <c r="M76" s="21"/>
      <c r="N76" s="21"/>
      <c r="O76" s="21"/>
      <c r="P76" s="21"/>
      <c r="Q76" s="21"/>
      <c r="R76" s="21"/>
      <c r="S76" s="21"/>
      <c r="T76" s="21"/>
    </row>
    <row r="77" ht="15.75" customHeight="1">
      <c r="B77" s="21"/>
      <c r="C77" s="21"/>
      <c r="D77" s="21"/>
      <c r="E77" s="21"/>
      <c r="F77" s="21"/>
      <c r="G77" s="21"/>
      <c r="H77" s="21"/>
      <c r="I77" s="21"/>
      <c r="J77" s="21"/>
      <c r="K77" s="21"/>
      <c r="L77" s="21"/>
      <c r="M77" s="21"/>
      <c r="N77" s="21"/>
      <c r="O77" s="21"/>
      <c r="P77" s="21"/>
      <c r="Q77" s="21"/>
      <c r="R77" s="21"/>
      <c r="S77" s="21"/>
      <c r="T77" s="21"/>
    </row>
    <row r="78" ht="15.75" customHeight="1">
      <c r="B78" s="21"/>
      <c r="C78" s="21"/>
      <c r="D78" s="21"/>
      <c r="E78" s="21"/>
      <c r="F78" s="21"/>
      <c r="G78" s="21"/>
      <c r="H78" s="21"/>
      <c r="I78" s="21"/>
      <c r="J78" s="21"/>
      <c r="K78" s="21"/>
      <c r="L78" s="21"/>
      <c r="M78" s="21"/>
      <c r="N78" s="21"/>
      <c r="O78" s="21"/>
      <c r="P78" s="21"/>
      <c r="Q78" s="21"/>
      <c r="R78" s="21"/>
      <c r="S78" s="21"/>
      <c r="T78" s="21"/>
    </row>
    <row r="79" ht="15.75" customHeight="1">
      <c r="B79" s="21"/>
      <c r="C79" s="21"/>
      <c r="D79" s="21"/>
      <c r="E79" s="21"/>
      <c r="F79" s="21"/>
      <c r="G79" s="21"/>
      <c r="H79" s="21"/>
      <c r="I79" s="21"/>
      <c r="J79" s="21"/>
      <c r="K79" s="21"/>
      <c r="L79" s="21"/>
      <c r="M79" s="21"/>
      <c r="N79" s="21"/>
      <c r="O79" s="21"/>
      <c r="P79" s="21"/>
      <c r="Q79" s="21"/>
      <c r="R79" s="21"/>
      <c r="S79" s="21"/>
      <c r="T79" s="21"/>
    </row>
    <row r="80" ht="15.75" customHeight="1">
      <c r="B80" s="21"/>
      <c r="C80" s="21"/>
      <c r="D80" s="21"/>
      <c r="E80" s="21"/>
      <c r="F80" s="21"/>
      <c r="G80" s="21"/>
      <c r="H80" s="21"/>
      <c r="I80" s="21"/>
      <c r="J80" s="21"/>
      <c r="K80" s="21"/>
      <c r="L80" s="21"/>
      <c r="M80" s="21"/>
      <c r="N80" s="21"/>
      <c r="O80" s="21"/>
      <c r="P80" s="21"/>
      <c r="Q80" s="21"/>
      <c r="R80" s="21"/>
      <c r="S80" s="21"/>
      <c r="T80" s="21"/>
    </row>
    <row r="81" ht="15.75" customHeight="1">
      <c r="B81" s="21"/>
      <c r="C81" s="21"/>
      <c r="D81" s="21"/>
      <c r="E81" s="21"/>
      <c r="F81" s="21"/>
      <c r="G81" s="21"/>
      <c r="H81" s="21"/>
      <c r="I81" s="21"/>
      <c r="J81" s="21"/>
      <c r="K81" s="21"/>
      <c r="L81" s="21"/>
      <c r="M81" s="21"/>
      <c r="N81" s="21"/>
      <c r="O81" s="21"/>
      <c r="P81" s="21"/>
      <c r="Q81" s="21"/>
      <c r="R81" s="21"/>
      <c r="S81" s="21"/>
      <c r="T81" s="21"/>
    </row>
    <row r="82" ht="15.75" customHeight="1">
      <c r="B82" s="21"/>
      <c r="C82" s="21"/>
      <c r="D82" s="21"/>
      <c r="E82" s="21"/>
      <c r="F82" s="21"/>
      <c r="G82" s="21"/>
      <c r="H82" s="21"/>
      <c r="I82" s="21"/>
      <c r="J82" s="21"/>
      <c r="K82" s="21"/>
      <c r="L82" s="21"/>
      <c r="M82" s="21"/>
      <c r="N82" s="21"/>
      <c r="O82" s="21"/>
      <c r="P82" s="21"/>
      <c r="Q82" s="21"/>
      <c r="R82" s="21"/>
      <c r="S82" s="21"/>
      <c r="T82" s="21"/>
    </row>
    <row r="83" ht="15.75" customHeight="1">
      <c r="B83" s="21"/>
      <c r="C83" s="21"/>
      <c r="D83" s="21"/>
      <c r="E83" s="21"/>
      <c r="F83" s="21"/>
      <c r="G83" s="21"/>
      <c r="H83" s="21"/>
      <c r="I83" s="21"/>
      <c r="J83" s="21"/>
      <c r="K83" s="21"/>
      <c r="L83" s="21"/>
      <c r="M83" s="21"/>
      <c r="N83" s="21"/>
      <c r="O83" s="21"/>
      <c r="P83" s="21"/>
      <c r="Q83" s="21"/>
      <c r="R83" s="21"/>
      <c r="S83" s="21"/>
      <c r="T83" s="21"/>
    </row>
    <row r="84" ht="15.75" customHeight="1">
      <c r="B84" s="21"/>
      <c r="C84" s="21"/>
      <c r="D84" s="21"/>
      <c r="E84" s="21"/>
      <c r="F84" s="21"/>
      <c r="G84" s="21"/>
      <c r="H84" s="21"/>
      <c r="I84" s="21"/>
      <c r="J84" s="21"/>
      <c r="K84" s="21"/>
      <c r="L84" s="21"/>
      <c r="M84" s="21"/>
      <c r="N84" s="21"/>
      <c r="O84" s="21"/>
      <c r="P84" s="21"/>
      <c r="Q84" s="21"/>
      <c r="R84" s="21"/>
      <c r="S84" s="21"/>
      <c r="T84" s="21"/>
    </row>
    <row r="85" ht="15.75" customHeight="1">
      <c r="B85" s="21"/>
      <c r="C85" s="21"/>
      <c r="D85" s="21"/>
      <c r="E85" s="21"/>
      <c r="F85" s="21"/>
      <c r="G85" s="21"/>
      <c r="H85" s="21"/>
      <c r="I85" s="21"/>
      <c r="J85" s="21"/>
      <c r="K85" s="21"/>
      <c r="L85" s="21"/>
      <c r="M85" s="21"/>
      <c r="N85" s="21"/>
      <c r="O85" s="21"/>
      <c r="P85" s="21"/>
      <c r="Q85" s="21"/>
      <c r="R85" s="21"/>
      <c r="S85" s="21"/>
      <c r="T85" s="21"/>
    </row>
    <row r="86" ht="15.75" customHeight="1">
      <c r="B86" s="21"/>
      <c r="C86" s="21"/>
      <c r="D86" s="21"/>
      <c r="E86" s="21"/>
      <c r="F86" s="21"/>
      <c r="G86" s="21"/>
      <c r="H86" s="21"/>
      <c r="I86" s="21"/>
      <c r="J86" s="21"/>
      <c r="K86" s="21"/>
      <c r="L86" s="21"/>
      <c r="M86" s="21"/>
      <c r="N86" s="21"/>
      <c r="O86" s="21"/>
      <c r="P86" s="21"/>
      <c r="Q86" s="21"/>
      <c r="R86" s="21"/>
      <c r="S86" s="21"/>
      <c r="T86" s="21"/>
    </row>
    <row r="87" ht="15.75" customHeight="1">
      <c r="B87" s="21"/>
      <c r="C87" s="21"/>
      <c r="D87" s="21"/>
      <c r="E87" s="21"/>
      <c r="F87" s="21"/>
      <c r="G87" s="21"/>
      <c r="H87" s="21"/>
      <c r="I87" s="21"/>
      <c r="J87" s="21"/>
      <c r="K87" s="21"/>
      <c r="L87" s="21"/>
      <c r="M87" s="21"/>
      <c r="N87" s="21"/>
      <c r="O87" s="21"/>
      <c r="P87" s="21"/>
      <c r="Q87" s="21"/>
      <c r="R87" s="21"/>
      <c r="S87" s="21"/>
      <c r="T87" s="21"/>
    </row>
    <row r="88" ht="15.75" customHeight="1">
      <c r="B88" s="21"/>
      <c r="C88" s="21"/>
      <c r="D88" s="21"/>
      <c r="E88" s="21"/>
      <c r="F88" s="21"/>
      <c r="G88" s="21"/>
      <c r="H88" s="21"/>
      <c r="I88" s="21"/>
      <c r="J88" s="21"/>
      <c r="K88" s="21"/>
      <c r="L88" s="21"/>
      <c r="M88" s="21"/>
      <c r="N88" s="21"/>
      <c r="O88" s="21"/>
      <c r="P88" s="21"/>
      <c r="Q88" s="21"/>
      <c r="R88" s="21"/>
      <c r="S88" s="21"/>
      <c r="T88" s="21"/>
    </row>
    <row r="89" ht="15.75" customHeight="1">
      <c r="B89" s="21"/>
      <c r="C89" s="21"/>
      <c r="D89" s="21"/>
      <c r="E89" s="21"/>
      <c r="F89" s="21"/>
      <c r="G89" s="21"/>
      <c r="H89" s="21"/>
      <c r="I89" s="21"/>
      <c r="J89" s="21"/>
      <c r="K89" s="21"/>
      <c r="L89" s="21"/>
      <c r="M89" s="21"/>
      <c r="N89" s="21"/>
      <c r="O89" s="21"/>
      <c r="P89" s="21"/>
      <c r="Q89" s="21"/>
      <c r="R89" s="21"/>
      <c r="S89" s="21"/>
      <c r="T89" s="21"/>
    </row>
    <row r="90" ht="15.75" customHeight="1">
      <c r="B90" s="21"/>
      <c r="C90" s="21"/>
      <c r="D90" s="21"/>
      <c r="E90" s="21"/>
      <c r="F90" s="21"/>
      <c r="G90" s="21"/>
      <c r="H90" s="21"/>
      <c r="I90" s="21"/>
      <c r="J90" s="21"/>
      <c r="K90" s="21"/>
      <c r="L90" s="21"/>
      <c r="M90" s="21"/>
      <c r="N90" s="21"/>
      <c r="O90" s="21"/>
      <c r="P90" s="21"/>
      <c r="Q90" s="21"/>
      <c r="R90" s="21"/>
      <c r="S90" s="21"/>
      <c r="T90" s="21"/>
    </row>
    <row r="91" ht="15.75" customHeight="1">
      <c r="B91" s="21"/>
      <c r="C91" s="21"/>
      <c r="D91" s="21"/>
      <c r="E91" s="21"/>
      <c r="F91" s="21"/>
      <c r="G91" s="21"/>
      <c r="H91" s="21"/>
      <c r="I91" s="21"/>
      <c r="J91" s="21"/>
      <c r="K91" s="21"/>
      <c r="L91" s="21"/>
      <c r="M91" s="21"/>
      <c r="N91" s="21"/>
      <c r="O91" s="21"/>
      <c r="P91" s="21"/>
      <c r="Q91" s="21"/>
      <c r="R91" s="21"/>
      <c r="S91" s="21"/>
      <c r="T91" s="21"/>
    </row>
    <row r="92" ht="15.75" customHeight="1">
      <c r="B92" s="21"/>
      <c r="C92" s="21"/>
      <c r="D92" s="21"/>
      <c r="E92" s="21"/>
      <c r="F92" s="21"/>
      <c r="G92" s="21"/>
      <c r="H92" s="21"/>
      <c r="I92" s="21"/>
      <c r="J92" s="21"/>
      <c r="K92" s="21"/>
      <c r="L92" s="21"/>
      <c r="M92" s="21"/>
      <c r="N92" s="21"/>
      <c r="O92" s="21"/>
      <c r="P92" s="21"/>
      <c r="Q92" s="21"/>
      <c r="R92" s="21"/>
      <c r="S92" s="21"/>
      <c r="T92" s="21"/>
    </row>
    <row r="93" ht="15.75" customHeight="1">
      <c r="B93" s="21"/>
      <c r="C93" s="21"/>
      <c r="D93" s="21"/>
      <c r="E93" s="21"/>
      <c r="F93" s="21"/>
      <c r="G93" s="21"/>
      <c r="H93" s="21"/>
      <c r="I93" s="21"/>
      <c r="J93" s="21"/>
      <c r="K93" s="21"/>
      <c r="L93" s="21"/>
      <c r="M93" s="21"/>
      <c r="N93" s="21"/>
      <c r="O93" s="21"/>
      <c r="P93" s="21"/>
      <c r="Q93" s="21"/>
      <c r="R93" s="21"/>
      <c r="S93" s="21"/>
      <c r="T93" s="21"/>
    </row>
    <row r="94" ht="15.75" customHeight="1">
      <c r="B94" s="21"/>
      <c r="C94" s="21"/>
      <c r="D94" s="21"/>
      <c r="E94" s="21"/>
      <c r="F94" s="21"/>
      <c r="G94" s="21"/>
      <c r="H94" s="21"/>
      <c r="I94" s="21"/>
      <c r="J94" s="21"/>
      <c r="K94" s="21"/>
      <c r="L94" s="21"/>
      <c r="M94" s="21"/>
      <c r="N94" s="21"/>
      <c r="O94" s="21"/>
      <c r="P94" s="21"/>
      <c r="Q94" s="21"/>
      <c r="R94" s="21"/>
      <c r="S94" s="21"/>
      <c r="T94" s="21"/>
    </row>
    <row r="95" ht="15.75" customHeight="1">
      <c r="B95" s="21"/>
      <c r="C95" s="21"/>
      <c r="D95" s="21"/>
      <c r="E95" s="21"/>
      <c r="F95" s="21"/>
      <c r="G95" s="21"/>
      <c r="H95" s="21"/>
      <c r="I95" s="21"/>
      <c r="J95" s="21"/>
      <c r="K95" s="21"/>
      <c r="L95" s="21"/>
      <c r="M95" s="21"/>
      <c r="N95" s="21"/>
      <c r="O95" s="21"/>
      <c r="P95" s="21"/>
      <c r="Q95" s="21"/>
      <c r="R95" s="21"/>
      <c r="S95" s="21"/>
      <c r="T95" s="21"/>
    </row>
    <row r="96" ht="15.75" customHeight="1">
      <c r="B96" s="21"/>
      <c r="C96" s="21"/>
      <c r="D96" s="21"/>
      <c r="E96" s="21"/>
      <c r="F96" s="21"/>
      <c r="G96" s="21"/>
      <c r="H96" s="21"/>
      <c r="I96" s="21"/>
      <c r="J96" s="21"/>
      <c r="K96" s="21"/>
      <c r="L96" s="21"/>
      <c r="M96" s="21"/>
      <c r="N96" s="21"/>
      <c r="O96" s="21"/>
      <c r="P96" s="21"/>
      <c r="Q96" s="21"/>
      <c r="R96" s="21"/>
      <c r="S96" s="21"/>
      <c r="T96" s="21"/>
    </row>
    <row r="97" ht="15.75" customHeight="1">
      <c r="B97" s="21"/>
      <c r="C97" s="21"/>
      <c r="D97" s="21"/>
      <c r="E97" s="21"/>
      <c r="F97" s="21"/>
      <c r="G97" s="21"/>
      <c r="H97" s="21"/>
      <c r="I97" s="21"/>
      <c r="J97" s="21"/>
      <c r="K97" s="21"/>
      <c r="L97" s="21"/>
      <c r="M97" s="21"/>
      <c r="N97" s="21"/>
      <c r="O97" s="21"/>
      <c r="P97" s="21"/>
      <c r="Q97" s="21"/>
      <c r="R97" s="21"/>
      <c r="S97" s="21"/>
      <c r="T97" s="21"/>
    </row>
    <row r="98" ht="15.75" customHeight="1">
      <c r="B98" s="21"/>
      <c r="C98" s="21"/>
      <c r="D98" s="21"/>
      <c r="E98" s="21"/>
      <c r="F98" s="21"/>
      <c r="G98" s="21"/>
      <c r="H98" s="21"/>
      <c r="I98" s="21"/>
      <c r="J98" s="21"/>
      <c r="K98" s="21"/>
      <c r="L98" s="21"/>
      <c r="M98" s="21"/>
      <c r="N98" s="21"/>
      <c r="O98" s="21"/>
      <c r="P98" s="21"/>
      <c r="Q98" s="21"/>
      <c r="R98" s="21"/>
      <c r="S98" s="21"/>
      <c r="T98" s="21"/>
    </row>
    <row r="99" ht="15.75" customHeight="1">
      <c r="B99" s="21"/>
      <c r="C99" s="21"/>
      <c r="D99" s="21"/>
      <c r="E99" s="21"/>
      <c r="F99" s="21"/>
      <c r="G99" s="21"/>
      <c r="H99" s="21"/>
      <c r="I99" s="21"/>
      <c r="J99" s="21"/>
      <c r="K99" s="21"/>
      <c r="L99" s="21"/>
      <c r="M99" s="21"/>
      <c r="N99" s="21"/>
      <c r="O99" s="21"/>
      <c r="P99" s="21"/>
      <c r="Q99" s="21"/>
      <c r="R99" s="21"/>
      <c r="S99" s="21"/>
      <c r="T99" s="21"/>
    </row>
    <row r="100" ht="15.75" customHeight="1">
      <c r="B100" s="21"/>
      <c r="C100" s="21"/>
      <c r="D100" s="21"/>
      <c r="E100" s="21"/>
      <c r="F100" s="21"/>
      <c r="G100" s="21"/>
      <c r="H100" s="21"/>
      <c r="I100" s="21"/>
      <c r="J100" s="21"/>
      <c r="K100" s="21"/>
      <c r="L100" s="21"/>
      <c r="M100" s="21"/>
      <c r="N100" s="21"/>
      <c r="O100" s="21"/>
      <c r="P100" s="21"/>
      <c r="Q100" s="21"/>
      <c r="R100" s="21"/>
      <c r="S100" s="21"/>
      <c r="T100" s="21"/>
    </row>
    <row r="101" ht="15.75" customHeight="1">
      <c r="B101" s="21"/>
      <c r="C101" s="21"/>
      <c r="D101" s="21"/>
      <c r="E101" s="21"/>
      <c r="F101" s="21"/>
      <c r="G101" s="21"/>
      <c r="H101" s="21"/>
      <c r="I101" s="21"/>
      <c r="J101" s="21"/>
      <c r="K101" s="21"/>
      <c r="L101" s="21"/>
      <c r="M101" s="21"/>
      <c r="N101" s="21"/>
      <c r="O101" s="21"/>
      <c r="P101" s="21"/>
      <c r="Q101" s="21"/>
      <c r="R101" s="21"/>
      <c r="S101" s="21"/>
      <c r="T101" s="21"/>
    </row>
    <row r="102" ht="15.75" customHeight="1">
      <c r="B102" s="21"/>
      <c r="C102" s="21"/>
      <c r="D102" s="21"/>
      <c r="E102" s="21"/>
      <c r="F102" s="21"/>
      <c r="G102" s="21"/>
      <c r="H102" s="21"/>
      <c r="I102" s="21"/>
      <c r="J102" s="21"/>
      <c r="K102" s="21"/>
      <c r="L102" s="21"/>
      <c r="M102" s="21"/>
      <c r="N102" s="21"/>
      <c r="O102" s="21"/>
      <c r="P102" s="21"/>
      <c r="Q102" s="21"/>
      <c r="R102" s="21"/>
      <c r="S102" s="21"/>
      <c r="T102" s="21"/>
    </row>
    <row r="103" ht="15.75" customHeight="1">
      <c r="B103" s="21"/>
      <c r="C103" s="21"/>
      <c r="D103" s="21"/>
      <c r="E103" s="21"/>
      <c r="F103" s="21"/>
      <c r="G103" s="21"/>
      <c r="H103" s="21"/>
      <c r="I103" s="21"/>
      <c r="J103" s="21"/>
      <c r="K103" s="21"/>
      <c r="L103" s="21"/>
      <c r="M103" s="21"/>
      <c r="N103" s="21"/>
      <c r="O103" s="21"/>
      <c r="P103" s="21"/>
      <c r="Q103" s="21"/>
      <c r="R103" s="21"/>
      <c r="S103" s="21"/>
      <c r="T103" s="21"/>
    </row>
    <row r="104" ht="15.75" customHeight="1">
      <c r="B104" s="21"/>
      <c r="C104" s="21"/>
      <c r="D104" s="21"/>
      <c r="E104" s="21"/>
      <c r="F104" s="21"/>
      <c r="G104" s="21"/>
      <c r="H104" s="21"/>
      <c r="I104" s="21"/>
      <c r="J104" s="21"/>
      <c r="K104" s="21"/>
      <c r="L104" s="21"/>
      <c r="M104" s="21"/>
      <c r="N104" s="21"/>
      <c r="O104" s="21"/>
      <c r="P104" s="21"/>
      <c r="Q104" s="21"/>
      <c r="R104" s="21"/>
      <c r="S104" s="21"/>
      <c r="T104" s="21"/>
    </row>
    <row r="105" ht="15.75" customHeight="1">
      <c r="B105" s="21"/>
      <c r="C105" s="21"/>
      <c r="D105" s="21"/>
      <c r="E105" s="21"/>
      <c r="F105" s="21"/>
      <c r="G105" s="21"/>
      <c r="H105" s="21"/>
      <c r="I105" s="21"/>
      <c r="J105" s="21"/>
      <c r="K105" s="21"/>
      <c r="L105" s="21"/>
      <c r="M105" s="21"/>
      <c r="N105" s="21"/>
      <c r="O105" s="21"/>
      <c r="P105" s="21"/>
      <c r="Q105" s="21"/>
      <c r="R105" s="21"/>
      <c r="S105" s="21"/>
      <c r="T105" s="21"/>
    </row>
    <row r="106" ht="15.75" customHeight="1">
      <c r="B106" s="21"/>
      <c r="C106" s="21"/>
      <c r="D106" s="21"/>
      <c r="E106" s="21"/>
      <c r="F106" s="21"/>
      <c r="G106" s="21"/>
      <c r="H106" s="21"/>
      <c r="I106" s="21"/>
      <c r="J106" s="21"/>
      <c r="K106" s="21"/>
      <c r="L106" s="21"/>
      <c r="M106" s="21"/>
      <c r="N106" s="21"/>
      <c r="O106" s="21"/>
      <c r="P106" s="21"/>
      <c r="Q106" s="21"/>
      <c r="R106" s="21"/>
      <c r="S106" s="21"/>
      <c r="T106" s="21"/>
    </row>
    <row r="107" ht="15.75" customHeight="1">
      <c r="B107" s="21"/>
      <c r="C107" s="21"/>
      <c r="D107" s="21"/>
      <c r="E107" s="21"/>
      <c r="F107" s="21"/>
      <c r="G107" s="21"/>
      <c r="H107" s="21"/>
      <c r="I107" s="21"/>
      <c r="J107" s="21"/>
      <c r="K107" s="21"/>
      <c r="L107" s="21"/>
      <c r="M107" s="21"/>
      <c r="N107" s="21"/>
      <c r="O107" s="21"/>
      <c r="P107" s="21"/>
      <c r="Q107" s="21"/>
      <c r="R107" s="21"/>
      <c r="S107" s="21"/>
      <c r="T107" s="21"/>
    </row>
    <row r="108" ht="15.75" customHeight="1">
      <c r="B108" s="21"/>
      <c r="C108" s="21"/>
      <c r="D108" s="21"/>
      <c r="E108" s="21"/>
      <c r="F108" s="21"/>
      <c r="G108" s="21"/>
      <c r="H108" s="21"/>
      <c r="I108" s="21"/>
      <c r="J108" s="21"/>
      <c r="K108" s="21"/>
      <c r="L108" s="21"/>
      <c r="M108" s="21"/>
      <c r="N108" s="21"/>
      <c r="O108" s="21"/>
      <c r="P108" s="21"/>
      <c r="Q108" s="21"/>
      <c r="R108" s="21"/>
      <c r="S108" s="21"/>
      <c r="T108" s="21"/>
    </row>
    <row r="109" ht="15.75" customHeight="1">
      <c r="B109" s="21"/>
      <c r="C109" s="21"/>
      <c r="D109" s="21"/>
      <c r="E109" s="21"/>
      <c r="F109" s="21"/>
      <c r="G109" s="21"/>
      <c r="H109" s="21"/>
      <c r="I109" s="21"/>
      <c r="J109" s="21"/>
      <c r="K109" s="21"/>
      <c r="L109" s="21"/>
      <c r="M109" s="21"/>
      <c r="N109" s="21"/>
      <c r="O109" s="21"/>
      <c r="P109" s="21"/>
      <c r="Q109" s="21"/>
      <c r="R109" s="21"/>
      <c r="S109" s="21"/>
      <c r="T109" s="21"/>
    </row>
    <row r="110" ht="15.75" customHeight="1">
      <c r="B110" s="21"/>
      <c r="C110" s="21"/>
      <c r="D110" s="21"/>
      <c r="E110" s="21"/>
      <c r="F110" s="21"/>
      <c r="G110" s="21"/>
      <c r="H110" s="21"/>
      <c r="I110" s="21"/>
      <c r="J110" s="21"/>
      <c r="K110" s="21"/>
      <c r="L110" s="21"/>
      <c r="M110" s="21"/>
      <c r="N110" s="21"/>
      <c r="O110" s="21"/>
      <c r="P110" s="21"/>
      <c r="Q110" s="21"/>
      <c r="R110" s="21"/>
      <c r="S110" s="21"/>
      <c r="T110" s="21"/>
    </row>
    <row r="111" ht="15.75" customHeight="1">
      <c r="B111" s="21"/>
      <c r="C111" s="21"/>
      <c r="D111" s="21"/>
      <c r="E111" s="21"/>
      <c r="F111" s="21"/>
      <c r="G111" s="21"/>
      <c r="H111" s="21"/>
      <c r="I111" s="21"/>
      <c r="J111" s="21"/>
      <c r="K111" s="21"/>
      <c r="L111" s="21"/>
      <c r="M111" s="21"/>
      <c r="N111" s="21"/>
      <c r="O111" s="21"/>
      <c r="P111" s="21"/>
      <c r="Q111" s="21"/>
      <c r="R111" s="21"/>
      <c r="S111" s="21"/>
      <c r="T111" s="21"/>
    </row>
    <row r="112" ht="15.75" customHeight="1">
      <c r="B112" s="21"/>
      <c r="C112" s="21"/>
      <c r="D112" s="21"/>
      <c r="E112" s="21"/>
      <c r="F112" s="21"/>
      <c r="G112" s="21"/>
      <c r="H112" s="21"/>
      <c r="I112" s="21"/>
      <c r="J112" s="21"/>
      <c r="K112" s="21"/>
      <c r="L112" s="21"/>
      <c r="M112" s="21"/>
      <c r="N112" s="21"/>
      <c r="O112" s="21"/>
      <c r="P112" s="21"/>
      <c r="Q112" s="21"/>
      <c r="R112" s="21"/>
      <c r="S112" s="21"/>
      <c r="T112" s="21"/>
    </row>
    <row r="113" ht="15.75" customHeight="1">
      <c r="B113" s="21"/>
      <c r="C113" s="21"/>
      <c r="D113" s="21"/>
      <c r="E113" s="21"/>
      <c r="F113" s="21"/>
      <c r="G113" s="21"/>
      <c r="H113" s="21"/>
      <c r="I113" s="21"/>
      <c r="J113" s="21"/>
      <c r="K113" s="21"/>
      <c r="L113" s="21"/>
      <c r="M113" s="21"/>
      <c r="N113" s="21"/>
      <c r="O113" s="21"/>
      <c r="P113" s="21"/>
      <c r="Q113" s="21"/>
      <c r="R113" s="21"/>
      <c r="S113" s="21"/>
      <c r="T113" s="21"/>
    </row>
    <row r="114" ht="15.75" customHeight="1">
      <c r="B114" s="21"/>
      <c r="C114" s="21"/>
      <c r="D114" s="21"/>
      <c r="E114" s="21"/>
      <c r="F114" s="21"/>
      <c r="G114" s="21"/>
      <c r="H114" s="21"/>
      <c r="I114" s="21"/>
      <c r="J114" s="21"/>
      <c r="K114" s="21"/>
      <c r="L114" s="21"/>
      <c r="M114" s="21"/>
      <c r="N114" s="21"/>
      <c r="O114" s="21"/>
      <c r="P114" s="21"/>
      <c r="Q114" s="21"/>
      <c r="R114" s="21"/>
      <c r="S114" s="21"/>
      <c r="T114" s="21"/>
    </row>
    <row r="115" ht="15.75" customHeight="1">
      <c r="B115" s="21"/>
      <c r="C115" s="21"/>
      <c r="D115" s="21"/>
      <c r="E115" s="21"/>
      <c r="F115" s="21"/>
      <c r="G115" s="21"/>
      <c r="H115" s="21"/>
      <c r="I115" s="21"/>
      <c r="J115" s="21"/>
      <c r="K115" s="21"/>
      <c r="L115" s="21"/>
      <c r="M115" s="21"/>
      <c r="N115" s="21"/>
      <c r="O115" s="21"/>
      <c r="P115" s="21"/>
      <c r="Q115" s="21"/>
      <c r="R115" s="21"/>
      <c r="S115" s="21"/>
      <c r="T115" s="21"/>
    </row>
    <row r="116" ht="15.75" customHeight="1">
      <c r="B116" s="21"/>
      <c r="C116" s="21"/>
      <c r="D116" s="21"/>
      <c r="E116" s="21"/>
      <c r="F116" s="21"/>
      <c r="G116" s="21"/>
      <c r="H116" s="21"/>
      <c r="I116" s="21"/>
      <c r="J116" s="21"/>
      <c r="K116" s="21"/>
      <c r="L116" s="21"/>
      <c r="M116" s="21"/>
      <c r="N116" s="21"/>
      <c r="O116" s="21"/>
      <c r="P116" s="21"/>
      <c r="Q116" s="21"/>
      <c r="R116" s="21"/>
      <c r="S116" s="21"/>
      <c r="T116" s="21"/>
    </row>
    <row r="117" ht="15.75" customHeight="1">
      <c r="B117" s="21"/>
      <c r="C117" s="21"/>
      <c r="D117" s="21"/>
      <c r="E117" s="21"/>
      <c r="F117" s="21"/>
      <c r="G117" s="21"/>
      <c r="H117" s="21"/>
      <c r="I117" s="21"/>
      <c r="J117" s="21"/>
      <c r="K117" s="21"/>
      <c r="L117" s="21"/>
      <c r="M117" s="21"/>
      <c r="N117" s="21"/>
      <c r="O117" s="21"/>
      <c r="P117" s="21"/>
      <c r="Q117" s="21"/>
      <c r="R117" s="21"/>
      <c r="S117" s="21"/>
      <c r="T117" s="21"/>
    </row>
    <row r="118" ht="15.75" customHeight="1">
      <c r="B118" s="21"/>
      <c r="C118" s="21"/>
      <c r="D118" s="21"/>
      <c r="E118" s="21"/>
      <c r="F118" s="21"/>
      <c r="G118" s="21"/>
      <c r="H118" s="21"/>
      <c r="I118" s="21"/>
      <c r="J118" s="21"/>
      <c r="K118" s="21"/>
      <c r="L118" s="21"/>
      <c r="M118" s="21"/>
      <c r="N118" s="21"/>
      <c r="O118" s="21"/>
      <c r="P118" s="21"/>
      <c r="Q118" s="21"/>
      <c r="R118" s="21"/>
      <c r="S118" s="21"/>
      <c r="T118" s="21"/>
    </row>
    <row r="119" ht="15.75" customHeight="1">
      <c r="B119" s="21"/>
      <c r="C119" s="21"/>
      <c r="D119" s="21"/>
      <c r="E119" s="21"/>
      <c r="F119" s="21"/>
      <c r="G119" s="21"/>
      <c r="H119" s="21"/>
      <c r="I119" s="21"/>
      <c r="J119" s="21"/>
      <c r="K119" s="21"/>
      <c r="L119" s="21"/>
      <c r="M119" s="21"/>
      <c r="N119" s="21"/>
      <c r="O119" s="21"/>
      <c r="P119" s="21"/>
      <c r="Q119" s="21"/>
      <c r="R119" s="21"/>
      <c r="S119" s="21"/>
      <c r="T119" s="21"/>
    </row>
    <row r="120" ht="15.75" customHeight="1">
      <c r="B120" s="21"/>
      <c r="C120" s="21"/>
      <c r="D120" s="21"/>
      <c r="E120" s="21"/>
      <c r="F120" s="21"/>
      <c r="G120" s="21"/>
      <c r="H120" s="21"/>
      <c r="I120" s="21"/>
      <c r="J120" s="21"/>
      <c r="K120" s="21"/>
      <c r="L120" s="21"/>
      <c r="M120" s="21"/>
      <c r="N120" s="21"/>
      <c r="O120" s="21"/>
      <c r="P120" s="21"/>
      <c r="Q120" s="21"/>
      <c r="R120" s="21"/>
      <c r="S120" s="21"/>
      <c r="T120" s="21"/>
    </row>
    <row r="121" ht="15.75" customHeight="1">
      <c r="B121" s="21"/>
      <c r="C121" s="21"/>
      <c r="D121" s="21"/>
      <c r="E121" s="21"/>
      <c r="F121" s="21"/>
      <c r="G121" s="21"/>
      <c r="H121" s="21"/>
      <c r="I121" s="21"/>
      <c r="J121" s="21"/>
      <c r="K121" s="21"/>
      <c r="L121" s="21"/>
      <c r="M121" s="21"/>
      <c r="N121" s="21"/>
      <c r="O121" s="21"/>
      <c r="P121" s="21"/>
      <c r="Q121" s="21"/>
      <c r="R121" s="21"/>
      <c r="S121" s="21"/>
      <c r="T121" s="21"/>
    </row>
    <row r="122" ht="15.75" customHeight="1">
      <c r="B122" s="21"/>
      <c r="C122" s="21"/>
      <c r="D122" s="21"/>
      <c r="E122" s="21"/>
      <c r="F122" s="21"/>
      <c r="G122" s="21"/>
      <c r="H122" s="21"/>
      <c r="I122" s="21"/>
      <c r="J122" s="21"/>
      <c r="K122" s="21"/>
      <c r="L122" s="21"/>
      <c r="M122" s="21"/>
      <c r="N122" s="21"/>
      <c r="O122" s="21"/>
      <c r="P122" s="21"/>
      <c r="Q122" s="21"/>
      <c r="R122" s="21"/>
      <c r="S122" s="21"/>
      <c r="T122" s="21"/>
    </row>
    <row r="123" ht="15.75" customHeight="1">
      <c r="B123" s="21"/>
      <c r="C123" s="21"/>
      <c r="D123" s="21"/>
      <c r="E123" s="21"/>
      <c r="F123" s="21"/>
      <c r="G123" s="21"/>
      <c r="H123" s="21"/>
      <c r="I123" s="21"/>
      <c r="J123" s="21"/>
      <c r="K123" s="21"/>
      <c r="L123" s="21"/>
      <c r="M123" s="21"/>
      <c r="N123" s="21"/>
      <c r="O123" s="21"/>
      <c r="P123" s="21"/>
      <c r="Q123" s="21"/>
      <c r="R123" s="21"/>
      <c r="S123" s="21"/>
      <c r="T123" s="21"/>
    </row>
    <row r="124" ht="15.75" customHeight="1">
      <c r="B124" s="21"/>
      <c r="C124" s="21"/>
      <c r="D124" s="21"/>
      <c r="E124" s="21"/>
      <c r="F124" s="21"/>
      <c r="G124" s="21"/>
      <c r="H124" s="21"/>
      <c r="I124" s="21"/>
      <c r="J124" s="21"/>
      <c r="K124" s="21"/>
      <c r="L124" s="21"/>
      <c r="M124" s="21"/>
      <c r="N124" s="21"/>
      <c r="O124" s="21"/>
      <c r="P124" s="21"/>
      <c r="Q124" s="21"/>
      <c r="R124" s="21"/>
      <c r="S124" s="21"/>
      <c r="T124" s="21"/>
    </row>
    <row r="125" ht="15.75" customHeight="1">
      <c r="B125" s="21"/>
      <c r="C125" s="21"/>
      <c r="D125" s="21"/>
      <c r="E125" s="21"/>
      <c r="F125" s="21"/>
      <c r="G125" s="21"/>
      <c r="H125" s="21"/>
      <c r="I125" s="21"/>
      <c r="J125" s="21"/>
      <c r="K125" s="21"/>
      <c r="L125" s="21"/>
      <c r="M125" s="21"/>
      <c r="N125" s="21"/>
      <c r="O125" s="21"/>
      <c r="P125" s="21"/>
      <c r="Q125" s="21"/>
      <c r="R125" s="21"/>
      <c r="S125" s="21"/>
      <c r="T125" s="21"/>
    </row>
    <row r="126" ht="15.75" customHeight="1">
      <c r="B126" s="21"/>
      <c r="C126" s="21"/>
      <c r="D126" s="21"/>
      <c r="E126" s="21"/>
      <c r="F126" s="21"/>
      <c r="G126" s="21"/>
      <c r="H126" s="21"/>
      <c r="I126" s="21"/>
      <c r="J126" s="21"/>
      <c r="K126" s="21"/>
      <c r="L126" s="21"/>
      <c r="M126" s="21"/>
      <c r="N126" s="21"/>
      <c r="O126" s="21"/>
      <c r="P126" s="21"/>
      <c r="Q126" s="21"/>
      <c r="R126" s="21"/>
      <c r="S126" s="21"/>
      <c r="T126" s="21"/>
    </row>
    <row r="127" ht="15.75" customHeight="1">
      <c r="B127" s="21"/>
      <c r="C127" s="21"/>
      <c r="D127" s="21"/>
      <c r="E127" s="21"/>
      <c r="F127" s="21"/>
      <c r="G127" s="21"/>
      <c r="H127" s="21"/>
      <c r="I127" s="21"/>
      <c r="J127" s="21"/>
      <c r="K127" s="21"/>
      <c r="L127" s="21"/>
      <c r="M127" s="21"/>
      <c r="N127" s="21"/>
      <c r="O127" s="21"/>
      <c r="P127" s="21"/>
      <c r="Q127" s="21"/>
      <c r="R127" s="21"/>
      <c r="S127" s="21"/>
      <c r="T127" s="21"/>
    </row>
    <row r="128" ht="15.75" customHeight="1">
      <c r="B128" s="21"/>
      <c r="C128" s="21"/>
      <c r="D128" s="21"/>
      <c r="E128" s="21"/>
      <c r="F128" s="21"/>
      <c r="G128" s="21"/>
      <c r="H128" s="21"/>
      <c r="I128" s="21"/>
      <c r="J128" s="21"/>
      <c r="K128" s="21"/>
      <c r="L128" s="21"/>
      <c r="M128" s="21"/>
      <c r="N128" s="21"/>
      <c r="O128" s="21"/>
      <c r="P128" s="21"/>
      <c r="Q128" s="21"/>
      <c r="R128" s="21"/>
      <c r="S128" s="21"/>
      <c r="T128" s="21"/>
    </row>
    <row r="129" ht="15.75" customHeight="1">
      <c r="B129" s="21"/>
      <c r="C129" s="21"/>
      <c r="D129" s="21"/>
      <c r="E129" s="21"/>
      <c r="F129" s="21"/>
      <c r="G129" s="21"/>
      <c r="H129" s="21"/>
      <c r="I129" s="21"/>
      <c r="J129" s="21"/>
      <c r="K129" s="21"/>
      <c r="L129" s="21"/>
      <c r="M129" s="21"/>
      <c r="N129" s="21"/>
      <c r="O129" s="21"/>
      <c r="P129" s="21"/>
      <c r="Q129" s="21"/>
      <c r="R129" s="21"/>
      <c r="S129" s="21"/>
      <c r="T129" s="21"/>
    </row>
    <row r="130" ht="15.75" customHeight="1">
      <c r="B130" s="21"/>
      <c r="C130" s="21"/>
      <c r="D130" s="21"/>
      <c r="E130" s="21"/>
      <c r="F130" s="21"/>
      <c r="G130" s="21"/>
      <c r="H130" s="21"/>
      <c r="I130" s="21"/>
      <c r="J130" s="21"/>
      <c r="K130" s="21"/>
      <c r="L130" s="21"/>
      <c r="M130" s="21"/>
      <c r="N130" s="21"/>
      <c r="O130" s="21"/>
      <c r="P130" s="21"/>
      <c r="Q130" s="21"/>
      <c r="R130" s="21"/>
      <c r="S130" s="21"/>
      <c r="T130" s="21"/>
    </row>
    <row r="131" ht="15.75" customHeight="1">
      <c r="B131" s="21"/>
      <c r="C131" s="21"/>
      <c r="D131" s="21"/>
      <c r="E131" s="21"/>
      <c r="F131" s="21"/>
      <c r="G131" s="21"/>
      <c r="H131" s="21"/>
      <c r="I131" s="21"/>
      <c r="J131" s="21"/>
      <c r="K131" s="21"/>
      <c r="L131" s="21"/>
      <c r="M131" s="21"/>
      <c r="N131" s="21"/>
      <c r="O131" s="21"/>
      <c r="P131" s="21"/>
      <c r="Q131" s="21"/>
      <c r="R131" s="21"/>
      <c r="S131" s="21"/>
      <c r="T131" s="21"/>
    </row>
    <row r="132" ht="15.75" customHeight="1">
      <c r="B132" s="21"/>
      <c r="C132" s="21"/>
      <c r="D132" s="21"/>
      <c r="E132" s="21"/>
      <c r="F132" s="21"/>
      <c r="G132" s="21"/>
      <c r="H132" s="21"/>
      <c r="I132" s="21"/>
      <c r="J132" s="21"/>
      <c r="K132" s="21"/>
      <c r="L132" s="21"/>
      <c r="M132" s="21"/>
      <c r="N132" s="21"/>
      <c r="O132" s="21"/>
      <c r="P132" s="21"/>
      <c r="Q132" s="21"/>
      <c r="R132" s="21"/>
      <c r="S132" s="21"/>
      <c r="T132" s="21"/>
    </row>
    <row r="133" ht="15.75" customHeight="1">
      <c r="B133" s="21"/>
      <c r="C133" s="21"/>
      <c r="D133" s="21"/>
      <c r="E133" s="21"/>
      <c r="F133" s="21"/>
      <c r="G133" s="21"/>
      <c r="H133" s="21"/>
      <c r="I133" s="21"/>
      <c r="J133" s="21"/>
      <c r="K133" s="21"/>
      <c r="L133" s="21"/>
      <c r="M133" s="21"/>
      <c r="N133" s="21"/>
      <c r="O133" s="21"/>
      <c r="P133" s="21"/>
      <c r="Q133" s="21"/>
      <c r="R133" s="21"/>
      <c r="S133" s="21"/>
      <c r="T133" s="21"/>
    </row>
    <row r="134" ht="15.75" customHeight="1">
      <c r="B134" s="21"/>
      <c r="C134" s="21"/>
      <c r="D134" s="21"/>
      <c r="E134" s="21"/>
      <c r="F134" s="21"/>
      <c r="G134" s="21"/>
      <c r="H134" s="21"/>
      <c r="I134" s="21"/>
      <c r="J134" s="21"/>
      <c r="K134" s="21"/>
      <c r="L134" s="21"/>
      <c r="M134" s="21"/>
      <c r="N134" s="21"/>
      <c r="O134" s="21"/>
      <c r="P134" s="21"/>
      <c r="Q134" s="21"/>
      <c r="R134" s="21"/>
      <c r="S134" s="21"/>
      <c r="T134" s="21"/>
    </row>
    <row r="135" ht="15.75" customHeight="1">
      <c r="B135" s="21"/>
      <c r="C135" s="21"/>
      <c r="D135" s="21"/>
      <c r="E135" s="21"/>
      <c r="F135" s="21"/>
      <c r="G135" s="21"/>
      <c r="H135" s="21"/>
      <c r="I135" s="21"/>
      <c r="J135" s="21"/>
      <c r="K135" s="21"/>
      <c r="L135" s="21"/>
      <c r="M135" s="21"/>
      <c r="N135" s="21"/>
      <c r="O135" s="21"/>
      <c r="P135" s="21"/>
      <c r="Q135" s="21"/>
      <c r="R135" s="21"/>
      <c r="S135" s="21"/>
      <c r="T135" s="21"/>
    </row>
    <row r="136" ht="15.75" customHeight="1">
      <c r="B136" s="21"/>
      <c r="C136" s="21"/>
      <c r="D136" s="21"/>
      <c r="E136" s="21"/>
      <c r="F136" s="21"/>
      <c r="G136" s="21"/>
      <c r="H136" s="21"/>
      <c r="I136" s="21"/>
      <c r="J136" s="21"/>
      <c r="K136" s="21"/>
      <c r="L136" s="21"/>
      <c r="M136" s="21"/>
      <c r="N136" s="21"/>
      <c r="O136" s="21"/>
      <c r="P136" s="21"/>
      <c r="Q136" s="21"/>
      <c r="R136" s="21"/>
      <c r="S136" s="21"/>
      <c r="T136" s="21"/>
    </row>
    <row r="137" ht="15.75" customHeight="1">
      <c r="B137" s="21"/>
      <c r="C137" s="21"/>
      <c r="D137" s="21"/>
      <c r="E137" s="21"/>
      <c r="F137" s="21"/>
      <c r="G137" s="21"/>
      <c r="H137" s="21"/>
      <c r="I137" s="21"/>
      <c r="J137" s="21"/>
      <c r="K137" s="21"/>
      <c r="L137" s="21"/>
      <c r="M137" s="21"/>
      <c r="N137" s="21"/>
      <c r="O137" s="21"/>
      <c r="P137" s="21"/>
      <c r="Q137" s="21"/>
      <c r="R137" s="21"/>
      <c r="S137" s="21"/>
      <c r="T137" s="21"/>
    </row>
    <row r="138" ht="15.75" customHeight="1">
      <c r="B138" s="21"/>
      <c r="C138" s="21"/>
      <c r="D138" s="21"/>
      <c r="E138" s="21"/>
      <c r="F138" s="21"/>
      <c r="G138" s="21"/>
      <c r="H138" s="21"/>
      <c r="I138" s="21"/>
      <c r="J138" s="21"/>
      <c r="K138" s="21"/>
      <c r="L138" s="21"/>
      <c r="M138" s="21"/>
      <c r="N138" s="21"/>
      <c r="O138" s="21"/>
      <c r="P138" s="21"/>
      <c r="Q138" s="21"/>
      <c r="R138" s="21"/>
      <c r="S138" s="21"/>
      <c r="T138" s="21"/>
    </row>
    <row r="139" ht="15.75" customHeight="1">
      <c r="B139" s="21"/>
      <c r="C139" s="21"/>
      <c r="D139" s="21"/>
      <c r="E139" s="21"/>
      <c r="F139" s="21"/>
      <c r="G139" s="21"/>
      <c r="H139" s="21"/>
      <c r="I139" s="21"/>
      <c r="J139" s="21"/>
      <c r="K139" s="21"/>
      <c r="L139" s="21"/>
      <c r="M139" s="21"/>
      <c r="N139" s="21"/>
      <c r="O139" s="21"/>
      <c r="P139" s="21"/>
      <c r="Q139" s="21"/>
      <c r="R139" s="21"/>
      <c r="S139" s="21"/>
      <c r="T139" s="21"/>
    </row>
    <row r="140" ht="15.75" customHeight="1">
      <c r="B140" s="21"/>
      <c r="C140" s="21"/>
      <c r="D140" s="21"/>
      <c r="E140" s="21"/>
      <c r="F140" s="21"/>
      <c r="G140" s="21"/>
      <c r="H140" s="21"/>
      <c r="I140" s="21"/>
      <c r="J140" s="21"/>
      <c r="K140" s="21"/>
      <c r="L140" s="21"/>
      <c r="M140" s="21"/>
      <c r="N140" s="21"/>
      <c r="O140" s="21"/>
      <c r="P140" s="21"/>
      <c r="Q140" s="21"/>
      <c r="R140" s="21"/>
      <c r="S140" s="21"/>
      <c r="T140" s="21"/>
    </row>
    <row r="141" ht="15.75" customHeight="1">
      <c r="B141" s="21"/>
      <c r="C141" s="21"/>
      <c r="D141" s="21"/>
      <c r="E141" s="21"/>
      <c r="F141" s="21"/>
      <c r="G141" s="21"/>
      <c r="H141" s="21"/>
      <c r="I141" s="21"/>
      <c r="J141" s="21"/>
      <c r="K141" s="21"/>
      <c r="L141" s="21"/>
      <c r="M141" s="21"/>
      <c r="N141" s="21"/>
      <c r="O141" s="21"/>
      <c r="P141" s="21"/>
      <c r="Q141" s="21"/>
      <c r="R141" s="21"/>
      <c r="S141" s="21"/>
      <c r="T141" s="21"/>
    </row>
    <row r="142" ht="15.75" customHeight="1">
      <c r="B142" s="21"/>
      <c r="C142" s="21"/>
      <c r="D142" s="21"/>
      <c r="E142" s="21"/>
      <c r="F142" s="21"/>
      <c r="G142" s="21"/>
      <c r="H142" s="21"/>
      <c r="I142" s="21"/>
      <c r="J142" s="21"/>
      <c r="K142" s="21"/>
      <c r="L142" s="21"/>
      <c r="M142" s="21"/>
      <c r="N142" s="21"/>
      <c r="O142" s="21"/>
      <c r="P142" s="21"/>
      <c r="Q142" s="21"/>
      <c r="R142" s="21"/>
      <c r="S142" s="21"/>
      <c r="T142" s="21"/>
    </row>
    <row r="143" ht="15.75" customHeight="1">
      <c r="B143" s="21"/>
      <c r="C143" s="21"/>
      <c r="D143" s="21"/>
      <c r="E143" s="21"/>
      <c r="F143" s="21"/>
      <c r="G143" s="21"/>
      <c r="H143" s="21"/>
      <c r="I143" s="21"/>
      <c r="J143" s="21"/>
      <c r="K143" s="21"/>
      <c r="L143" s="21"/>
      <c r="M143" s="21"/>
      <c r="N143" s="21"/>
      <c r="O143" s="21"/>
      <c r="P143" s="21"/>
      <c r="Q143" s="21"/>
      <c r="R143" s="21"/>
      <c r="S143" s="21"/>
      <c r="T143" s="21"/>
    </row>
    <row r="144" ht="15.75" customHeight="1">
      <c r="B144" s="21"/>
      <c r="C144" s="21"/>
      <c r="D144" s="21"/>
      <c r="E144" s="21"/>
      <c r="F144" s="21"/>
      <c r="G144" s="21"/>
      <c r="H144" s="21"/>
      <c r="I144" s="21"/>
      <c r="J144" s="21"/>
      <c r="K144" s="21"/>
      <c r="L144" s="21"/>
      <c r="M144" s="21"/>
      <c r="N144" s="21"/>
      <c r="O144" s="21"/>
      <c r="P144" s="21"/>
      <c r="Q144" s="21"/>
      <c r="R144" s="21"/>
      <c r="S144" s="21"/>
      <c r="T144" s="21"/>
    </row>
    <row r="145" ht="15.75" customHeight="1">
      <c r="B145" s="21"/>
      <c r="C145" s="21"/>
      <c r="D145" s="21"/>
      <c r="E145" s="21"/>
      <c r="F145" s="21"/>
      <c r="G145" s="21"/>
      <c r="H145" s="21"/>
      <c r="I145" s="21"/>
      <c r="J145" s="21"/>
      <c r="K145" s="21"/>
      <c r="L145" s="21"/>
      <c r="M145" s="21"/>
      <c r="N145" s="21"/>
      <c r="O145" s="21"/>
      <c r="P145" s="21"/>
      <c r="Q145" s="21"/>
      <c r="R145" s="21"/>
      <c r="S145" s="21"/>
      <c r="T145" s="21"/>
    </row>
    <row r="146" ht="15.75" customHeight="1">
      <c r="B146" s="21"/>
      <c r="C146" s="21"/>
      <c r="D146" s="21"/>
      <c r="E146" s="21"/>
      <c r="F146" s="21"/>
      <c r="G146" s="21"/>
      <c r="H146" s="21"/>
      <c r="I146" s="21"/>
      <c r="J146" s="21"/>
      <c r="K146" s="21"/>
      <c r="L146" s="21"/>
      <c r="M146" s="21"/>
      <c r="N146" s="21"/>
      <c r="O146" s="21"/>
      <c r="P146" s="21"/>
      <c r="Q146" s="21"/>
      <c r="R146" s="21"/>
      <c r="S146" s="21"/>
      <c r="T146" s="21"/>
    </row>
    <row r="147" ht="15.75" customHeight="1">
      <c r="B147" s="21"/>
      <c r="C147" s="21"/>
      <c r="D147" s="21"/>
      <c r="E147" s="21"/>
      <c r="F147" s="21"/>
      <c r="G147" s="21"/>
      <c r="H147" s="21"/>
      <c r="I147" s="21"/>
      <c r="J147" s="21"/>
      <c r="K147" s="21"/>
      <c r="L147" s="21"/>
      <c r="M147" s="21"/>
      <c r="N147" s="21"/>
      <c r="O147" s="21"/>
      <c r="P147" s="21"/>
      <c r="Q147" s="21"/>
      <c r="R147" s="21"/>
      <c r="S147" s="21"/>
      <c r="T147" s="21"/>
    </row>
    <row r="148" ht="15.75" customHeight="1">
      <c r="B148" s="21"/>
      <c r="C148" s="21"/>
      <c r="D148" s="21"/>
      <c r="E148" s="21"/>
      <c r="F148" s="21"/>
      <c r="G148" s="21"/>
      <c r="H148" s="21"/>
      <c r="I148" s="21"/>
      <c r="J148" s="21"/>
      <c r="K148" s="21"/>
      <c r="L148" s="21"/>
      <c r="M148" s="21"/>
      <c r="N148" s="21"/>
      <c r="O148" s="21"/>
      <c r="P148" s="21"/>
      <c r="Q148" s="21"/>
      <c r="R148" s="21"/>
      <c r="S148" s="21"/>
      <c r="T148" s="21"/>
    </row>
    <row r="149" ht="15.75" customHeight="1">
      <c r="B149" s="21"/>
      <c r="C149" s="21"/>
      <c r="D149" s="21"/>
      <c r="E149" s="21"/>
      <c r="F149" s="21"/>
      <c r="G149" s="21"/>
      <c r="H149" s="21"/>
      <c r="I149" s="21"/>
      <c r="J149" s="21"/>
      <c r="K149" s="21"/>
      <c r="L149" s="21"/>
      <c r="M149" s="21"/>
      <c r="N149" s="21"/>
      <c r="O149" s="21"/>
      <c r="P149" s="21"/>
      <c r="Q149" s="21"/>
      <c r="R149" s="21"/>
      <c r="S149" s="21"/>
      <c r="T149" s="21"/>
    </row>
    <row r="150" ht="15.75" customHeight="1">
      <c r="B150" s="21"/>
      <c r="C150" s="21"/>
      <c r="D150" s="21"/>
      <c r="E150" s="21"/>
      <c r="F150" s="21"/>
      <c r="G150" s="21"/>
      <c r="H150" s="21"/>
      <c r="I150" s="21"/>
      <c r="J150" s="21"/>
      <c r="K150" s="21"/>
      <c r="L150" s="21"/>
      <c r="M150" s="21"/>
      <c r="N150" s="21"/>
      <c r="O150" s="21"/>
      <c r="P150" s="21"/>
      <c r="Q150" s="21"/>
      <c r="R150" s="21"/>
      <c r="S150" s="21"/>
      <c r="T150" s="21"/>
    </row>
    <row r="151" ht="15.75" customHeight="1">
      <c r="B151" s="21"/>
      <c r="C151" s="21"/>
      <c r="D151" s="21"/>
      <c r="E151" s="21"/>
      <c r="F151" s="21"/>
      <c r="G151" s="21"/>
      <c r="H151" s="21"/>
      <c r="I151" s="21"/>
      <c r="J151" s="21"/>
      <c r="K151" s="21"/>
      <c r="L151" s="21"/>
      <c r="M151" s="21"/>
      <c r="N151" s="21"/>
      <c r="O151" s="21"/>
      <c r="P151" s="21"/>
      <c r="Q151" s="21"/>
      <c r="R151" s="21"/>
      <c r="S151" s="21"/>
      <c r="T151" s="21"/>
    </row>
    <row r="152" ht="15.75" customHeight="1">
      <c r="B152" s="21"/>
      <c r="C152" s="21"/>
      <c r="D152" s="21"/>
      <c r="E152" s="21"/>
      <c r="F152" s="21"/>
      <c r="G152" s="21"/>
      <c r="H152" s="21"/>
      <c r="I152" s="21"/>
      <c r="J152" s="21"/>
      <c r="K152" s="21"/>
      <c r="L152" s="21"/>
      <c r="M152" s="21"/>
      <c r="N152" s="21"/>
      <c r="O152" s="21"/>
      <c r="P152" s="21"/>
      <c r="Q152" s="21"/>
      <c r="R152" s="21"/>
      <c r="S152" s="21"/>
      <c r="T152" s="21"/>
    </row>
    <row r="153" ht="15.75" customHeight="1">
      <c r="B153" s="21"/>
      <c r="C153" s="21"/>
      <c r="D153" s="21"/>
      <c r="E153" s="21"/>
      <c r="F153" s="21"/>
      <c r="G153" s="21"/>
      <c r="H153" s="21"/>
      <c r="I153" s="21"/>
      <c r="J153" s="21"/>
      <c r="K153" s="21"/>
      <c r="L153" s="21"/>
      <c r="M153" s="21"/>
      <c r="N153" s="21"/>
      <c r="O153" s="21"/>
      <c r="P153" s="21"/>
      <c r="Q153" s="21"/>
      <c r="R153" s="21"/>
      <c r="S153" s="21"/>
      <c r="T153" s="21"/>
    </row>
    <row r="154" ht="15.75" customHeight="1">
      <c r="B154" s="21"/>
      <c r="C154" s="21"/>
      <c r="D154" s="21"/>
      <c r="E154" s="21"/>
      <c r="F154" s="21"/>
      <c r="G154" s="21"/>
      <c r="H154" s="21"/>
      <c r="I154" s="21"/>
      <c r="J154" s="21"/>
      <c r="K154" s="21"/>
      <c r="L154" s="21"/>
      <c r="M154" s="21"/>
      <c r="N154" s="21"/>
      <c r="O154" s="21"/>
      <c r="P154" s="21"/>
      <c r="Q154" s="21"/>
      <c r="R154" s="21"/>
      <c r="S154" s="21"/>
      <c r="T154" s="21"/>
    </row>
    <row r="155" ht="15.75" customHeight="1">
      <c r="B155" s="21"/>
      <c r="C155" s="21"/>
      <c r="D155" s="21"/>
      <c r="E155" s="21"/>
      <c r="F155" s="21"/>
      <c r="G155" s="21"/>
      <c r="H155" s="21"/>
      <c r="I155" s="21"/>
      <c r="J155" s="21"/>
      <c r="K155" s="21"/>
      <c r="L155" s="21"/>
      <c r="M155" s="21"/>
      <c r="N155" s="21"/>
      <c r="O155" s="21"/>
      <c r="P155" s="21"/>
      <c r="Q155" s="21"/>
      <c r="R155" s="21"/>
      <c r="S155" s="21"/>
      <c r="T155" s="21"/>
    </row>
    <row r="156" ht="15.75" customHeight="1">
      <c r="B156" s="21"/>
      <c r="C156" s="21"/>
      <c r="D156" s="21"/>
      <c r="E156" s="21"/>
      <c r="F156" s="21"/>
      <c r="G156" s="21"/>
      <c r="H156" s="21"/>
      <c r="I156" s="21"/>
      <c r="J156" s="21"/>
      <c r="K156" s="21"/>
      <c r="L156" s="21"/>
      <c r="M156" s="21"/>
      <c r="N156" s="21"/>
      <c r="O156" s="21"/>
      <c r="P156" s="21"/>
      <c r="Q156" s="21"/>
      <c r="R156" s="21"/>
      <c r="S156" s="21"/>
      <c r="T156" s="21"/>
    </row>
    <row r="157" ht="15.75" customHeight="1">
      <c r="B157" s="21"/>
      <c r="C157" s="21"/>
      <c r="D157" s="21"/>
      <c r="E157" s="21"/>
      <c r="F157" s="21"/>
      <c r="G157" s="21"/>
      <c r="H157" s="21"/>
      <c r="I157" s="21"/>
      <c r="J157" s="21"/>
      <c r="K157" s="21"/>
      <c r="L157" s="21"/>
      <c r="M157" s="21"/>
      <c r="N157" s="21"/>
      <c r="O157" s="21"/>
      <c r="P157" s="21"/>
      <c r="Q157" s="21"/>
      <c r="R157" s="21"/>
      <c r="S157" s="21"/>
      <c r="T157" s="21"/>
    </row>
    <row r="158" ht="15.75" customHeight="1">
      <c r="B158" s="21"/>
      <c r="C158" s="21"/>
      <c r="D158" s="21"/>
      <c r="E158" s="21"/>
      <c r="F158" s="21"/>
      <c r="G158" s="21"/>
      <c r="H158" s="21"/>
      <c r="I158" s="21"/>
      <c r="J158" s="21"/>
      <c r="K158" s="21"/>
      <c r="L158" s="21"/>
      <c r="M158" s="21"/>
      <c r="N158" s="21"/>
      <c r="O158" s="21"/>
      <c r="P158" s="21"/>
      <c r="Q158" s="21"/>
      <c r="R158" s="21"/>
      <c r="S158" s="21"/>
      <c r="T158" s="21"/>
    </row>
    <row r="159" ht="15.75" customHeight="1">
      <c r="B159" s="21"/>
      <c r="C159" s="21"/>
      <c r="D159" s="21"/>
      <c r="E159" s="21"/>
      <c r="F159" s="21"/>
      <c r="G159" s="21"/>
      <c r="H159" s="21"/>
      <c r="I159" s="21"/>
      <c r="J159" s="21"/>
      <c r="K159" s="21"/>
      <c r="L159" s="21"/>
      <c r="M159" s="21"/>
      <c r="N159" s="21"/>
      <c r="O159" s="21"/>
      <c r="P159" s="21"/>
      <c r="Q159" s="21"/>
      <c r="R159" s="21"/>
      <c r="S159" s="21"/>
      <c r="T159" s="21"/>
    </row>
    <row r="160" ht="15.75" customHeight="1">
      <c r="B160" s="21"/>
      <c r="C160" s="21"/>
      <c r="D160" s="21"/>
      <c r="E160" s="21"/>
      <c r="F160" s="21"/>
      <c r="G160" s="21"/>
      <c r="H160" s="21"/>
      <c r="I160" s="21"/>
      <c r="J160" s="21"/>
      <c r="K160" s="21"/>
      <c r="L160" s="21"/>
      <c r="M160" s="21"/>
      <c r="N160" s="21"/>
      <c r="O160" s="21"/>
      <c r="P160" s="21"/>
      <c r="Q160" s="21"/>
      <c r="R160" s="21"/>
      <c r="S160" s="21"/>
      <c r="T160" s="21"/>
    </row>
    <row r="161" ht="15.75" customHeight="1">
      <c r="B161" s="21"/>
      <c r="C161" s="21"/>
      <c r="D161" s="21"/>
      <c r="E161" s="21"/>
      <c r="F161" s="21"/>
      <c r="G161" s="21"/>
      <c r="H161" s="21"/>
      <c r="I161" s="21"/>
      <c r="J161" s="21"/>
      <c r="K161" s="21"/>
      <c r="L161" s="21"/>
      <c r="M161" s="21"/>
      <c r="N161" s="21"/>
      <c r="O161" s="21"/>
      <c r="P161" s="21"/>
      <c r="Q161" s="21"/>
      <c r="R161" s="21"/>
      <c r="S161" s="21"/>
      <c r="T161" s="21"/>
    </row>
    <row r="162" ht="15.75" customHeight="1">
      <c r="B162" s="21"/>
      <c r="C162" s="21"/>
      <c r="D162" s="21"/>
      <c r="E162" s="21"/>
      <c r="F162" s="21"/>
      <c r="G162" s="21"/>
      <c r="H162" s="21"/>
      <c r="I162" s="21"/>
      <c r="J162" s="21"/>
      <c r="K162" s="21"/>
      <c r="L162" s="21"/>
      <c r="M162" s="21"/>
      <c r="N162" s="21"/>
      <c r="O162" s="21"/>
      <c r="P162" s="21"/>
      <c r="Q162" s="21"/>
      <c r="R162" s="21"/>
      <c r="S162" s="21"/>
      <c r="T162" s="21"/>
    </row>
    <row r="163" ht="15.75" customHeight="1">
      <c r="B163" s="21"/>
      <c r="C163" s="21"/>
      <c r="D163" s="21"/>
      <c r="E163" s="21"/>
      <c r="F163" s="21"/>
      <c r="G163" s="21"/>
      <c r="H163" s="21"/>
      <c r="I163" s="21"/>
      <c r="J163" s="21"/>
      <c r="K163" s="21"/>
      <c r="L163" s="21"/>
      <c r="M163" s="21"/>
      <c r="N163" s="21"/>
      <c r="O163" s="21"/>
      <c r="P163" s="21"/>
      <c r="Q163" s="21"/>
      <c r="R163" s="21"/>
      <c r="S163" s="21"/>
      <c r="T163" s="21"/>
    </row>
    <row r="164" ht="15.75" customHeight="1">
      <c r="B164" s="21"/>
      <c r="C164" s="21"/>
      <c r="D164" s="21"/>
      <c r="E164" s="21"/>
      <c r="F164" s="21"/>
      <c r="G164" s="21"/>
      <c r="H164" s="21"/>
      <c r="I164" s="21"/>
      <c r="J164" s="21"/>
      <c r="K164" s="21"/>
      <c r="L164" s="21"/>
      <c r="M164" s="21"/>
      <c r="N164" s="21"/>
      <c r="O164" s="21"/>
      <c r="P164" s="21"/>
      <c r="Q164" s="21"/>
      <c r="R164" s="21"/>
      <c r="S164" s="21"/>
      <c r="T164" s="21"/>
    </row>
    <row r="165" ht="15.75" customHeight="1">
      <c r="B165" s="21"/>
      <c r="C165" s="21"/>
      <c r="D165" s="21"/>
      <c r="E165" s="21"/>
      <c r="F165" s="21"/>
      <c r="G165" s="21"/>
      <c r="H165" s="21"/>
      <c r="I165" s="21"/>
      <c r="J165" s="21"/>
      <c r="K165" s="21"/>
      <c r="L165" s="21"/>
      <c r="M165" s="21"/>
      <c r="N165" s="21"/>
      <c r="O165" s="21"/>
      <c r="P165" s="21"/>
      <c r="Q165" s="21"/>
      <c r="R165" s="21"/>
      <c r="S165" s="21"/>
      <c r="T165" s="21"/>
    </row>
    <row r="166" ht="15.75" customHeight="1">
      <c r="B166" s="21"/>
      <c r="C166" s="21"/>
      <c r="D166" s="21"/>
      <c r="E166" s="21"/>
      <c r="F166" s="21"/>
      <c r="G166" s="21"/>
      <c r="H166" s="21"/>
      <c r="I166" s="21"/>
      <c r="J166" s="21"/>
      <c r="K166" s="21"/>
      <c r="L166" s="21"/>
      <c r="M166" s="21"/>
      <c r="N166" s="21"/>
      <c r="O166" s="21"/>
      <c r="P166" s="21"/>
      <c r="Q166" s="21"/>
      <c r="R166" s="21"/>
      <c r="S166" s="21"/>
      <c r="T166" s="21"/>
    </row>
    <row r="167" ht="15.75" customHeight="1">
      <c r="B167" s="21"/>
      <c r="C167" s="21"/>
      <c r="D167" s="21"/>
      <c r="E167" s="21"/>
      <c r="F167" s="21"/>
      <c r="G167" s="21"/>
      <c r="H167" s="21"/>
      <c r="I167" s="21"/>
      <c r="J167" s="21"/>
      <c r="K167" s="21"/>
      <c r="L167" s="21"/>
      <c r="M167" s="21"/>
      <c r="N167" s="21"/>
      <c r="O167" s="21"/>
      <c r="P167" s="21"/>
      <c r="Q167" s="21"/>
      <c r="R167" s="21"/>
      <c r="S167" s="21"/>
      <c r="T167" s="21"/>
    </row>
    <row r="168" ht="15.75" customHeight="1">
      <c r="B168" s="21"/>
      <c r="C168" s="21"/>
      <c r="D168" s="21"/>
      <c r="E168" s="21"/>
      <c r="F168" s="21"/>
      <c r="G168" s="21"/>
      <c r="H168" s="21"/>
      <c r="I168" s="21"/>
      <c r="J168" s="21"/>
      <c r="K168" s="21"/>
      <c r="L168" s="21"/>
      <c r="M168" s="21"/>
      <c r="N168" s="21"/>
      <c r="O168" s="21"/>
      <c r="P168" s="21"/>
      <c r="Q168" s="21"/>
      <c r="R168" s="21"/>
      <c r="S168" s="21"/>
      <c r="T168" s="21"/>
    </row>
    <row r="169" ht="15.75" customHeight="1">
      <c r="B169" s="21"/>
      <c r="C169" s="21"/>
      <c r="D169" s="21"/>
      <c r="E169" s="21"/>
      <c r="F169" s="21"/>
      <c r="G169" s="21"/>
      <c r="H169" s="21"/>
      <c r="I169" s="21"/>
      <c r="J169" s="21"/>
      <c r="K169" s="21"/>
      <c r="L169" s="21"/>
      <c r="M169" s="21"/>
      <c r="N169" s="21"/>
      <c r="O169" s="21"/>
      <c r="P169" s="21"/>
      <c r="Q169" s="21"/>
      <c r="R169" s="21"/>
      <c r="S169" s="21"/>
      <c r="T169" s="21"/>
    </row>
    <row r="170" ht="15.75" customHeight="1">
      <c r="B170" s="21"/>
      <c r="C170" s="21"/>
      <c r="D170" s="21"/>
      <c r="E170" s="21"/>
      <c r="F170" s="21"/>
      <c r="G170" s="21"/>
      <c r="H170" s="21"/>
      <c r="I170" s="21"/>
      <c r="J170" s="21"/>
      <c r="K170" s="21"/>
      <c r="L170" s="21"/>
      <c r="M170" s="21"/>
      <c r="N170" s="21"/>
      <c r="O170" s="21"/>
      <c r="P170" s="21"/>
      <c r="Q170" s="21"/>
      <c r="R170" s="21"/>
      <c r="S170" s="21"/>
      <c r="T170" s="21"/>
    </row>
    <row r="171" ht="15.75" customHeight="1">
      <c r="B171" s="21"/>
      <c r="C171" s="21"/>
      <c r="D171" s="21"/>
      <c r="E171" s="21"/>
      <c r="F171" s="21"/>
      <c r="G171" s="21"/>
      <c r="H171" s="21"/>
      <c r="I171" s="21"/>
      <c r="J171" s="21"/>
      <c r="K171" s="21"/>
      <c r="L171" s="21"/>
      <c r="M171" s="21"/>
      <c r="N171" s="21"/>
      <c r="O171" s="21"/>
      <c r="P171" s="21"/>
      <c r="Q171" s="21"/>
      <c r="R171" s="21"/>
      <c r="S171" s="21"/>
      <c r="T171" s="21"/>
    </row>
    <row r="172" ht="15.75" customHeight="1">
      <c r="B172" s="21"/>
      <c r="C172" s="21"/>
      <c r="D172" s="21"/>
      <c r="E172" s="21"/>
      <c r="F172" s="21"/>
      <c r="G172" s="21"/>
      <c r="H172" s="21"/>
      <c r="I172" s="21"/>
      <c r="J172" s="21"/>
      <c r="K172" s="21"/>
      <c r="L172" s="21"/>
      <c r="M172" s="21"/>
      <c r="N172" s="21"/>
      <c r="O172" s="21"/>
      <c r="P172" s="21"/>
      <c r="Q172" s="21"/>
      <c r="R172" s="21"/>
      <c r="S172" s="21"/>
      <c r="T172" s="21"/>
    </row>
    <row r="173" ht="15.75" customHeight="1">
      <c r="B173" s="21"/>
      <c r="C173" s="21"/>
      <c r="D173" s="21"/>
      <c r="E173" s="21"/>
      <c r="F173" s="21"/>
      <c r="G173" s="21"/>
      <c r="H173" s="21"/>
      <c r="I173" s="21"/>
      <c r="J173" s="21"/>
      <c r="K173" s="21"/>
      <c r="L173" s="21"/>
      <c r="M173" s="21"/>
      <c r="N173" s="21"/>
      <c r="O173" s="21"/>
      <c r="P173" s="21"/>
      <c r="Q173" s="21"/>
      <c r="R173" s="21"/>
      <c r="S173" s="21"/>
      <c r="T173" s="21"/>
    </row>
    <row r="174" ht="15.75" customHeight="1">
      <c r="B174" s="21"/>
      <c r="C174" s="21"/>
      <c r="D174" s="21"/>
      <c r="E174" s="21"/>
      <c r="F174" s="21"/>
      <c r="G174" s="21"/>
      <c r="H174" s="21"/>
      <c r="I174" s="21"/>
      <c r="J174" s="21"/>
      <c r="K174" s="21"/>
      <c r="L174" s="21"/>
      <c r="M174" s="21"/>
      <c r="N174" s="21"/>
      <c r="O174" s="21"/>
      <c r="P174" s="21"/>
      <c r="Q174" s="21"/>
      <c r="R174" s="21"/>
      <c r="S174" s="21"/>
      <c r="T174" s="21"/>
    </row>
    <row r="175" ht="15.75" customHeight="1">
      <c r="B175" s="21"/>
      <c r="C175" s="21"/>
      <c r="D175" s="21"/>
      <c r="E175" s="21"/>
      <c r="F175" s="21"/>
      <c r="G175" s="21"/>
      <c r="H175" s="21"/>
      <c r="I175" s="21"/>
      <c r="J175" s="21"/>
      <c r="K175" s="21"/>
      <c r="L175" s="21"/>
      <c r="M175" s="21"/>
      <c r="N175" s="21"/>
      <c r="O175" s="21"/>
      <c r="P175" s="21"/>
      <c r="Q175" s="21"/>
      <c r="R175" s="21"/>
      <c r="S175" s="21"/>
      <c r="T175" s="21"/>
    </row>
    <row r="176" ht="15.75" customHeight="1">
      <c r="B176" s="21"/>
      <c r="C176" s="21"/>
      <c r="D176" s="21"/>
      <c r="E176" s="21"/>
      <c r="F176" s="21"/>
      <c r="G176" s="21"/>
      <c r="H176" s="21"/>
      <c r="I176" s="21"/>
      <c r="J176" s="21"/>
      <c r="K176" s="21"/>
      <c r="L176" s="21"/>
      <c r="M176" s="21"/>
      <c r="N176" s="21"/>
      <c r="O176" s="21"/>
      <c r="P176" s="21"/>
      <c r="Q176" s="21"/>
      <c r="R176" s="21"/>
      <c r="S176" s="21"/>
      <c r="T176" s="21"/>
    </row>
    <row r="177" ht="15.75" customHeight="1">
      <c r="B177" s="21"/>
      <c r="C177" s="21"/>
      <c r="D177" s="21"/>
      <c r="E177" s="21"/>
      <c r="F177" s="21"/>
      <c r="G177" s="21"/>
      <c r="H177" s="21"/>
      <c r="I177" s="21"/>
      <c r="J177" s="21"/>
      <c r="K177" s="21"/>
      <c r="L177" s="21"/>
      <c r="M177" s="21"/>
      <c r="N177" s="21"/>
      <c r="O177" s="21"/>
      <c r="P177" s="21"/>
      <c r="Q177" s="21"/>
      <c r="R177" s="21"/>
      <c r="S177" s="21"/>
      <c r="T177" s="21"/>
    </row>
    <row r="178" ht="15.75" customHeight="1">
      <c r="B178" s="21"/>
      <c r="C178" s="21"/>
      <c r="D178" s="21"/>
      <c r="E178" s="21"/>
      <c r="F178" s="21"/>
      <c r="G178" s="21"/>
      <c r="H178" s="21"/>
      <c r="I178" s="21"/>
      <c r="J178" s="21"/>
      <c r="K178" s="21"/>
      <c r="L178" s="21"/>
      <c r="M178" s="21"/>
      <c r="N178" s="21"/>
      <c r="O178" s="21"/>
      <c r="P178" s="21"/>
      <c r="Q178" s="21"/>
      <c r="R178" s="21"/>
      <c r="S178" s="21"/>
      <c r="T178" s="21"/>
    </row>
    <row r="179" ht="15.75" customHeight="1">
      <c r="B179" s="21"/>
      <c r="C179" s="21"/>
      <c r="D179" s="21"/>
      <c r="E179" s="21"/>
      <c r="F179" s="21"/>
      <c r="G179" s="21"/>
      <c r="H179" s="21"/>
      <c r="I179" s="21"/>
      <c r="J179" s="21"/>
      <c r="K179" s="21"/>
      <c r="L179" s="21"/>
      <c r="M179" s="21"/>
      <c r="N179" s="21"/>
      <c r="O179" s="21"/>
      <c r="P179" s="21"/>
      <c r="Q179" s="21"/>
      <c r="R179" s="21"/>
      <c r="S179" s="21"/>
      <c r="T179" s="21"/>
    </row>
    <row r="180" ht="15.75" customHeight="1">
      <c r="B180" s="21"/>
      <c r="C180" s="21"/>
      <c r="D180" s="21"/>
      <c r="E180" s="21"/>
      <c r="F180" s="21"/>
      <c r="G180" s="21"/>
      <c r="H180" s="21"/>
      <c r="I180" s="21"/>
      <c r="J180" s="21"/>
      <c r="K180" s="21"/>
      <c r="L180" s="21"/>
      <c r="M180" s="21"/>
      <c r="N180" s="21"/>
      <c r="O180" s="21"/>
      <c r="P180" s="21"/>
      <c r="Q180" s="21"/>
      <c r="R180" s="21"/>
      <c r="S180" s="21"/>
      <c r="T180" s="21"/>
    </row>
    <row r="181" ht="15.75" customHeight="1">
      <c r="B181" s="21"/>
      <c r="C181" s="21"/>
      <c r="D181" s="21"/>
      <c r="E181" s="21"/>
      <c r="F181" s="21"/>
      <c r="G181" s="21"/>
      <c r="H181" s="21"/>
      <c r="I181" s="21"/>
      <c r="J181" s="21"/>
      <c r="K181" s="21"/>
      <c r="L181" s="21"/>
      <c r="M181" s="21"/>
      <c r="N181" s="21"/>
      <c r="O181" s="21"/>
      <c r="P181" s="21"/>
      <c r="Q181" s="21"/>
      <c r="R181" s="21"/>
      <c r="S181" s="21"/>
      <c r="T181" s="21"/>
    </row>
    <row r="182" ht="15.75" customHeight="1">
      <c r="B182" s="21"/>
      <c r="C182" s="21"/>
      <c r="D182" s="21"/>
      <c r="E182" s="21"/>
      <c r="F182" s="21"/>
      <c r="G182" s="21"/>
      <c r="H182" s="21"/>
      <c r="I182" s="21"/>
      <c r="J182" s="21"/>
      <c r="K182" s="21"/>
      <c r="L182" s="21"/>
      <c r="M182" s="21"/>
      <c r="N182" s="21"/>
      <c r="O182" s="21"/>
      <c r="P182" s="21"/>
      <c r="Q182" s="21"/>
      <c r="R182" s="21"/>
      <c r="S182" s="21"/>
      <c r="T182" s="21"/>
    </row>
    <row r="183" ht="15.75" customHeight="1">
      <c r="B183" s="21"/>
      <c r="C183" s="21"/>
      <c r="D183" s="21"/>
      <c r="E183" s="21"/>
      <c r="F183" s="21"/>
      <c r="G183" s="21"/>
      <c r="H183" s="21"/>
      <c r="I183" s="21"/>
      <c r="J183" s="21"/>
      <c r="K183" s="21"/>
      <c r="L183" s="21"/>
      <c r="M183" s="21"/>
      <c r="N183" s="21"/>
      <c r="O183" s="21"/>
      <c r="P183" s="21"/>
      <c r="Q183" s="21"/>
      <c r="R183" s="21"/>
      <c r="S183" s="21"/>
      <c r="T183" s="21"/>
    </row>
    <row r="184" ht="15.75" customHeight="1">
      <c r="B184" s="21"/>
      <c r="C184" s="21"/>
      <c r="D184" s="21"/>
      <c r="E184" s="21"/>
      <c r="F184" s="21"/>
      <c r="G184" s="21"/>
      <c r="H184" s="21"/>
      <c r="I184" s="21"/>
      <c r="J184" s="21"/>
      <c r="K184" s="21"/>
      <c r="L184" s="21"/>
      <c r="M184" s="21"/>
      <c r="N184" s="21"/>
      <c r="O184" s="21"/>
      <c r="P184" s="21"/>
      <c r="Q184" s="21"/>
      <c r="R184" s="21"/>
      <c r="S184" s="21"/>
      <c r="T184" s="21"/>
    </row>
    <row r="185" ht="15.75" customHeight="1">
      <c r="B185" s="21"/>
      <c r="C185" s="21"/>
      <c r="D185" s="21"/>
      <c r="E185" s="21"/>
      <c r="F185" s="21"/>
      <c r="G185" s="21"/>
      <c r="H185" s="21"/>
      <c r="I185" s="21"/>
      <c r="J185" s="21"/>
      <c r="K185" s="21"/>
      <c r="L185" s="21"/>
      <c r="M185" s="21"/>
      <c r="N185" s="21"/>
      <c r="O185" s="21"/>
      <c r="P185" s="21"/>
      <c r="Q185" s="21"/>
      <c r="R185" s="21"/>
      <c r="S185" s="21"/>
      <c r="T185" s="21"/>
    </row>
    <row r="186" ht="15.75" customHeight="1">
      <c r="B186" s="21"/>
      <c r="C186" s="21"/>
      <c r="D186" s="21"/>
      <c r="E186" s="21"/>
      <c r="F186" s="21"/>
      <c r="G186" s="21"/>
      <c r="H186" s="21"/>
      <c r="I186" s="21"/>
      <c r="J186" s="21"/>
      <c r="K186" s="21"/>
      <c r="L186" s="21"/>
      <c r="M186" s="21"/>
      <c r="N186" s="21"/>
      <c r="O186" s="21"/>
      <c r="P186" s="21"/>
      <c r="Q186" s="21"/>
      <c r="R186" s="21"/>
      <c r="S186" s="21"/>
      <c r="T186" s="21"/>
    </row>
    <row r="187" ht="15.75" customHeight="1">
      <c r="B187" s="21"/>
      <c r="C187" s="21"/>
      <c r="D187" s="21"/>
      <c r="E187" s="21"/>
      <c r="F187" s="21"/>
      <c r="G187" s="21"/>
      <c r="H187" s="21"/>
      <c r="I187" s="21"/>
      <c r="J187" s="21"/>
      <c r="K187" s="21"/>
      <c r="L187" s="21"/>
      <c r="M187" s="21"/>
      <c r="N187" s="21"/>
      <c r="O187" s="21"/>
      <c r="P187" s="21"/>
      <c r="Q187" s="21"/>
      <c r="R187" s="21"/>
      <c r="S187" s="21"/>
      <c r="T187" s="21"/>
    </row>
    <row r="188" ht="15.75" customHeight="1">
      <c r="B188" s="21"/>
      <c r="C188" s="21"/>
      <c r="D188" s="21"/>
      <c r="E188" s="21"/>
      <c r="F188" s="21"/>
      <c r="G188" s="21"/>
      <c r="H188" s="21"/>
      <c r="I188" s="21"/>
      <c r="J188" s="21"/>
      <c r="K188" s="21"/>
      <c r="L188" s="21"/>
      <c r="M188" s="21"/>
      <c r="N188" s="21"/>
      <c r="O188" s="21"/>
      <c r="P188" s="21"/>
      <c r="Q188" s="21"/>
      <c r="R188" s="21"/>
      <c r="S188" s="21"/>
      <c r="T188" s="21"/>
    </row>
    <row r="189" ht="15.75" customHeight="1">
      <c r="B189" s="21"/>
      <c r="C189" s="21"/>
      <c r="D189" s="21"/>
      <c r="E189" s="21"/>
      <c r="F189" s="21"/>
      <c r="G189" s="21"/>
      <c r="H189" s="21"/>
      <c r="I189" s="21"/>
      <c r="J189" s="21"/>
      <c r="K189" s="21"/>
      <c r="L189" s="21"/>
      <c r="M189" s="21"/>
      <c r="N189" s="21"/>
      <c r="O189" s="21"/>
      <c r="P189" s="21"/>
      <c r="Q189" s="21"/>
      <c r="R189" s="21"/>
      <c r="S189" s="21"/>
      <c r="T189" s="21"/>
    </row>
    <row r="190" ht="15.75" customHeight="1">
      <c r="B190" s="21"/>
      <c r="C190" s="21"/>
      <c r="D190" s="21"/>
      <c r="E190" s="21"/>
      <c r="F190" s="21"/>
      <c r="G190" s="21"/>
      <c r="H190" s="21"/>
      <c r="I190" s="21"/>
      <c r="J190" s="21"/>
      <c r="K190" s="21"/>
      <c r="L190" s="21"/>
      <c r="M190" s="21"/>
      <c r="N190" s="21"/>
      <c r="O190" s="21"/>
      <c r="P190" s="21"/>
      <c r="Q190" s="21"/>
      <c r="R190" s="21"/>
      <c r="S190" s="21"/>
      <c r="T190" s="21"/>
    </row>
    <row r="191" ht="15.75" customHeight="1">
      <c r="B191" s="21"/>
      <c r="C191" s="21"/>
      <c r="D191" s="21"/>
      <c r="E191" s="21"/>
      <c r="F191" s="21"/>
      <c r="G191" s="21"/>
      <c r="H191" s="21"/>
      <c r="I191" s="21"/>
      <c r="J191" s="21"/>
      <c r="K191" s="21"/>
      <c r="L191" s="21"/>
      <c r="M191" s="21"/>
      <c r="N191" s="21"/>
      <c r="O191" s="21"/>
      <c r="P191" s="21"/>
      <c r="Q191" s="21"/>
      <c r="R191" s="21"/>
      <c r="S191" s="21"/>
      <c r="T191" s="21"/>
    </row>
    <row r="192" ht="15.75" customHeight="1">
      <c r="B192" s="21"/>
      <c r="C192" s="21"/>
      <c r="D192" s="21"/>
      <c r="E192" s="21"/>
      <c r="F192" s="21"/>
      <c r="G192" s="21"/>
      <c r="H192" s="21"/>
      <c r="I192" s="21"/>
      <c r="J192" s="21"/>
      <c r="K192" s="21"/>
      <c r="L192" s="21"/>
      <c r="M192" s="21"/>
      <c r="N192" s="21"/>
      <c r="O192" s="21"/>
      <c r="P192" s="21"/>
      <c r="Q192" s="21"/>
      <c r="R192" s="21"/>
      <c r="S192" s="21"/>
      <c r="T192" s="21"/>
    </row>
    <row r="193" ht="15.75" customHeight="1">
      <c r="B193" s="21"/>
      <c r="C193" s="21"/>
      <c r="D193" s="21"/>
      <c r="E193" s="21"/>
      <c r="F193" s="21"/>
      <c r="G193" s="21"/>
      <c r="H193" s="21"/>
      <c r="I193" s="21"/>
      <c r="J193" s="21"/>
      <c r="K193" s="21"/>
      <c r="L193" s="21"/>
      <c r="M193" s="21"/>
      <c r="N193" s="21"/>
      <c r="O193" s="21"/>
      <c r="P193" s="21"/>
      <c r="Q193" s="21"/>
      <c r="R193" s="21"/>
      <c r="S193" s="21"/>
      <c r="T193" s="21"/>
    </row>
    <row r="194" ht="15.75" customHeight="1">
      <c r="B194" s="21"/>
      <c r="C194" s="21"/>
      <c r="D194" s="21"/>
      <c r="E194" s="21"/>
      <c r="F194" s="21"/>
      <c r="G194" s="21"/>
      <c r="H194" s="21"/>
      <c r="I194" s="21"/>
      <c r="J194" s="21"/>
      <c r="K194" s="21"/>
      <c r="L194" s="21"/>
      <c r="M194" s="21"/>
      <c r="N194" s="21"/>
      <c r="O194" s="21"/>
      <c r="P194" s="21"/>
      <c r="Q194" s="21"/>
      <c r="R194" s="21"/>
      <c r="S194" s="21"/>
      <c r="T194" s="21"/>
    </row>
    <row r="195" ht="15.75" customHeight="1">
      <c r="B195" s="21"/>
      <c r="C195" s="21"/>
      <c r="D195" s="21"/>
      <c r="E195" s="21"/>
      <c r="F195" s="21"/>
      <c r="G195" s="21"/>
      <c r="H195" s="21"/>
      <c r="I195" s="21"/>
      <c r="J195" s="21"/>
      <c r="K195" s="21"/>
      <c r="L195" s="21"/>
      <c r="M195" s="21"/>
      <c r="N195" s="21"/>
      <c r="O195" s="21"/>
      <c r="P195" s="21"/>
      <c r="Q195" s="21"/>
      <c r="R195" s="21"/>
      <c r="S195" s="21"/>
      <c r="T195" s="21"/>
    </row>
    <row r="196" ht="15.75" customHeight="1">
      <c r="B196" s="21"/>
      <c r="C196" s="21"/>
      <c r="D196" s="21"/>
      <c r="E196" s="21"/>
      <c r="F196" s="21"/>
      <c r="G196" s="21"/>
      <c r="H196" s="21"/>
      <c r="I196" s="21"/>
      <c r="J196" s="21"/>
      <c r="K196" s="21"/>
      <c r="L196" s="21"/>
      <c r="M196" s="21"/>
      <c r="N196" s="21"/>
      <c r="O196" s="21"/>
      <c r="P196" s="21"/>
      <c r="Q196" s="21"/>
      <c r="R196" s="21"/>
      <c r="S196" s="21"/>
      <c r="T196" s="21"/>
    </row>
    <row r="197" ht="15.75" customHeight="1">
      <c r="B197" s="21"/>
      <c r="C197" s="21"/>
      <c r="D197" s="21"/>
      <c r="E197" s="21"/>
      <c r="F197" s="21"/>
      <c r="G197" s="21"/>
      <c r="H197" s="21"/>
      <c r="I197" s="21"/>
      <c r="J197" s="21"/>
      <c r="K197" s="21"/>
      <c r="L197" s="21"/>
      <c r="M197" s="21"/>
      <c r="N197" s="21"/>
      <c r="O197" s="21"/>
      <c r="P197" s="21"/>
      <c r="Q197" s="21"/>
      <c r="R197" s="21"/>
      <c r="S197" s="21"/>
      <c r="T197" s="21"/>
    </row>
    <row r="198" ht="15.75" customHeight="1">
      <c r="B198" s="21"/>
      <c r="C198" s="21"/>
      <c r="D198" s="21"/>
      <c r="E198" s="21"/>
      <c r="F198" s="21"/>
      <c r="G198" s="21"/>
      <c r="H198" s="21"/>
      <c r="I198" s="21"/>
      <c r="J198" s="21"/>
      <c r="K198" s="21"/>
      <c r="L198" s="21"/>
      <c r="M198" s="21"/>
      <c r="N198" s="21"/>
      <c r="O198" s="21"/>
      <c r="P198" s="21"/>
      <c r="Q198" s="21"/>
      <c r="R198" s="21"/>
      <c r="S198" s="21"/>
      <c r="T198" s="21"/>
    </row>
    <row r="199" ht="15.75" customHeight="1">
      <c r="B199" s="21"/>
      <c r="C199" s="21"/>
      <c r="D199" s="21"/>
      <c r="E199" s="21"/>
      <c r="F199" s="21"/>
      <c r="G199" s="21"/>
      <c r="H199" s="21"/>
      <c r="I199" s="21"/>
      <c r="J199" s="21"/>
      <c r="K199" s="21"/>
      <c r="L199" s="21"/>
      <c r="M199" s="21"/>
      <c r="N199" s="21"/>
      <c r="O199" s="21"/>
      <c r="P199" s="21"/>
      <c r="Q199" s="21"/>
      <c r="R199" s="21"/>
      <c r="S199" s="21"/>
      <c r="T199" s="21"/>
    </row>
    <row r="200" ht="15.75" customHeight="1">
      <c r="B200" s="21"/>
      <c r="C200" s="21"/>
      <c r="D200" s="21"/>
      <c r="E200" s="21"/>
      <c r="F200" s="21"/>
      <c r="G200" s="21"/>
      <c r="H200" s="21"/>
      <c r="I200" s="21"/>
      <c r="J200" s="21"/>
      <c r="K200" s="21"/>
      <c r="L200" s="21"/>
      <c r="M200" s="21"/>
      <c r="N200" s="21"/>
      <c r="O200" s="21"/>
      <c r="P200" s="21"/>
      <c r="Q200" s="21"/>
      <c r="R200" s="21"/>
      <c r="S200" s="21"/>
      <c r="T200" s="21"/>
    </row>
    <row r="201" ht="15.75" customHeight="1">
      <c r="B201" s="21"/>
      <c r="C201" s="21"/>
      <c r="D201" s="21"/>
      <c r="E201" s="21"/>
      <c r="F201" s="21"/>
      <c r="G201" s="21"/>
      <c r="H201" s="21"/>
      <c r="I201" s="21"/>
      <c r="J201" s="21"/>
      <c r="K201" s="21"/>
      <c r="L201" s="21"/>
      <c r="M201" s="21"/>
      <c r="N201" s="21"/>
      <c r="O201" s="21"/>
      <c r="P201" s="21"/>
      <c r="Q201" s="21"/>
      <c r="R201" s="21"/>
      <c r="S201" s="21"/>
      <c r="T201" s="21"/>
    </row>
    <row r="202" ht="15.75" customHeight="1">
      <c r="B202" s="21"/>
      <c r="C202" s="21"/>
      <c r="D202" s="21"/>
      <c r="E202" s="21"/>
      <c r="F202" s="21"/>
      <c r="G202" s="21"/>
      <c r="H202" s="21"/>
      <c r="I202" s="21"/>
      <c r="J202" s="21"/>
      <c r="K202" s="21"/>
      <c r="L202" s="21"/>
      <c r="M202" s="21"/>
      <c r="N202" s="21"/>
      <c r="O202" s="21"/>
      <c r="P202" s="21"/>
      <c r="Q202" s="21"/>
      <c r="R202" s="21"/>
      <c r="S202" s="21"/>
      <c r="T202" s="21"/>
    </row>
    <row r="203" ht="15.75" customHeight="1">
      <c r="B203" s="21"/>
      <c r="C203" s="21"/>
      <c r="D203" s="21"/>
      <c r="E203" s="21"/>
      <c r="F203" s="21"/>
      <c r="G203" s="21"/>
      <c r="H203" s="21"/>
      <c r="I203" s="21"/>
      <c r="J203" s="21"/>
      <c r="K203" s="21"/>
      <c r="L203" s="21"/>
      <c r="M203" s="21"/>
      <c r="N203" s="21"/>
      <c r="O203" s="21"/>
      <c r="P203" s="21"/>
      <c r="Q203" s="21"/>
      <c r="R203" s="21"/>
      <c r="S203" s="21"/>
      <c r="T203" s="21"/>
    </row>
    <row r="204" ht="15.75" customHeight="1">
      <c r="B204" s="21"/>
      <c r="C204" s="21"/>
      <c r="D204" s="21"/>
      <c r="E204" s="21"/>
      <c r="F204" s="21"/>
      <c r="G204" s="21"/>
      <c r="H204" s="21"/>
      <c r="I204" s="21"/>
      <c r="J204" s="21"/>
      <c r="K204" s="21"/>
      <c r="L204" s="21"/>
      <c r="M204" s="21"/>
      <c r="N204" s="21"/>
      <c r="O204" s="21"/>
      <c r="P204" s="21"/>
      <c r="Q204" s="21"/>
      <c r="R204" s="21"/>
      <c r="S204" s="21"/>
      <c r="T204" s="21"/>
    </row>
    <row r="205" ht="15.75" customHeight="1">
      <c r="B205" s="21"/>
      <c r="C205" s="21"/>
      <c r="D205" s="21"/>
      <c r="E205" s="21"/>
      <c r="F205" s="21"/>
      <c r="G205" s="21"/>
      <c r="H205" s="21"/>
      <c r="I205" s="21"/>
      <c r="J205" s="21"/>
      <c r="K205" s="21"/>
      <c r="L205" s="21"/>
      <c r="M205" s="21"/>
      <c r="N205" s="21"/>
      <c r="O205" s="21"/>
      <c r="P205" s="21"/>
      <c r="Q205" s="21"/>
      <c r="R205" s="21"/>
      <c r="S205" s="21"/>
      <c r="T205" s="21"/>
    </row>
    <row r="206" ht="15.75" customHeight="1">
      <c r="B206" s="21"/>
      <c r="C206" s="21"/>
      <c r="D206" s="21"/>
      <c r="E206" s="21"/>
      <c r="F206" s="21"/>
      <c r="G206" s="21"/>
      <c r="H206" s="21"/>
      <c r="I206" s="21"/>
      <c r="J206" s="21"/>
      <c r="K206" s="21"/>
      <c r="L206" s="21"/>
      <c r="M206" s="21"/>
      <c r="N206" s="21"/>
      <c r="O206" s="21"/>
      <c r="P206" s="21"/>
      <c r="Q206" s="21"/>
      <c r="R206" s="21"/>
      <c r="S206" s="21"/>
      <c r="T206" s="21"/>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B$1:$T$5">
    <filterColumn colId="5">
      <filters>
        <filter val="African Indigenous Vegetables (AIVs)"/>
      </filters>
    </filterColumn>
  </autoFilter>
  <dataValidations>
    <dataValidation type="list" allowBlank="1" sqref="J2:J6">
      <formula1>"PDF,Text / Word,Poster,Audio,Video,Spreadsheet,Other"</formula1>
    </dataValidation>
    <dataValidation type="list" allowBlank="1" sqref="S2:S6">
      <formula1>"Ready to Certify,Needs Review,Needs Update,Duplicate,Reject"</formula1>
    </dataValidation>
    <dataValidation type="list" allowBlank="1" sqref="O2:O6">
      <formula1>"Current,Needs Update,Outdated,Needs Verification"</formula1>
    </dataValidation>
    <dataValidation type="list" allowBlank="1" sqref="Q2:Q6">
      <formula1>"source_validated,expert_reviewed,pending_validation,not_validated"</formula1>
    </dataValidation>
    <dataValidation type="list" allowBlank="1" sqref="I2:I6">
      <formula1>"Production Guide,Protocol / SOP,Factsheet,Advisory Bulletin,Brochure,Training Manual,Poster / Infographic,Video,Other"</formula1>
    </dataValidation>
    <dataValidation type="list" allowBlank="1" sqref="P2:P6">
      <formula1>"Verified,Needs Review,Flagged - Inaccurate"</formula1>
    </dataValidation>
    <dataValidation type="list" allowBlank="1" sqref="R2:R6">
      <formula1>"Low,Medium,High"</formula1>
    </dataValidation>
  </dataValidations>
  <hyperlinks>
    <hyperlink r:id="rId1" ref="D2"/>
  </hyperlinks>
  <printOptions/>
  <pageMargins bottom="1.0" footer="0.0" header="0.0" left="0.75" right="0.75" top="1.0"/>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43"/>
    <col customWidth="1" min="2" max="2" width="4.0"/>
    <col customWidth="1" min="3" max="3" width="28.86"/>
    <col customWidth="1" min="4" max="4" width="102.0"/>
    <col customWidth="1" min="5" max="5" width="10.57"/>
    <col customWidth="1" min="6" max="6" width="48.0"/>
    <col customWidth="1" min="7" max="7" width="26.0"/>
    <col customWidth="1" min="8" max="8" width="11.29"/>
    <col customWidth="1" min="9" max="26" width="8.57"/>
  </cols>
  <sheetData>
    <row r="1" ht="21.75" customHeight="1">
      <c r="B1" s="24" t="s">
        <v>73</v>
      </c>
      <c r="C1" s="24" t="s">
        <v>74</v>
      </c>
      <c r="D1" s="24" t="s">
        <v>75</v>
      </c>
      <c r="E1" s="24" t="s">
        <v>76</v>
      </c>
      <c r="F1" s="24" t="s">
        <v>77</v>
      </c>
      <c r="G1" s="25" t="s">
        <v>78</v>
      </c>
      <c r="H1" s="26" t="s">
        <v>79</v>
      </c>
    </row>
    <row r="2" ht="111.0" customHeight="1">
      <c r="A2" s="11"/>
      <c r="B2" s="16">
        <v>1.0</v>
      </c>
      <c r="C2" s="27" t="s">
        <v>80</v>
      </c>
      <c r="D2" s="28" t="s">
        <v>81</v>
      </c>
      <c r="E2" s="29" t="s">
        <v>60</v>
      </c>
      <c r="F2" s="28" t="s">
        <v>82</v>
      </c>
      <c r="G2" s="30" t="s">
        <v>83</v>
      </c>
      <c r="H2" s="31" t="s">
        <v>84</v>
      </c>
      <c r="I2" s="11"/>
      <c r="J2" s="11"/>
      <c r="K2" s="11"/>
      <c r="L2" s="11"/>
      <c r="M2" s="11"/>
      <c r="N2" s="11"/>
      <c r="O2" s="11"/>
      <c r="P2" s="11"/>
      <c r="Q2" s="11"/>
      <c r="R2" s="11"/>
      <c r="S2" s="11"/>
      <c r="T2" s="11"/>
      <c r="U2" s="11"/>
      <c r="V2" s="11"/>
      <c r="W2" s="11"/>
      <c r="X2" s="11"/>
      <c r="Y2" s="11"/>
      <c r="Z2" s="11"/>
    </row>
    <row r="3" ht="142.5" customHeight="1">
      <c r="A3" s="11"/>
      <c r="B3" s="16">
        <v>2.0</v>
      </c>
      <c r="C3" s="32" t="s">
        <v>85</v>
      </c>
      <c r="D3" s="33" t="s">
        <v>86</v>
      </c>
      <c r="E3" s="29" t="s">
        <v>60</v>
      </c>
      <c r="F3" s="33" t="s">
        <v>87</v>
      </c>
      <c r="G3" s="34" t="s">
        <v>88</v>
      </c>
      <c r="H3" s="31" t="s">
        <v>84</v>
      </c>
      <c r="I3" s="11"/>
      <c r="J3" s="11"/>
      <c r="K3" s="11"/>
      <c r="L3" s="11"/>
      <c r="M3" s="11"/>
      <c r="N3" s="11"/>
      <c r="O3" s="11"/>
      <c r="P3" s="11"/>
      <c r="Q3" s="11"/>
      <c r="R3" s="11"/>
      <c r="S3" s="11"/>
      <c r="T3" s="11"/>
      <c r="U3" s="11"/>
      <c r="V3" s="11"/>
      <c r="W3" s="11"/>
      <c r="X3" s="11"/>
      <c r="Y3" s="11"/>
      <c r="Z3" s="11"/>
    </row>
    <row r="4" ht="142.5" customHeight="1">
      <c r="A4" s="11"/>
      <c r="B4" s="16">
        <v>3.0</v>
      </c>
      <c r="C4" s="32" t="s">
        <v>89</v>
      </c>
      <c r="D4" s="33" t="s">
        <v>90</v>
      </c>
      <c r="E4" s="29" t="s">
        <v>60</v>
      </c>
      <c r="F4" s="33" t="s">
        <v>87</v>
      </c>
      <c r="G4" s="34" t="s">
        <v>88</v>
      </c>
      <c r="H4" s="31" t="s">
        <v>84</v>
      </c>
      <c r="I4" s="11"/>
      <c r="J4" s="11"/>
      <c r="K4" s="11"/>
      <c r="L4" s="11"/>
      <c r="M4" s="11"/>
      <c r="N4" s="11"/>
      <c r="O4" s="11"/>
      <c r="P4" s="11"/>
      <c r="Q4" s="11"/>
      <c r="R4" s="11"/>
      <c r="S4" s="11"/>
      <c r="T4" s="11"/>
      <c r="U4" s="11"/>
      <c r="V4" s="11"/>
      <c r="W4" s="11"/>
      <c r="X4" s="11"/>
      <c r="Y4" s="11"/>
      <c r="Z4" s="11"/>
    </row>
    <row r="5" ht="126.75" customHeight="1">
      <c r="A5" s="11"/>
      <c r="B5" s="16">
        <v>4.0</v>
      </c>
      <c r="C5" s="32" t="s">
        <v>91</v>
      </c>
      <c r="D5" s="33" t="s">
        <v>92</v>
      </c>
      <c r="E5" s="29" t="s">
        <v>60</v>
      </c>
      <c r="F5" s="33" t="s">
        <v>93</v>
      </c>
      <c r="G5" s="34" t="s">
        <v>94</v>
      </c>
      <c r="H5" s="31" t="s">
        <v>84</v>
      </c>
      <c r="I5" s="11"/>
      <c r="J5" s="11"/>
      <c r="K5" s="11"/>
      <c r="L5" s="11"/>
      <c r="M5" s="11"/>
      <c r="N5" s="11"/>
      <c r="O5" s="11"/>
      <c r="P5" s="11"/>
      <c r="Q5" s="11"/>
      <c r="R5" s="11"/>
      <c r="S5" s="11"/>
      <c r="T5" s="11"/>
      <c r="U5" s="11"/>
      <c r="V5" s="11"/>
      <c r="W5" s="11"/>
      <c r="X5" s="11"/>
      <c r="Y5" s="11"/>
      <c r="Z5" s="11"/>
    </row>
    <row r="6" ht="128.25" customHeight="1">
      <c r="A6" s="11"/>
      <c r="B6" s="16">
        <v>5.0</v>
      </c>
      <c r="C6" s="32" t="s">
        <v>95</v>
      </c>
      <c r="D6" s="33" t="s">
        <v>96</v>
      </c>
      <c r="E6" s="29" t="s">
        <v>60</v>
      </c>
      <c r="F6" s="33" t="s">
        <v>97</v>
      </c>
      <c r="G6" s="34" t="s">
        <v>98</v>
      </c>
      <c r="H6" s="31" t="s">
        <v>84</v>
      </c>
      <c r="I6" s="11"/>
      <c r="J6" s="11"/>
      <c r="K6" s="11"/>
      <c r="L6" s="11"/>
      <c r="M6" s="11"/>
      <c r="N6" s="11"/>
      <c r="O6" s="11"/>
      <c r="P6" s="11"/>
      <c r="Q6" s="11"/>
      <c r="R6" s="11"/>
      <c r="S6" s="11"/>
      <c r="T6" s="11"/>
      <c r="U6" s="11"/>
      <c r="V6" s="11"/>
      <c r="W6" s="11"/>
      <c r="X6" s="11"/>
      <c r="Y6" s="11"/>
      <c r="Z6" s="11"/>
    </row>
    <row r="7" ht="124.5" customHeight="1">
      <c r="A7" s="11"/>
      <c r="B7" s="16">
        <v>6.0</v>
      </c>
      <c r="C7" s="32" t="s">
        <v>99</v>
      </c>
      <c r="D7" s="33" t="s">
        <v>100</v>
      </c>
      <c r="E7" s="29" t="s">
        <v>60</v>
      </c>
      <c r="F7" s="33" t="s">
        <v>101</v>
      </c>
      <c r="G7" s="34" t="s">
        <v>102</v>
      </c>
      <c r="H7" s="31" t="s">
        <v>84</v>
      </c>
      <c r="I7" s="11"/>
      <c r="J7" s="11"/>
      <c r="K7" s="11"/>
      <c r="L7" s="11"/>
      <c r="M7" s="11"/>
      <c r="N7" s="11"/>
      <c r="O7" s="11"/>
      <c r="P7" s="11"/>
      <c r="Q7" s="11"/>
      <c r="R7" s="11"/>
      <c r="S7" s="11"/>
      <c r="T7" s="11"/>
      <c r="U7" s="11"/>
      <c r="V7" s="11"/>
      <c r="W7" s="11"/>
      <c r="X7" s="11"/>
      <c r="Y7" s="11"/>
      <c r="Z7" s="11"/>
    </row>
    <row r="8" ht="142.5" customHeight="1">
      <c r="A8" s="11"/>
      <c r="B8" s="16">
        <v>7.0</v>
      </c>
      <c r="C8" s="32" t="s">
        <v>103</v>
      </c>
      <c r="D8" s="33" t="s">
        <v>104</v>
      </c>
      <c r="E8" s="29" t="s">
        <v>60</v>
      </c>
      <c r="F8" s="33" t="s">
        <v>105</v>
      </c>
      <c r="G8" s="34" t="s">
        <v>106</v>
      </c>
      <c r="H8" s="31" t="s">
        <v>84</v>
      </c>
      <c r="I8" s="11"/>
      <c r="J8" s="11"/>
      <c r="K8" s="11"/>
      <c r="L8" s="11"/>
      <c r="M8" s="11"/>
      <c r="N8" s="11"/>
      <c r="O8" s="11"/>
      <c r="P8" s="11"/>
      <c r="Q8" s="11"/>
      <c r="R8" s="11"/>
      <c r="S8" s="11"/>
      <c r="T8" s="11"/>
      <c r="U8" s="11"/>
      <c r="V8" s="11"/>
      <c r="W8" s="11"/>
      <c r="X8" s="11"/>
      <c r="Y8" s="11"/>
      <c r="Z8" s="11"/>
    </row>
    <row r="9" ht="79.5" customHeight="1">
      <c r="A9" s="11"/>
      <c r="B9" s="16">
        <v>8.0</v>
      </c>
      <c r="C9" s="32" t="s">
        <v>107</v>
      </c>
      <c r="D9" s="33" t="s">
        <v>108</v>
      </c>
      <c r="E9" s="29" t="s">
        <v>60</v>
      </c>
      <c r="F9" s="33" t="s">
        <v>109</v>
      </c>
      <c r="G9" s="34" t="s">
        <v>110</v>
      </c>
      <c r="H9" s="31" t="s">
        <v>84</v>
      </c>
      <c r="I9" s="11"/>
      <c r="J9" s="11"/>
      <c r="K9" s="11"/>
      <c r="L9" s="11"/>
      <c r="M9" s="11"/>
      <c r="N9" s="11"/>
      <c r="O9" s="11"/>
      <c r="P9" s="11"/>
      <c r="Q9" s="11"/>
      <c r="R9" s="11"/>
      <c r="S9" s="11"/>
      <c r="T9" s="11"/>
      <c r="U9" s="11"/>
      <c r="V9" s="11"/>
      <c r="W9" s="11"/>
      <c r="X9" s="11"/>
      <c r="Y9" s="11"/>
      <c r="Z9" s="11"/>
    </row>
    <row r="10" ht="96.75" customHeight="1">
      <c r="A10" s="11"/>
      <c r="B10" s="16">
        <v>9.0</v>
      </c>
      <c r="C10" s="32" t="s">
        <v>111</v>
      </c>
      <c r="D10" s="33" t="s">
        <v>112</v>
      </c>
      <c r="E10" s="29" t="s">
        <v>60</v>
      </c>
      <c r="F10" s="33" t="s">
        <v>113</v>
      </c>
      <c r="G10" s="34" t="s">
        <v>114</v>
      </c>
      <c r="H10" s="31" t="s">
        <v>84</v>
      </c>
      <c r="I10" s="11"/>
      <c r="J10" s="11"/>
      <c r="K10" s="11"/>
      <c r="L10" s="11"/>
      <c r="M10" s="11"/>
      <c r="N10" s="11"/>
      <c r="O10" s="11"/>
      <c r="P10" s="11"/>
      <c r="Q10" s="11"/>
      <c r="R10" s="11"/>
      <c r="S10" s="11"/>
      <c r="T10" s="11"/>
      <c r="U10" s="11"/>
      <c r="V10" s="11"/>
      <c r="W10" s="11"/>
      <c r="X10" s="11"/>
      <c r="Y10" s="11"/>
      <c r="Z10" s="11"/>
    </row>
    <row r="11" ht="126.75" customHeight="1">
      <c r="A11" s="11"/>
      <c r="B11" s="13"/>
      <c r="C11" s="32" t="s">
        <v>115</v>
      </c>
      <c r="D11" s="33" t="s">
        <v>116</v>
      </c>
      <c r="E11" s="29" t="s">
        <v>60</v>
      </c>
      <c r="F11" s="33" t="s">
        <v>117</v>
      </c>
      <c r="G11" s="34" t="s">
        <v>118</v>
      </c>
      <c r="H11" s="31" t="s">
        <v>84</v>
      </c>
      <c r="I11" s="11"/>
      <c r="J11" s="11"/>
      <c r="K11" s="11"/>
      <c r="L11" s="11"/>
      <c r="M11" s="11"/>
      <c r="N11" s="11"/>
      <c r="O11" s="11"/>
      <c r="P11" s="11"/>
      <c r="Q11" s="11"/>
      <c r="R11" s="11"/>
      <c r="S11" s="11"/>
      <c r="T11" s="11"/>
      <c r="U11" s="11"/>
      <c r="V11" s="11"/>
      <c r="W11" s="11"/>
      <c r="X11" s="11"/>
      <c r="Y11" s="11"/>
      <c r="Z11" s="11"/>
    </row>
    <row r="12" ht="111.0" customHeight="1">
      <c r="A12" s="11"/>
      <c r="B12" s="13"/>
      <c r="C12" s="32" t="s">
        <v>119</v>
      </c>
      <c r="D12" s="33" t="s">
        <v>120</v>
      </c>
      <c r="E12" s="29" t="s">
        <v>60</v>
      </c>
      <c r="F12" s="33" t="s">
        <v>121</v>
      </c>
      <c r="G12" s="34" t="s">
        <v>122</v>
      </c>
      <c r="H12" s="31" t="s">
        <v>84</v>
      </c>
      <c r="I12" s="11"/>
      <c r="J12" s="11"/>
      <c r="K12" s="11"/>
      <c r="L12" s="11"/>
      <c r="M12" s="11"/>
      <c r="N12" s="11"/>
      <c r="O12" s="11"/>
      <c r="P12" s="11"/>
      <c r="Q12" s="11"/>
      <c r="R12" s="11"/>
      <c r="S12" s="11"/>
      <c r="T12" s="11"/>
      <c r="U12" s="11"/>
      <c r="V12" s="11"/>
      <c r="W12" s="11"/>
      <c r="X12" s="11"/>
      <c r="Y12" s="11"/>
      <c r="Z12" s="11"/>
    </row>
    <row r="13" ht="109.5" customHeight="1">
      <c r="A13" s="11"/>
      <c r="B13" s="13"/>
      <c r="C13" s="32" t="s">
        <v>123</v>
      </c>
      <c r="D13" s="33" t="s">
        <v>124</v>
      </c>
      <c r="E13" s="29" t="s">
        <v>60</v>
      </c>
      <c r="F13" s="33" t="s">
        <v>125</v>
      </c>
      <c r="G13" s="34" t="s">
        <v>126</v>
      </c>
      <c r="H13" s="31" t="s">
        <v>84</v>
      </c>
      <c r="I13" s="11"/>
      <c r="J13" s="11"/>
      <c r="K13" s="11"/>
      <c r="L13" s="11"/>
      <c r="M13" s="11"/>
      <c r="N13" s="11"/>
      <c r="O13" s="11"/>
      <c r="P13" s="11"/>
      <c r="Q13" s="11"/>
      <c r="R13" s="11"/>
      <c r="S13" s="11"/>
      <c r="T13" s="11"/>
      <c r="U13" s="11"/>
      <c r="V13" s="11"/>
      <c r="W13" s="11"/>
      <c r="X13" s="11"/>
      <c r="Y13" s="11"/>
      <c r="Z13" s="11"/>
    </row>
    <row r="14" ht="79.5" customHeight="1">
      <c r="A14" s="11"/>
      <c r="B14" s="13"/>
      <c r="C14" s="32" t="s">
        <v>127</v>
      </c>
      <c r="D14" s="33" t="s">
        <v>128</v>
      </c>
      <c r="E14" s="29" t="s">
        <v>60</v>
      </c>
      <c r="F14" s="33" t="s">
        <v>129</v>
      </c>
      <c r="G14" s="34" t="s">
        <v>130</v>
      </c>
      <c r="H14" s="31" t="s">
        <v>84</v>
      </c>
      <c r="I14" s="11"/>
      <c r="J14" s="11"/>
      <c r="K14" s="11"/>
      <c r="L14" s="11"/>
      <c r="M14" s="11"/>
      <c r="N14" s="11"/>
      <c r="O14" s="11"/>
      <c r="P14" s="11"/>
      <c r="Q14" s="11"/>
      <c r="R14" s="11"/>
      <c r="S14" s="11"/>
      <c r="T14" s="11"/>
      <c r="U14" s="11"/>
      <c r="V14" s="11"/>
      <c r="W14" s="11"/>
      <c r="X14" s="11"/>
      <c r="Y14" s="11"/>
      <c r="Z14" s="11"/>
    </row>
    <row r="15" ht="114.75" customHeight="1">
      <c r="A15" s="11"/>
      <c r="B15" s="13"/>
      <c r="C15" s="32" t="s">
        <v>131</v>
      </c>
      <c r="D15" s="33" t="s">
        <v>132</v>
      </c>
      <c r="E15" s="29" t="s">
        <v>60</v>
      </c>
      <c r="F15" s="33" t="s">
        <v>133</v>
      </c>
      <c r="G15" s="34" t="s">
        <v>134</v>
      </c>
      <c r="H15" s="31" t="s">
        <v>84</v>
      </c>
      <c r="I15" s="11"/>
      <c r="J15" s="11"/>
      <c r="K15" s="11"/>
      <c r="L15" s="11"/>
      <c r="M15" s="11"/>
      <c r="N15" s="11"/>
      <c r="O15" s="11"/>
      <c r="P15" s="11"/>
      <c r="Q15" s="11"/>
      <c r="R15" s="11"/>
      <c r="S15" s="11"/>
      <c r="T15" s="11"/>
      <c r="U15" s="11"/>
      <c r="V15" s="11"/>
      <c r="W15" s="11"/>
      <c r="X15" s="11"/>
      <c r="Y15" s="11"/>
      <c r="Z15" s="11"/>
    </row>
    <row r="16" ht="126.75" customHeight="1">
      <c r="A16" s="11"/>
      <c r="B16" s="13"/>
      <c r="C16" s="32" t="s">
        <v>135</v>
      </c>
      <c r="D16" s="33" t="s">
        <v>136</v>
      </c>
      <c r="E16" s="29" t="s">
        <v>60</v>
      </c>
      <c r="F16" s="33" t="s">
        <v>137</v>
      </c>
      <c r="G16" s="34" t="s">
        <v>138</v>
      </c>
      <c r="H16" s="31" t="s">
        <v>84</v>
      </c>
      <c r="I16" s="11"/>
      <c r="J16" s="11"/>
      <c r="K16" s="11"/>
      <c r="L16" s="11"/>
      <c r="M16" s="11"/>
      <c r="N16" s="11"/>
      <c r="O16" s="11"/>
      <c r="P16" s="11"/>
      <c r="Q16" s="11"/>
      <c r="R16" s="11"/>
      <c r="S16" s="11"/>
      <c r="T16" s="11"/>
      <c r="U16" s="11"/>
      <c r="V16" s="11"/>
      <c r="W16" s="11"/>
      <c r="X16" s="11"/>
      <c r="Y16" s="11"/>
      <c r="Z16" s="11"/>
    </row>
    <row r="17" ht="111.0" customHeight="1">
      <c r="A17" s="11"/>
      <c r="B17" s="13"/>
      <c r="C17" s="32" t="s">
        <v>139</v>
      </c>
      <c r="D17" s="33" t="s">
        <v>140</v>
      </c>
      <c r="E17" s="29" t="s">
        <v>60</v>
      </c>
      <c r="F17" s="33" t="s">
        <v>141</v>
      </c>
      <c r="G17" s="34" t="s">
        <v>142</v>
      </c>
      <c r="H17" s="31" t="s">
        <v>84</v>
      </c>
      <c r="I17" s="11"/>
      <c r="J17" s="11"/>
      <c r="K17" s="11"/>
      <c r="L17" s="11"/>
      <c r="M17" s="11"/>
      <c r="N17" s="11"/>
      <c r="O17" s="11"/>
      <c r="P17" s="11"/>
      <c r="Q17" s="11"/>
      <c r="R17" s="11"/>
      <c r="S17" s="11"/>
      <c r="T17" s="11"/>
      <c r="U17" s="11"/>
      <c r="V17" s="11"/>
      <c r="W17" s="11"/>
      <c r="X17" s="11"/>
      <c r="Y17" s="11"/>
      <c r="Z17" s="11"/>
    </row>
    <row r="18" ht="158.25" customHeight="1">
      <c r="A18" s="11"/>
      <c r="B18" s="13"/>
      <c r="C18" s="32" t="s">
        <v>143</v>
      </c>
      <c r="D18" s="33" t="s">
        <v>144</v>
      </c>
      <c r="E18" s="29" t="s">
        <v>60</v>
      </c>
      <c r="F18" s="33" t="s">
        <v>145</v>
      </c>
      <c r="G18" s="34" t="s">
        <v>146</v>
      </c>
      <c r="H18" s="31" t="s">
        <v>84</v>
      </c>
      <c r="I18" s="11"/>
      <c r="J18" s="11"/>
      <c r="K18" s="11"/>
      <c r="L18" s="11"/>
      <c r="M18" s="11"/>
      <c r="N18" s="11"/>
      <c r="O18" s="11"/>
      <c r="P18" s="11"/>
      <c r="Q18" s="11"/>
      <c r="R18" s="11"/>
      <c r="S18" s="11"/>
      <c r="T18" s="11"/>
      <c r="U18" s="11"/>
      <c r="V18" s="11"/>
      <c r="W18" s="11"/>
      <c r="X18" s="11"/>
      <c r="Y18" s="11"/>
      <c r="Z18" s="11"/>
    </row>
    <row r="19" ht="160.5" customHeight="1">
      <c r="A19" s="11"/>
      <c r="B19" s="13"/>
      <c r="C19" s="32" t="s">
        <v>147</v>
      </c>
      <c r="D19" s="33" t="s">
        <v>148</v>
      </c>
      <c r="E19" s="29" t="s">
        <v>60</v>
      </c>
      <c r="F19" s="33" t="s">
        <v>149</v>
      </c>
      <c r="G19" s="34" t="s">
        <v>150</v>
      </c>
      <c r="H19" s="31" t="s">
        <v>84</v>
      </c>
      <c r="I19" s="11"/>
      <c r="J19" s="11"/>
      <c r="K19" s="11"/>
      <c r="L19" s="11"/>
      <c r="M19" s="11"/>
      <c r="N19" s="11"/>
      <c r="O19" s="11"/>
      <c r="P19" s="11"/>
      <c r="Q19" s="11"/>
      <c r="R19" s="11"/>
      <c r="S19" s="11"/>
      <c r="T19" s="11"/>
      <c r="U19" s="11"/>
      <c r="V19" s="11"/>
      <c r="W19" s="11"/>
      <c r="X19" s="11"/>
      <c r="Y19" s="11"/>
      <c r="Z19" s="11"/>
    </row>
    <row r="20" ht="158.25" customHeight="1">
      <c r="A20" s="11"/>
      <c r="B20" s="13"/>
      <c r="C20" s="32" t="s">
        <v>151</v>
      </c>
      <c r="D20" s="33" t="s">
        <v>152</v>
      </c>
      <c r="E20" s="29" t="s">
        <v>60</v>
      </c>
      <c r="F20" s="33" t="s">
        <v>153</v>
      </c>
      <c r="G20" s="34" t="s">
        <v>154</v>
      </c>
      <c r="H20" s="31" t="s">
        <v>84</v>
      </c>
      <c r="I20" s="11"/>
      <c r="J20" s="11"/>
      <c r="K20" s="11"/>
      <c r="L20" s="11"/>
      <c r="M20" s="11"/>
      <c r="N20" s="11"/>
      <c r="O20" s="11"/>
      <c r="P20" s="11"/>
      <c r="Q20" s="11"/>
      <c r="R20" s="11"/>
      <c r="S20" s="11"/>
      <c r="T20" s="11"/>
      <c r="U20" s="11"/>
      <c r="V20" s="11"/>
      <c r="W20" s="11"/>
      <c r="X20" s="11"/>
      <c r="Y20" s="11"/>
      <c r="Z20" s="11"/>
    </row>
    <row r="21" ht="158.25" customHeight="1">
      <c r="A21" s="11"/>
      <c r="B21" s="13"/>
      <c r="C21" s="32" t="s">
        <v>155</v>
      </c>
      <c r="D21" s="33" t="s">
        <v>156</v>
      </c>
      <c r="E21" s="29" t="s">
        <v>60</v>
      </c>
      <c r="F21" s="33" t="s">
        <v>157</v>
      </c>
      <c r="G21" s="34" t="s">
        <v>158</v>
      </c>
      <c r="H21" s="31" t="s">
        <v>84</v>
      </c>
      <c r="I21" s="11"/>
      <c r="J21" s="11"/>
      <c r="K21" s="11"/>
      <c r="L21" s="11"/>
      <c r="M21" s="11"/>
      <c r="N21" s="11"/>
      <c r="O21" s="11"/>
      <c r="P21" s="11"/>
      <c r="Q21" s="11"/>
      <c r="R21" s="11"/>
      <c r="S21" s="11"/>
      <c r="T21" s="11"/>
      <c r="U21" s="11"/>
      <c r="V21" s="11"/>
      <c r="W21" s="11"/>
      <c r="X21" s="11"/>
      <c r="Y21" s="11"/>
      <c r="Z21" s="11"/>
    </row>
    <row r="22" ht="158.25" customHeight="1">
      <c r="A22" s="11"/>
      <c r="B22" s="13"/>
      <c r="C22" s="32" t="s">
        <v>159</v>
      </c>
      <c r="D22" s="33" t="s">
        <v>160</v>
      </c>
      <c r="E22" s="29" t="s">
        <v>60</v>
      </c>
      <c r="F22" s="33" t="s">
        <v>161</v>
      </c>
      <c r="G22" s="34" t="s">
        <v>162</v>
      </c>
      <c r="H22" s="31" t="s">
        <v>84</v>
      </c>
      <c r="I22" s="11"/>
      <c r="J22" s="11"/>
      <c r="K22" s="11"/>
      <c r="L22" s="11"/>
      <c r="M22" s="11"/>
      <c r="N22" s="11"/>
      <c r="O22" s="11"/>
      <c r="P22" s="11"/>
      <c r="Q22" s="11"/>
      <c r="R22" s="11"/>
      <c r="S22" s="11"/>
      <c r="T22" s="11"/>
      <c r="U22" s="11"/>
      <c r="V22" s="11"/>
      <c r="W22" s="11"/>
      <c r="X22" s="11"/>
      <c r="Y22" s="11"/>
      <c r="Z22" s="11"/>
    </row>
    <row r="23" ht="111.0" customHeight="1">
      <c r="A23" s="11"/>
      <c r="B23" s="13"/>
      <c r="C23" s="32" t="s">
        <v>163</v>
      </c>
      <c r="D23" s="33" t="s">
        <v>164</v>
      </c>
      <c r="E23" s="29" t="s">
        <v>60</v>
      </c>
      <c r="F23" s="33" t="s">
        <v>165</v>
      </c>
      <c r="G23" s="34" t="s">
        <v>166</v>
      </c>
      <c r="H23" s="31" t="s">
        <v>84</v>
      </c>
      <c r="I23" s="11"/>
      <c r="J23" s="11"/>
      <c r="K23" s="11"/>
      <c r="L23" s="11"/>
      <c r="M23" s="11"/>
      <c r="N23" s="11"/>
      <c r="O23" s="11"/>
      <c r="P23" s="11"/>
      <c r="Q23" s="11"/>
      <c r="R23" s="11"/>
      <c r="S23" s="11"/>
      <c r="T23" s="11"/>
      <c r="U23" s="11"/>
      <c r="V23" s="11"/>
      <c r="W23" s="11"/>
      <c r="X23" s="11"/>
      <c r="Y23" s="11"/>
      <c r="Z23" s="11"/>
    </row>
    <row r="24" ht="189.75" customHeight="1">
      <c r="A24" s="11"/>
      <c r="B24" s="13"/>
      <c r="C24" s="32" t="s">
        <v>167</v>
      </c>
      <c r="D24" s="33" t="s">
        <v>168</v>
      </c>
      <c r="E24" s="29" t="s">
        <v>60</v>
      </c>
      <c r="F24" s="33" t="s">
        <v>169</v>
      </c>
      <c r="G24" s="34" t="s">
        <v>170</v>
      </c>
      <c r="H24" s="31" t="s">
        <v>84</v>
      </c>
      <c r="I24" s="11"/>
      <c r="J24" s="11"/>
      <c r="K24" s="11"/>
      <c r="L24" s="11"/>
      <c r="M24" s="11"/>
      <c r="N24" s="11"/>
      <c r="O24" s="11"/>
      <c r="P24" s="11"/>
      <c r="Q24" s="11"/>
      <c r="R24" s="11"/>
      <c r="S24" s="11"/>
      <c r="T24" s="11"/>
      <c r="U24" s="11"/>
      <c r="V24" s="11"/>
      <c r="W24" s="11"/>
      <c r="X24" s="11"/>
      <c r="Y24" s="11"/>
      <c r="Z24" s="11"/>
    </row>
    <row r="25" ht="158.25" customHeight="1">
      <c r="A25" s="11"/>
      <c r="B25" s="13"/>
      <c r="C25" s="32" t="s">
        <v>171</v>
      </c>
      <c r="D25" s="33" t="s">
        <v>172</v>
      </c>
      <c r="E25" s="29" t="s">
        <v>60</v>
      </c>
      <c r="F25" s="33" t="s">
        <v>173</v>
      </c>
      <c r="G25" s="34" t="s">
        <v>174</v>
      </c>
      <c r="H25" s="31" t="s">
        <v>84</v>
      </c>
      <c r="I25" s="11"/>
      <c r="J25" s="11"/>
      <c r="K25" s="11"/>
      <c r="L25" s="11"/>
      <c r="M25" s="11"/>
      <c r="N25" s="11"/>
      <c r="O25" s="11"/>
      <c r="P25" s="11"/>
      <c r="Q25" s="11"/>
      <c r="R25" s="11"/>
      <c r="S25" s="11"/>
      <c r="T25" s="11"/>
      <c r="U25" s="11"/>
      <c r="V25" s="11"/>
      <c r="W25" s="11"/>
      <c r="X25" s="11"/>
      <c r="Y25" s="11"/>
      <c r="Z25" s="11"/>
    </row>
    <row r="26" ht="158.25" customHeight="1">
      <c r="A26" s="11"/>
      <c r="B26" s="13"/>
      <c r="C26" s="32" t="s">
        <v>175</v>
      </c>
      <c r="D26" s="33" t="s">
        <v>176</v>
      </c>
      <c r="E26" s="29" t="s">
        <v>60</v>
      </c>
      <c r="F26" s="33" t="s">
        <v>177</v>
      </c>
      <c r="G26" s="34" t="s">
        <v>178</v>
      </c>
      <c r="H26" s="31" t="s">
        <v>84</v>
      </c>
      <c r="I26" s="11"/>
      <c r="J26" s="11"/>
      <c r="K26" s="11"/>
      <c r="L26" s="11"/>
      <c r="M26" s="11"/>
      <c r="N26" s="11"/>
      <c r="O26" s="11"/>
      <c r="P26" s="11"/>
      <c r="Q26" s="11"/>
      <c r="R26" s="11"/>
      <c r="S26" s="11"/>
      <c r="T26" s="11"/>
      <c r="U26" s="11"/>
      <c r="V26" s="11"/>
      <c r="W26" s="11"/>
      <c r="X26" s="11"/>
      <c r="Y26" s="11"/>
      <c r="Z26" s="11"/>
    </row>
    <row r="27" ht="158.25" customHeight="1">
      <c r="A27" s="11"/>
      <c r="B27" s="13"/>
      <c r="C27" s="32" t="s">
        <v>179</v>
      </c>
      <c r="D27" s="33" t="s">
        <v>180</v>
      </c>
      <c r="E27" s="29" t="s">
        <v>60</v>
      </c>
      <c r="F27" s="33" t="s">
        <v>177</v>
      </c>
      <c r="G27" s="34" t="s">
        <v>181</v>
      </c>
      <c r="H27" s="31" t="s">
        <v>84</v>
      </c>
      <c r="I27" s="11"/>
      <c r="J27" s="11"/>
      <c r="K27" s="11"/>
      <c r="L27" s="11"/>
      <c r="M27" s="11"/>
      <c r="N27" s="11"/>
      <c r="O27" s="11"/>
      <c r="P27" s="11"/>
      <c r="Q27" s="11"/>
      <c r="R27" s="11"/>
      <c r="S27" s="11"/>
      <c r="T27" s="11"/>
      <c r="U27" s="11"/>
      <c r="V27" s="11"/>
      <c r="W27" s="11"/>
      <c r="X27" s="11"/>
      <c r="Y27" s="11"/>
      <c r="Z27" s="11"/>
    </row>
    <row r="28" ht="189.75" customHeight="1">
      <c r="A28" s="11"/>
      <c r="B28" s="13"/>
      <c r="C28" s="32" t="s">
        <v>182</v>
      </c>
      <c r="D28" s="33" t="s">
        <v>183</v>
      </c>
      <c r="E28" s="29" t="s">
        <v>60</v>
      </c>
      <c r="F28" s="33" t="s">
        <v>184</v>
      </c>
      <c r="G28" s="34" t="s">
        <v>185</v>
      </c>
      <c r="H28" s="31" t="s">
        <v>84</v>
      </c>
      <c r="I28" s="11"/>
      <c r="J28" s="11"/>
      <c r="K28" s="11"/>
      <c r="L28" s="11"/>
      <c r="M28" s="11"/>
      <c r="N28" s="11"/>
      <c r="O28" s="11"/>
      <c r="P28" s="11"/>
      <c r="Q28" s="11"/>
      <c r="R28" s="11"/>
      <c r="S28" s="11"/>
      <c r="T28" s="11"/>
      <c r="U28" s="11"/>
      <c r="V28" s="11"/>
      <c r="W28" s="11"/>
      <c r="X28" s="11"/>
      <c r="Y28" s="11"/>
      <c r="Z28" s="11"/>
    </row>
    <row r="29" ht="205.5" customHeight="1">
      <c r="A29" s="11"/>
      <c r="B29" s="13"/>
      <c r="C29" s="32" t="s">
        <v>186</v>
      </c>
      <c r="D29" s="33" t="s">
        <v>187</v>
      </c>
      <c r="E29" s="29" t="s">
        <v>60</v>
      </c>
      <c r="F29" s="33" t="s">
        <v>188</v>
      </c>
      <c r="G29" s="34" t="s">
        <v>189</v>
      </c>
      <c r="H29" s="31" t="s">
        <v>84</v>
      </c>
      <c r="I29" s="11"/>
      <c r="J29" s="11"/>
      <c r="K29" s="11"/>
      <c r="L29" s="11"/>
      <c r="M29" s="11"/>
      <c r="N29" s="11"/>
      <c r="O29" s="11"/>
      <c r="P29" s="11"/>
      <c r="Q29" s="11"/>
      <c r="R29" s="11"/>
      <c r="S29" s="11"/>
      <c r="T29" s="11"/>
      <c r="U29" s="11"/>
      <c r="V29" s="11"/>
      <c r="W29" s="11"/>
      <c r="X29" s="11"/>
      <c r="Y29" s="11"/>
      <c r="Z29" s="11"/>
    </row>
    <row r="30" ht="142.5" customHeight="1">
      <c r="A30" s="11"/>
      <c r="B30" s="13"/>
      <c r="C30" s="32" t="s">
        <v>190</v>
      </c>
      <c r="D30" s="33" t="s">
        <v>191</v>
      </c>
      <c r="E30" s="29" t="s">
        <v>60</v>
      </c>
      <c r="F30" s="33" t="s">
        <v>192</v>
      </c>
      <c r="G30" s="34" t="s">
        <v>193</v>
      </c>
      <c r="H30" s="31" t="s">
        <v>84</v>
      </c>
      <c r="I30" s="11"/>
      <c r="J30" s="11"/>
      <c r="K30" s="11"/>
      <c r="L30" s="11"/>
      <c r="M30" s="11"/>
      <c r="N30" s="11"/>
      <c r="O30" s="11"/>
      <c r="P30" s="11"/>
      <c r="Q30" s="11"/>
      <c r="R30" s="11"/>
      <c r="S30" s="11"/>
      <c r="T30" s="11"/>
      <c r="U30" s="11"/>
      <c r="V30" s="11"/>
      <c r="W30" s="11"/>
      <c r="X30" s="11"/>
      <c r="Y30" s="11"/>
      <c r="Z30" s="11"/>
    </row>
    <row r="31" ht="174.0" customHeight="1">
      <c r="A31" s="11"/>
      <c r="B31" s="13"/>
      <c r="C31" s="32" t="s">
        <v>194</v>
      </c>
      <c r="D31" s="33" t="s">
        <v>195</v>
      </c>
      <c r="E31" s="29" t="s">
        <v>60</v>
      </c>
      <c r="F31" s="33" t="s">
        <v>196</v>
      </c>
      <c r="G31" s="34" t="s">
        <v>197</v>
      </c>
      <c r="H31" s="31" t="s">
        <v>84</v>
      </c>
      <c r="I31" s="11"/>
      <c r="J31" s="11"/>
      <c r="K31" s="11"/>
      <c r="L31" s="11"/>
      <c r="M31" s="11"/>
      <c r="N31" s="11"/>
      <c r="O31" s="11"/>
      <c r="P31" s="11"/>
      <c r="Q31" s="11"/>
      <c r="R31" s="11"/>
      <c r="S31" s="11"/>
      <c r="T31" s="11"/>
      <c r="U31" s="11"/>
      <c r="V31" s="11"/>
      <c r="W31" s="11"/>
      <c r="X31" s="11"/>
      <c r="Y31" s="11"/>
      <c r="Z31" s="11"/>
    </row>
    <row r="32" ht="174.0" customHeight="1">
      <c r="A32" s="11"/>
      <c r="B32" s="13"/>
      <c r="C32" s="32" t="s">
        <v>198</v>
      </c>
      <c r="D32" s="33" t="s">
        <v>199</v>
      </c>
      <c r="E32" s="29" t="s">
        <v>60</v>
      </c>
      <c r="F32" s="33" t="s">
        <v>196</v>
      </c>
      <c r="G32" s="34" t="s">
        <v>200</v>
      </c>
      <c r="H32" s="31" t="s">
        <v>84</v>
      </c>
      <c r="I32" s="11"/>
      <c r="J32" s="11"/>
      <c r="K32" s="11"/>
      <c r="L32" s="11"/>
      <c r="M32" s="11"/>
      <c r="N32" s="11"/>
      <c r="O32" s="11"/>
      <c r="P32" s="11"/>
      <c r="Q32" s="11"/>
      <c r="R32" s="11"/>
      <c r="S32" s="11"/>
      <c r="T32" s="11"/>
      <c r="U32" s="11"/>
      <c r="V32" s="11"/>
      <c r="W32" s="11"/>
      <c r="X32" s="11"/>
      <c r="Y32" s="11"/>
      <c r="Z32" s="11"/>
    </row>
    <row r="33" ht="174.0" customHeight="1">
      <c r="A33" s="11"/>
      <c r="B33" s="13"/>
      <c r="C33" s="32" t="s">
        <v>201</v>
      </c>
      <c r="D33" s="33" t="s">
        <v>202</v>
      </c>
      <c r="E33" s="29" t="s">
        <v>60</v>
      </c>
      <c r="F33" s="33" t="s">
        <v>203</v>
      </c>
      <c r="G33" s="34" t="s">
        <v>204</v>
      </c>
      <c r="H33" s="31" t="s">
        <v>84</v>
      </c>
      <c r="I33" s="11"/>
      <c r="J33" s="11"/>
      <c r="K33" s="11"/>
      <c r="L33" s="11"/>
      <c r="M33" s="11"/>
      <c r="N33" s="11"/>
      <c r="O33" s="11"/>
      <c r="P33" s="11"/>
      <c r="Q33" s="11"/>
      <c r="R33" s="11"/>
      <c r="S33" s="11"/>
      <c r="T33" s="11"/>
      <c r="U33" s="11"/>
      <c r="V33" s="11"/>
      <c r="W33" s="11"/>
      <c r="X33" s="11"/>
      <c r="Y33" s="11"/>
      <c r="Z33" s="11"/>
    </row>
    <row r="34" ht="158.25" customHeight="1">
      <c r="A34" s="11"/>
      <c r="B34" s="13"/>
      <c r="C34" s="32" t="s">
        <v>205</v>
      </c>
      <c r="D34" s="33" t="s">
        <v>206</v>
      </c>
      <c r="E34" s="29" t="s">
        <v>60</v>
      </c>
      <c r="F34" s="33" t="s">
        <v>207</v>
      </c>
      <c r="G34" s="34" t="s">
        <v>208</v>
      </c>
      <c r="H34" s="31" t="s">
        <v>84</v>
      </c>
      <c r="I34" s="11"/>
      <c r="J34" s="11"/>
      <c r="K34" s="11"/>
      <c r="L34" s="11"/>
      <c r="M34" s="11"/>
      <c r="N34" s="11"/>
      <c r="O34" s="11"/>
      <c r="P34" s="11"/>
      <c r="Q34" s="11"/>
      <c r="R34" s="11"/>
      <c r="S34" s="11"/>
      <c r="T34" s="11"/>
      <c r="U34" s="11"/>
      <c r="V34" s="11"/>
      <c r="W34" s="11"/>
      <c r="X34" s="11"/>
      <c r="Y34" s="11"/>
      <c r="Z34" s="11"/>
    </row>
    <row r="35" ht="205.5" customHeight="1">
      <c r="A35" s="11"/>
      <c r="B35" s="13"/>
      <c r="C35" s="32" t="s">
        <v>209</v>
      </c>
      <c r="D35" s="33" t="s">
        <v>210</v>
      </c>
      <c r="E35" s="29" t="s">
        <v>60</v>
      </c>
      <c r="F35" s="33" t="s">
        <v>211</v>
      </c>
      <c r="G35" s="34" t="s">
        <v>212</v>
      </c>
      <c r="H35" s="31" t="s">
        <v>84</v>
      </c>
      <c r="I35" s="11"/>
      <c r="J35" s="11"/>
      <c r="K35" s="11"/>
      <c r="L35" s="11"/>
      <c r="M35" s="11"/>
      <c r="N35" s="11"/>
      <c r="O35" s="11"/>
      <c r="P35" s="11"/>
      <c r="Q35" s="11"/>
      <c r="R35" s="11"/>
      <c r="S35" s="11"/>
      <c r="T35" s="11"/>
      <c r="U35" s="11"/>
      <c r="V35" s="11"/>
      <c r="W35" s="11"/>
      <c r="X35" s="11"/>
      <c r="Y35" s="11"/>
      <c r="Z35" s="11"/>
    </row>
    <row r="36" ht="126.75" customHeight="1">
      <c r="A36" s="11"/>
      <c r="B36" s="13"/>
      <c r="C36" s="32" t="s">
        <v>213</v>
      </c>
      <c r="D36" s="33" t="s">
        <v>214</v>
      </c>
      <c r="E36" s="29" t="s">
        <v>60</v>
      </c>
      <c r="F36" s="33" t="s">
        <v>215</v>
      </c>
      <c r="G36" s="34" t="s">
        <v>216</v>
      </c>
      <c r="H36" s="31" t="s">
        <v>84</v>
      </c>
      <c r="I36" s="11"/>
      <c r="J36" s="11"/>
      <c r="K36" s="11"/>
      <c r="L36" s="11"/>
      <c r="M36" s="11"/>
      <c r="N36" s="11"/>
      <c r="O36" s="11"/>
      <c r="P36" s="11"/>
      <c r="Q36" s="11"/>
      <c r="R36" s="11"/>
      <c r="S36" s="11"/>
      <c r="T36" s="11"/>
      <c r="U36" s="11"/>
      <c r="V36" s="11"/>
      <c r="W36" s="11"/>
      <c r="X36" s="11"/>
      <c r="Y36" s="11"/>
      <c r="Z36" s="11"/>
    </row>
    <row r="37" ht="205.5" customHeight="1">
      <c r="A37" s="11"/>
      <c r="B37" s="13"/>
      <c r="C37" s="32" t="s">
        <v>217</v>
      </c>
      <c r="D37" s="33" t="s">
        <v>218</v>
      </c>
      <c r="E37" s="29" t="s">
        <v>60</v>
      </c>
      <c r="F37" s="33" t="s">
        <v>219</v>
      </c>
      <c r="G37" s="34" t="s">
        <v>220</v>
      </c>
      <c r="H37" s="31" t="s">
        <v>84</v>
      </c>
      <c r="I37" s="11"/>
      <c r="J37" s="11"/>
      <c r="K37" s="11"/>
      <c r="L37" s="11"/>
      <c r="M37" s="11"/>
      <c r="N37" s="11"/>
      <c r="O37" s="11"/>
      <c r="P37" s="11"/>
      <c r="Q37" s="11"/>
      <c r="R37" s="11"/>
      <c r="S37" s="11"/>
      <c r="T37" s="11"/>
      <c r="U37" s="11"/>
      <c r="V37" s="11"/>
      <c r="W37" s="11"/>
      <c r="X37" s="11"/>
      <c r="Y37" s="11"/>
      <c r="Z37" s="11"/>
    </row>
    <row r="38" ht="174.0" customHeight="1">
      <c r="A38" s="11"/>
      <c r="B38" s="13"/>
      <c r="C38" s="32" t="s">
        <v>221</v>
      </c>
      <c r="D38" s="33" t="s">
        <v>222</v>
      </c>
      <c r="E38" s="29" t="s">
        <v>60</v>
      </c>
      <c r="F38" s="33" t="s">
        <v>223</v>
      </c>
      <c r="G38" s="34" t="s">
        <v>224</v>
      </c>
      <c r="H38" s="31" t="s">
        <v>84</v>
      </c>
      <c r="I38" s="11"/>
      <c r="J38" s="11"/>
      <c r="K38" s="11"/>
      <c r="L38" s="11"/>
      <c r="M38" s="11"/>
      <c r="N38" s="11"/>
      <c r="O38" s="11"/>
      <c r="P38" s="11"/>
      <c r="Q38" s="11"/>
      <c r="R38" s="11"/>
      <c r="S38" s="11"/>
      <c r="T38" s="11"/>
      <c r="U38" s="11"/>
      <c r="V38" s="11"/>
      <c r="W38" s="11"/>
      <c r="X38" s="11"/>
      <c r="Y38" s="11"/>
      <c r="Z38" s="11"/>
    </row>
    <row r="39" ht="158.25" customHeight="1">
      <c r="A39" s="11"/>
      <c r="B39" s="13"/>
      <c r="C39" s="32" t="s">
        <v>225</v>
      </c>
      <c r="D39" s="33" t="s">
        <v>226</v>
      </c>
      <c r="E39" s="29" t="s">
        <v>60</v>
      </c>
      <c r="F39" s="33" t="s">
        <v>227</v>
      </c>
      <c r="G39" s="34" t="s">
        <v>228</v>
      </c>
      <c r="H39" s="31" t="s">
        <v>84</v>
      </c>
      <c r="I39" s="11"/>
      <c r="J39" s="11"/>
      <c r="K39" s="11"/>
      <c r="L39" s="11"/>
      <c r="M39" s="11"/>
      <c r="N39" s="11"/>
      <c r="O39" s="11"/>
      <c r="P39" s="11"/>
      <c r="Q39" s="11"/>
      <c r="R39" s="11"/>
      <c r="S39" s="11"/>
      <c r="T39" s="11"/>
      <c r="U39" s="11"/>
      <c r="V39" s="11"/>
      <c r="W39" s="11"/>
      <c r="X39" s="11"/>
      <c r="Y39" s="11"/>
      <c r="Z39" s="11"/>
    </row>
    <row r="40" ht="126.75" customHeight="1">
      <c r="A40" s="11"/>
      <c r="B40" s="13"/>
      <c r="C40" s="32" t="s">
        <v>229</v>
      </c>
      <c r="D40" s="33" t="s">
        <v>230</v>
      </c>
      <c r="E40" s="29" t="s">
        <v>60</v>
      </c>
      <c r="F40" s="33" t="s">
        <v>231</v>
      </c>
      <c r="G40" s="34" t="s">
        <v>232</v>
      </c>
      <c r="H40" s="31" t="s">
        <v>84</v>
      </c>
      <c r="I40" s="11"/>
      <c r="J40" s="11"/>
      <c r="K40" s="11"/>
      <c r="L40" s="11"/>
      <c r="M40" s="11"/>
      <c r="N40" s="11"/>
      <c r="O40" s="11"/>
      <c r="P40" s="11"/>
      <c r="Q40" s="11"/>
      <c r="R40" s="11"/>
      <c r="S40" s="11"/>
      <c r="T40" s="11"/>
      <c r="U40" s="11"/>
      <c r="V40" s="11"/>
      <c r="W40" s="11"/>
      <c r="X40" s="11"/>
      <c r="Y40" s="11"/>
      <c r="Z40" s="11"/>
    </row>
    <row r="41" ht="79.5" customHeight="1">
      <c r="A41" s="11"/>
      <c r="B41" s="13"/>
      <c r="C41" s="32" t="s">
        <v>233</v>
      </c>
      <c r="D41" s="33" t="s">
        <v>234</v>
      </c>
      <c r="E41" s="29" t="s">
        <v>60</v>
      </c>
      <c r="F41" s="33" t="s">
        <v>235</v>
      </c>
      <c r="G41" s="34" t="s">
        <v>236</v>
      </c>
      <c r="H41" s="31" t="s">
        <v>84</v>
      </c>
      <c r="I41" s="11"/>
      <c r="J41" s="11"/>
      <c r="K41" s="11"/>
      <c r="L41" s="11"/>
      <c r="M41" s="11"/>
      <c r="N41" s="11"/>
      <c r="O41" s="11"/>
      <c r="P41" s="11"/>
      <c r="Q41" s="11"/>
      <c r="R41" s="11"/>
      <c r="S41" s="11"/>
      <c r="T41" s="11"/>
      <c r="U41" s="11"/>
      <c r="V41" s="11"/>
      <c r="W41" s="11"/>
      <c r="X41" s="11"/>
      <c r="Y41" s="11"/>
      <c r="Z41" s="11"/>
    </row>
    <row r="42" ht="63.75" customHeight="1">
      <c r="A42" s="11"/>
      <c r="B42" s="13"/>
      <c r="C42" s="32" t="s">
        <v>237</v>
      </c>
      <c r="D42" s="33" t="s">
        <v>238</v>
      </c>
      <c r="E42" s="29" t="s">
        <v>60</v>
      </c>
      <c r="F42" s="33" t="s">
        <v>239</v>
      </c>
      <c r="G42" s="34" t="s">
        <v>240</v>
      </c>
      <c r="H42" s="31" t="s">
        <v>84</v>
      </c>
      <c r="I42" s="11"/>
      <c r="J42" s="11"/>
      <c r="K42" s="11"/>
      <c r="L42" s="11"/>
      <c r="M42" s="11"/>
      <c r="N42" s="11"/>
      <c r="O42" s="11"/>
      <c r="P42" s="11"/>
      <c r="Q42" s="11"/>
      <c r="R42" s="11"/>
      <c r="S42" s="11"/>
      <c r="T42" s="11"/>
      <c r="U42" s="11"/>
      <c r="V42" s="11"/>
      <c r="W42" s="11"/>
      <c r="X42" s="11"/>
      <c r="Y42" s="11"/>
      <c r="Z42" s="11"/>
    </row>
    <row r="43" ht="142.5" customHeight="1">
      <c r="A43" s="11"/>
      <c r="B43" s="13"/>
      <c r="C43" s="32" t="s">
        <v>241</v>
      </c>
      <c r="D43" s="33" t="s">
        <v>242</v>
      </c>
      <c r="E43" s="29" t="s">
        <v>60</v>
      </c>
      <c r="F43" s="33" t="s">
        <v>243</v>
      </c>
      <c r="G43" s="34" t="s">
        <v>244</v>
      </c>
      <c r="H43" s="31" t="s">
        <v>84</v>
      </c>
      <c r="I43" s="11"/>
      <c r="J43" s="11"/>
      <c r="K43" s="11"/>
      <c r="L43" s="11"/>
      <c r="M43" s="11"/>
      <c r="N43" s="11"/>
      <c r="O43" s="11"/>
      <c r="P43" s="11"/>
      <c r="Q43" s="11"/>
      <c r="R43" s="11"/>
      <c r="S43" s="11"/>
      <c r="T43" s="11"/>
      <c r="U43" s="11"/>
      <c r="V43" s="11"/>
      <c r="W43" s="11"/>
      <c r="X43" s="11"/>
      <c r="Y43" s="11"/>
      <c r="Z43" s="11"/>
    </row>
    <row r="44" ht="95.25" customHeight="1">
      <c r="A44" s="11"/>
      <c r="B44" s="13"/>
      <c r="C44" s="32" t="s">
        <v>245</v>
      </c>
      <c r="D44" s="33" t="s">
        <v>246</v>
      </c>
      <c r="E44" s="29" t="s">
        <v>60</v>
      </c>
      <c r="F44" s="33" t="s">
        <v>247</v>
      </c>
      <c r="G44" s="34" t="s">
        <v>248</v>
      </c>
      <c r="H44" s="31" t="s">
        <v>84</v>
      </c>
      <c r="I44" s="11"/>
      <c r="J44" s="11"/>
      <c r="K44" s="11"/>
      <c r="L44" s="11"/>
      <c r="M44" s="11"/>
      <c r="N44" s="11"/>
      <c r="O44" s="11"/>
      <c r="P44" s="11"/>
      <c r="Q44" s="11"/>
      <c r="R44" s="11"/>
      <c r="S44" s="11"/>
      <c r="T44" s="11"/>
      <c r="U44" s="11"/>
      <c r="V44" s="11"/>
      <c r="W44" s="11"/>
      <c r="X44" s="11"/>
      <c r="Y44" s="11"/>
      <c r="Z44" s="11"/>
    </row>
    <row r="45" ht="95.25" customHeight="1">
      <c r="A45" s="11"/>
      <c r="B45" s="13"/>
      <c r="C45" s="32" t="s">
        <v>249</v>
      </c>
      <c r="D45" s="33" t="s">
        <v>250</v>
      </c>
      <c r="E45" s="29" t="s">
        <v>60</v>
      </c>
      <c r="F45" s="33" t="s">
        <v>251</v>
      </c>
      <c r="G45" s="34" t="s">
        <v>252</v>
      </c>
      <c r="H45" s="31" t="s">
        <v>84</v>
      </c>
      <c r="I45" s="11"/>
      <c r="J45" s="11"/>
      <c r="K45" s="11"/>
      <c r="L45" s="11"/>
      <c r="M45" s="11"/>
      <c r="N45" s="11"/>
      <c r="O45" s="11"/>
      <c r="P45" s="11"/>
      <c r="Q45" s="11"/>
      <c r="R45" s="11"/>
      <c r="S45" s="11"/>
      <c r="T45" s="11"/>
      <c r="U45" s="11"/>
      <c r="V45" s="11"/>
      <c r="W45" s="11"/>
      <c r="X45" s="11"/>
      <c r="Y45" s="11"/>
      <c r="Z45" s="11"/>
    </row>
    <row r="46" ht="142.5" customHeight="1">
      <c r="A46" s="11"/>
      <c r="B46" s="13"/>
      <c r="C46" s="32" t="s">
        <v>253</v>
      </c>
      <c r="D46" s="33" t="s">
        <v>254</v>
      </c>
      <c r="E46" s="29" t="s">
        <v>60</v>
      </c>
      <c r="F46" s="33" t="s">
        <v>255</v>
      </c>
      <c r="G46" s="34" t="s">
        <v>256</v>
      </c>
      <c r="H46" s="31" t="s">
        <v>84</v>
      </c>
      <c r="I46" s="11"/>
      <c r="J46" s="11"/>
      <c r="K46" s="11"/>
      <c r="L46" s="11"/>
      <c r="M46" s="11"/>
      <c r="N46" s="11"/>
      <c r="O46" s="11"/>
      <c r="P46" s="11"/>
      <c r="Q46" s="11"/>
      <c r="R46" s="11"/>
      <c r="S46" s="11"/>
      <c r="T46" s="11"/>
      <c r="U46" s="11"/>
      <c r="V46" s="11"/>
      <c r="W46" s="11"/>
      <c r="X46" s="11"/>
      <c r="Y46" s="11"/>
      <c r="Z46" s="11"/>
    </row>
    <row r="47" ht="126.75" customHeight="1">
      <c r="A47" s="11"/>
      <c r="B47" s="13"/>
      <c r="C47" s="32" t="s">
        <v>257</v>
      </c>
      <c r="D47" s="33" t="s">
        <v>258</v>
      </c>
      <c r="E47" s="29" t="s">
        <v>60</v>
      </c>
      <c r="F47" s="33" t="s">
        <v>259</v>
      </c>
      <c r="G47" s="34" t="s">
        <v>260</v>
      </c>
      <c r="H47" s="31" t="s">
        <v>84</v>
      </c>
      <c r="I47" s="11"/>
      <c r="J47" s="11"/>
      <c r="K47" s="11"/>
      <c r="L47" s="11"/>
      <c r="M47" s="11"/>
      <c r="N47" s="11"/>
      <c r="O47" s="11"/>
      <c r="P47" s="11"/>
      <c r="Q47" s="11"/>
      <c r="R47" s="11"/>
      <c r="S47" s="11"/>
      <c r="T47" s="11"/>
      <c r="U47" s="11"/>
      <c r="V47" s="11"/>
      <c r="W47" s="11"/>
      <c r="X47" s="11"/>
      <c r="Y47" s="11"/>
      <c r="Z47" s="11"/>
    </row>
    <row r="48" ht="126.75" customHeight="1">
      <c r="A48" s="11"/>
      <c r="B48" s="13"/>
      <c r="C48" s="32" t="s">
        <v>261</v>
      </c>
      <c r="D48" s="33" t="s">
        <v>262</v>
      </c>
      <c r="E48" s="29" t="s">
        <v>60</v>
      </c>
      <c r="F48" s="33" t="s">
        <v>263</v>
      </c>
      <c r="G48" s="34" t="s">
        <v>264</v>
      </c>
      <c r="H48" s="31" t="s">
        <v>84</v>
      </c>
      <c r="I48" s="11"/>
      <c r="J48" s="11"/>
      <c r="K48" s="11"/>
      <c r="L48" s="11"/>
      <c r="M48" s="11"/>
      <c r="N48" s="11"/>
      <c r="O48" s="11"/>
      <c r="P48" s="11"/>
      <c r="Q48" s="11"/>
      <c r="R48" s="11"/>
      <c r="S48" s="11"/>
      <c r="T48" s="11"/>
      <c r="U48" s="11"/>
      <c r="V48" s="11"/>
      <c r="W48" s="11"/>
      <c r="X48" s="11"/>
      <c r="Y48" s="11"/>
      <c r="Z48" s="11"/>
    </row>
    <row r="49" ht="126.75" customHeight="1">
      <c r="A49" s="11"/>
      <c r="B49" s="13"/>
      <c r="C49" s="32" t="s">
        <v>265</v>
      </c>
      <c r="D49" s="33" t="s">
        <v>266</v>
      </c>
      <c r="E49" s="29" t="s">
        <v>60</v>
      </c>
      <c r="F49" s="33" t="s">
        <v>267</v>
      </c>
      <c r="G49" s="34" t="s">
        <v>268</v>
      </c>
      <c r="H49" s="31" t="s">
        <v>84</v>
      </c>
      <c r="I49" s="11"/>
      <c r="J49" s="11"/>
      <c r="K49" s="11"/>
      <c r="L49" s="11"/>
      <c r="M49" s="11"/>
      <c r="N49" s="11"/>
      <c r="O49" s="11"/>
      <c r="P49" s="11"/>
      <c r="Q49" s="11"/>
      <c r="R49" s="11"/>
      <c r="S49" s="11"/>
      <c r="T49" s="11"/>
      <c r="U49" s="11"/>
      <c r="V49" s="11"/>
      <c r="W49" s="11"/>
      <c r="X49" s="11"/>
      <c r="Y49" s="11"/>
      <c r="Z49" s="11"/>
    </row>
    <row r="50" ht="111.0" customHeight="1">
      <c r="A50" s="11"/>
      <c r="B50" s="13"/>
      <c r="C50" s="32" t="s">
        <v>269</v>
      </c>
      <c r="D50" s="33" t="s">
        <v>270</v>
      </c>
      <c r="E50" s="29" t="s">
        <v>60</v>
      </c>
      <c r="F50" s="33" t="s">
        <v>271</v>
      </c>
      <c r="G50" s="34" t="s">
        <v>272</v>
      </c>
      <c r="H50" s="31" t="s">
        <v>84</v>
      </c>
      <c r="I50" s="11"/>
      <c r="J50" s="11"/>
      <c r="K50" s="11"/>
      <c r="L50" s="11"/>
      <c r="M50" s="11"/>
      <c r="N50" s="11"/>
      <c r="O50" s="11"/>
      <c r="P50" s="11"/>
      <c r="Q50" s="11"/>
      <c r="R50" s="11"/>
      <c r="S50" s="11"/>
      <c r="T50" s="11"/>
      <c r="U50" s="11"/>
      <c r="V50" s="11"/>
      <c r="W50" s="11"/>
      <c r="X50" s="11"/>
      <c r="Y50" s="11"/>
      <c r="Z50" s="11"/>
    </row>
    <row r="51" ht="111.0" customHeight="1">
      <c r="A51" s="11"/>
      <c r="B51" s="13"/>
      <c r="C51" s="32" t="s">
        <v>273</v>
      </c>
      <c r="D51" s="33" t="s">
        <v>274</v>
      </c>
      <c r="E51" s="29" t="s">
        <v>60</v>
      </c>
      <c r="F51" s="33" t="s">
        <v>275</v>
      </c>
      <c r="G51" s="34" t="s">
        <v>276</v>
      </c>
      <c r="H51" s="31" t="s">
        <v>84</v>
      </c>
      <c r="I51" s="11"/>
      <c r="J51" s="11"/>
      <c r="K51" s="11"/>
      <c r="L51" s="11"/>
      <c r="M51" s="11"/>
      <c r="N51" s="11"/>
      <c r="O51" s="11"/>
      <c r="P51" s="11"/>
      <c r="Q51" s="11"/>
      <c r="R51" s="11"/>
      <c r="S51" s="11"/>
      <c r="T51" s="11"/>
      <c r="U51" s="11"/>
      <c r="V51" s="11"/>
      <c r="W51" s="11"/>
      <c r="X51" s="11"/>
      <c r="Y51" s="11"/>
      <c r="Z51" s="11"/>
    </row>
    <row r="52" ht="111.0" customHeight="1">
      <c r="A52" s="11"/>
      <c r="B52" s="13"/>
      <c r="C52" s="32" t="s">
        <v>277</v>
      </c>
      <c r="D52" s="33" t="s">
        <v>278</v>
      </c>
      <c r="E52" s="29" t="s">
        <v>60</v>
      </c>
      <c r="F52" s="33" t="s">
        <v>279</v>
      </c>
      <c r="G52" s="34" t="s">
        <v>280</v>
      </c>
      <c r="H52" s="31" t="s">
        <v>84</v>
      </c>
      <c r="I52" s="11"/>
      <c r="J52" s="11"/>
      <c r="K52" s="11"/>
      <c r="L52" s="11"/>
      <c r="M52" s="11"/>
      <c r="N52" s="11"/>
      <c r="O52" s="11"/>
      <c r="P52" s="11"/>
      <c r="Q52" s="11"/>
      <c r="R52" s="11"/>
      <c r="S52" s="11"/>
      <c r="T52" s="11"/>
      <c r="U52" s="11"/>
      <c r="V52" s="11"/>
      <c r="W52" s="11"/>
      <c r="X52" s="11"/>
      <c r="Y52" s="11"/>
      <c r="Z52" s="11"/>
    </row>
    <row r="53" ht="95.25" customHeight="1">
      <c r="A53" s="11"/>
      <c r="B53" s="13"/>
      <c r="C53" s="32" t="s">
        <v>281</v>
      </c>
      <c r="D53" s="33" t="s">
        <v>282</v>
      </c>
      <c r="E53" s="29" t="s">
        <v>60</v>
      </c>
      <c r="F53" s="33" t="s">
        <v>283</v>
      </c>
      <c r="G53" s="34" t="s">
        <v>284</v>
      </c>
      <c r="H53" s="31" t="s">
        <v>84</v>
      </c>
      <c r="I53" s="11"/>
      <c r="J53" s="11"/>
      <c r="K53" s="11"/>
      <c r="L53" s="11"/>
      <c r="M53" s="11"/>
      <c r="N53" s="11"/>
      <c r="O53" s="11"/>
      <c r="P53" s="11"/>
      <c r="Q53" s="11"/>
      <c r="R53" s="11"/>
      <c r="S53" s="11"/>
      <c r="T53" s="11"/>
      <c r="U53" s="11"/>
      <c r="V53" s="11"/>
      <c r="W53" s="11"/>
      <c r="X53" s="11"/>
      <c r="Y53" s="11"/>
      <c r="Z53" s="11"/>
    </row>
    <row r="54" ht="79.5" customHeight="1">
      <c r="A54" s="11"/>
      <c r="B54" s="13"/>
      <c r="C54" s="32" t="s">
        <v>285</v>
      </c>
      <c r="D54" s="33" t="s">
        <v>286</v>
      </c>
      <c r="E54" s="29" t="s">
        <v>60</v>
      </c>
      <c r="F54" s="33" t="s">
        <v>287</v>
      </c>
      <c r="G54" s="34" t="s">
        <v>288</v>
      </c>
      <c r="H54" s="31" t="s">
        <v>84</v>
      </c>
      <c r="I54" s="11"/>
      <c r="J54" s="11"/>
      <c r="K54" s="11"/>
      <c r="L54" s="11"/>
      <c r="M54" s="11"/>
      <c r="N54" s="11"/>
      <c r="O54" s="11"/>
      <c r="P54" s="11"/>
      <c r="Q54" s="11"/>
      <c r="R54" s="11"/>
      <c r="S54" s="11"/>
      <c r="T54" s="11"/>
      <c r="U54" s="11"/>
      <c r="V54" s="11"/>
      <c r="W54" s="11"/>
      <c r="X54" s="11"/>
      <c r="Y54" s="11"/>
      <c r="Z54" s="11"/>
    </row>
    <row r="55" ht="142.5" customHeight="1">
      <c r="A55" s="11"/>
      <c r="B55" s="13"/>
      <c r="C55" s="32" t="s">
        <v>289</v>
      </c>
      <c r="D55" s="33" t="s">
        <v>290</v>
      </c>
      <c r="E55" s="29" t="s">
        <v>60</v>
      </c>
      <c r="F55" s="33" t="s">
        <v>291</v>
      </c>
      <c r="G55" s="34" t="s">
        <v>292</v>
      </c>
      <c r="H55" s="31" t="s">
        <v>84</v>
      </c>
      <c r="I55" s="11"/>
      <c r="J55" s="11"/>
      <c r="K55" s="11"/>
      <c r="L55" s="11"/>
      <c r="M55" s="11"/>
      <c r="N55" s="11"/>
      <c r="O55" s="11"/>
      <c r="P55" s="11"/>
      <c r="Q55" s="11"/>
      <c r="R55" s="11"/>
      <c r="S55" s="11"/>
      <c r="T55" s="11"/>
      <c r="U55" s="11"/>
      <c r="V55" s="11"/>
      <c r="W55" s="11"/>
      <c r="X55" s="11"/>
      <c r="Y55" s="11"/>
      <c r="Z55" s="11"/>
    </row>
    <row r="56" ht="79.5" customHeight="1">
      <c r="A56" s="11"/>
      <c r="B56" s="13"/>
      <c r="C56" s="32" t="s">
        <v>293</v>
      </c>
      <c r="D56" s="33" t="s">
        <v>294</v>
      </c>
      <c r="E56" s="29" t="s">
        <v>60</v>
      </c>
      <c r="F56" s="33" t="s">
        <v>295</v>
      </c>
      <c r="G56" s="34" t="s">
        <v>296</v>
      </c>
      <c r="H56" s="31" t="s">
        <v>84</v>
      </c>
      <c r="I56" s="11"/>
      <c r="J56" s="11"/>
      <c r="K56" s="11"/>
      <c r="L56" s="11"/>
      <c r="M56" s="11"/>
      <c r="N56" s="11"/>
      <c r="O56" s="11"/>
      <c r="P56" s="11"/>
      <c r="Q56" s="11"/>
      <c r="R56" s="11"/>
      <c r="S56" s="11"/>
      <c r="T56" s="11"/>
      <c r="U56" s="11"/>
      <c r="V56" s="11"/>
      <c r="W56" s="11"/>
      <c r="X56" s="11"/>
      <c r="Y56" s="11"/>
      <c r="Z56" s="11"/>
    </row>
    <row r="57" ht="63.75" customHeight="1">
      <c r="A57" s="11"/>
      <c r="B57" s="13"/>
      <c r="C57" s="32" t="s">
        <v>297</v>
      </c>
      <c r="D57" s="33" t="s">
        <v>298</v>
      </c>
      <c r="E57" s="29" t="s">
        <v>60</v>
      </c>
      <c r="F57" s="33" t="s">
        <v>299</v>
      </c>
      <c r="G57" s="34" t="s">
        <v>300</v>
      </c>
      <c r="H57" s="31" t="s">
        <v>84</v>
      </c>
      <c r="I57" s="11"/>
      <c r="J57" s="11"/>
      <c r="K57" s="11"/>
      <c r="L57" s="11"/>
      <c r="M57" s="11"/>
      <c r="N57" s="11"/>
      <c r="O57" s="11"/>
      <c r="P57" s="11"/>
      <c r="Q57" s="11"/>
      <c r="R57" s="11"/>
      <c r="S57" s="11"/>
      <c r="T57" s="11"/>
      <c r="U57" s="11"/>
      <c r="V57" s="11"/>
      <c r="W57" s="11"/>
      <c r="X57" s="11"/>
      <c r="Y57" s="11"/>
      <c r="Z57" s="11"/>
    </row>
    <row r="58" ht="126.75" customHeight="1">
      <c r="A58" s="11"/>
      <c r="B58" s="13"/>
      <c r="C58" s="32" t="s">
        <v>301</v>
      </c>
      <c r="D58" s="33" t="s">
        <v>302</v>
      </c>
      <c r="E58" s="29" t="s">
        <v>60</v>
      </c>
      <c r="F58" s="33" t="s">
        <v>303</v>
      </c>
      <c r="G58" s="34" t="s">
        <v>304</v>
      </c>
      <c r="H58" s="31" t="s">
        <v>84</v>
      </c>
      <c r="I58" s="11"/>
      <c r="J58" s="11"/>
      <c r="K58" s="11"/>
      <c r="L58" s="11"/>
      <c r="M58" s="11"/>
      <c r="N58" s="11"/>
      <c r="O58" s="11"/>
      <c r="P58" s="11"/>
      <c r="Q58" s="11"/>
      <c r="R58" s="11"/>
      <c r="S58" s="11"/>
      <c r="T58" s="11"/>
      <c r="U58" s="11"/>
      <c r="V58" s="11"/>
      <c r="W58" s="11"/>
      <c r="X58" s="11"/>
      <c r="Y58" s="11"/>
      <c r="Z58" s="11"/>
    </row>
    <row r="59" ht="174.0" customHeight="1">
      <c r="A59" s="11"/>
      <c r="B59" s="13"/>
      <c r="C59" s="32" t="s">
        <v>305</v>
      </c>
      <c r="D59" s="33" t="s">
        <v>306</v>
      </c>
      <c r="E59" s="29" t="s">
        <v>60</v>
      </c>
      <c r="F59" s="33" t="s">
        <v>307</v>
      </c>
      <c r="G59" s="34" t="s">
        <v>308</v>
      </c>
      <c r="H59" s="31" t="s">
        <v>84</v>
      </c>
      <c r="I59" s="11"/>
      <c r="J59" s="11"/>
      <c r="K59" s="11"/>
      <c r="L59" s="11"/>
      <c r="M59" s="11"/>
      <c r="N59" s="11"/>
      <c r="O59" s="11"/>
      <c r="P59" s="11"/>
      <c r="Q59" s="11"/>
      <c r="R59" s="11"/>
      <c r="S59" s="11"/>
      <c r="T59" s="11"/>
      <c r="U59" s="11"/>
      <c r="V59" s="11"/>
      <c r="W59" s="11"/>
      <c r="X59" s="11"/>
      <c r="Y59" s="11"/>
      <c r="Z59" s="11"/>
    </row>
    <row r="60" ht="95.25" customHeight="1">
      <c r="A60" s="11"/>
      <c r="B60" s="13"/>
      <c r="C60" s="32" t="s">
        <v>309</v>
      </c>
      <c r="D60" s="33" t="s">
        <v>310</v>
      </c>
      <c r="E60" s="29" t="s">
        <v>60</v>
      </c>
      <c r="F60" s="33" t="s">
        <v>311</v>
      </c>
      <c r="G60" s="34" t="s">
        <v>312</v>
      </c>
      <c r="H60" s="31" t="s">
        <v>84</v>
      </c>
      <c r="I60" s="11"/>
      <c r="J60" s="11"/>
      <c r="K60" s="11"/>
      <c r="L60" s="11"/>
      <c r="M60" s="11"/>
      <c r="N60" s="11"/>
      <c r="O60" s="11"/>
      <c r="P60" s="11"/>
      <c r="Q60" s="11"/>
      <c r="R60" s="11"/>
      <c r="S60" s="11"/>
      <c r="T60" s="11"/>
      <c r="U60" s="11"/>
      <c r="V60" s="11"/>
      <c r="W60" s="11"/>
      <c r="X60" s="11"/>
      <c r="Y60" s="11"/>
      <c r="Z60" s="11"/>
    </row>
    <row r="61" ht="63.75" customHeight="1">
      <c r="A61" s="11"/>
      <c r="B61" s="13"/>
      <c r="C61" s="32" t="s">
        <v>313</v>
      </c>
      <c r="D61" s="33" t="s">
        <v>314</v>
      </c>
      <c r="E61" s="29" t="s">
        <v>60</v>
      </c>
      <c r="F61" s="33" t="s">
        <v>315</v>
      </c>
      <c r="G61" s="34" t="s">
        <v>316</v>
      </c>
      <c r="H61" s="31" t="s">
        <v>84</v>
      </c>
      <c r="I61" s="11"/>
      <c r="J61" s="11"/>
      <c r="K61" s="11"/>
      <c r="L61" s="11"/>
      <c r="M61" s="11"/>
      <c r="N61" s="11"/>
      <c r="O61" s="11"/>
      <c r="P61" s="11"/>
      <c r="Q61" s="11"/>
      <c r="R61" s="11"/>
      <c r="S61" s="11"/>
      <c r="T61" s="11"/>
      <c r="U61" s="11"/>
      <c r="V61" s="11"/>
      <c r="W61" s="11"/>
      <c r="X61" s="11"/>
      <c r="Y61" s="11"/>
      <c r="Z61" s="11"/>
    </row>
    <row r="62" ht="63.75" customHeight="1">
      <c r="A62" s="11"/>
      <c r="B62" s="13"/>
      <c r="C62" s="32" t="s">
        <v>317</v>
      </c>
      <c r="D62" s="33" t="s">
        <v>318</v>
      </c>
      <c r="E62" s="29" t="s">
        <v>60</v>
      </c>
      <c r="F62" s="33" t="s">
        <v>319</v>
      </c>
      <c r="G62" s="34" t="s">
        <v>320</v>
      </c>
      <c r="H62" s="31" t="s">
        <v>84</v>
      </c>
      <c r="I62" s="11"/>
      <c r="J62" s="11"/>
      <c r="K62" s="11"/>
      <c r="L62" s="11"/>
      <c r="M62" s="11"/>
      <c r="N62" s="11"/>
      <c r="O62" s="11"/>
      <c r="P62" s="11"/>
      <c r="Q62" s="11"/>
      <c r="R62" s="11"/>
      <c r="S62" s="11"/>
      <c r="T62" s="11"/>
      <c r="U62" s="11"/>
      <c r="V62" s="11"/>
      <c r="W62" s="11"/>
      <c r="X62" s="11"/>
      <c r="Y62" s="11"/>
      <c r="Z62" s="11"/>
    </row>
    <row r="63" ht="63.75" customHeight="1">
      <c r="A63" s="11"/>
      <c r="B63" s="13"/>
      <c r="C63" s="32" t="s">
        <v>321</v>
      </c>
      <c r="D63" s="33" t="s">
        <v>322</v>
      </c>
      <c r="E63" s="29" t="s">
        <v>60</v>
      </c>
      <c r="F63" s="33" t="s">
        <v>323</v>
      </c>
      <c r="G63" s="34" t="s">
        <v>324</v>
      </c>
      <c r="H63" s="31" t="s">
        <v>84</v>
      </c>
      <c r="I63" s="11"/>
      <c r="J63" s="11"/>
      <c r="K63" s="11"/>
      <c r="L63" s="11"/>
      <c r="M63" s="11"/>
      <c r="N63" s="11"/>
      <c r="O63" s="11"/>
      <c r="P63" s="11"/>
      <c r="Q63" s="11"/>
      <c r="R63" s="11"/>
      <c r="S63" s="11"/>
      <c r="T63" s="11"/>
      <c r="U63" s="11"/>
      <c r="V63" s="11"/>
      <c r="W63" s="11"/>
      <c r="X63" s="11"/>
      <c r="Y63" s="11"/>
      <c r="Z63" s="11"/>
    </row>
    <row r="64" ht="63.75" customHeight="1">
      <c r="A64" s="11"/>
      <c r="B64" s="13"/>
      <c r="C64" s="32" t="s">
        <v>325</v>
      </c>
      <c r="D64" s="33" t="s">
        <v>326</v>
      </c>
      <c r="E64" s="29" t="s">
        <v>60</v>
      </c>
      <c r="F64" s="33" t="s">
        <v>323</v>
      </c>
      <c r="G64" s="34" t="s">
        <v>327</v>
      </c>
      <c r="H64" s="31" t="s">
        <v>84</v>
      </c>
      <c r="I64" s="11"/>
      <c r="J64" s="11"/>
      <c r="K64" s="11"/>
      <c r="L64" s="11"/>
      <c r="M64" s="11"/>
      <c r="N64" s="11"/>
      <c r="O64" s="11"/>
      <c r="P64" s="11"/>
      <c r="Q64" s="11"/>
      <c r="R64" s="11"/>
      <c r="S64" s="11"/>
      <c r="T64" s="11"/>
      <c r="U64" s="11"/>
      <c r="V64" s="11"/>
      <c r="W64" s="11"/>
      <c r="X64" s="11"/>
      <c r="Y64" s="11"/>
      <c r="Z64" s="11"/>
    </row>
    <row r="65" ht="63.75" customHeight="1">
      <c r="A65" s="11"/>
      <c r="B65" s="13"/>
      <c r="C65" s="32" t="s">
        <v>328</v>
      </c>
      <c r="D65" s="33" t="s">
        <v>329</v>
      </c>
      <c r="E65" s="29" t="s">
        <v>60</v>
      </c>
      <c r="F65" s="33" t="s">
        <v>323</v>
      </c>
      <c r="G65" s="34" t="s">
        <v>330</v>
      </c>
      <c r="H65" s="31" t="s">
        <v>84</v>
      </c>
      <c r="I65" s="11"/>
      <c r="J65" s="11"/>
      <c r="K65" s="11"/>
      <c r="L65" s="11"/>
      <c r="M65" s="11"/>
      <c r="N65" s="11"/>
      <c r="O65" s="11"/>
      <c r="P65" s="11"/>
      <c r="Q65" s="11"/>
      <c r="R65" s="11"/>
      <c r="S65" s="11"/>
      <c r="T65" s="11"/>
      <c r="U65" s="11"/>
      <c r="V65" s="11"/>
      <c r="W65" s="11"/>
      <c r="X65" s="11"/>
      <c r="Y65" s="11"/>
      <c r="Z65" s="11"/>
    </row>
    <row r="66" ht="63.75" customHeight="1">
      <c r="A66" s="11"/>
      <c r="B66" s="13"/>
      <c r="C66" s="32" t="s">
        <v>331</v>
      </c>
      <c r="D66" s="33" t="s">
        <v>332</v>
      </c>
      <c r="E66" s="29" t="s">
        <v>60</v>
      </c>
      <c r="F66" s="33" t="s">
        <v>323</v>
      </c>
      <c r="G66" s="34" t="s">
        <v>333</v>
      </c>
      <c r="H66" s="31" t="s">
        <v>84</v>
      </c>
      <c r="I66" s="11"/>
      <c r="J66" s="11"/>
      <c r="K66" s="11"/>
      <c r="L66" s="11"/>
      <c r="M66" s="11"/>
      <c r="N66" s="11"/>
      <c r="O66" s="11"/>
      <c r="P66" s="11"/>
      <c r="Q66" s="11"/>
      <c r="R66" s="11"/>
      <c r="S66" s="11"/>
      <c r="T66" s="11"/>
      <c r="U66" s="11"/>
      <c r="V66" s="11"/>
      <c r="W66" s="11"/>
      <c r="X66" s="11"/>
      <c r="Y66" s="11"/>
      <c r="Z66" s="11"/>
    </row>
    <row r="67" ht="63.75" customHeight="1">
      <c r="A67" s="11"/>
      <c r="B67" s="13"/>
      <c r="C67" s="32" t="s">
        <v>334</v>
      </c>
      <c r="D67" s="33" t="s">
        <v>335</v>
      </c>
      <c r="E67" s="29" t="s">
        <v>60</v>
      </c>
      <c r="F67" s="33" t="s">
        <v>323</v>
      </c>
      <c r="G67" s="34" t="s">
        <v>336</v>
      </c>
      <c r="H67" s="31" t="s">
        <v>84</v>
      </c>
      <c r="I67" s="11"/>
      <c r="J67" s="11"/>
      <c r="K67" s="11"/>
      <c r="L67" s="11"/>
      <c r="M67" s="11"/>
      <c r="N67" s="11"/>
      <c r="O67" s="11"/>
      <c r="P67" s="11"/>
      <c r="Q67" s="11"/>
      <c r="R67" s="11"/>
      <c r="S67" s="11"/>
      <c r="T67" s="11"/>
      <c r="U67" s="11"/>
      <c r="V67" s="11"/>
      <c r="W67" s="11"/>
      <c r="X67" s="11"/>
      <c r="Y67" s="11"/>
      <c r="Z67" s="11"/>
    </row>
    <row r="68" ht="79.5" customHeight="1">
      <c r="A68" s="11"/>
      <c r="B68" s="13"/>
      <c r="C68" s="32" t="s">
        <v>337</v>
      </c>
      <c r="D68" s="33" t="s">
        <v>338</v>
      </c>
      <c r="E68" s="29" t="s">
        <v>60</v>
      </c>
      <c r="F68" s="33" t="s">
        <v>339</v>
      </c>
      <c r="G68" s="34" t="s">
        <v>340</v>
      </c>
      <c r="H68" s="31" t="s">
        <v>84</v>
      </c>
      <c r="I68" s="11"/>
      <c r="J68" s="11"/>
      <c r="K68" s="11"/>
      <c r="L68" s="11"/>
      <c r="M68" s="11"/>
      <c r="N68" s="11"/>
      <c r="O68" s="11"/>
      <c r="P68" s="11"/>
      <c r="Q68" s="11"/>
      <c r="R68" s="11"/>
      <c r="S68" s="11"/>
      <c r="T68" s="11"/>
      <c r="U68" s="11"/>
      <c r="V68" s="11"/>
      <c r="W68" s="11"/>
      <c r="X68" s="11"/>
      <c r="Y68" s="11"/>
      <c r="Z68" s="11"/>
    </row>
    <row r="69" ht="79.5" customHeight="1">
      <c r="A69" s="11"/>
      <c r="B69" s="13"/>
      <c r="C69" s="32" t="s">
        <v>341</v>
      </c>
      <c r="D69" s="33" t="s">
        <v>342</v>
      </c>
      <c r="E69" s="29" t="s">
        <v>60</v>
      </c>
      <c r="F69" s="33" t="s">
        <v>343</v>
      </c>
      <c r="G69" s="34" t="s">
        <v>344</v>
      </c>
      <c r="H69" s="31" t="s">
        <v>84</v>
      </c>
      <c r="I69" s="11"/>
      <c r="J69" s="11"/>
      <c r="K69" s="11"/>
      <c r="L69" s="11"/>
      <c r="M69" s="11"/>
      <c r="N69" s="11"/>
      <c r="O69" s="11"/>
      <c r="P69" s="11"/>
      <c r="Q69" s="11"/>
      <c r="R69" s="11"/>
      <c r="S69" s="11"/>
      <c r="T69" s="11"/>
      <c r="U69" s="11"/>
      <c r="V69" s="11"/>
      <c r="W69" s="11"/>
      <c r="X69" s="11"/>
      <c r="Y69" s="11"/>
      <c r="Z69" s="11"/>
    </row>
    <row r="70" ht="63.75" customHeight="1">
      <c r="A70" s="11"/>
      <c r="B70" s="13"/>
      <c r="C70" s="32" t="s">
        <v>345</v>
      </c>
      <c r="D70" s="33" t="s">
        <v>346</v>
      </c>
      <c r="E70" s="29" t="s">
        <v>60</v>
      </c>
      <c r="F70" s="33" t="s">
        <v>347</v>
      </c>
      <c r="G70" s="34" t="s">
        <v>348</v>
      </c>
      <c r="H70" s="31" t="s">
        <v>84</v>
      </c>
      <c r="I70" s="11"/>
      <c r="J70" s="11"/>
      <c r="K70" s="11"/>
      <c r="L70" s="11"/>
      <c r="M70" s="11"/>
      <c r="N70" s="11"/>
      <c r="O70" s="11"/>
      <c r="P70" s="11"/>
      <c r="Q70" s="11"/>
      <c r="R70" s="11"/>
      <c r="S70" s="11"/>
      <c r="T70" s="11"/>
      <c r="U70" s="11"/>
      <c r="V70" s="11"/>
      <c r="W70" s="11"/>
      <c r="X70" s="11"/>
      <c r="Y70" s="11"/>
      <c r="Z70" s="11"/>
    </row>
    <row r="71" ht="95.25" customHeight="1">
      <c r="A71" s="11"/>
      <c r="B71" s="13"/>
      <c r="C71" s="32" t="s">
        <v>349</v>
      </c>
      <c r="D71" s="33" t="s">
        <v>350</v>
      </c>
      <c r="E71" s="29" t="s">
        <v>60</v>
      </c>
      <c r="F71" s="33" t="s">
        <v>351</v>
      </c>
      <c r="G71" s="34" t="s">
        <v>352</v>
      </c>
      <c r="H71" s="31" t="s">
        <v>84</v>
      </c>
      <c r="I71" s="11"/>
      <c r="J71" s="11"/>
      <c r="K71" s="11"/>
      <c r="L71" s="11"/>
      <c r="M71" s="11"/>
      <c r="N71" s="11"/>
      <c r="O71" s="11"/>
      <c r="P71" s="11"/>
      <c r="Q71" s="11"/>
      <c r="R71" s="11"/>
      <c r="S71" s="11"/>
      <c r="T71" s="11"/>
      <c r="U71" s="11"/>
      <c r="V71" s="11"/>
      <c r="W71" s="11"/>
      <c r="X71" s="11"/>
      <c r="Y71" s="11"/>
      <c r="Z71" s="11"/>
    </row>
    <row r="72" ht="79.5" customHeight="1">
      <c r="A72" s="11"/>
      <c r="B72" s="13"/>
      <c r="C72" s="32" t="s">
        <v>353</v>
      </c>
      <c r="D72" s="33" t="s">
        <v>354</v>
      </c>
      <c r="E72" s="29" t="s">
        <v>60</v>
      </c>
      <c r="F72" s="33" t="s">
        <v>355</v>
      </c>
      <c r="G72" s="34" t="s">
        <v>356</v>
      </c>
      <c r="H72" s="31" t="s">
        <v>84</v>
      </c>
      <c r="I72" s="11"/>
      <c r="J72" s="11"/>
      <c r="K72" s="11"/>
      <c r="L72" s="11"/>
      <c r="M72" s="11"/>
      <c r="N72" s="11"/>
      <c r="O72" s="11"/>
      <c r="P72" s="11"/>
      <c r="Q72" s="11"/>
      <c r="R72" s="11"/>
      <c r="S72" s="11"/>
      <c r="T72" s="11"/>
      <c r="U72" s="11"/>
      <c r="V72" s="11"/>
      <c r="W72" s="11"/>
      <c r="X72" s="11"/>
      <c r="Y72" s="11"/>
      <c r="Z72" s="11"/>
    </row>
    <row r="73" ht="79.5" customHeight="1">
      <c r="A73" s="11"/>
      <c r="B73" s="13"/>
      <c r="C73" s="32" t="s">
        <v>357</v>
      </c>
      <c r="D73" s="33" t="s">
        <v>358</v>
      </c>
      <c r="E73" s="29" t="s">
        <v>60</v>
      </c>
      <c r="F73" s="33" t="s">
        <v>359</v>
      </c>
      <c r="G73" s="34" t="s">
        <v>360</v>
      </c>
      <c r="H73" s="31" t="s">
        <v>84</v>
      </c>
      <c r="I73" s="11"/>
      <c r="J73" s="11"/>
      <c r="K73" s="11"/>
      <c r="L73" s="11"/>
      <c r="M73" s="11"/>
      <c r="N73" s="11"/>
      <c r="O73" s="11"/>
      <c r="P73" s="11"/>
      <c r="Q73" s="11"/>
      <c r="R73" s="11"/>
      <c r="S73" s="11"/>
      <c r="T73" s="11"/>
      <c r="U73" s="11"/>
      <c r="V73" s="11"/>
      <c r="W73" s="11"/>
      <c r="X73" s="11"/>
      <c r="Y73" s="11"/>
      <c r="Z73" s="11"/>
    </row>
    <row r="74" ht="79.5" customHeight="1">
      <c r="A74" s="11"/>
      <c r="B74" s="13"/>
      <c r="C74" s="32" t="s">
        <v>361</v>
      </c>
      <c r="D74" s="33" t="s">
        <v>362</v>
      </c>
      <c r="E74" s="29" t="s">
        <v>60</v>
      </c>
      <c r="F74" s="33" t="s">
        <v>363</v>
      </c>
      <c r="G74" s="34" t="s">
        <v>364</v>
      </c>
      <c r="H74" s="31" t="s">
        <v>84</v>
      </c>
      <c r="I74" s="11"/>
      <c r="J74" s="11"/>
      <c r="K74" s="11"/>
      <c r="L74" s="11"/>
      <c r="M74" s="11"/>
      <c r="N74" s="11"/>
      <c r="O74" s="11"/>
      <c r="P74" s="11"/>
      <c r="Q74" s="11"/>
      <c r="R74" s="11"/>
      <c r="S74" s="11"/>
      <c r="T74" s="11"/>
      <c r="U74" s="11"/>
      <c r="V74" s="11"/>
      <c r="W74" s="11"/>
      <c r="X74" s="11"/>
      <c r="Y74" s="11"/>
      <c r="Z74" s="11"/>
    </row>
    <row r="75" ht="63.75" customHeight="1">
      <c r="A75" s="11"/>
      <c r="B75" s="13"/>
      <c r="C75" s="32" t="s">
        <v>365</v>
      </c>
      <c r="D75" s="33" t="s">
        <v>366</v>
      </c>
      <c r="E75" s="29" t="s">
        <v>60</v>
      </c>
      <c r="F75" s="33" t="s">
        <v>367</v>
      </c>
      <c r="G75" s="34" t="s">
        <v>368</v>
      </c>
      <c r="H75" s="31" t="s">
        <v>84</v>
      </c>
      <c r="I75" s="11"/>
      <c r="J75" s="11"/>
      <c r="K75" s="11"/>
      <c r="L75" s="11"/>
      <c r="M75" s="11"/>
      <c r="N75" s="11"/>
      <c r="O75" s="11"/>
      <c r="P75" s="11"/>
      <c r="Q75" s="11"/>
      <c r="R75" s="11"/>
      <c r="S75" s="11"/>
      <c r="T75" s="11"/>
      <c r="U75" s="11"/>
      <c r="V75" s="11"/>
      <c r="W75" s="11"/>
      <c r="X75" s="11"/>
      <c r="Y75" s="11"/>
      <c r="Z75" s="11"/>
    </row>
    <row r="76" ht="63.75" customHeight="1">
      <c r="A76" s="11"/>
      <c r="B76" s="13"/>
      <c r="C76" s="32" t="s">
        <v>369</v>
      </c>
      <c r="D76" s="33" t="s">
        <v>370</v>
      </c>
      <c r="E76" s="29" t="s">
        <v>60</v>
      </c>
      <c r="F76" s="33" t="s">
        <v>371</v>
      </c>
      <c r="G76" s="34" t="s">
        <v>372</v>
      </c>
      <c r="H76" s="31" t="s">
        <v>84</v>
      </c>
      <c r="I76" s="11"/>
      <c r="J76" s="11"/>
      <c r="K76" s="11"/>
      <c r="L76" s="11"/>
      <c r="M76" s="11"/>
      <c r="N76" s="11"/>
      <c r="O76" s="11"/>
      <c r="P76" s="11"/>
      <c r="Q76" s="11"/>
      <c r="R76" s="11"/>
      <c r="S76" s="11"/>
      <c r="T76" s="11"/>
      <c r="U76" s="11"/>
      <c r="V76" s="11"/>
      <c r="W76" s="11"/>
      <c r="X76" s="11"/>
      <c r="Y76" s="11"/>
      <c r="Z76" s="11"/>
    </row>
    <row r="77" ht="79.5" customHeight="1">
      <c r="A77" s="11"/>
      <c r="B77" s="13"/>
      <c r="C77" s="32" t="s">
        <v>373</v>
      </c>
      <c r="D77" s="33" t="s">
        <v>374</v>
      </c>
      <c r="E77" s="29" t="s">
        <v>60</v>
      </c>
      <c r="F77" s="33" t="s">
        <v>375</v>
      </c>
      <c r="G77" s="34" t="s">
        <v>376</v>
      </c>
      <c r="H77" s="31" t="s">
        <v>84</v>
      </c>
      <c r="I77" s="11"/>
      <c r="J77" s="11"/>
      <c r="K77" s="11"/>
      <c r="L77" s="11"/>
      <c r="M77" s="11"/>
      <c r="N77" s="11"/>
      <c r="O77" s="11"/>
      <c r="P77" s="11"/>
      <c r="Q77" s="11"/>
      <c r="R77" s="11"/>
      <c r="S77" s="11"/>
      <c r="T77" s="11"/>
      <c r="U77" s="11"/>
      <c r="V77" s="11"/>
      <c r="W77" s="11"/>
      <c r="X77" s="11"/>
      <c r="Y77" s="11"/>
      <c r="Z77" s="11"/>
    </row>
    <row r="78" ht="79.5" customHeight="1">
      <c r="A78" s="11"/>
      <c r="B78" s="13"/>
      <c r="C78" s="32" t="s">
        <v>377</v>
      </c>
      <c r="D78" s="33" t="s">
        <v>378</v>
      </c>
      <c r="E78" s="29" t="s">
        <v>60</v>
      </c>
      <c r="F78" s="33" t="s">
        <v>379</v>
      </c>
      <c r="G78" s="34" t="s">
        <v>380</v>
      </c>
      <c r="H78" s="31" t="s">
        <v>84</v>
      </c>
      <c r="I78" s="11"/>
      <c r="J78" s="11"/>
      <c r="K78" s="11"/>
      <c r="L78" s="11"/>
      <c r="M78" s="11"/>
      <c r="N78" s="11"/>
      <c r="O78" s="11"/>
      <c r="P78" s="11"/>
      <c r="Q78" s="11"/>
      <c r="R78" s="11"/>
      <c r="S78" s="11"/>
      <c r="T78" s="11"/>
      <c r="U78" s="11"/>
      <c r="V78" s="11"/>
      <c r="W78" s="11"/>
      <c r="X78" s="11"/>
      <c r="Y78" s="11"/>
      <c r="Z78" s="11"/>
    </row>
    <row r="79" ht="63.75" customHeight="1">
      <c r="A79" s="11"/>
      <c r="B79" s="13"/>
      <c r="C79" s="32" t="s">
        <v>381</v>
      </c>
      <c r="D79" s="33" t="s">
        <v>382</v>
      </c>
      <c r="E79" s="29" t="s">
        <v>60</v>
      </c>
      <c r="F79" s="33" t="s">
        <v>383</v>
      </c>
      <c r="G79" s="34" t="s">
        <v>384</v>
      </c>
      <c r="H79" s="31" t="s">
        <v>84</v>
      </c>
      <c r="I79" s="11"/>
      <c r="J79" s="11"/>
      <c r="K79" s="11"/>
      <c r="L79" s="11"/>
      <c r="M79" s="11"/>
      <c r="N79" s="11"/>
      <c r="O79" s="11"/>
      <c r="P79" s="11"/>
      <c r="Q79" s="11"/>
      <c r="R79" s="11"/>
      <c r="S79" s="11"/>
      <c r="T79" s="11"/>
      <c r="U79" s="11"/>
      <c r="V79" s="11"/>
      <c r="W79" s="11"/>
      <c r="X79" s="11"/>
      <c r="Y79" s="11"/>
      <c r="Z79" s="11"/>
    </row>
    <row r="80" ht="111.0" customHeight="1">
      <c r="A80" s="11"/>
      <c r="B80" s="13"/>
      <c r="C80" s="32" t="s">
        <v>385</v>
      </c>
      <c r="D80" s="33" t="s">
        <v>386</v>
      </c>
      <c r="E80" s="29" t="s">
        <v>60</v>
      </c>
      <c r="F80" s="33" t="s">
        <v>387</v>
      </c>
      <c r="G80" s="34" t="s">
        <v>388</v>
      </c>
      <c r="H80" s="31" t="s">
        <v>84</v>
      </c>
      <c r="I80" s="11"/>
      <c r="J80" s="11"/>
      <c r="K80" s="11"/>
      <c r="L80" s="11"/>
      <c r="M80" s="11"/>
      <c r="N80" s="11"/>
      <c r="O80" s="11"/>
      <c r="P80" s="11"/>
      <c r="Q80" s="11"/>
      <c r="R80" s="11"/>
      <c r="S80" s="11"/>
      <c r="T80" s="11"/>
      <c r="U80" s="11"/>
      <c r="V80" s="11"/>
      <c r="W80" s="11"/>
      <c r="X80" s="11"/>
      <c r="Y80" s="11"/>
      <c r="Z80" s="11"/>
    </row>
    <row r="81" ht="142.5" customHeight="1">
      <c r="A81" s="11"/>
      <c r="B81" s="13"/>
      <c r="C81" s="32" t="s">
        <v>389</v>
      </c>
      <c r="D81" s="33" t="s">
        <v>390</v>
      </c>
      <c r="E81" s="29" t="s">
        <v>60</v>
      </c>
      <c r="F81" s="33" t="s">
        <v>391</v>
      </c>
      <c r="G81" s="34" t="s">
        <v>392</v>
      </c>
      <c r="H81" s="31" t="s">
        <v>84</v>
      </c>
      <c r="I81" s="11"/>
      <c r="J81" s="11"/>
      <c r="K81" s="11"/>
      <c r="L81" s="11"/>
      <c r="M81" s="11"/>
      <c r="N81" s="11"/>
      <c r="O81" s="11"/>
      <c r="P81" s="11"/>
      <c r="Q81" s="11"/>
      <c r="R81" s="11"/>
      <c r="S81" s="11"/>
      <c r="T81" s="11"/>
      <c r="U81" s="11"/>
      <c r="V81" s="11"/>
      <c r="W81" s="11"/>
      <c r="X81" s="11"/>
      <c r="Y81" s="11"/>
      <c r="Z81" s="11"/>
    </row>
    <row r="82" ht="79.5" customHeight="1">
      <c r="A82" s="11"/>
      <c r="B82" s="13"/>
      <c r="C82" s="27" t="s">
        <v>393</v>
      </c>
      <c r="D82" s="35" t="s">
        <v>394</v>
      </c>
      <c r="E82" s="29" t="s">
        <v>60</v>
      </c>
      <c r="F82" s="35" t="s">
        <v>395</v>
      </c>
      <c r="G82" s="36" t="s">
        <v>396</v>
      </c>
      <c r="H82" s="31" t="s">
        <v>84</v>
      </c>
      <c r="I82" s="11"/>
      <c r="J82" s="11"/>
      <c r="K82" s="11"/>
      <c r="L82" s="11"/>
      <c r="M82" s="11"/>
      <c r="N82" s="11"/>
      <c r="O82" s="11"/>
      <c r="P82" s="11"/>
      <c r="Q82" s="11"/>
      <c r="R82" s="11"/>
      <c r="S82" s="11"/>
      <c r="T82" s="11"/>
      <c r="U82" s="11"/>
      <c r="V82" s="11"/>
      <c r="W82" s="11"/>
      <c r="X82" s="11"/>
      <c r="Y82" s="11"/>
      <c r="Z82" s="11"/>
    </row>
    <row r="83" ht="79.5" customHeight="1">
      <c r="A83" s="11"/>
      <c r="B83" s="13"/>
      <c r="C83" s="37" t="s">
        <v>397</v>
      </c>
      <c r="D83" s="38" t="s">
        <v>398</v>
      </c>
      <c r="E83" s="29" t="s">
        <v>60</v>
      </c>
      <c r="F83" s="38" t="s">
        <v>399</v>
      </c>
      <c r="G83" s="39" t="s">
        <v>400</v>
      </c>
      <c r="H83" s="31" t="s">
        <v>84</v>
      </c>
      <c r="I83" s="11"/>
      <c r="J83" s="11"/>
      <c r="K83" s="11"/>
      <c r="L83" s="11"/>
      <c r="M83" s="11"/>
      <c r="N83" s="11"/>
      <c r="O83" s="11"/>
      <c r="P83" s="11"/>
      <c r="Q83" s="11"/>
      <c r="R83" s="11"/>
      <c r="S83" s="11"/>
      <c r="T83" s="11"/>
      <c r="U83" s="11"/>
      <c r="V83" s="11"/>
      <c r="W83" s="11"/>
      <c r="X83" s="11"/>
      <c r="Y83" s="11"/>
      <c r="Z83" s="11"/>
    </row>
    <row r="84" ht="126.75" customHeight="1">
      <c r="A84" s="11"/>
      <c r="B84" s="13"/>
      <c r="C84" s="37" t="s">
        <v>401</v>
      </c>
      <c r="D84" s="38" t="s">
        <v>402</v>
      </c>
      <c r="E84" s="29" t="s">
        <v>60</v>
      </c>
      <c r="F84" s="38" t="s">
        <v>403</v>
      </c>
      <c r="G84" s="39" t="s">
        <v>404</v>
      </c>
      <c r="H84" s="31" t="s">
        <v>84</v>
      </c>
      <c r="I84" s="11"/>
      <c r="J84" s="11"/>
      <c r="K84" s="11"/>
      <c r="L84" s="11"/>
      <c r="M84" s="11"/>
      <c r="N84" s="11"/>
      <c r="O84" s="11"/>
      <c r="P84" s="11"/>
      <c r="Q84" s="11"/>
      <c r="R84" s="11"/>
      <c r="S84" s="11"/>
      <c r="T84" s="11"/>
      <c r="U84" s="11"/>
      <c r="V84" s="11"/>
      <c r="W84" s="11"/>
      <c r="X84" s="11"/>
      <c r="Y84" s="11"/>
      <c r="Z84" s="11"/>
    </row>
    <row r="85" ht="111.0" customHeight="1">
      <c r="A85" s="11"/>
      <c r="B85" s="13"/>
      <c r="C85" s="37" t="s">
        <v>405</v>
      </c>
      <c r="D85" s="38" t="s">
        <v>406</v>
      </c>
      <c r="E85" s="29" t="s">
        <v>60</v>
      </c>
      <c r="F85" s="38" t="s">
        <v>407</v>
      </c>
      <c r="G85" s="39" t="s">
        <v>408</v>
      </c>
      <c r="H85" s="31" t="s">
        <v>84</v>
      </c>
      <c r="I85" s="11"/>
      <c r="J85" s="11"/>
      <c r="K85" s="11"/>
      <c r="L85" s="11"/>
      <c r="M85" s="11"/>
      <c r="N85" s="11"/>
      <c r="O85" s="11"/>
      <c r="P85" s="11"/>
      <c r="Q85" s="11"/>
      <c r="R85" s="11"/>
      <c r="S85" s="11"/>
      <c r="T85" s="11"/>
      <c r="U85" s="11"/>
      <c r="V85" s="11"/>
      <c r="W85" s="11"/>
      <c r="X85" s="11"/>
      <c r="Y85" s="11"/>
      <c r="Z85" s="11"/>
    </row>
    <row r="86" ht="95.25" customHeight="1">
      <c r="A86" s="11"/>
      <c r="B86" s="13"/>
      <c r="C86" s="37" t="s">
        <v>409</v>
      </c>
      <c r="D86" s="38" t="s">
        <v>410</v>
      </c>
      <c r="E86" s="29" t="s">
        <v>60</v>
      </c>
      <c r="F86" s="38" t="s">
        <v>101</v>
      </c>
      <c r="G86" s="39" t="s">
        <v>411</v>
      </c>
      <c r="H86" s="31" t="s">
        <v>84</v>
      </c>
      <c r="I86" s="11"/>
      <c r="J86" s="11"/>
      <c r="K86" s="11"/>
      <c r="L86" s="11"/>
      <c r="M86" s="11"/>
      <c r="N86" s="11"/>
      <c r="O86" s="11"/>
      <c r="P86" s="11"/>
      <c r="Q86" s="11"/>
      <c r="R86" s="11"/>
      <c r="S86" s="11"/>
      <c r="T86" s="11"/>
      <c r="U86" s="11"/>
      <c r="V86" s="11"/>
      <c r="W86" s="11"/>
      <c r="X86" s="11"/>
      <c r="Y86" s="11"/>
      <c r="Z86" s="11"/>
    </row>
    <row r="87" ht="126.75" customHeight="1">
      <c r="A87" s="11"/>
      <c r="B87" s="13"/>
      <c r="C87" s="37" t="s">
        <v>412</v>
      </c>
      <c r="D87" s="38" t="s">
        <v>413</v>
      </c>
      <c r="E87" s="29" t="s">
        <v>60</v>
      </c>
      <c r="F87" s="38" t="s">
        <v>414</v>
      </c>
      <c r="G87" s="39" t="s">
        <v>415</v>
      </c>
      <c r="H87" s="31" t="s">
        <v>84</v>
      </c>
      <c r="I87" s="11"/>
      <c r="J87" s="11"/>
      <c r="K87" s="11"/>
      <c r="L87" s="11"/>
      <c r="M87" s="11"/>
      <c r="N87" s="11"/>
      <c r="O87" s="11"/>
      <c r="P87" s="11"/>
      <c r="Q87" s="11"/>
      <c r="R87" s="11"/>
      <c r="S87" s="11"/>
      <c r="T87" s="11"/>
      <c r="U87" s="11"/>
      <c r="V87" s="11"/>
      <c r="W87" s="11"/>
      <c r="X87" s="11"/>
      <c r="Y87" s="11"/>
      <c r="Z87" s="11"/>
    </row>
    <row r="88" ht="79.5" customHeight="1">
      <c r="A88" s="11"/>
      <c r="B88" s="13"/>
      <c r="C88" s="37" t="s">
        <v>416</v>
      </c>
      <c r="D88" s="38" t="s">
        <v>108</v>
      </c>
      <c r="E88" s="29" t="s">
        <v>60</v>
      </c>
      <c r="F88" s="38" t="s">
        <v>109</v>
      </c>
      <c r="G88" s="39" t="s">
        <v>110</v>
      </c>
      <c r="H88" s="31" t="s">
        <v>84</v>
      </c>
      <c r="I88" s="11"/>
      <c r="J88" s="11"/>
      <c r="K88" s="11"/>
      <c r="L88" s="11"/>
      <c r="M88" s="11"/>
      <c r="N88" s="11"/>
      <c r="O88" s="11"/>
      <c r="P88" s="11"/>
      <c r="Q88" s="11"/>
      <c r="R88" s="11"/>
      <c r="S88" s="11"/>
      <c r="T88" s="11"/>
      <c r="U88" s="11"/>
      <c r="V88" s="11"/>
      <c r="W88" s="11"/>
      <c r="X88" s="11"/>
      <c r="Y88" s="11"/>
      <c r="Z88" s="11"/>
    </row>
    <row r="89" ht="79.5" customHeight="1">
      <c r="A89" s="11"/>
      <c r="B89" s="13"/>
      <c r="C89" s="37" t="s">
        <v>417</v>
      </c>
      <c r="D89" s="38" t="s">
        <v>418</v>
      </c>
      <c r="E89" s="29" t="s">
        <v>60</v>
      </c>
      <c r="F89" s="38" t="s">
        <v>113</v>
      </c>
      <c r="G89" s="39" t="s">
        <v>419</v>
      </c>
      <c r="H89" s="31" t="s">
        <v>84</v>
      </c>
      <c r="I89" s="11"/>
      <c r="J89" s="11"/>
      <c r="K89" s="11"/>
      <c r="L89" s="11"/>
      <c r="M89" s="11"/>
      <c r="N89" s="11"/>
      <c r="O89" s="11"/>
      <c r="P89" s="11"/>
      <c r="Q89" s="11"/>
      <c r="R89" s="11"/>
      <c r="S89" s="11"/>
      <c r="T89" s="11"/>
      <c r="U89" s="11"/>
      <c r="V89" s="11"/>
      <c r="W89" s="11"/>
      <c r="X89" s="11"/>
      <c r="Y89" s="11"/>
      <c r="Z89" s="11"/>
    </row>
    <row r="90" ht="126.75" customHeight="1">
      <c r="A90" s="11"/>
      <c r="B90" s="13"/>
      <c r="C90" s="37" t="s">
        <v>420</v>
      </c>
      <c r="D90" s="38" t="s">
        <v>116</v>
      </c>
      <c r="E90" s="29" t="s">
        <v>60</v>
      </c>
      <c r="F90" s="38" t="s">
        <v>421</v>
      </c>
      <c r="G90" s="39" t="s">
        <v>118</v>
      </c>
      <c r="H90" s="31" t="s">
        <v>84</v>
      </c>
      <c r="I90" s="11"/>
      <c r="J90" s="11"/>
      <c r="K90" s="11"/>
      <c r="L90" s="11"/>
      <c r="M90" s="11"/>
      <c r="N90" s="11"/>
      <c r="O90" s="11"/>
      <c r="P90" s="11"/>
      <c r="Q90" s="11"/>
      <c r="R90" s="11"/>
      <c r="S90" s="11"/>
      <c r="T90" s="11"/>
      <c r="U90" s="11"/>
      <c r="V90" s="11"/>
      <c r="W90" s="11"/>
      <c r="X90" s="11"/>
      <c r="Y90" s="11"/>
      <c r="Z90" s="11"/>
    </row>
    <row r="91" ht="111.0" customHeight="1">
      <c r="A91" s="11"/>
      <c r="B91" s="13"/>
      <c r="C91" s="37" t="s">
        <v>422</v>
      </c>
      <c r="D91" s="38" t="s">
        <v>120</v>
      </c>
      <c r="E91" s="29" t="s">
        <v>60</v>
      </c>
      <c r="F91" s="38" t="s">
        <v>121</v>
      </c>
      <c r="G91" s="39" t="s">
        <v>122</v>
      </c>
      <c r="H91" s="31" t="s">
        <v>84</v>
      </c>
      <c r="I91" s="11"/>
      <c r="J91" s="11"/>
      <c r="K91" s="11"/>
      <c r="L91" s="11"/>
      <c r="M91" s="11"/>
      <c r="N91" s="11"/>
      <c r="O91" s="11"/>
      <c r="P91" s="11"/>
      <c r="Q91" s="11"/>
      <c r="R91" s="11"/>
      <c r="S91" s="11"/>
      <c r="T91" s="11"/>
      <c r="U91" s="11"/>
      <c r="V91" s="11"/>
      <c r="W91" s="11"/>
      <c r="X91" s="11"/>
      <c r="Y91" s="11"/>
      <c r="Z91" s="11"/>
    </row>
    <row r="92" ht="111.0" customHeight="1">
      <c r="A92" s="11"/>
      <c r="B92" s="13"/>
      <c r="C92" s="37" t="s">
        <v>423</v>
      </c>
      <c r="D92" s="38" t="s">
        <v>424</v>
      </c>
      <c r="E92" s="29" t="s">
        <v>60</v>
      </c>
      <c r="F92" s="38" t="s">
        <v>425</v>
      </c>
      <c r="G92" s="39" t="s">
        <v>126</v>
      </c>
      <c r="H92" s="31" t="s">
        <v>84</v>
      </c>
      <c r="I92" s="11"/>
      <c r="J92" s="11"/>
      <c r="K92" s="11"/>
      <c r="L92" s="11"/>
      <c r="M92" s="11"/>
      <c r="N92" s="11"/>
      <c r="O92" s="11"/>
      <c r="P92" s="11"/>
      <c r="Q92" s="11"/>
      <c r="R92" s="11"/>
      <c r="S92" s="11"/>
      <c r="T92" s="11"/>
      <c r="U92" s="11"/>
      <c r="V92" s="11"/>
      <c r="W92" s="11"/>
      <c r="X92" s="11"/>
      <c r="Y92" s="11"/>
      <c r="Z92" s="11"/>
    </row>
    <row r="93" ht="79.5" customHeight="1">
      <c r="A93" s="11"/>
      <c r="B93" s="13"/>
      <c r="C93" s="37" t="s">
        <v>426</v>
      </c>
      <c r="D93" s="38" t="s">
        <v>128</v>
      </c>
      <c r="E93" s="29" t="s">
        <v>60</v>
      </c>
      <c r="F93" s="38" t="s">
        <v>129</v>
      </c>
      <c r="G93" s="39" t="s">
        <v>130</v>
      </c>
      <c r="H93" s="31" t="s">
        <v>84</v>
      </c>
      <c r="I93" s="11"/>
      <c r="J93" s="11"/>
      <c r="K93" s="11"/>
      <c r="L93" s="11"/>
      <c r="M93" s="11"/>
      <c r="N93" s="11"/>
      <c r="O93" s="11"/>
      <c r="P93" s="11"/>
      <c r="Q93" s="11"/>
      <c r="R93" s="11"/>
      <c r="S93" s="11"/>
      <c r="T93" s="11"/>
      <c r="U93" s="11"/>
      <c r="V93" s="11"/>
      <c r="W93" s="11"/>
      <c r="X93" s="11"/>
      <c r="Y93" s="11"/>
      <c r="Z93" s="11"/>
    </row>
    <row r="94" ht="111.0" customHeight="1">
      <c r="A94" s="11"/>
      <c r="B94" s="13"/>
      <c r="C94" s="37" t="s">
        <v>427</v>
      </c>
      <c r="D94" s="38" t="s">
        <v>132</v>
      </c>
      <c r="E94" s="29" t="s">
        <v>60</v>
      </c>
      <c r="F94" s="38" t="s">
        <v>428</v>
      </c>
      <c r="G94" s="39" t="s">
        <v>134</v>
      </c>
      <c r="H94" s="31" t="s">
        <v>84</v>
      </c>
      <c r="I94" s="11"/>
      <c r="J94" s="11"/>
      <c r="K94" s="11"/>
      <c r="L94" s="11"/>
      <c r="M94" s="11"/>
      <c r="N94" s="11"/>
      <c r="O94" s="11"/>
      <c r="P94" s="11"/>
      <c r="Q94" s="11"/>
      <c r="R94" s="11"/>
      <c r="S94" s="11"/>
      <c r="T94" s="11"/>
      <c r="U94" s="11"/>
      <c r="V94" s="11"/>
      <c r="W94" s="11"/>
      <c r="X94" s="11"/>
      <c r="Y94" s="11"/>
      <c r="Z94" s="11"/>
    </row>
    <row r="95" ht="205.5" customHeight="1">
      <c r="A95" s="11"/>
      <c r="B95" s="13"/>
      <c r="C95" s="37" t="s">
        <v>429</v>
      </c>
      <c r="D95" s="38" t="s">
        <v>430</v>
      </c>
      <c r="E95" s="29" t="s">
        <v>60</v>
      </c>
      <c r="F95" s="38" t="s">
        <v>431</v>
      </c>
      <c r="G95" s="39" t="s">
        <v>432</v>
      </c>
      <c r="H95" s="31" t="s">
        <v>84</v>
      </c>
      <c r="I95" s="11"/>
      <c r="J95" s="11"/>
      <c r="K95" s="11"/>
      <c r="L95" s="11"/>
      <c r="M95" s="11"/>
      <c r="N95" s="11"/>
      <c r="O95" s="11"/>
      <c r="P95" s="11"/>
      <c r="Q95" s="11"/>
      <c r="R95" s="11"/>
      <c r="S95" s="11"/>
      <c r="T95" s="11"/>
      <c r="U95" s="11"/>
      <c r="V95" s="11"/>
      <c r="W95" s="11"/>
      <c r="X95" s="11"/>
      <c r="Y95" s="11"/>
      <c r="Z95" s="11"/>
    </row>
    <row r="96" ht="158.25" customHeight="1">
      <c r="A96" s="11"/>
      <c r="B96" s="13"/>
      <c r="C96" s="37" t="s">
        <v>433</v>
      </c>
      <c r="D96" s="38" t="s">
        <v>434</v>
      </c>
      <c r="E96" s="29" t="s">
        <v>60</v>
      </c>
      <c r="F96" s="38" t="s">
        <v>145</v>
      </c>
      <c r="G96" s="39" t="s">
        <v>435</v>
      </c>
      <c r="H96" s="31" t="s">
        <v>84</v>
      </c>
      <c r="I96" s="11"/>
      <c r="J96" s="11"/>
      <c r="K96" s="11"/>
      <c r="L96" s="11"/>
      <c r="M96" s="11"/>
      <c r="N96" s="11"/>
      <c r="O96" s="11"/>
      <c r="P96" s="11"/>
      <c r="Q96" s="11"/>
      <c r="R96" s="11"/>
      <c r="S96" s="11"/>
      <c r="T96" s="11"/>
      <c r="U96" s="11"/>
      <c r="V96" s="11"/>
      <c r="W96" s="11"/>
      <c r="X96" s="11"/>
      <c r="Y96" s="11"/>
      <c r="Z96" s="11"/>
    </row>
    <row r="97" ht="174.0" customHeight="1">
      <c r="A97" s="11"/>
      <c r="B97" s="13"/>
      <c r="C97" s="37" t="s">
        <v>436</v>
      </c>
      <c r="D97" s="38" t="s">
        <v>437</v>
      </c>
      <c r="E97" s="29" t="s">
        <v>60</v>
      </c>
      <c r="F97" s="38" t="s">
        <v>438</v>
      </c>
      <c r="G97" s="39" t="s">
        <v>439</v>
      </c>
      <c r="H97" s="31" t="s">
        <v>84</v>
      </c>
      <c r="I97" s="11"/>
      <c r="J97" s="11"/>
      <c r="K97" s="11"/>
      <c r="L97" s="11"/>
      <c r="M97" s="11"/>
      <c r="N97" s="11"/>
      <c r="O97" s="11"/>
      <c r="P97" s="11"/>
      <c r="Q97" s="11"/>
      <c r="R97" s="11"/>
      <c r="S97" s="11"/>
      <c r="T97" s="11"/>
      <c r="U97" s="11"/>
      <c r="V97" s="11"/>
      <c r="W97" s="11"/>
      <c r="X97" s="11"/>
      <c r="Y97" s="11"/>
      <c r="Z97" s="11"/>
    </row>
    <row r="98" ht="142.5" customHeight="1">
      <c r="A98" s="11"/>
      <c r="B98" s="13"/>
      <c r="C98" s="37" t="s">
        <v>440</v>
      </c>
      <c r="D98" s="38" t="s">
        <v>441</v>
      </c>
      <c r="E98" s="29" t="s">
        <v>60</v>
      </c>
      <c r="F98" s="38" t="s">
        <v>442</v>
      </c>
      <c r="G98" s="39" t="s">
        <v>443</v>
      </c>
      <c r="H98" s="31" t="s">
        <v>84</v>
      </c>
      <c r="I98" s="11"/>
      <c r="J98" s="11"/>
      <c r="K98" s="11"/>
      <c r="L98" s="11"/>
      <c r="M98" s="11"/>
      <c r="N98" s="11"/>
      <c r="O98" s="11"/>
      <c r="P98" s="11"/>
      <c r="Q98" s="11"/>
      <c r="R98" s="11"/>
      <c r="S98" s="11"/>
      <c r="T98" s="11"/>
      <c r="U98" s="11"/>
      <c r="V98" s="11"/>
      <c r="W98" s="11"/>
      <c r="X98" s="11"/>
      <c r="Y98" s="11"/>
      <c r="Z98" s="11"/>
    </row>
    <row r="99" ht="111.0" customHeight="1">
      <c r="A99" s="11"/>
      <c r="B99" s="13"/>
      <c r="C99" s="37" t="s">
        <v>444</v>
      </c>
      <c r="D99" s="38" t="s">
        <v>445</v>
      </c>
      <c r="E99" s="29" t="s">
        <v>60</v>
      </c>
      <c r="F99" s="38" t="s">
        <v>446</v>
      </c>
      <c r="G99" s="39" t="s">
        <v>447</v>
      </c>
      <c r="H99" s="31" t="s">
        <v>84</v>
      </c>
      <c r="I99" s="11"/>
      <c r="J99" s="11"/>
      <c r="K99" s="11"/>
      <c r="L99" s="11"/>
      <c r="M99" s="11"/>
      <c r="N99" s="11"/>
      <c r="O99" s="11"/>
      <c r="P99" s="11"/>
      <c r="Q99" s="11"/>
      <c r="R99" s="11"/>
      <c r="S99" s="11"/>
      <c r="T99" s="11"/>
      <c r="U99" s="11"/>
      <c r="V99" s="11"/>
      <c r="W99" s="11"/>
      <c r="X99" s="11"/>
      <c r="Y99" s="11"/>
      <c r="Z99" s="11"/>
    </row>
    <row r="100" ht="189.75" customHeight="1">
      <c r="A100" s="11"/>
      <c r="B100" s="13"/>
      <c r="C100" s="37" t="s">
        <v>448</v>
      </c>
      <c r="D100" s="38" t="s">
        <v>449</v>
      </c>
      <c r="E100" s="29" t="s">
        <v>60</v>
      </c>
      <c r="F100" s="38" t="s">
        <v>450</v>
      </c>
      <c r="G100" s="39" t="s">
        <v>451</v>
      </c>
      <c r="H100" s="31" t="s">
        <v>84</v>
      </c>
      <c r="I100" s="11"/>
      <c r="J100" s="11"/>
      <c r="K100" s="11"/>
      <c r="L100" s="11"/>
      <c r="M100" s="11"/>
      <c r="N100" s="11"/>
      <c r="O100" s="11"/>
      <c r="P100" s="11"/>
      <c r="Q100" s="11"/>
      <c r="R100" s="11"/>
      <c r="S100" s="11"/>
      <c r="T100" s="11"/>
      <c r="U100" s="11"/>
      <c r="V100" s="11"/>
      <c r="W100" s="11"/>
      <c r="X100" s="11"/>
      <c r="Y100" s="11"/>
      <c r="Z100" s="11"/>
    </row>
    <row r="101" ht="95.25" customHeight="1">
      <c r="A101" s="11"/>
      <c r="B101" s="13"/>
      <c r="C101" s="37" t="s">
        <v>452</v>
      </c>
      <c r="D101" s="38" t="s">
        <v>453</v>
      </c>
      <c r="E101" s="29" t="s">
        <v>60</v>
      </c>
      <c r="F101" s="38" t="s">
        <v>454</v>
      </c>
      <c r="G101" s="39" t="s">
        <v>455</v>
      </c>
      <c r="H101" s="31" t="s">
        <v>84</v>
      </c>
      <c r="I101" s="11"/>
      <c r="J101" s="11"/>
      <c r="K101" s="11"/>
      <c r="L101" s="11"/>
      <c r="M101" s="11"/>
      <c r="N101" s="11"/>
      <c r="O101" s="11"/>
      <c r="P101" s="11"/>
      <c r="Q101" s="11"/>
      <c r="R101" s="11"/>
      <c r="S101" s="11"/>
      <c r="T101" s="11"/>
      <c r="U101" s="11"/>
      <c r="V101" s="11"/>
      <c r="W101" s="11"/>
      <c r="X101" s="11"/>
      <c r="Y101" s="11"/>
      <c r="Z101" s="11"/>
    </row>
    <row r="102" ht="158.25" customHeight="1">
      <c r="A102" s="11"/>
      <c r="B102" s="13"/>
      <c r="C102" s="37" t="s">
        <v>456</v>
      </c>
      <c r="D102" s="38" t="s">
        <v>226</v>
      </c>
      <c r="E102" s="29" t="s">
        <v>60</v>
      </c>
      <c r="F102" s="38" t="s">
        <v>457</v>
      </c>
      <c r="G102" s="39" t="s">
        <v>228</v>
      </c>
      <c r="H102" s="31" t="s">
        <v>84</v>
      </c>
      <c r="I102" s="11"/>
      <c r="J102" s="11"/>
      <c r="K102" s="11"/>
      <c r="L102" s="11"/>
      <c r="M102" s="11"/>
      <c r="N102" s="11"/>
      <c r="O102" s="11"/>
      <c r="P102" s="11"/>
      <c r="Q102" s="11"/>
      <c r="R102" s="11"/>
      <c r="S102" s="11"/>
      <c r="T102" s="11"/>
      <c r="U102" s="11"/>
      <c r="V102" s="11"/>
      <c r="W102" s="11"/>
      <c r="X102" s="11"/>
      <c r="Y102" s="11"/>
      <c r="Z102" s="11"/>
    </row>
    <row r="103" ht="126.75" customHeight="1">
      <c r="A103" s="11"/>
      <c r="B103" s="13"/>
      <c r="C103" s="37" t="s">
        <v>458</v>
      </c>
      <c r="D103" s="38" t="s">
        <v>459</v>
      </c>
      <c r="E103" s="29" t="s">
        <v>60</v>
      </c>
      <c r="F103" s="38" t="s">
        <v>231</v>
      </c>
      <c r="G103" s="39" t="s">
        <v>232</v>
      </c>
      <c r="H103" s="31" t="s">
        <v>84</v>
      </c>
      <c r="I103" s="11"/>
      <c r="J103" s="11"/>
      <c r="K103" s="11"/>
      <c r="L103" s="11"/>
      <c r="M103" s="11"/>
      <c r="N103" s="11"/>
      <c r="O103" s="11"/>
      <c r="P103" s="11"/>
      <c r="Q103" s="11"/>
      <c r="R103" s="11"/>
      <c r="S103" s="11"/>
      <c r="T103" s="11"/>
      <c r="U103" s="11"/>
      <c r="V103" s="11"/>
      <c r="W103" s="11"/>
      <c r="X103" s="11"/>
      <c r="Y103" s="11"/>
      <c r="Z103" s="11"/>
    </row>
    <row r="104" ht="79.5" customHeight="1">
      <c r="A104" s="11"/>
      <c r="B104" s="13"/>
      <c r="C104" s="37" t="s">
        <v>460</v>
      </c>
      <c r="D104" s="38" t="s">
        <v>461</v>
      </c>
      <c r="E104" s="29" t="s">
        <v>60</v>
      </c>
      <c r="F104" s="38" t="s">
        <v>462</v>
      </c>
      <c r="G104" s="39" t="s">
        <v>236</v>
      </c>
      <c r="H104" s="31" t="s">
        <v>84</v>
      </c>
      <c r="I104" s="11"/>
      <c r="J104" s="11"/>
      <c r="K104" s="11"/>
      <c r="L104" s="11"/>
      <c r="M104" s="11"/>
      <c r="N104" s="11"/>
      <c r="O104" s="11"/>
      <c r="P104" s="11"/>
      <c r="Q104" s="11"/>
      <c r="R104" s="11"/>
      <c r="S104" s="11"/>
      <c r="T104" s="11"/>
      <c r="U104" s="11"/>
      <c r="V104" s="11"/>
      <c r="W104" s="11"/>
      <c r="X104" s="11"/>
      <c r="Y104" s="11"/>
      <c r="Z104" s="11"/>
    </row>
    <row r="105" ht="63.75" customHeight="1">
      <c r="A105" s="11"/>
      <c r="B105" s="13"/>
      <c r="C105" s="37" t="s">
        <v>463</v>
      </c>
      <c r="D105" s="38" t="s">
        <v>464</v>
      </c>
      <c r="E105" s="29" t="s">
        <v>60</v>
      </c>
      <c r="F105" s="38" t="s">
        <v>239</v>
      </c>
      <c r="G105" s="39" t="s">
        <v>240</v>
      </c>
      <c r="H105" s="31" t="s">
        <v>84</v>
      </c>
      <c r="I105" s="11"/>
      <c r="J105" s="11"/>
      <c r="K105" s="11"/>
      <c r="L105" s="11"/>
      <c r="M105" s="11"/>
      <c r="N105" s="11"/>
      <c r="O105" s="11"/>
      <c r="P105" s="11"/>
      <c r="Q105" s="11"/>
      <c r="R105" s="11"/>
      <c r="S105" s="11"/>
      <c r="T105" s="11"/>
      <c r="U105" s="11"/>
      <c r="V105" s="11"/>
      <c r="W105" s="11"/>
      <c r="X105" s="11"/>
      <c r="Y105" s="11"/>
      <c r="Z105" s="11"/>
    </row>
    <row r="106" ht="142.5" customHeight="1">
      <c r="A106" s="11"/>
      <c r="B106" s="13"/>
      <c r="C106" s="37" t="s">
        <v>465</v>
      </c>
      <c r="D106" s="38" t="s">
        <v>466</v>
      </c>
      <c r="E106" s="29" t="s">
        <v>60</v>
      </c>
      <c r="F106" s="38" t="s">
        <v>243</v>
      </c>
      <c r="G106" s="39" t="s">
        <v>244</v>
      </c>
      <c r="H106" s="31" t="s">
        <v>84</v>
      </c>
      <c r="I106" s="11"/>
      <c r="J106" s="11"/>
      <c r="K106" s="11"/>
      <c r="L106" s="11"/>
      <c r="M106" s="11"/>
      <c r="N106" s="11"/>
      <c r="O106" s="11"/>
      <c r="P106" s="11"/>
      <c r="Q106" s="11"/>
      <c r="R106" s="11"/>
      <c r="S106" s="11"/>
      <c r="T106" s="11"/>
      <c r="U106" s="11"/>
      <c r="V106" s="11"/>
      <c r="W106" s="11"/>
      <c r="X106" s="11"/>
      <c r="Y106" s="11"/>
      <c r="Z106" s="11"/>
    </row>
    <row r="107" ht="111.0" customHeight="1">
      <c r="A107" s="11"/>
      <c r="B107" s="13"/>
      <c r="C107" s="37" t="s">
        <v>467</v>
      </c>
      <c r="D107" s="38" t="s">
        <v>468</v>
      </c>
      <c r="E107" s="29" t="s">
        <v>60</v>
      </c>
      <c r="F107" s="38" t="s">
        <v>469</v>
      </c>
      <c r="G107" s="39" t="s">
        <v>248</v>
      </c>
      <c r="H107" s="31" t="s">
        <v>84</v>
      </c>
      <c r="I107" s="11"/>
      <c r="J107" s="11"/>
      <c r="K107" s="11"/>
      <c r="L107" s="11"/>
      <c r="M107" s="11"/>
      <c r="N107" s="11"/>
      <c r="O107" s="11"/>
      <c r="P107" s="11"/>
      <c r="Q107" s="11"/>
      <c r="R107" s="11"/>
      <c r="S107" s="11"/>
      <c r="T107" s="11"/>
      <c r="U107" s="11"/>
      <c r="V107" s="11"/>
      <c r="W107" s="11"/>
      <c r="X107" s="11"/>
      <c r="Y107" s="11"/>
      <c r="Z107" s="11"/>
    </row>
    <row r="108" ht="95.25" customHeight="1">
      <c r="A108" s="11"/>
      <c r="B108" s="13"/>
      <c r="C108" s="37" t="s">
        <v>470</v>
      </c>
      <c r="D108" s="38" t="s">
        <v>250</v>
      </c>
      <c r="E108" s="29" t="s">
        <v>60</v>
      </c>
      <c r="F108" s="38" t="s">
        <v>251</v>
      </c>
      <c r="G108" s="39" t="s">
        <v>252</v>
      </c>
      <c r="H108" s="31" t="s">
        <v>84</v>
      </c>
      <c r="I108" s="11"/>
      <c r="J108" s="11"/>
      <c r="K108" s="11"/>
      <c r="L108" s="11"/>
      <c r="M108" s="11"/>
      <c r="N108" s="11"/>
      <c r="O108" s="11"/>
      <c r="P108" s="11"/>
      <c r="Q108" s="11"/>
      <c r="R108" s="11"/>
      <c r="S108" s="11"/>
      <c r="T108" s="11"/>
      <c r="U108" s="11"/>
      <c r="V108" s="11"/>
      <c r="W108" s="11"/>
      <c r="X108" s="11"/>
      <c r="Y108" s="11"/>
      <c r="Z108" s="11"/>
    </row>
    <row r="109" ht="142.5" customHeight="1">
      <c r="A109" s="11"/>
      <c r="B109" s="13"/>
      <c r="C109" s="37" t="s">
        <v>471</v>
      </c>
      <c r="D109" s="38" t="s">
        <v>254</v>
      </c>
      <c r="E109" s="29" t="s">
        <v>60</v>
      </c>
      <c r="F109" s="38" t="s">
        <v>255</v>
      </c>
      <c r="G109" s="39" t="s">
        <v>256</v>
      </c>
      <c r="H109" s="31" t="s">
        <v>84</v>
      </c>
      <c r="I109" s="11"/>
      <c r="J109" s="11"/>
      <c r="K109" s="11"/>
      <c r="L109" s="11"/>
      <c r="M109" s="11"/>
      <c r="N109" s="11"/>
      <c r="O109" s="11"/>
      <c r="P109" s="11"/>
      <c r="Q109" s="11"/>
      <c r="R109" s="11"/>
      <c r="S109" s="11"/>
      <c r="T109" s="11"/>
      <c r="U109" s="11"/>
      <c r="V109" s="11"/>
      <c r="W109" s="11"/>
      <c r="X109" s="11"/>
      <c r="Y109" s="11"/>
      <c r="Z109" s="11"/>
    </row>
    <row r="110" ht="126.75" customHeight="1">
      <c r="A110" s="11"/>
      <c r="B110" s="13"/>
      <c r="C110" s="37" t="s">
        <v>472</v>
      </c>
      <c r="D110" s="38" t="s">
        <v>258</v>
      </c>
      <c r="E110" s="29" t="s">
        <v>60</v>
      </c>
      <c r="F110" s="38" t="s">
        <v>259</v>
      </c>
      <c r="G110" s="39" t="s">
        <v>260</v>
      </c>
      <c r="H110" s="31" t="s">
        <v>84</v>
      </c>
      <c r="I110" s="11"/>
      <c r="J110" s="11"/>
      <c r="K110" s="11"/>
      <c r="L110" s="11"/>
      <c r="M110" s="11"/>
      <c r="N110" s="11"/>
      <c r="O110" s="11"/>
      <c r="P110" s="11"/>
      <c r="Q110" s="11"/>
      <c r="R110" s="11"/>
      <c r="S110" s="11"/>
      <c r="T110" s="11"/>
      <c r="U110" s="11"/>
      <c r="V110" s="11"/>
      <c r="W110" s="11"/>
      <c r="X110" s="11"/>
      <c r="Y110" s="11"/>
      <c r="Z110" s="11"/>
    </row>
    <row r="111" ht="126.75" customHeight="1">
      <c r="A111" s="11"/>
      <c r="B111" s="13"/>
      <c r="C111" s="37" t="s">
        <v>473</v>
      </c>
      <c r="D111" s="38" t="s">
        <v>262</v>
      </c>
      <c r="E111" s="29" t="s">
        <v>60</v>
      </c>
      <c r="F111" s="38" t="s">
        <v>263</v>
      </c>
      <c r="G111" s="39" t="s">
        <v>264</v>
      </c>
      <c r="H111" s="31" t="s">
        <v>84</v>
      </c>
      <c r="I111" s="11"/>
      <c r="J111" s="11"/>
      <c r="K111" s="11"/>
      <c r="L111" s="11"/>
      <c r="M111" s="11"/>
      <c r="N111" s="11"/>
      <c r="O111" s="11"/>
      <c r="P111" s="11"/>
      <c r="Q111" s="11"/>
      <c r="R111" s="11"/>
      <c r="S111" s="11"/>
      <c r="T111" s="11"/>
      <c r="U111" s="11"/>
      <c r="V111" s="11"/>
      <c r="W111" s="11"/>
      <c r="X111" s="11"/>
      <c r="Y111" s="11"/>
      <c r="Z111" s="11"/>
    </row>
    <row r="112" ht="126.75" customHeight="1">
      <c r="A112" s="11"/>
      <c r="B112" s="13"/>
      <c r="C112" s="37" t="s">
        <v>474</v>
      </c>
      <c r="D112" s="38" t="s">
        <v>266</v>
      </c>
      <c r="E112" s="29" t="s">
        <v>60</v>
      </c>
      <c r="F112" s="38" t="s">
        <v>267</v>
      </c>
      <c r="G112" s="39" t="s">
        <v>268</v>
      </c>
      <c r="H112" s="31" t="s">
        <v>84</v>
      </c>
      <c r="I112" s="11"/>
      <c r="J112" s="11"/>
      <c r="K112" s="11"/>
      <c r="L112" s="11"/>
      <c r="M112" s="11"/>
      <c r="N112" s="11"/>
      <c r="O112" s="11"/>
      <c r="P112" s="11"/>
      <c r="Q112" s="11"/>
      <c r="R112" s="11"/>
      <c r="S112" s="11"/>
      <c r="T112" s="11"/>
      <c r="U112" s="11"/>
      <c r="V112" s="11"/>
      <c r="W112" s="11"/>
      <c r="X112" s="11"/>
      <c r="Y112" s="11"/>
      <c r="Z112" s="11"/>
    </row>
    <row r="113" ht="111.0" customHeight="1">
      <c r="A113" s="11"/>
      <c r="B113" s="13"/>
      <c r="C113" s="37" t="s">
        <v>475</v>
      </c>
      <c r="D113" s="38" t="s">
        <v>270</v>
      </c>
      <c r="E113" s="29" t="s">
        <v>60</v>
      </c>
      <c r="F113" s="38" t="s">
        <v>271</v>
      </c>
      <c r="G113" s="39" t="s">
        <v>272</v>
      </c>
      <c r="H113" s="31" t="s">
        <v>84</v>
      </c>
      <c r="I113" s="11"/>
      <c r="J113" s="11"/>
      <c r="K113" s="11"/>
      <c r="L113" s="11"/>
      <c r="M113" s="11"/>
      <c r="N113" s="11"/>
      <c r="O113" s="11"/>
      <c r="P113" s="11"/>
      <c r="Q113" s="11"/>
      <c r="R113" s="11"/>
      <c r="S113" s="11"/>
      <c r="T113" s="11"/>
      <c r="U113" s="11"/>
      <c r="V113" s="11"/>
      <c r="W113" s="11"/>
      <c r="X113" s="11"/>
      <c r="Y113" s="11"/>
      <c r="Z113" s="11"/>
    </row>
    <row r="114" ht="111.0" customHeight="1">
      <c r="A114" s="11"/>
      <c r="B114" s="13"/>
      <c r="C114" s="37" t="s">
        <v>476</v>
      </c>
      <c r="D114" s="38" t="s">
        <v>274</v>
      </c>
      <c r="E114" s="29" t="s">
        <v>60</v>
      </c>
      <c r="F114" s="38" t="s">
        <v>275</v>
      </c>
      <c r="G114" s="39" t="s">
        <v>276</v>
      </c>
      <c r="H114" s="31" t="s">
        <v>84</v>
      </c>
      <c r="I114" s="11"/>
      <c r="J114" s="11"/>
      <c r="K114" s="11"/>
      <c r="L114" s="11"/>
      <c r="M114" s="11"/>
      <c r="N114" s="11"/>
      <c r="O114" s="11"/>
      <c r="P114" s="11"/>
      <c r="Q114" s="11"/>
      <c r="R114" s="11"/>
      <c r="S114" s="11"/>
      <c r="T114" s="11"/>
      <c r="U114" s="11"/>
      <c r="V114" s="11"/>
      <c r="W114" s="11"/>
      <c r="X114" s="11"/>
      <c r="Y114" s="11"/>
      <c r="Z114" s="11"/>
    </row>
    <row r="115" ht="111.0" customHeight="1">
      <c r="A115" s="11"/>
      <c r="B115" s="13"/>
      <c r="C115" s="37" t="s">
        <v>477</v>
      </c>
      <c r="D115" s="38" t="s">
        <v>278</v>
      </c>
      <c r="E115" s="29" t="s">
        <v>60</v>
      </c>
      <c r="F115" s="38" t="s">
        <v>279</v>
      </c>
      <c r="G115" s="39" t="s">
        <v>280</v>
      </c>
      <c r="H115" s="31" t="s">
        <v>84</v>
      </c>
      <c r="I115" s="11"/>
      <c r="J115" s="11"/>
      <c r="K115" s="11"/>
      <c r="L115" s="11"/>
      <c r="M115" s="11"/>
      <c r="N115" s="11"/>
      <c r="O115" s="11"/>
      <c r="P115" s="11"/>
      <c r="Q115" s="11"/>
      <c r="R115" s="11"/>
      <c r="S115" s="11"/>
      <c r="T115" s="11"/>
      <c r="U115" s="11"/>
      <c r="V115" s="11"/>
      <c r="W115" s="11"/>
      <c r="X115" s="11"/>
      <c r="Y115" s="11"/>
      <c r="Z115" s="11"/>
    </row>
    <row r="116" ht="126.0" customHeight="1">
      <c r="A116" s="11"/>
      <c r="B116" s="13"/>
      <c r="C116" s="37" t="s">
        <v>478</v>
      </c>
      <c r="D116" s="38" t="s">
        <v>479</v>
      </c>
      <c r="E116" s="29" t="s">
        <v>60</v>
      </c>
      <c r="F116" s="38" t="s">
        <v>283</v>
      </c>
      <c r="G116" s="39" t="s">
        <v>284</v>
      </c>
      <c r="H116" s="31" t="s">
        <v>84</v>
      </c>
      <c r="I116" s="11"/>
      <c r="J116" s="11"/>
      <c r="K116" s="11"/>
      <c r="L116" s="11"/>
      <c r="M116" s="11"/>
      <c r="N116" s="11"/>
      <c r="O116" s="11"/>
      <c r="P116" s="11"/>
      <c r="Q116" s="11"/>
      <c r="R116" s="11"/>
      <c r="S116" s="11"/>
      <c r="T116" s="11"/>
      <c r="U116" s="11"/>
      <c r="V116" s="11"/>
      <c r="W116" s="11"/>
      <c r="X116" s="11"/>
      <c r="Y116" s="11"/>
      <c r="Z116" s="11"/>
    </row>
    <row r="117" ht="79.5" customHeight="1">
      <c r="A117" s="11"/>
      <c r="B117" s="13"/>
      <c r="C117" s="37" t="s">
        <v>480</v>
      </c>
      <c r="D117" s="38" t="s">
        <v>481</v>
      </c>
      <c r="E117" s="29" t="s">
        <v>60</v>
      </c>
      <c r="F117" s="38" t="s">
        <v>287</v>
      </c>
      <c r="G117" s="39" t="s">
        <v>288</v>
      </c>
      <c r="H117" s="31" t="s">
        <v>84</v>
      </c>
      <c r="I117" s="11"/>
      <c r="J117" s="11"/>
      <c r="K117" s="11"/>
      <c r="L117" s="11"/>
      <c r="M117" s="11"/>
      <c r="N117" s="11"/>
      <c r="O117" s="11"/>
      <c r="P117" s="11"/>
      <c r="Q117" s="11"/>
      <c r="R117" s="11"/>
      <c r="S117" s="11"/>
      <c r="T117" s="11"/>
      <c r="U117" s="11"/>
      <c r="V117" s="11"/>
      <c r="W117" s="11"/>
      <c r="X117" s="11"/>
      <c r="Y117" s="11"/>
      <c r="Z117" s="11"/>
    </row>
    <row r="118" ht="142.5" customHeight="1">
      <c r="A118" s="11"/>
      <c r="B118" s="13"/>
      <c r="C118" s="37" t="s">
        <v>482</v>
      </c>
      <c r="D118" s="38" t="s">
        <v>483</v>
      </c>
      <c r="E118" s="29" t="s">
        <v>60</v>
      </c>
      <c r="F118" s="38" t="s">
        <v>291</v>
      </c>
      <c r="G118" s="39" t="s">
        <v>292</v>
      </c>
      <c r="H118" s="31" t="s">
        <v>84</v>
      </c>
      <c r="I118" s="11"/>
      <c r="J118" s="11"/>
      <c r="K118" s="11"/>
      <c r="L118" s="11"/>
      <c r="M118" s="11"/>
      <c r="N118" s="11"/>
      <c r="O118" s="11"/>
      <c r="P118" s="11"/>
      <c r="Q118" s="11"/>
      <c r="R118" s="11"/>
      <c r="S118" s="11"/>
      <c r="T118" s="11"/>
      <c r="U118" s="11"/>
      <c r="V118" s="11"/>
      <c r="W118" s="11"/>
      <c r="X118" s="11"/>
      <c r="Y118" s="11"/>
      <c r="Z118" s="11"/>
    </row>
    <row r="119" ht="79.5" customHeight="1">
      <c r="A119" s="11"/>
      <c r="B119" s="13"/>
      <c r="C119" s="37" t="s">
        <v>484</v>
      </c>
      <c r="D119" s="38" t="s">
        <v>485</v>
      </c>
      <c r="E119" s="29" t="s">
        <v>60</v>
      </c>
      <c r="F119" s="38" t="s">
        <v>295</v>
      </c>
      <c r="G119" s="39" t="s">
        <v>296</v>
      </c>
      <c r="H119" s="31" t="s">
        <v>84</v>
      </c>
      <c r="I119" s="11"/>
      <c r="J119" s="11"/>
      <c r="K119" s="11"/>
      <c r="L119" s="11"/>
      <c r="M119" s="11"/>
      <c r="N119" s="11"/>
      <c r="O119" s="11"/>
      <c r="P119" s="11"/>
      <c r="Q119" s="11"/>
      <c r="R119" s="11"/>
      <c r="S119" s="11"/>
      <c r="T119" s="11"/>
      <c r="U119" s="11"/>
      <c r="V119" s="11"/>
      <c r="W119" s="11"/>
      <c r="X119" s="11"/>
      <c r="Y119" s="11"/>
      <c r="Z119" s="11"/>
    </row>
    <row r="120" ht="63.75" customHeight="1">
      <c r="A120" s="11"/>
      <c r="B120" s="13"/>
      <c r="C120" s="37" t="s">
        <v>486</v>
      </c>
      <c r="D120" s="38" t="s">
        <v>298</v>
      </c>
      <c r="E120" s="29" t="s">
        <v>60</v>
      </c>
      <c r="F120" s="38" t="s">
        <v>299</v>
      </c>
      <c r="G120" s="39" t="s">
        <v>300</v>
      </c>
      <c r="H120" s="31" t="s">
        <v>84</v>
      </c>
      <c r="I120" s="11"/>
      <c r="J120" s="11"/>
      <c r="K120" s="11"/>
      <c r="L120" s="11"/>
      <c r="M120" s="11"/>
      <c r="N120" s="11"/>
      <c r="O120" s="11"/>
      <c r="P120" s="11"/>
      <c r="Q120" s="11"/>
      <c r="R120" s="11"/>
      <c r="S120" s="11"/>
      <c r="T120" s="11"/>
      <c r="U120" s="11"/>
      <c r="V120" s="11"/>
      <c r="W120" s="11"/>
      <c r="X120" s="11"/>
      <c r="Y120" s="11"/>
      <c r="Z120" s="11"/>
    </row>
    <row r="121" ht="126.75" customHeight="1">
      <c r="A121" s="11"/>
      <c r="B121" s="13"/>
      <c r="C121" s="37" t="s">
        <v>487</v>
      </c>
      <c r="D121" s="38" t="s">
        <v>488</v>
      </c>
      <c r="E121" s="29" t="s">
        <v>60</v>
      </c>
      <c r="F121" s="38" t="s">
        <v>303</v>
      </c>
      <c r="G121" s="39" t="s">
        <v>304</v>
      </c>
      <c r="H121" s="31" t="s">
        <v>84</v>
      </c>
      <c r="I121" s="11"/>
      <c r="J121" s="11"/>
      <c r="K121" s="11"/>
      <c r="L121" s="11"/>
      <c r="M121" s="11"/>
      <c r="N121" s="11"/>
      <c r="O121" s="11"/>
      <c r="P121" s="11"/>
      <c r="Q121" s="11"/>
      <c r="R121" s="11"/>
      <c r="S121" s="11"/>
      <c r="T121" s="11"/>
      <c r="U121" s="11"/>
      <c r="V121" s="11"/>
      <c r="W121" s="11"/>
      <c r="X121" s="11"/>
      <c r="Y121" s="11"/>
      <c r="Z121" s="11"/>
    </row>
    <row r="122" ht="174.0" customHeight="1">
      <c r="A122" s="11"/>
      <c r="B122" s="13"/>
      <c r="C122" s="37" t="s">
        <v>489</v>
      </c>
      <c r="D122" s="38" t="s">
        <v>306</v>
      </c>
      <c r="E122" s="29" t="s">
        <v>60</v>
      </c>
      <c r="F122" s="38" t="s">
        <v>307</v>
      </c>
      <c r="G122" s="39" t="s">
        <v>308</v>
      </c>
      <c r="H122" s="31" t="s">
        <v>84</v>
      </c>
      <c r="I122" s="11"/>
      <c r="J122" s="11"/>
      <c r="K122" s="11"/>
      <c r="L122" s="11"/>
      <c r="M122" s="11"/>
      <c r="N122" s="11"/>
      <c r="O122" s="11"/>
      <c r="P122" s="11"/>
      <c r="Q122" s="11"/>
      <c r="R122" s="11"/>
      <c r="S122" s="11"/>
      <c r="T122" s="11"/>
      <c r="U122" s="11"/>
      <c r="V122" s="11"/>
      <c r="W122" s="11"/>
      <c r="X122" s="11"/>
      <c r="Y122" s="11"/>
      <c r="Z122" s="11"/>
    </row>
    <row r="123" ht="95.25" customHeight="1">
      <c r="A123" s="11"/>
      <c r="B123" s="13"/>
      <c r="C123" s="37" t="s">
        <v>490</v>
      </c>
      <c r="D123" s="38" t="s">
        <v>491</v>
      </c>
      <c r="E123" s="29" t="s">
        <v>60</v>
      </c>
      <c r="F123" s="38" t="s">
        <v>311</v>
      </c>
      <c r="G123" s="39" t="s">
        <v>312</v>
      </c>
      <c r="H123" s="31" t="s">
        <v>84</v>
      </c>
      <c r="I123" s="11"/>
      <c r="J123" s="11"/>
      <c r="K123" s="11"/>
      <c r="L123" s="11"/>
      <c r="M123" s="11"/>
      <c r="N123" s="11"/>
      <c r="O123" s="11"/>
      <c r="P123" s="11"/>
      <c r="Q123" s="11"/>
      <c r="R123" s="11"/>
      <c r="S123" s="11"/>
      <c r="T123" s="11"/>
      <c r="U123" s="11"/>
      <c r="V123" s="11"/>
      <c r="W123" s="11"/>
      <c r="X123" s="11"/>
      <c r="Y123" s="11"/>
      <c r="Z123" s="11"/>
    </row>
    <row r="124" ht="79.5" customHeight="1">
      <c r="A124" s="11"/>
      <c r="B124" s="13"/>
      <c r="C124" s="37" t="s">
        <v>492</v>
      </c>
      <c r="D124" s="38" t="s">
        <v>493</v>
      </c>
      <c r="E124" s="29" t="s">
        <v>60</v>
      </c>
      <c r="F124" s="38" t="s">
        <v>315</v>
      </c>
      <c r="G124" s="39" t="s">
        <v>494</v>
      </c>
      <c r="H124" s="31" t="s">
        <v>84</v>
      </c>
      <c r="I124" s="11"/>
      <c r="J124" s="11"/>
      <c r="K124" s="11"/>
      <c r="L124" s="11"/>
      <c r="M124" s="11"/>
      <c r="N124" s="11"/>
      <c r="O124" s="11"/>
      <c r="P124" s="11"/>
      <c r="Q124" s="11"/>
      <c r="R124" s="11"/>
      <c r="S124" s="11"/>
      <c r="T124" s="11"/>
      <c r="U124" s="11"/>
      <c r="V124" s="11"/>
      <c r="W124" s="11"/>
      <c r="X124" s="11"/>
      <c r="Y124" s="11"/>
      <c r="Z124" s="11"/>
    </row>
    <row r="125" ht="63.75" customHeight="1">
      <c r="A125" s="11"/>
      <c r="B125" s="13"/>
      <c r="C125" s="37" t="s">
        <v>495</v>
      </c>
      <c r="D125" s="38" t="s">
        <v>496</v>
      </c>
      <c r="E125" s="29" t="s">
        <v>60</v>
      </c>
      <c r="F125" s="38" t="s">
        <v>497</v>
      </c>
      <c r="G125" s="39" t="s">
        <v>498</v>
      </c>
      <c r="H125" s="31" t="s">
        <v>84</v>
      </c>
      <c r="I125" s="11"/>
      <c r="J125" s="11"/>
      <c r="K125" s="11"/>
      <c r="L125" s="11"/>
      <c r="M125" s="11"/>
      <c r="N125" s="11"/>
      <c r="O125" s="11"/>
      <c r="P125" s="11"/>
      <c r="Q125" s="11"/>
      <c r="R125" s="11"/>
      <c r="S125" s="11"/>
      <c r="T125" s="11"/>
      <c r="U125" s="11"/>
      <c r="V125" s="11"/>
      <c r="W125" s="11"/>
      <c r="X125" s="11"/>
      <c r="Y125" s="11"/>
      <c r="Z125" s="11"/>
    </row>
    <row r="126" ht="79.5" customHeight="1">
      <c r="A126" s="11"/>
      <c r="B126" s="13"/>
      <c r="C126" s="37" t="s">
        <v>499</v>
      </c>
      <c r="D126" s="38" t="s">
        <v>500</v>
      </c>
      <c r="E126" s="29" t="s">
        <v>60</v>
      </c>
      <c r="F126" s="38" t="s">
        <v>501</v>
      </c>
      <c r="G126" s="39" t="s">
        <v>502</v>
      </c>
      <c r="H126" s="31" t="s">
        <v>84</v>
      </c>
      <c r="I126" s="11"/>
      <c r="J126" s="11"/>
      <c r="K126" s="11"/>
      <c r="L126" s="11"/>
      <c r="M126" s="11"/>
      <c r="N126" s="11"/>
      <c r="O126" s="11"/>
      <c r="P126" s="11"/>
      <c r="Q126" s="11"/>
      <c r="R126" s="11"/>
      <c r="S126" s="11"/>
      <c r="T126" s="11"/>
      <c r="U126" s="11"/>
      <c r="V126" s="11"/>
      <c r="W126" s="11"/>
      <c r="X126" s="11"/>
      <c r="Y126" s="11"/>
      <c r="Z126" s="11"/>
    </row>
    <row r="127" ht="79.5" customHeight="1">
      <c r="A127" s="11"/>
      <c r="B127" s="13"/>
      <c r="C127" s="37" t="s">
        <v>503</v>
      </c>
      <c r="D127" s="38" t="s">
        <v>338</v>
      </c>
      <c r="E127" s="29" t="s">
        <v>60</v>
      </c>
      <c r="F127" s="38" t="s">
        <v>339</v>
      </c>
      <c r="G127" s="39" t="s">
        <v>340</v>
      </c>
      <c r="H127" s="31" t="s">
        <v>84</v>
      </c>
      <c r="I127" s="11"/>
      <c r="J127" s="11"/>
      <c r="K127" s="11"/>
      <c r="L127" s="11"/>
      <c r="M127" s="11"/>
      <c r="N127" s="11"/>
      <c r="O127" s="11"/>
      <c r="P127" s="11"/>
      <c r="Q127" s="11"/>
      <c r="R127" s="11"/>
      <c r="S127" s="11"/>
      <c r="T127" s="11"/>
      <c r="U127" s="11"/>
      <c r="V127" s="11"/>
      <c r="W127" s="11"/>
      <c r="X127" s="11"/>
      <c r="Y127" s="11"/>
      <c r="Z127" s="11"/>
    </row>
    <row r="128" ht="79.5" customHeight="1">
      <c r="A128" s="11"/>
      <c r="B128" s="13"/>
      <c r="C128" s="37" t="s">
        <v>504</v>
      </c>
      <c r="D128" s="38" t="s">
        <v>342</v>
      </c>
      <c r="E128" s="29" t="s">
        <v>60</v>
      </c>
      <c r="F128" s="38" t="s">
        <v>343</v>
      </c>
      <c r="G128" s="39" t="s">
        <v>344</v>
      </c>
      <c r="H128" s="31" t="s">
        <v>84</v>
      </c>
      <c r="I128" s="11"/>
      <c r="J128" s="11"/>
      <c r="K128" s="11"/>
      <c r="L128" s="11"/>
      <c r="M128" s="11"/>
      <c r="N128" s="11"/>
      <c r="O128" s="11"/>
      <c r="P128" s="11"/>
      <c r="Q128" s="11"/>
      <c r="R128" s="11"/>
      <c r="S128" s="11"/>
      <c r="T128" s="11"/>
      <c r="U128" s="11"/>
      <c r="V128" s="11"/>
      <c r="W128" s="11"/>
      <c r="X128" s="11"/>
      <c r="Y128" s="11"/>
      <c r="Z128" s="11"/>
    </row>
    <row r="129" ht="63.75" customHeight="1">
      <c r="A129" s="11"/>
      <c r="B129" s="13"/>
      <c r="C129" s="37" t="s">
        <v>505</v>
      </c>
      <c r="D129" s="38" t="s">
        <v>506</v>
      </c>
      <c r="E129" s="29" t="s">
        <v>60</v>
      </c>
      <c r="F129" s="38" t="s">
        <v>347</v>
      </c>
      <c r="G129" s="39" t="s">
        <v>348</v>
      </c>
      <c r="H129" s="31" t="s">
        <v>84</v>
      </c>
      <c r="I129" s="11"/>
      <c r="J129" s="11"/>
      <c r="K129" s="11"/>
      <c r="L129" s="11"/>
      <c r="M129" s="11"/>
      <c r="N129" s="11"/>
      <c r="O129" s="11"/>
      <c r="P129" s="11"/>
      <c r="Q129" s="11"/>
      <c r="R129" s="11"/>
      <c r="S129" s="11"/>
      <c r="T129" s="11"/>
      <c r="U129" s="11"/>
      <c r="V129" s="11"/>
      <c r="W129" s="11"/>
      <c r="X129" s="11"/>
      <c r="Y129" s="11"/>
      <c r="Z129" s="11"/>
    </row>
    <row r="130" ht="95.25" customHeight="1">
      <c r="A130" s="11"/>
      <c r="B130" s="13"/>
      <c r="C130" s="37" t="s">
        <v>507</v>
      </c>
      <c r="D130" s="38" t="s">
        <v>350</v>
      </c>
      <c r="E130" s="29" t="s">
        <v>60</v>
      </c>
      <c r="F130" s="38" t="s">
        <v>351</v>
      </c>
      <c r="G130" s="39" t="s">
        <v>352</v>
      </c>
      <c r="H130" s="31" t="s">
        <v>84</v>
      </c>
      <c r="I130" s="11"/>
      <c r="J130" s="11"/>
      <c r="K130" s="11"/>
      <c r="L130" s="11"/>
      <c r="M130" s="11"/>
      <c r="N130" s="11"/>
      <c r="O130" s="11"/>
      <c r="P130" s="11"/>
      <c r="Q130" s="11"/>
      <c r="R130" s="11"/>
      <c r="S130" s="11"/>
      <c r="T130" s="11"/>
      <c r="U130" s="11"/>
      <c r="V130" s="11"/>
      <c r="W130" s="11"/>
      <c r="X130" s="11"/>
      <c r="Y130" s="11"/>
      <c r="Z130" s="11"/>
    </row>
    <row r="131" ht="79.5" customHeight="1">
      <c r="A131" s="11"/>
      <c r="B131" s="13"/>
      <c r="C131" s="37" t="s">
        <v>508</v>
      </c>
      <c r="D131" s="38" t="s">
        <v>354</v>
      </c>
      <c r="E131" s="29" t="s">
        <v>60</v>
      </c>
      <c r="F131" s="38" t="s">
        <v>355</v>
      </c>
      <c r="G131" s="39" t="s">
        <v>356</v>
      </c>
      <c r="H131" s="31" t="s">
        <v>84</v>
      </c>
      <c r="I131" s="11"/>
      <c r="J131" s="11"/>
      <c r="K131" s="11"/>
      <c r="L131" s="11"/>
      <c r="M131" s="11"/>
      <c r="N131" s="11"/>
      <c r="O131" s="11"/>
      <c r="P131" s="11"/>
      <c r="Q131" s="11"/>
      <c r="R131" s="11"/>
      <c r="S131" s="11"/>
      <c r="T131" s="11"/>
      <c r="U131" s="11"/>
      <c r="V131" s="11"/>
      <c r="W131" s="11"/>
      <c r="X131" s="11"/>
      <c r="Y131" s="11"/>
      <c r="Z131" s="11"/>
    </row>
    <row r="132" ht="79.5" customHeight="1">
      <c r="A132" s="11"/>
      <c r="B132" s="13"/>
      <c r="C132" s="37" t="s">
        <v>509</v>
      </c>
      <c r="D132" s="38" t="s">
        <v>358</v>
      </c>
      <c r="E132" s="29" t="s">
        <v>60</v>
      </c>
      <c r="F132" s="38" t="s">
        <v>359</v>
      </c>
      <c r="G132" s="39" t="s">
        <v>360</v>
      </c>
      <c r="H132" s="31" t="s">
        <v>84</v>
      </c>
      <c r="I132" s="11"/>
      <c r="J132" s="11"/>
      <c r="K132" s="11"/>
      <c r="L132" s="11"/>
      <c r="M132" s="11"/>
      <c r="N132" s="11"/>
      <c r="O132" s="11"/>
      <c r="P132" s="11"/>
      <c r="Q132" s="11"/>
      <c r="R132" s="11"/>
      <c r="S132" s="11"/>
      <c r="T132" s="11"/>
      <c r="U132" s="11"/>
      <c r="V132" s="11"/>
      <c r="W132" s="11"/>
      <c r="X132" s="11"/>
      <c r="Y132" s="11"/>
      <c r="Z132" s="11"/>
    </row>
    <row r="133" ht="79.5" customHeight="1">
      <c r="A133" s="11"/>
      <c r="B133" s="13"/>
      <c r="C133" s="37" t="s">
        <v>510</v>
      </c>
      <c r="D133" s="38" t="s">
        <v>362</v>
      </c>
      <c r="E133" s="29" t="s">
        <v>60</v>
      </c>
      <c r="F133" s="38" t="s">
        <v>363</v>
      </c>
      <c r="G133" s="39" t="s">
        <v>364</v>
      </c>
      <c r="H133" s="31" t="s">
        <v>84</v>
      </c>
      <c r="I133" s="11"/>
      <c r="J133" s="11"/>
      <c r="K133" s="11"/>
      <c r="L133" s="11"/>
      <c r="M133" s="11"/>
      <c r="N133" s="11"/>
      <c r="O133" s="11"/>
      <c r="P133" s="11"/>
      <c r="Q133" s="11"/>
      <c r="R133" s="11"/>
      <c r="S133" s="11"/>
      <c r="T133" s="11"/>
      <c r="U133" s="11"/>
      <c r="V133" s="11"/>
      <c r="W133" s="11"/>
      <c r="X133" s="11"/>
      <c r="Y133" s="11"/>
      <c r="Z133" s="11"/>
    </row>
    <row r="134" ht="63.75" customHeight="1">
      <c r="A134" s="11"/>
      <c r="B134" s="13"/>
      <c r="C134" s="37" t="s">
        <v>511</v>
      </c>
      <c r="D134" s="38" t="s">
        <v>366</v>
      </c>
      <c r="E134" s="29" t="s">
        <v>60</v>
      </c>
      <c r="F134" s="38" t="s">
        <v>367</v>
      </c>
      <c r="G134" s="39" t="s">
        <v>368</v>
      </c>
      <c r="H134" s="31" t="s">
        <v>84</v>
      </c>
      <c r="I134" s="11"/>
      <c r="J134" s="11"/>
      <c r="K134" s="11"/>
      <c r="L134" s="11"/>
      <c r="M134" s="11"/>
      <c r="N134" s="11"/>
      <c r="O134" s="11"/>
      <c r="P134" s="11"/>
      <c r="Q134" s="11"/>
      <c r="R134" s="11"/>
      <c r="S134" s="11"/>
      <c r="T134" s="11"/>
      <c r="U134" s="11"/>
      <c r="V134" s="11"/>
      <c r="W134" s="11"/>
      <c r="X134" s="11"/>
      <c r="Y134" s="11"/>
      <c r="Z134" s="11"/>
    </row>
    <row r="135" ht="79.5" customHeight="1">
      <c r="A135" s="11"/>
      <c r="B135" s="13"/>
      <c r="C135" s="37" t="s">
        <v>512</v>
      </c>
      <c r="D135" s="38" t="s">
        <v>370</v>
      </c>
      <c r="E135" s="29" t="s">
        <v>60</v>
      </c>
      <c r="F135" s="38" t="s">
        <v>371</v>
      </c>
      <c r="G135" s="39" t="s">
        <v>372</v>
      </c>
      <c r="H135" s="31" t="s">
        <v>84</v>
      </c>
      <c r="I135" s="11"/>
      <c r="J135" s="11"/>
      <c r="K135" s="11"/>
      <c r="L135" s="11"/>
      <c r="M135" s="11"/>
      <c r="N135" s="11"/>
      <c r="O135" s="11"/>
      <c r="P135" s="11"/>
      <c r="Q135" s="11"/>
      <c r="R135" s="11"/>
      <c r="S135" s="11"/>
      <c r="T135" s="11"/>
      <c r="U135" s="11"/>
      <c r="V135" s="11"/>
      <c r="W135" s="11"/>
      <c r="X135" s="11"/>
      <c r="Y135" s="11"/>
      <c r="Z135" s="11"/>
    </row>
    <row r="136" ht="79.5" customHeight="1">
      <c r="A136" s="11"/>
      <c r="B136" s="13"/>
      <c r="C136" s="37" t="s">
        <v>513</v>
      </c>
      <c r="D136" s="38" t="s">
        <v>514</v>
      </c>
      <c r="E136" s="29" t="s">
        <v>60</v>
      </c>
      <c r="F136" s="38" t="s">
        <v>375</v>
      </c>
      <c r="G136" s="39" t="s">
        <v>376</v>
      </c>
      <c r="H136" s="31" t="s">
        <v>84</v>
      </c>
      <c r="I136" s="11"/>
      <c r="J136" s="11"/>
      <c r="K136" s="11"/>
      <c r="L136" s="11"/>
      <c r="M136" s="11"/>
      <c r="N136" s="11"/>
      <c r="O136" s="11"/>
      <c r="P136" s="11"/>
      <c r="Q136" s="11"/>
      <c r="R136" s="11"/>
      <c r="S136" s="11"/>
      <c r="T136" s="11"/>
      <c r="U136" s="11"/>
      <c r="V136" s="11"/>
      <c r="W136" s="11"/>
      <c r="X136" s="11"/>
      <c r="Y136" s="11"/>
      <c r="Z136" s="11"/>
    </row>
    <row r="137" ht="79.5" customHeight="1">
      <c r="A137" s="11"/>
      <c r="B137" s="13"/>
      <c r="C137" s="37" t="s">
        <v>515</v>
      </c>
      <c r="D137" s="38" t="s">
        <v>378</v>
      </c>
      <c r="E137" s="29" t="s">
        <v>60</v>
      </c>
      <c r="F137" s="38" t="s">
        <v>379</v>
      </c>
      <c r="G137" s="39" t="s">
        <v>380</v>
      </c>
      <c r="H137" s="31" t="s">
        <v>84</v>
      </c>
      <c r="I137" s="11"/>
      <c r="J137" s="11"/>
      <c r="K137" s="11"/>
      <c r="L137" s="11"/>
      <c r="M137" s="11"/>
      <c r="N137" s="11"/>
      <c r="O137" s="11"/>
      <c r="P137" s="11"/>
      <c r="Q137" s="11"/>
      <c r="R137" s="11"/>
      <c r="S137" s="11"/>
      <c r="T137" s="11"/>
      <c r="U137" s="11"/>
      <c r="V137" s="11"/>
      <c r="W137" s="11"/>
      <c r="X137" s="11"/>
      <c r="Y137" s="11"/>
      <c r="Z137" s="11"/>
    </row>
    <row r="138" ht="63.75" customHeight="1">
      <c r="A138" s="11"/>
      <c r="B138" s="13"/>
      <c r="C138" s="37" t="s">
        <v>516</v>
      </c>
      <c r="D138" s="38" t="s">
        <v>382</v>
      </c>
      <c r="E138" s="29" t="s">
        <v>60</v>
      </c>
      <c r="F138" s="38" t="s">
        <v>383</v>
      </c>
      <c r="G138" s="39" t="s">
        <v>384</v>
      </c>
      <c r="H138" s="31" t="s">
        <v>84</v>
      </c>
      <c r="I138" s="11"/>
      <c r="J138" s="11"/>
      <c r="K138" s="11"/>
      <c r="L138" s="11"/>
      <c r="M138" s="11"/>
      <c r="N138" s="11"/>
      <c r="O138" s="11"/>
      <c r="P138" s="11"/>
      <c r="Q138" s="11"/>
      <c r="R138" s="11"/>
      <c r="S138" s="11"/>
      <c r="T138" s="11"/>
      <c r="U138" s="11"/>
      <c r="V138" s="11"/>
      <c r="W138" s="11"/>
      <c r="X138" s="11"/>
      <c r="Y138" s="11"/>
      <c r="Z138" s="11"/>
    </row>
    <row r="139" ht="111.0" customHeight="1">
      <c r="A139" s="11"/>
      <c r="B139" s="13"/>
      <c r="C139" s="37" t="s">
        <v>517</v>
      </c>
      <c r="D139" s="38" t="s">
        <v>386</v>
      </c>
      <c r="E139" s="29" t="s">
        <v>60</v>
      </c>
      <c r="F139" s="38" t="s">
        <v>387</v>
      </c>
      <c r="G139" s="39" t="s">
        <v>388</v>
      </c>
      <c r="H139" s="31" t="s">
        <v>84</v>
      </c>
      <c r="I139" s="11"/>
      <c r="J139" s="11"/>
      <c r="K139" s="11"/>
      <c r="L139" s="11"/>
      <c r="M139" s="11"/>
      <c r="N139" s="11"/>
      <c r="O139" s="11"/>
      <c r="P139" s="11"/>
      <c r="Q139" s="11"/>
      <c r="R139" s="11"/>
      <c r="S139" s="11"/>
      <c r="T139" s="11"/>
      <c r="U139" s="11"/>
      <c r="V139" s="11"/>
      <c r="W139" s="11"/>
      <c r="X139" s="11"/>
      <c r="Y139" s="11"/>
      <c r="Z139" s="11"/>
    </row>
    <row r="140" ht="142.5" customHeight="1">
      <c r="A140" s="11"/>
      <c r="B140" s="13"/>
      <c r="C140" s="37" t="s">
        <v>518</v>
      </c>
      <c r="D140" s="38" t="s">
        <v>519</v>
      </c>
      <c r="E140" s="29" t="s">
        <v>60</v>
      </c>
      <c r="F140" s="38" t="s">
        <v>391</v>
      </c>
      <c r="G140" s="39" t="s">
        <v>392</v>
      </c>
      <c r="H140" s="31" t="s">
        <v>84</v>
      </c>
      <c r="I140" s="11"/>
      <c r="J140" s="11"/>
      <c r="K140" s="11"/>
      <c r="L140" s="11"/>
      <c r="M140" s="11"/>
      <c r="N140" s="11"/>
      <c r="O140" s="11"/>
      <c r="P140" s="11"/>
      <c r="Q140" s="11"/>
      <c r="R140" s="11"/>
      <c r="S140" s="11"/>
      <c r="T140" s="11"/>
      <c r="U140" s="11"/>
      <c r="V140" s="11"/>
      <c r="W140" s="11"/>
      <c r="X140" s="11"/>
      <c r="Y140" s="11"/>
      <c r="Z140" s="11"/>
    </row>
    <row r="141" ht="95.25" customHeight="1">
      <c r="A141" s="11"/>
      <c r="B141" s="13"/>
      <c r="C141" s="27" t="s">
        <v>520</v>
      </c>
      <c r="D141" s="28" t="s">
        <v>521</v>
      </c>
      <c r="E141" s="29" t="s">
        <v>67</v>
      </c>
      <c r="F141" s="28" t="s">
        <v>522</v>
      </c>
      <c r="G141" s="30" t="s">
        <v>523</v>
      </c>
      <c r="H141" s="31" t="s">
        <v>84</v>
      </c>
      <c r="I141" s="11"/>
      <c r="J141" s="11"/>
      <c r="K141" s="11"/>
      <c r="L141" s="11"/>
      <c r="M141" s="11"/>
      <c r="N141" s="11"/>
      <c r="O141" s="11"/>
      <c r="P141" s="11"/>
      <c r="Q141" s="11"/>
      <c r="R141" s="11"/>
      <c r="S141" s="11"/>
      <c r="T141" s="11"/>
      <c r="U141" s="11"/>
      <c r="V141" s="11"/>
      <c r="W141" s="11"/>
      <c r="X141" s="11"/>
      <c r="Y141" s="11"/>
      <c r="Z141" s="11"/>
    </row>
    <row r="142" ht="95.25" customHeight="1">
      <c r="A142" s="11"/>
      <c r="B142" s="13"/>
      <c r="C142" s="32" t="s">
        <v>524</v>
      </c>
      <c r="D142" s="33" t="s">
        <v>525</v>
      </c>
      <c r="E142" s="29" t="s">
        <v>67</v>
      </c>
      <c r="F142" s="33" t="s">
        <v>522</v>
      </c>
      <c r="G142" s="34" t="s">
        <v>526</v>
      </c>
      <c r="H142" s="31" t="s">
        <v>84</v>
      </c>
      <c r="I142" s="11"/>
      <c r="J142" s="11"/>
      <c r="K142" s="11"/>
      <c r="L142" s="11"/>
      <c r="M142" s="11"/>
      <c r="N142" s="11"/>
      <c r="O142" s="11"/>
      <c r="P142" s="11"/>
      <c r="Q142" s="11"/>
      <c r="R142" s="11"/>
      <c r="S142" s="11"/>
      <c r="T142" s="11"/>
      <c r="U142" s="11"/>
      <c r="V142" s="11"/>
      <c r="W142" s="11"/>
      <c r="X142" s="11"/>
      <c r="Y142" s="11"/>
      <c r="Z142" s="11"/>
    </row>
    <row r="143" ht="95.25" customHeight="1">
      <c r="A143" s="11"/>
      <c r="B143" s="13"/>
      <c r="C143" s="32" t="s">
        <v>527</v>
      </c>
      <c r="D143" s="33" t="s">
        <v>528</v>
      </c>
      <c r="E143" s="29" t="s">
        <v>67</v>
      </c>
      <c r="F143" s="33" t="s">
        <v>529</v>
      </c>
      <c r="G143" s="34" t="s">
        <v>530</v>
      </c>
      <c r="H143" s="31" t="s">
        <v>84</v>
      </c>
      <c r="I143" s="11"/>
      <c r="J143" s="11"/>
      <c r="K143" s="11"/>
      <c r="L143" s="11"/>
      <c r="M143" s="11"/>
      <c r="N143" s="11"/>
      <c r="O143" s="11"/>
      <c r="P143" s="11"/>
      <c r="Q143" s="11"/>
      <c r="R143" s="11"/>
      <c r="S143" s="11"/>
      <c r="T143" s="11"/>
      <c r="U143" s="11"/>
      <c r="V143" s="11"/>
      <c r="W143" s="11"/>
      <c r="X143" s="11"/>
      <c r="Y143" s="11"/>
      <c r="Z143" s="11"/>
    </row>
    <row r="144" ht="95.25" customHeight="1">
      <c r="A144" s="11"/>
      <c r="B144" s="13"/>
      <c r="C144" s="32" t="s">
        <v>531</v>
      </c>
      <c r="D144" s="33" t="s">
        <v>532</v>
      </c>
      <c r="E144" s="29" t="s">
        <v>67</v>
      </c>
      <c r="F144" s="33" t="s">
        <v>529</v>
      </c>
      <c r="G144" s="34" t="s">
        <v>533</v>
      </c>
      <c r="H144" s="31" t="s">
        <v>84</v>
      </c>
      <c r="I144" s="11"/>
      <c r="J144" s="11"/>
      <c r="K144" s="11"/>
      <c r="L144" s="11"/>
      <c r="M144" s="11"/>
      <c r="N144" s="11"/>
      <c r="O144" s="11"/>
      <c r="P144" s="11"/>
      <c r="Q144" s="11"/>
      <c r="R144" s="11"/>
      <c r="S144" s="11"/>
      <c r="T144" s="11"/>
      <c r="U144" s="11"/>
      <c r="V144" s="11"/>
      <c r="W144" s="11"/>
      <c r="X144" s="11"/>
      <c r="Y144" s="11"/>
      <c r="Z144" s="11"/>
    </row>
    <row r="145" ht="95.25" customHeight="1">
      <c r="A145" s="11"/>
      <c r="B145" s="13"/>
      <c r="C145" s="32" t="s">
        <v>534</v>
      </c>
      <c r="D145" s="33" t="s">
        <v>535</v>
      </c>
      <c r="E145" s="29" t="s">
        <v>67</v>
      </c>
      <c r="F145" s="33" t="s">
        <v>529</v>
      </c>
      <c r="G145" s="34" t="s">
        <v>536</v>
      </c>
      <c r="H145" s="31" t="s">
        <v>84</v>
      </c>
      <c r="I145" s="11"/>
      <c r="J145" s="11"/>
      <c r="K145" s="11"/>
      <c r="L145" s="11"/>
      <c r="M145" s="11"/>
      <c r="N145" s="11"/>
      <c r="O145" s="11"/>
      <c r="P145" s="11"/>
      <c r="Q145" s="11"/>
      <c r="R145" s="11"/>
      <c r="S145" s="11"/>
      <c r="T145" s="11"/>
      <c r="U145" s="11"/>
      <c r="V145" s="11"/>
      <c r="W145" s="11"/>
      <c r="X145" s="11"/>
      <c r="Y145" s="11"/>
      <c r="Z145" s="11"/>
    </row>
    <row r="146" ht="111.0" customHeight="1">
      <c r="A146" s="11"/>
      <c r="B146" s="13"/>
      <c r="C146" s="32" t="s">
        <v>537</v>
      </c>
      <c r="D146" s="33" t="s">
        <v>538</v>
      </c>
      <c r="E146" s="29" t="s">
        <v>67</v>
      </c>
      <c r="F146" s="33" t="s">
        <v>539</v>
      </c>
      <c r="G146" s="34" t="s">
        <v>540</v>
      </c>
      <c r="H146" s="31" t="s">
        <v>84</v>
      </c>
      <c r="I146" s="11"/>
      <c r="J146" s="11"/>
      <c r="K146" s="11"/>
      <c r="L146" s="11"/>
      <c r="M146" s="11"/>
      <c r="N146" s="11"/>
      <c r="O146" s="11"/>
      <c r="P146" s="11"/>
      <c r="Q146" s="11"/>
      <c r="R146" s="11"/>
      <c r="S146" s="11"/>
      <c r="T146" s="11"/>
      <c r="U146" s="11"/>
      <c r="V146" s="11"/>
      <c r="W146" s="11"/>
      <c r="X146" s="11"/>
      <c r="Y146" s="11"/>
      <c r="Z146" s="11"/>
    </row>
    <row r="147" ht="95.25" customHeight="1">
      <c r="A147" s="11"/>
      <c r="B147" s="13"/>
      <c r="C147" s="32" t="s">
        <v>541</v>
      </c>
      <c r="D147" s="33" t="s">
        <v>542</v>
      </c>
      <c r="E147" s="29" t="s">
        <v>67</v>
      </c>
      <c r="F147" s="33" t="s">
        <v>543</v>
      </c>
      <c r="G147" s="34" t="s">
        <v>544</v>
      </c>
      <c r="H147" s="31" t="s">
        <v>84</v>
      </c>
      <c r="I147" s="11"/>
      <c r="J147" s="11"/>
      <c r="K147" s="11"/>
      <c r="L147" s="11"/>
      <c r="M147" s="11"/>
      <c r="N147" s="11"/>
      <c r="O147" s="11"/>
      <c r="P147" s="11"/>
      <c r="Q147" s="11"/>
      <c r="R147" s="11"/>
      <c r="S147" s="11"/>
      <c r="T147" s="11"/>
      <c r="U147" s="11"/>
      <c r="V147" s="11"/>
      <c r="W147" s="11"/>
      <c r="X147" s="11"/>
      <c r="Y147" s="11"/>
      <c r="Z147" s="11"/>
    </row>
    <row r="148" ht="126.75" customHeight="1">
      <c r="A148" s="11"/>
      <c r="B148" s="13"/>
      <c r="C148" s="32" t="s">
        <v>545</v>
      </c>
      <c r="D148" s="33" t="s">
        <v>546</v>
      </c>
      <c r="E148" s="29" t="s">
        <v>67</v>
      </c>
      <c r="F148" s="33" t="s">
        <v>93</v>
      </c>
      <c r="G148" s="34" t="s">
        <v>94</v>
      </c>
      <c r="H148" s="31" t="s">
        <v>84</v>
      </c>
      <c r="I148" s="11"/>
      <c r="J148" s="11"/>
      <c r="K148" s="11"/>
      <c r="L148" s="11"/>
      <c r="M148" s="11"/>
      <c r="N148" s="11"/>
      <c r="O148" s="11"/>
      <c r="P148" s="11"/>
      <c r="Q148" s="11"/>
      <c r="R148" s="11"/>
      <c r="S148" s="11"/>
      <c r="T148" s="11"/>
      <c r="U148" s="11"/>
      <c r="V148" s="11"/>
      <c r="W148" s="11"/>
      <c r="X148" s="11"/>
      <c r="Y148" s="11"/>
      <c r="Z148" s="11"/>
    </row>
    <row r="149" ht="111.0" customHeight="1">
      <c r="A149" s="11"/>
      <c r="B149" s="13"/>
      <c r="C149" s="32" t="s">
        <v>547</v>
      </c>
      <c r="D149" s="33" t="s">
        <v>548</v>
      </c>
      <c r="E149" s="29" t="s">
        <v>67</v>
      </c>
      <c r="F149" s="33" t="s">
        <v>407</v>
      </c>
      <c r="G149" s="34" t="s">
        <v>408</v>
      </c>
      <c r="H149" s="31" t="s">
        <v>84</v>
      </c>
      <c r="I149" s="11"/>
      <c r="J149" s="11"/>
      <c r="K149" s="11"/>
      <c r="L149" s="11"/>
      <c r="M149" s="11"/>
      <c r="N149" s="11"/>
      <c r="O149" s="11"/>
      <c r="P149" s="11"/>
      <c r="Q149" s="11"/>
      <c r="R149" s="11"/>
      <c r="S149" s="11"/>
      <c r="T149" s="11"/>
      <c r="U149" s="11"/>
      <c r="V149" s="11"/>
      <c r="W149" s="11"/>
      <c r="X149" s="11"/>
      <c r="Y149" s="11"/>
      <c r="Z149" s="11"/>
    </row>
    <row r="150" ht="95.25" customHeight="1">
      <c r="A150" s="11"/>
      <c r="B150" s="13"/>
      <c r="C150" s="32" t="s">
        <v>549</v>
      </c>
      <c r="D150" s="33" t="s">
        <v>410</v>
      </c>
      <c r="E150" s="29" t="s">
        <v>67</v>
      </c>
      <c r="F150" s="33" t="s">
        <v>101</v>
      </c>
      <c r="G150" s="34" t="s">
        <v>411</v>
      </c>
      <c r="H150" s="31" t="s">
        <v>84</v>
      </c>
      <c r="I150" s="11"/>
      <c r="J150" s="11"/>
      <c r="K150" s="11"/>
      <c r="L150" s="11"/>
      <c r="M150" s="11"/>
      <c r="N150" s="11"/>
      <c r="O150" s="11"/>
      <c r="P150" s="11"/>
      <c r="Q150" s="11"/>
      <c r="R150" s="11"/>
      <c r="S150" s="11"/>
      <c r="T150" s="11"/>
      <c r="U150" s="11"/>
      <c r="V150" s="11"/>
      <c r="W150" s="11"/>
      <c r="X150" s="11"/>
      <c r="Y150" s="11"/>
      <c r="Z150" s="11"/>
    </row>
    <row r="151" ht="221.25" customHeight="1">
      <c r="A151" s="11"/>
      <c r="B151" s="13"/>
      <c r="C151" s="32" t="s">
        <v>550</v>
      </c>
      <c r="D151" s="33" t="s">
        <v>551</v>
      </c>
      <c r="E151" s="29" t="s">
        <v>67</v>
      </c>
      <c r="F151" s="33" t="s">
        <v>552</v>
      </c>
      <c r="G151" s="34" t="s">
        <v>553</v>
      </c>
      <c r="H151" s="31" t="s">
        <v>84</v>
      </c>
      <c r="I151" s="11"/>
      <c r="J151" s="11"/>
      <c r="K151" s="11"/>
      <c r="L151" s="11"/>
      <c r="M151" s="11"/>
      <c r="N151" s="11"/>
      <c r="O151" s="11"/>
      <c r="P151" s="11"/>
      <c r="Q151" s="11"/>
      <c r="R151" s="11"/>
      <c r="S151" s="11"/>
      <c r="T151" s="11"/>
      <c r="U151" s="11"/>
      <c r="V151" s="11"/>
      <c r="W151" s="11"/>
      <c r="X151" s="11"/>
      <c r="Y151" s="11"/>
      <c r="Z151" s="11"/>
    </row>
    <row r="152" ht="79.5" customHeight="1">
      <c r="A152" s="11"/>
      <c r="B152" s="13"/>
      <c r="C152" s="32" t="s">
        <v>554</v>
      </c>
      <c r="D152" s="33" t="s">
        <v>108</v>
      </c>
      <c r="E152" s="29" t="s">
        <v>67</v>
      </c>
      <c r="F152" s="33" t="s">
        <v>109</v>
      </c>
      <c r="G152" s="34" t="s">
        <v>110</v>
      </c>
      <c r="H152" s="31" t="s">
        <v>84</v>
      </c>
      <c r="I152" s="11"/>
      <c r="J152" s="11"/>
      <c r="K152" s="11"/>
      <c r="L152" s="11"/>
      <c r="M152" s="11"/>
      <c r="N152" s="11"/>
      <c r="O152" s="11"/>
      <c r="P152" s="11"/>
      <c r="Q152" s="11"/>
      <c r="R152" s="11"/>
      <c r="S152" s="11"/>
      <c r="T152" s="11"/>
      <c r="U152" s="11"/>
      <c r="V152" s="11"/>
      <c r="W152" s="11"/>
      <c r="X152" s="11"/>
      <c r="Y152" s="11"/>
      <c r="Z152" s="11"/>
    </row>
    <row r="153" ht="79.5" customHeight="1">
      <c r="A153" s="11"/>
      <c r="B153" s="13"/>
      <c r="C153" s="32" t="s">
        <v>555</v>
      </c>
      <c r="D153" s="33" t="s">
        <v>418</v>
      </c>
      <c r="E153" s="29" t="s">
        <v>67</v>
      </c>
      <c r="F153" s="33" t="s">
        <v>113</v>
      </c>
      <c r="G153" s="34" t="s">
        <v>419</v>
      </c>
      <c r="H153" s="31" t="s">
        <v>84</v>
      </c>
      <c r="I153" s="11"/>
      <c r="J153" s="11"/>
      <c r="K153" s="11"/>
      <c r="L153" s="11"/>
      <c r="M153" s="11"/>
      <c r="N153" s="11"/>
      <c r="O153" s="11"/>
      <c r="P153" s="11"/>
      <c r="Q153" s="11"/>
      <c r="R153" s="11"/>
      <c r="S153" s="11"/>
      <c r="T153" s="11"/>
      <c r="U153" s="11"/>
      <c r="V153" s="11"/>
      <c r="W153" s="11"/>
      <c r="X153" s="11"/>
      <c r="Y153" s="11"/>
      <c r="Z153" s="11"/>
    </row>
    <row r="154" ht="126.75" customHeight="1">
      <c r="A154" s="11"/>
      <c r="B154" s="13"/>
      <c r="C154" s="32" t="s">
        <v>556</v>
      </c>
      <c r="D154" s="33" t="s">
        <v>557</v>
      </c>
      <c r="E154" s="29" t="s">
        <v>67</v>
      </c>
      <c r="F154" s="33" t="s">
        <v>421</v>
      </c>
      <c r="G154" s="34" t="s">
        <v>118</v>
      </c>
      <c r="H154" s="31" t="s">
        <v>84</v>
      </c>
      <c r="I154" s="11"/>
      <c r="J154" s="11"/>
      <c r="K154" s="11"/>
      <c r="L154" s="11"/>
      <c r="M154" s="11"/>
      <c r="N154" s="11"/>
      <c r="O154" s="11"/>
      <c r="P154" s="11"/>
      <c r="Q154" s="11"/>
      <c r="R154" s="11"/>
      <c r="S154" s="11"/>
      <c r="T154" s="11"/>
      <c r="U154" s="11"/>
      <c r="V154" s="11"/>
      <c r="W154" s="11"/>
      <c r="X154" s="11"/>
      <c r="Y154" s="11"/>
      <c r="Z154" s="11"/>
    </row>
    <row r="155" ht="111.0" customHeight="1">
      <c r="A155" s="11"/>
      <c r="B155" s="13"/>
      <c r="C155" s="32" t="s">
        <v>558</v>
      </c>
      <c r="D155" s="33" t="s">
        <v>120</v>
      </c>
      <c r="E155" s="29" t="s">
        <v>67</v>
      </c>
      <c r="F155" s="33" t="s">
        <v>121</v>
      </c>
      <c r="G155" s="34" t="s">
        <v>122</v>
      </c>
      <c r="H155" s="31" t="s">
        <v>84</v>
      </c>
      <c r="I155" s="11"/>
      <c r="J155" s="11"/>
      <c r="K155" s="11"/>
      <c r="L155" s="11"/>
      <c r="M155" s="11"/>
      <c r="N155" s="11"/>
      <c r="O155" s="11"/>
      <c r="P155" s="11"/>
      <c r="Q155" s="11"/>
      <c r="R155" s="11"/>
      <c r="S155" s="11"/>
      <c r="T155" s="11"/>
      <c r="U155" s="11"/>
      <c r="V155" s="11"/>
      <c r="W155" s="11"/>
      <c r="X155" s="11"/>
      <c r="Y155" s="11"/>
      <c r="Z155" s="11"/>
    </row>
    <row r="156" ht="111.0" customHeight="1">
      <c r="A156" s="11"/>
      <c r="B156" s="13"/>
      <c r="C156" s="32" t="s">
        <v>559</v>
      </c>
      <c r="D156" s="33" t="s">
        <v>560</v>
      </c>
      <c r="E156" s="29" t="s">
        <v>67</v>
      </c>
      <c r="F156" s="33" t="s">
        <v>425</v>
      </c>
      <c r="G156" s="34" t="s">
        <v>126</v>
      </c>
      <c r="H156" s="31" t="s">
        <v>84</v>
      </c>
      <c r="I156" s="11"/>
      <c r="J156" s="11"/>
      <c r="K156" s="11"/>
      <c r="L156" s="11"/>
      <c r="M156" s="11"/>
      <c r="N156" s="11"/>
      <c r="O156" s="11"/>
      <c r="P156" s="11"/>
      <c r="Q156" s="11"/>
      <c r="R156" s="11"/>
      <c r="S156" s="11"/>
      <c r="T156" s="11"/>
      <c r="U156" s="11"/>
      <c r="V156" s="11"/>
      <c r="W156" s="11"/>
      <c r="X156" s="11"/>
      <c r="Y156" s="11"/>
      <c r="Z156" s="11"/>
    </row>
    <row r="157" ht="79.5" customHeight="1">
      <c r="A157" s="11"/>
      <c r="B157" s="13"/>
      <c r="C157" s="32" t="s">
        <v>561</v>
      </c>
      <c r="D157" s="33" t="s">
        <v>128</v>
      </c>
      <c r="E157" s="29" t="s">
        <v>67</v>
      </c>
      <c r="F157" s="33" t="s">
        <v>129</v>
      </c>
      <c r="G157" s="34" t="s">
        <v>130</v>
      </c>
      <c r="H157" s="31" t="s">
        <v>84</v>
      </c>
      <c r="I157" s="11"/>
      <c r="J157" s="11"/>
      <c r="K157" s="11"/>
      <c r="L157" s="11"/>
      <c r="M157" s="11"/>
      <c r="N157" s="11"/>
      <c r="O157" s="11"/>
      <c r="P157" s="11"/>
      <c r="Q157" s="11"/>
      <c r="R157" s="11"/>
      <c r="S157" s="11"/>
      <c r="T157" s="11"/>
      <c r="U157" s="11"/>
      <c r="V157" s="11"/>
      <c r="W157" s="11"/>
      <c r="X157" s="11"/>
      <c r="Y157" s="11"/>
      <c r="Z157" s="11"/>
    </row>
    <row r="158" ht="111.0" customHeight="1">
      <c r="A158" s="11"/>
      <c r="B158" s="13"/>
      <c r="C158" s="32" t="s">
        <v>562</v>
      </c>
      <c r="D158" s="33" t="s">
        <v>132</v>
      </c>
      <c r="E158" s="29" t="s">
        <v>67</v>
      </c>
      <c r="F158" s="33" t="s">
        <v>428</v>
      </c>
      <c r="G158" s="34" t="s">
        <v>134</v>
      </c>
      <c r="H158" s="31" t="s">
        <v>84</v>
      </c>
      <c r="I158" s="11"/>
      <c r="J158" s="11"/>
      <c r="K158" s="11"/>
      <c r="L158" s="11"/>
      <c r="M158" s="11"/>
      <c r="N158" s="11"/>
      <c r="O158" s="11"/>
      <c r="P158" s="11"/>
      <c r="Q158" s="11"/>
      <c r="R158" s="11"/>
      <c r="S158" s="11"/>
      <c r="T158" s="11"/>
      <c r="U158" s="11"/>
      <c r="V158" s="11"/>
      <c r="W158" s="11"/>
      <c r="X158" s="11"/>
      <c r="Y158" s="11"/>
      <c r="Z158" s="11"/>
    </row>
    <row r="159" ht="237.0" customHeight="1">
      <c r="A159" s="11"/>
      <c r="B159" s="13"/>
      <c r="C159" s="32" t="s">
        <v>563</v>
      </c>
      <c r="D159" s="33" t="s">
        <v>564</v>
      </c>
      <c r="E159" s="29" t="s">
        <v>67</v>
      </c>
      <c r="F159" s="33" t="s">
        <v>184</v>
      </c>
      <c r="G159" s="34" t="s">
        <v>185</v>
      </c>
      <c r="H159" s="31" t="s">
        <v>84</v>
      </c>
      <c r="I159" s="11"/>
      <c r="J159" s="11"/>
      <c r="K159" s="11"/>
      <c r="L159" s="11"/>
      <c r="M159" s="11"/>
      <c r="N159" s="11"/>
      <c r="O159" s="11"/>
      <c r="P159" s="11"/>
      <c r="Q159" s="11"/>
      <c r="R159" s="11"/>
      <c r="S159" s="11"/>
      <c r="T159" s="11"/>
      <c r="U159" s="11"/>
      <c r="V159" s="11"/>
      <c r="W159" s="11"/>
      <c r="X159" s="11"/>
      <c r="Y159" s="11"/>
      <c r="Z159" s="11"/>
    </row>
    <row r="160" ht="174.0" customHeight="1">
      <c r="A160" s="11"/>
      <c r="B160" s="13"/>
      <c r="C160" s="32" t="s">
        <v>565</v>
      </c>
      <c r="D160" s="33" t="s">
        <v>566</v>
      </c>
      <c r="E160" s="29" t="s">
        <v>67</v>
      </c>
      <c r="F160" s="33" t="s">
        <v>188</v>
      </c>
      <c r="G160" s="34" t="s">
        <v>189</v>
      </c>
      <c r="H160" s="31" t="s">
        <v>84</v>
      </c>
      <c r="I160" s="11"/>
      <c r="J160" s="11"/>
      <c r="K160" s="11"/>
      <c r="L160" s="11"/>
      <c r="M160" s="11"/>
      <c r="N160" s="11"/>
      <c r="O160" s="11"/>
      <c r="P160" s="11"/>
      <c r="Q160" s="11"/>
      <c r="R160" s="11"/>
      <c r="S160" s="11"/>
      <c r="T160" s="11"/>
      <c r="U160" s="11"/>
      <c r="V160" s="11"/>
      <c r="W160" s="11"/>
      <c r="X160" s="11"/>
      <c r="Y160" s="11"/>
      <c r="Z160" s="11"/>
    </row>
    <row r="161" ht="111.0" customHeight="1">
      <c r="A161" s="11"/>
      <c r="B161" s="13"/>
      <c r="C161" s="32" t="s">
        <v>567</v>
      </c>
      <c r="D161" s="33" t="s">
        <v>568</v>
      </c>
      <c r="E161" s="29" t="s">
        <v>67</v>
      </c>
      <c r="F161" s="33" t="s">
        <v>192</v>
      </c>
      <c r="G161" s="34" t="s">
        <v>569</v>
      </c>
      <c r="H161" s="31" t="s">
        <v>84</v>
      </c>
      <c r="I161" s="11"/>
      <c r="J161" s="11"/>
      <c r="K161" s="11"/>
      <c r="L161" s="11"/>
      <c r="M161" s="11"/>
      <c r="N161" s="11"/>
      <c r="O161" s="11"/>
      <c r="P161" s="11"/>
      <c r="Q161" s="11"/>
      <c r="R161" s="11"/>
      <c r="S161" s="11"/>
      <c r="T161" s="11"/>
      <c r="U161" s="11"/>
      <c r="V161" s="11"/>
      <c r="W161" s="11"/>
      <c r="X161" s="11"/>
      <c r="Y161" s="11"/>
      <c r="Z161" s="11"/>
    </row>
    <row r="162" ht="189.75" customHeight="1">
      <c r="A162" s="11"/>
      <c r="B162" s="13"/>
      <c r="C162" s="32" t="s">
        <v>570</v>
      </c>
      <c r="D162" s="33" t="s">
        <v>571</v>
      </c>
      <c r="E162" s="29" t="s">
        <v>67</v>
      </c>
      <c r="F162" s="33" t="s">
        <v>196</v>
      </c>
      <c r="G162" s="34" t="s">
        <v>572</v>
      </c>
      <c r="H162" s="31" t="s">
        <v>84</v>
      </c>
      <c r="I162" s="11"/>
      <c r="J162" s="11"/>
      <c r="K162" s="11"/>
      <c r="L162" s="11"/>
      <c r="M162" s="11"/>
      <c r="N162" s="11"/>
      <c r="O162" s="11"/>
      <c r="P162" s="11"/>
      <c r="Q162" s="11"/>
      <c r="R162" s="11"/>
      <c r="S162" s="11"/>
      <c r="T162" s="11"/>
      <c r="U162" s="11"/>
      <c r="V162" s="11"/>
      <c r="W162" s="11"/>
      <c r="X162" s="11"/>
      <c r="Y162" s="11"/>
      <c r="Z162" s="11"/>
    </row>
    <row r="163" ht="142.5" customHeight="1">
      <c r="A163" s="11"/>
      <c r="B163" s="13"/>
      <c r="C163" s="32" t="s">
        <v>573</v>
      </c>
      <c r="D163" s="33" t="s">
        <v>574</v>
      </c>
      <c r="E163" s="29" t="s">
        <v>67</v>
      </c>
      <c r="F163" s="33" t="s">
        <v>575</v>
      </c>
      <c r="G163" s="34" t="s">
        <v>576</v>
      </c>
      <c r="H163" s="31" t="s">
        <v>84</v>
      </c>
      <c r="I163" s="11"/>
      <c r="J163" s="11"/>
      <c r="K163" s="11"/>
      <c r="L163" s="11"/>
      <c r="M163" s="11"/>
      <c r="N163" s="11"/>
      <c r="O163" s="11"/>
      <c r="P163" s="11"/>
      <c r="Q163" s="11"/>
      <c r="R163" s="11"/>
      <c r="S163" s="11"/>
      <c r="T163" s="11"/>
      <c r="U163" s="11"/>
      <c r="V163" s="11"/>
      <c r="W163" s="11"/>
      <c r="X163" s="11"/>
      <c r="Y163" s="11"/>
      <c r="Z163" s="11"/>
    </row>
    <row r="164" ht="221.25" customHeight="1">
      <c r="A164" s="11"/>
      <c r="B164" s="13"/>
      <c r="C164" s="32" t="s">
        <v>577</v>
      </c>
      <c r="D164" s="33" t="s">
        <v>578</v>
      </c>
      <c r="E164" s="29" t="s">
        <v>67</v>
      </c>
      <c r="F164" s="33" t="s">
        <v>579</v>
      </c>
      <c r="G164" s="34" t="s">
        <v>580</v>
      </c>
      <c r="H164" s="31" t="s">
        <v>84</v>
      </c>
      <c r="I164" s="11"/>
      <c r="J164" s="11"/>
      <c r="K164" s="11"/>
      <c r="L164" s="11"/>
      <c r="M164" s="11"/>
      <c r="N164" s="11"/>
      <c r="O164" s="11"/>
      <c r="P164" s="11"/>
      <c r="Q164" s="11"/>
      <c r="R164" s="11"/>
      <c r="S164" s="11"/>
      <c r="T164" s="11"/>
      <c r="U164" s="11"/>
      <c r="V164" s="11"/>
      <c r="W164" s="11"/>
      <c r="X164" s="11"/>
      <c r="Y164" s="11"/>
      <c r="Z164" s="11"/>
    </row>
    <row r="165" ht="189.75" customHeight="1">
      <c r="A165" s="11"/>
      <c r="B165" s="13"/>
      <c r="C165" s="32" t="s">
        <v>581</v>
      </c>
      <c r="D165" s="33" t="s">
        <v>582</v>
      </c>
      <c r="E165" s="29" t="s">
        <v>67</v>
      </c>
      <c r="F165" s="33" t="s">
        <v>173</v>
      </c>
      <c r="G165" s="34" t="s">
        <v>432</v>
      </c>
      <c r="H165" s="31" t="s">
        <v>84</v>
      </c>
      <c r="I165" s="11"/>
      <c r="J165" s="11"/>
      <c r="K165" s="11"/>
      <c r="L165" s="11"/>
      <c r="M165" s="11"/>
      <c r="N165" s="11"/>
      <c r="O165" s="11"/>
      <c r="P165" s="11"/>
      <c r="Q165" s="11"/>
      <c r="R165" s="11"/>
      <c r="S165" s="11"/>
      <c r="T165" s="11"/>
      <c r="U165" s="11"/>
      <c r="V165" s="11"/>
      <c r="W165" s="11"/>
      <c r="X165" s="11"/>
      <c r="Y165" s="11"/>
      <c r="Z165" s="11"/>
    </row>
    <row r="166" ht="142.5" customHeight="1">
      <c r="A166" s="11"/>
      <c r="B166" s="13"/>
      <c r="C166" s="32" t="s">
        <v>583</v>
      </c>
      <c r="D166" s="33" t="s">
        <v>584</v>
      </c>
      <c r="E166" s="29" t="s">
        <v>67</v>
      </c>
      <c r="F166" s="33" t="s">
        <v>585</v>
      </c>
      <c r="G166" s="34" t="s">
        <v>586</v>
      </c>
      <c r="H166" s="31" t="s">
        <v>84</v>
      </c>
      <c r="I166" s="11"/>
      <c r="J166" s="11"/>
      <c r="K166" s="11"/>
      <c r="L166" s="11"/>
      <c r="M166" s="11"/>
      <c r="N166" s="11"/>
      <c r="O166" s="11"/>
      <c r="P166" s="11"/>
      <c r="Q166" s="11"/>
      <c r="R166" s="11"/>
      <c r="S166" s="11"/>
      <c r="T166" s="11"/>
      <c r="U166" s="11"/>
      <c r="V166" s="11"/>
      <c r="W166" s="11"/>
      <c r="X166" s="11"/>
      <c r="Y166" s="11"/>
      <c r="Z166" s="11"/>
    </row>
    <row r="167" ht="174.0" customHeight="1">
      <c r="A167" s="11"/>
      <c r="B167" s="13"/>
      <c r="C167" s="32" t="s">
        <v>587</v>
      </c>
      <c r="D167" s="33" t="s">
        <v>588</v>
      </c>
      <c r="E167" s="29" t="s">
        <v>67</v>
      </c>
      <c r="F167" s="33" t="s">
        <v>145</v>
      </c>
      <c r="G167" s="34" t="s">
        <v>589</v>
      </c>
      <c r="H167" s="31" t="s">
        <v>84</v>
      </c>
      <c r="I167" s="11"/>
      <c r="J167" s="11"/>
      <c r="K167" s="11"/>
      <c r="L167" s="11"/>
      <c r="M167" s="11"/>
      <c r="N167" s="11"/>
      <c r="O167" s="11"/>
      <c r="P167" s="11"/>
      <c r="Q167" s="11"/>
      <c r="R167" s="11"/>
      <c r="S167" s="11"/>
      <c r="T167" s="11"/>
      <c r="U167" s="11"/>
      <c r="V167" s="11"/>
      <c r="W167" s="11"/>
      <c r="X167" s="11"/>
      <c r="Y167" s="11"/>
      <c r="Z167" s="11"/>
    </row>
    <row r="168" ht="189.75" customHeight="1">
      <c r="A168" s="11"/>
      <c r="B168" s="13"/>
      <c r="C168" s="32" t="s">
        <v>590</v>
      </c>
      <c r="D168" s="33" t="s">
        <v>591</v>
      </c>
      <c r="E168" s="29" t="s">
        <v>67</v>
      </c>
      <c r="F168" s="33" t="s">
        <v>592</v>
      </c>
      <c r="G168" s="34" t="s">
        <v>439</v>
      </c>
      <c r="H168" s="31" t="s">
        <v>84</v>
      </c>
      <c r="I168" s="11"/>
      <c r="J168" s="11"/>
      <c r="K168" s="11"/>
      <c r="L168" s="11"/>
      <c r="M168" s="11"/>
      <c r="N168" s="11"/>
      <c r="O168" s="11"/>
      <c r="P168" s="11"/>
      <c r="Q168" s="11"/>
      <c r="R168" s="11"/>
      <c r="S168" s="11"/>
      <c r="T168" s="11"/>
      <c r="U168" s="11"/>
      <c r="V168" s="11"/>
      <c r="W168" s="11"/>
      <c r="X168" s="11"/>
      <c r="Y168" s="11"/>
      <c r="Z168" s="11"/>
    </row>
    <row r="169" ht="174.0" customHeight="1">
      <c r="A169" s="11"/>
      <c r="B169" s="13"/>
      <c r="C169" s="32" t="s">
        <v>593</v>
      </c>
      <c r="D169" s="33" t="s">
        <v>594</v>
      </c>
      <c r="E169" s="29" t="s">
        <v>67</v>
      </c>
      <c r="F169" s="33" t="s">
        <v>595</v>
      </c>
      <c r="G169" s="34" t="s">
        <v>596</v>
      </c>
      <c r="H169" s="31" t="s">
        <v>84</v>
      </c>
      <c r="I169" s="11"/>
      <c r="J169" s="11"/>
      <c r="K169" s="11"/>
      <c r="L169" s="11"/>
      <c r="M169" s="11"/>
      <c r="N169" s="11"/>
      <c r="O169" s="11"/>
      <c r="P169" s="11"/>
      <c r="Q169" s="11"/>
      <c r="R169" s="11"/>
      <c r="S169" s="11"/>
      <c r="T169" s="11"/>
      <c r="U169" s="11"/>
      <c r="V169" s="11"/>
      <c r="W169" s="11"/>
      <c r="X169" s="11"/>
      <c r="Y169" s="11"/>
      <c r="Z169" s="11"/>
    </row>
    <row r="170" ht="205.5" customHeight="1">
      <c r="A170" s="11"/>
      <c r="B170" s="13"/>
      <c r="C170" s="32" t="s">
        <v>597</v>
      </c>
      <c r="D170" s="33" t="s">
        <v>598</v>
      </c>
      <c r="E170" s="29" t="s">
        <v>67</v>
      </c>
      <c r="F170" s="33" t="s">
        <v>599</v>
      </c>
      <c r="G170" s="34" t="s">
        <v>443</v>
      </c>
      <c r="H170" s="31" t="s">
        <v>84</v>
      </c>
      <c r="I170" s="11"/>
      <c r="J170" s="11"/>
      <c r="K170" s="11"/>
      <c r="L170" s="11"/>
      <c r="M170" s="11"/>
      <c r="N170" s="11"/>
      <c r="O170" s="11"/>
      <c r="P170" s="11"/>
      <c r="Q170" s="11"/>
      <c r="R170" s="11"/>
      <c r="S170" s="11"/>
      <c r="T170" s="11"/>
      <c r="U170" s="11"/>
      <c r="V170" s="11"/>
      <c r="W170" s="11"/>
      <c r="X170" s="11"/>
      <c r="Y170" s="11"/>
      <c r="Z170" s="11"/>
    </row>
    <row r="171" ht="79.5" customHeight="1">
      <c r="A171" s="11"/>
      <c r="B171" s="13"/>
      <c r="C171" s="32" t="s">
        <v>600</v>
      </c>
      <c r="D171" s="33" t="s">
        <v>601</v>
      </c>
      <c r="E171" s="29" t="s">
        <v>67</v>
      </c>
      <c r="F171" s="33" t="s">
        <v>602</v>
      </c>
      <c r="G171" s="34" t="s">
        <v>603</v>
      </c>
      <c r="H171" s="31" t="s">
        <v>84</v>
      </c>
      <c r="I171" s="11"/>
      <c r="J171" s="11"/>
      <c r="K171" s="11"/>
      <c r="L171" s="11"/>
      <c r="M171" s="11"/>
      <c r="N171" s="11"/>
      <c r="O171" s="11"/>
      <c r="P171" s="11"/>
      <c r="Q171" s="11"/>
      <c r="R171" s="11"/>
      <c r="S171" s="11"/>
      <c r="T171" s="11"/>
      <c r="U171" s="11"/>
      <c r="V171" s="11"/>
      <c r="W171" s="11"/>
      <c r="X171" s="11"/>
      <c r="Y171" s="11"/>
      <c r="Z171" s="11"/>
    </row>
    <row r="172" ht="189.75" customHeight="1">
      <c r="A172" s="11"/>
      <c r="B172" s="13"/>
      <c r="C172" s="32" t="s">
        <v>604</v>
      </c>
      <c r="D172" s="33" t="s">
        <v>449</v>
      </c>
      <c r="E172" s="29" t="s">
        <v>67</v>
      </c>
      <c r="F172" s="33" t="s">
        <v>605</v>
      </c>
      <c r="G172" s="34" t="s">
        <v>451</v>
      </c>
      <c r="H172" s="31" t="s">
        <v>84</v>
      </c>
      <c r="I172" s="11"/>
      <c r="J172" s="11"/>
      <c r="K172" s="11"/>
      <c r="L172" s="11"/>
      <c r="M172" s="11"/>
      <c r="N172" s="11"/>
      <c r="O172" s="11"/>
      <c r="P172" s="11"/>
      <c r="Q172" s="11"/>
      <c r="R172" s="11"/>
      <c r="S172" s="11"/>
      <c r="T172" s="11"/>
      <c r="U172" s="11"/>
      <c r="V172" s="11"/>
      <c r="W172" s="11"/>
      <c r="X172" s="11"/>
      <c r="Y172" s="11"/>
      <c r="Z172" s="11"/>
    </row>
    <row r="173" ht="284.25" customHeight="1">
      <c r="A173" s="11"/>
      <c r="B173" s="13"/>
      <c r="C173" s="32" t="s">
        <v>606</v>
      </c>
      <c r="D173" s="33" t="s">
        <v>607</v>
      </c>
      <c r="E173" s="29" t="s">
        <v>67</v>
      </c>
      <c r="F173" s="33" t="s">
        <v>608</v>
      </c>
      <c r="G173" s="34" t="s">
        <v>609</v>
      </c>
      <c r="H173" s="31" t="s">
        <v>84</v>
      </c>
      <c r="I173" s="11"/>
      <c r="J173" s="11"/>
      <c r="K173" s="11"/>
      <c r="L173" s="11"/>
      <c r="M173" s="11"/>
      <c r="N173" s="11"/>
      <c r="O173" s="11"/>
      <c r="P173" s="11"/>
      <c r="Q173" s="11"/>
      <c r="R173" s="11"/>
      <c r="S173" s="11"/>
      <c r="T173" s="11"/>
      <c r="U173" s="11"/>
      <c r="V173" s="11"/>
      <c r="W173" s="11"/>
      <c r="X173" s="11"/>
      <c r="Y173" s="11"/>
      <c r="Z173" s="11"/>
    </row>
    <row r="174" ht="95.25" customHeight="1">
      <c r="A174" s="11"/>
      <c r="B174" s="13"/>
      <c r="C174" s="32" t="s">
        <v>610</v>
      </c>
      <c r="D174" s="33" t="s">
        <v>611</v>
      </c>
      <c r="E174" s="29" t="s">
        <v>67</v>
      </c>
      <c r="F174" s="33" t="s">
        <v>454</v>
      </c>
      <c r="G174" s="34" t="s">
        <v>612</v>
      </c>
      <c r="H174" s="31" t="s">
        <v>84</v>
      </c>
      <c r="I174" s="11"/>
      <c r="J174" s="11"/>
      <c r="K174" s="11"/>
      <c r="L174" s="11"/>
      <c r="M174" s="11"/>
      <c r="N174" s="11"/>
      <c r="O174" s="11"/>
      <c r="P174" s="11"/>
      <c r="Q174" s="11"/>
      <c r="R174" s="11"/>
      <c r="S174" s="11"/>
      <c r="T174" s="11"/>
      <c r="U174" s="11"/>
      <c r="V174" s="11"/>
      <c r="W174" s="11"/>
      <c r="X174" s="11"/>
      <c r="Y174" s="11"/>
      <c r="Z174" s="11"/>
    </row>
    <row r="175" ht="252.75" customHeight="1">
      <c r="A175" s="11"/>
      <c r="B175" s="13"/>
      <c r="C175" s="32" t="s">
        <v>613</v>
      </c>
      <c r="D175" s="33" t="s">
        <v>614</v>
      </c>
      <c r="E175" s="29" t="s">
        <v>67</v>
      </c>
      <c r="F175" s="33" t="s">
        <v>169</v>
      </c>
      <c r="G175" s="34" t="s">
        <v>615</v>
      </c>
      <c r="H175" s="31" t="s">
        <v>84</v>
      </c>
      <c r="I175" s="11"/>
      <c r="J175" s="11"/>
      <c r="K175" s="11"/>
      <c r="L175" s="11"/>
      <c r="M175" s="11"/>
      <c r="N175" s="11"/>
      <c r="O175" s="11"/>
      <c r="P175" s="11"/>
      <c r="Q175" s="11"/>
      <c r="R175" s="11"/>
      <c r="S175" s="11"/>
      <c r="T175" s="11"/>
      <c r="U175" s="11"/>
      <c r="V175" s="11"/>
      <c r="W175" s="11"/>
      <c r="X175" s="11"/>
      <c r="Y175" s="11"/>
      <c r="Z175" s="11"/>
    </row>
    <row r="176" ht="142.5" customHeight="1">
      <c r="A176" s="11"/>
      <c r="B176" s="13"/>
      <c r="C176" s="32" t="s">
        <v>616</v>
      </c>
      <c r="D176" s="33" t="s">
        <v>254</v>
      </c>
      <c r="E176" s="29" t="s">
        <v>67</v>
      </c>
      <c r="F176" s="33" t="s">
        <v>255</v>
      </c>
      <c r="G176" s="34" t="s">
        <v>256</v>
      </c>
      <c r="H176" s="31" t="s">
        <v>84</v>
      </c>
      <c r="I176" s="11"/>
      <c r="J176" s="11"/>
      <c r="K176" s="11"/>
      <c r="L176" s="11"/>
      <c r="M176" s="11"/>
      <c r="N176" s="11"/>
      <c r="O176" s="11"/>
      <c r="P176" s="11"/>
      <c r="Q176" s="11"/>
      <c r="R176" s="11"/>
      <c r="S176" s="11"/>
      <c r="T176" s="11"/>
      <c r="U176" s="11"/>
      <c r="V176" s="11"/>
      <c r="W176" s="11"/>
      <c r="X176" s="11"/>
      <c r="Y176" s="11"/>
      <c r="Z176" s="11"/>
    </row>
    <row r="177" ht="126.75" customHeight="1">
      <c r="A177" s="11"/>
      <c r="B177" s="13"/>
      <c r="C177" s="32" t="s">
        <v>617</v>
      </c>
      <c r="D177" s="33" t="s">
        <v>258</v>
      </c>
      <c r="E177" s="29" t="s">
        <v>67</v>
      </c>
      <c r="F177" s="33" t="s">
        <v>259</v>
      </c>
      <c r="G177" s="34" t="s">
        <v>260</v>
      </c>
      <c r="H177" s="31" t="s">
        <v>84</v>
      </c>
      <c r="I177" s="11"/>
      <c r="J177" s="11"/>
      <c r="K177" s="11"/>
      <c r="L177" s="11"/>
      <c r="M177" s="11"/>
      <c r="N177" s="11"/>
      <c r="O177" s="11"/>
      <c r="P177" s="11"/>
      <c r="Q177" s="11"/>
      <c r="R177" s="11"/>
      <c r="S177" s="11"/>
      <c r="T177" s="11"/>
      <c r="U177" s="11"/>
      <c r="V177" s="11"/>
      <c r="W177" s="11"/>
      <c r="X177" s="11"/>
      <c r="Y177" s="11"/>
      <c r="Z177" s="11"/>
    </row>
    <row r="178" ht="126.75" customHeight="1">
      <c r="A178" s="11"/>
      <c r="B178" s="13"/>
      <c r="C178" s="32" t="s">
        <v>618</v>
      </c>
      <c r="D178" s="33" t="s">
        <v>262</v>
      </c>
      <c r="E178" s="29" t="s">
        <v>67</v>
      </c>
      <c r="F178" s="33" t="s">
        <v>263</v>
      </c>
      <c r="G178" s="34" t="s">
        <v>264</v>
      </c>
      <c r="H178" s="31" t="s">
        <v>84</v>
      </c>
      <c r="I178" s="11"/>
      <c r="J178" s="11"/>
      <c r="K178" s="11"/>
      <c r="L178" s="11"/>
      <c r="M178" s="11"/>
      <c r="N178" s="11"/>
      <c r="O178" s="11"/>
      <c r="P178" s="11"/>
      <c r="Q178" s="11"/>
      <c r="R178" s="11"/>
      <c r="S178" s="11"/>
      <c r="T178" s="11"/>
      <c r="U178" s="11"/>
      <c r="V178" s="11"/>
      <c r="W178" s="11"/>
      <c r="X178" s="11"/>
      <c r="Y178" s="11"/>
      <c r="Z178" s="11"/>
    </row>
    <row r="179" ht="409.5" customHeight="1">
      <c r="A179" s="11"/>
      <c r="B179" s="13"/>
      <c r="C179" s="32" t="s">
        <v>619</v>
      </c>
      <c r="D179" s="33" t="s">
        <v>266</v>
      </c>
      <c r="E179" s="33" t="s">
        <v>67</v>
      </c>
      <c r="F179" s="33" t="s">
        <v>267</v>
      </c>
      <c r="G179" s="34" t="s">
        <v>268</v>
      </c>
      <c r="H179" s="31" t="s">
        <v>84</v>
      </c>
      <c r="I179" s="11"/>
      <c r="J179" s="11"/>
      <c r="K179" s="11"/>
      <c r="L179" s="11"/>
      <c r="M179" s="11"/>
      <c r="N179" s="11"/>
      <c r="O179" s="11"/>
      <c r="P179" s="11"/>
      <c r="Q179" s="11"/>
      <c r="R179" s="11"/>
      <c r="S179" s="11"/>
      <c r="T179" s="11"/>
      <c r="U179" s="11"/>
      <c r="V179" s="11"/>
      <c r="W179" s="11"/>
      <c r="X179" s="11"/>
      <c r="Y179" s="11"/>
      <c r="Z179" s="11"/>
    </row>
    <row r="180" ht="111.0" customHeight="1">
      <c r="A180" s="11"/>
      <c r="B180" s="13"/>
      <c r="C180" s="32" t="s">
        <v>620</v>
      </c>
      <c r="D180" s="33" t="s">
        <v>270</v>
      </c>
      <c r="E180" s="29" t="s">
        <v>67</v>
      </c>
      <c r="F180" s="33" t="s">
        <v>271</v>
      </c>
      <c r="G180" s="34" t="s">
        <v>272</v>
      </c>
      <c r="H180" s="12" t="s">
        <v>84</v>
      </c>
      <c r="I180" s="11"/>
      <c r="J180" s="11"/>
      <c r="K180" s="11"/>
      <c r="L180" s="11"/>
      <c r="M180" s="11"/>
      <c r="N180" s="11"/>
      <c r="O180" s="11"/>
      <c r="P180" s="11"/>
      <c r="Q180" s="11"/>
      <c r="R180" s="11"/>
      <c r="S180" s="11"/>
      <c r="T180" s="11"/>
      <c r="U180" s="11"/>
      <c r="V180" s="11"/>
      <c r="W180" s="11"/>
      <c r="X180" s="11"/>
      <c r="Y180" s="11"/>
      <c r="Z180" s="11"/>
    </row>
    <row r="181" ht="111.0" customHeight="1">
      <c r="A181" s="11"/>
      <c r="B181" s="13"/>
      <c r="C181" s="32" t="s">
        <v>621</v>
      </c>
      <c r="D181" s="33" t="s">
        <v>274</v>
      </c>
      <c r="E181" s="29" t="s">
        <v>67</v>
      </c>
      <c r="F181" s="33" t="s">
        <v>275</v>
      </c>
      <c r="G181" s="34" t="s">
        <v>276</v>
      </c>
      <c r="H181" s="12" t="s">
        <v>84</v>
      </c>
      <c r="I181" s="11"/>
      <c r="J181" s="11"/>
      <c r="K181" s="11"/>
      <c r="L181" s="11"/>
      <c r="M181" s="11"/>
      <c r="N181" s="11"/>
      <c r="O181" s="11"/>
      <c r="P181" s="11"/>
      <c r="Q181" s="11"/>
      <c r="R181" s="11"/>
      <c r="S181" s="11"/>
      <c r="T181" s="11"/>
      <c r="U181" s="11"/>
      <c r="V181" s="11"/>
      <c r="W181" s="11"/>
      <c r="X181" s="11"/>
      <c r="Y181" s="11"/>
      <c r="Z181" s="11"/>
    </row>
    <row r="182" ht="111.0" customHeight="1">
      <c r="A182" s="11"/>
      <c r="B182" s="13"/>
      <c r="C182" s="32" t="s">
        <v>622</v>
      </c>
      <c r="D182" s="33" t="s">
        <v>278</v>
      </c>
      <c r="E182" s="29" t="s">
        <v>67</v>
      </c>
      <c r="F182" s="33" t="s">
        <v>279</v>
      </c>
      <c r="G182" s="34" t="s">
        <v>280</v>
      </c>
      <c r="H182" s="12" t="s">
        <v>84</v>
      </c>
      <c r="I182" s="11"/>
      <c r="J182" s="11"/>
      <c r="K182" s="11"/>
      <c r="L182" s="11"/>
      <c r="M182" s="11"/>
      <c r="N182" s="11"/>
      <c r="O182" s="11"/>
      <c r="P182" s="11"/>
      <c r="Q182" s="11"/>
      <c r="R182" s="11"/>
      <c r="S182" s="11"/>
      <c r="T182" s="11"/>
      <c r="U182" s="11"/>
      <c r="V182" s="11"/>
      <c r="W182" s="11"/>
      <c r="X182" s="11"/>
      <c r="Y182" s="11"/>
      <c r="Z182" s="11"/>
    </row>
    <row r="183" ht="108.75" customHeight="1">
      <c r="A183" s="11"/>
      <c r="B183" s="13"/>
      <c r="C183" s="32" t="s">
        <v>623</v>
      </c>
      <c r="D183" s="33" t="s">
        <v>624</v>
      </c>
      <c r="E183" s="29" t="s">
        <v>67</v>
      </c>
      <c r="F183" s="33" t="s">
        <v>283</v>
      </c>
      <c r="G183" s="34" t="s">
        <v>284</v>
      </c>
      <c r="H183" s="12" t="s">
        <v>84</v>
      </c>
      <c r="I183" s="11"/>
      <c r="J183" s="11"/>
      <c r="K183" s="11"/>
      <c r="L183" s="11"/>
      <c r="M183" s="11"/>
      <c r="N183" s="11"/>
      <c r="O183" s="11"/>
      <c r="P183" s="11"/>
      <c r="Q183" s="11"/>
      <c r="R183" s="11"/>
      <c r="S183" s="11"/>
      <c r="T183" s="11"/>
      <c r="U183" s="11"/>
      <c r="V183" s="11"/>
      <c r="W183" s="11"/>
      <c r="X183" s="11"/>
      <c r="Y183" s="11"/>
      <c r="Z183" s="11"/>
    </row>
    <row r="184" ht="79.5" customHeight="1">
      <c r="A184" s="11"/>
      <c r="B184" s="13"/>
      <c r="C184" s="32" t="s">
        <v>625</v>
      </c>
      <c r="D184" s="33" t="s">
        <v>626</v>
      </c>
      <c r="E184" s="29" t="s">
        <v>67</v>
      </c>
      <c r="F184" s="33" t="s">
        <v>287</v>
      </c>
      <c r="G184" s="34" t="s">
        <v>288</v>
      </c>
      <c r="H184" s="12" t="s">
        <v>84</v>
      </c>
      <c r="I184" s="11"/>
      <c r="J184" s="11"/>
      <c r="K184" s="11"/>
      <c r="L184" s="11"/>
      <c r="M184" s="11"/>
      <c r="N184" s="11"/>
      <c r="O184" s="11"/>
      <c r="P184" s="11"/>
      <c r="Q184" s="11"/>
      <c r="R184" s="11"/>
      <c r="S184" s="11"/>
      <c r="T184" s="11"/>
      <c r="U184" s="11"/>
      <c r="V184" s="11"/>
      <c r="W184" s="11"/>
      <c r="X184" s="11"/>
      <c r="Y184" s="11"/>
      <c r="Z184" s="11"/>
    </row>
    <row r="185" ht="158.25" customHeight="1">
      <c r="A185" s="11"/>
      <c r="B185" s="13"/>
      <c r="C185" s="32" t="s">
        <v>627</v>
      </c>
      <c r="D185" s="33" t="s">
        <v>628</v>
      </c>
      <c r="E185" s="29" t="s">
        <v>67</v>
      </c>
      <c r="F185" s="33" t="s">
        <v>291</v>
      </c>
      <c r="G185" s="34" t="s">
        <v>292</v>
      </c>
      <c r="H185" s="12" t="s">
        <v>84</v>
      </c>
      <c r="I185" s="11"/>
      <c r="J185" s="11"/>
      <c r="K185" s="11"/>
      <c r="L185" s="11"/>
      <c r="M185" s="11"/>
      <c r="N185" s="11"/>
      <c r="O185" s="11"/>
      <c r="P185" s="11"/>
      <c r="Q185" s="11"/>
      <c r="R185" s="11"/>
      <c r="S185" s="11"/>
      <c r="T185" s="11"/>
      <c r="U185" s="11"/>
      <c r="V185" s="11"/>
      <c r="W185" s="11"/>
      <c r="X185" s="11"/>
      <c r="Y185" s="11"/>
      <c r="Z185" s="11"/>
    </row>
    <row r="186" ht="79.5" customHeight="1">
      <c r="A186" s="11"/>
      <c r="B186" s="13"/>
      <c r="C186" s="32" t="s">
        <v>629</v>
      </c>
      <c r="D186" s="33" t="s">
        <v>630</v>
      </c>
      <c r="E186" s="29" t="s">
        <v>67</v>
      </c>
      <c r="F186" s="33" t="s">
        <v>295</v>
      </c>
      <c r="G186" s="34" t="s">
        <v>296</v>
      </c>
      <c r="H186" s="12" t="s">
        <v>84</v>
      </c>
      <c r="I186" s="11"/>
      <c r="J186" s="11"/>
      <c r="K186" s="11"/>
      <c r="L186" s="11"/>
      <c r="M186" s="11"/>
      <c r="N186" s="11"/>
      <c r="O186" s="11"/>
      <c r="P186" s="11"/>
      <c r="Q186" s="11"/>
      <c r="R186" s="11"/>
      <c r="S186" s="11"/>
      <c r="T186" s="11"/>
      <c r="U186" s="11"/>
      <c r="V186" s="11"/>
      <c r="W186" s="11"/>
      <c r="X186" s="11"/>
      <c r="Y186" s="11"/>
      <c r="Z186" s="11"/>
    </row>
    <row r="187" ht="63.75" customHeight="1">
      <c r="A187" s="11"/>
      <c r="B187" s="13"/>
      <c r="C187" s="32" t="s">
        <v>631</v>
      </c>
      <c r="D187" s="33" t="s">
        <v>298</v>
      </c>
      <c r="E187" s="29" t="s">
        <v>67</v>
      </c>
      <c r="F187" s="33" t="s">
        <v>299</v>
      </c>
      <c r="G187" s="34" t="s">
        <v>300</v>
      </c>
      <c r="H187" s="12" t="s">
        <v>84</v>
      </c>
      <c r="I187" s="11"/>
      <c r="J187" s="11"/>
      <c r="K187" s="11"/>
      <c r="L187" s="11"/>
      <c r="M187" s="11"/>
      <c r="N187" s="11"/>
      <c r="O187" s="11"/>
      <c r="P187" s="11"/>
      <c r="Q187" s="11"/>
      <c r="R187" s="11"/>
      <c r="S187" s="11"/>
      <c r="T187" s="11"/>
      <c r="U187" s="11"/>
      <c r="V187" s="11"/>
      <c r="W187" s="11"/>
      <c r="X187" s="11"/>
      <c r="Y187" s="11"/>
      <c r="Z187" s="11"/>
    </row>
    <row r="188" ht="126.75" customHeight="1">
      <c r="A188" s="11"/>
      <c r="B188" s="13"/>
      <c r="C188" s="32" t="s">
        <v>632</v>
      </c>
      <c r="D188" s="33" t="s">
        <v>633</v>
      </c>
      <c r="E188" s="29" t="s">
        <v>67</v>
      </c>
      <c r="F188" s="33" t="s">
        <v>303</v>
      </c>
      <c r="G188" s="34" t="s">
        <v>304</v>
      </c>
      <c r="H188" s="12" t="s">
        <v>84</v>
      </c>
      <c r="I188" s="11"/>
      <c r="J188" s="11"/>
      <c r="K188" s="11"/>
      <c r="L188" s="11"/>
      <c r="M188" s="11"/>
      <c r="N188" s="11"/>
      <c r="O188" s="11"/>
      <c r="P188" s="11"/>
      <c r="Q188" s="11"/>
      <c r="R188" s="11"/>
      <c r="S188" s="11"/>
      <c r="T188" s="11"/>
      <c r="U188" s="11"/>
      <c r="V188" s="11"/>
      <c r="W188" s="11"/>
      <c r="X188" s="11"/>
      <c r="Y188" s="11"/>
      <c r="Z188" s="11"/>
    </row>
    <row r="189" ht="174.0" customHeight="1">
      <c r="A189" s="11"/>
      <c r="B189" s="13"/>
      <c r="C189" s="32" t="s">
        <v>634</v>
      </c>
      <c r="D189" s="33" t="s">
        <v>306</v>
      </c>
      <c r="E189" s="29" t="s">
        <v>67</v>
      </c>
      <c r="F189" s="33" t="s">
        <v>307</v>
      </c>
      <c r="G189" s="34" t="s">
        <v>308</v>
      </c>
      <c r="H189" s="12" t="s">
        <v>84</v>
      </c>
      <c r="I189" s="11"/>
      <c r="J189" s="11"/>
      <c r="K189" s="11"/>
      <c r="L189" s="11"/>
      <c r="M189" s="11"/>
      <c r="N189" s="11"/>
      <c r="O189" s="11"/>
      <c r="P189" s="11"/>
      <c r="Q189" s="11"/>
      <c r="R189" s="11"/>
      <c r="S189" s="11"/>
      <c r="T189" s="11"/>
      <c r="U189" s="11"/>
      <c r="V189" s="11"/>
      <c r="W189" s="11"/>
      <c r="X189" s="11"/>
      <c r="Y189" s="11"/>
      <c r="Z189" s="11"/>
    </row>
    <row r="190" ht="95.25" customHeight="1">
      <c r="A190" s="11"/>
      <c r="B190" s="13"/>
      <c r="C190" s="32" t="s">
        <v>635</v>
      </c>
      <c r="D190" s="33" t="s">
        <v>636</v>
      </c>
      <c r="E190" s="29" t="s">
        <v>67</v>
      </c>
      <c r="F190" s="33" t="s">
        <v>311</v>
      </c>
      <c r="G190" s="34" t="s">
        <v>312</v>
      </c>
      <c r="H190" s="12" t="s">
        <v>84</v>
      </c>
      <c r="I190" s="11"/>
      <c r="J190" s="11"/>
      <c r="K190" s="11"/>
      <c r="L190" s="11"/>
      <c r="M190" s="11"/>
      <c r="N190" s="11"/>
      <c r="O190" s="11"/>
      <c r="P190" s="11"/>
      <c r="Q190" s="11"/>
      <c r="R190" s="11"/>
      <c r="S190" s="11"/>
      <c r="T190" s="11"/>
      <c r="U190" s="11"/>
      <c r="V190" s="11"/>
      <c r="W190" s="11"/>
      <c r="X190" s="11"/>
      <c r="Y190" s="11"/>
      <c r="Z190" s="11"/>
    </row>
    <row r="191" ht="63.75" customHeight="1">
      <c r="A191" s="11"/>
      <c r="B191" s="13"/>
      <c r="C191" s="32" t="s">
        <v>637</v>
      </c>
      <c r="D191" s="33" t="s">
        <v>638</v>
      </c>
      <c r="E191" s="29" t="s">
        <v>67</v>
      </c>
      <c r="F191" s="33" t="s">
        <v>315</v>
      </c>
      <c r="G191" s="34" t="s">
        <v>316</v>
      </c>
      <c r="H191" s="12" t="s">
        <v>84</v>
      </c>
      <c r="I191" s="11"/>
      <c r="J191" s="11"/>
      <c r="K191" s="11"/>
      <c r="L191" s="11"/>
      <c r="M191" s="11"/>
      <c r="N191" s="11"/>
      <c r="O191" s="11"/>
      <c r="P191" s="11"/>
      <c r="Q191" s="11"/>
      <c r="R191" s="11"/>
      <c r="S191" s="11"/>
      <c r="T191" s="11"/>
      <c r="U191" s="11"/>
      <c r="V191" s="11"/>
      <c r="W191" s="11"/>
      <c r="X191" s="11"/>
      <c r="Y191" s="11"/>
      <c r="Z191" s="11"/>
    </row>
    <row r="192" ht="79.5" customHeight="1">
      <c r="A192" s="11"/>
      <c r="B192" s="13"/>
      <c r="C192" s="32" t="s">
        <v>639</v>
      </c>
      <c r="D192" s="33" t="s">
        <v>640</v>
      </c>
      <c r="E192" s="29" t="s">
        <v>67</v>
      </c>
      <c r="F192" s="33" t="s">
        <v>641</v>
      </c>
      <c r="G192" s="34" t="s">
        <v>642</v>
      </c>
      <c r="H192" s="12" t="s">
        <v>84</v>
      </c>
      <c r="I192" s="11"/>
      <c r="J192" s="11"/>
      <c r="K192" s="11"/>
      <c r="L192" s="11"/>
      <c r="M192" s="11"/>
      <c r="N192" s="11"/>
      <c r="O192" s="11"/>
      <c r="P192" s="11"/>
      <c r="Q192" s="11"/>
      <c r="R192" s="11"/>
      <c r="S192" s="11"/>
      <c r="T192" s="11"/>
      <c r="U192" s="11"/>
      <c r="V192" s="11"/>
      <c r="W192" s="11"/>
      <c r="X192" s="11"/>
      <c r="Y192" s="11"/>
      <c r="Z192" s="11"/>
    </row>
    <row r="193" ht="79.5" customHeight="1">
      <c r="A193" s="11"/>
      <c r="B193" s="13"/>
      <c r="C193" s="32" t="s">
        <v>643</v>
      </c>
      <c r="D193" s="33" t="s">
        <v>338</v>
      </c>
      <c r="E193" s="29" t="s">
        <v>67</v>
      </c>
      <c r="F193" s="33" t="s">
        <v>339</v>
      </c>
      <c r="G193" s="34" t="s">
        <v>340</v>
      </c>
      <c r="H193" s="12" t="s">
        <v>84</v>
      </c>
      <c r="I193" s="11"/>
      <c r="J193" s="11"/>
      <c r="K193" s="11"/>
      <c r="L193" s="11"/>
      <c r="M193" s="11"/>
      <c r="N193" s="11"/>
      <c r="O193" s="11"/>
      <c r="P193" s="11"/>
      <c r="Q193" s="11"/>
      <c r="R193" s="11"/>
      <c r="S193" s="11"/>
      <c r="T193" s="11"/>
      <c r="U193" s="11"/>
      <c r="V193" s="11"/>
      <c r="W193" s="11"/>
      <c r="X193" s="11"/>
      <c r="Y193" s="11"/>
      <c r="Z193" s="11"/>
    </row>
    <row r="194" ht="79.5" customHeight="1">
      <c r="A194" s="11"/>
      <c r="B194" s="13"/>
      <c r="C194" s="32" t="s">
        <v>644</v>
      </c>
      <c r="D194" s="33" t="s">
        <v>342</v>
      </c>
      <c r="E194" s="29" t="s">
        <v>67</v>
      </c>
      <c r="F194" s="33" t="s">
        <v>343</v>
      </c>
      <c r="G194" s="34" t="s">
        <v>344</v>
      </c>
      <c r="H194" s="12" t="s">
        <v>84</v>
      </c>
      <c r="I194" s="11"/>
      <c r="J194" s="11"/>
      <c r="K194" s="11"/>
      <c r="L194" s="11"/>
      <c r="M194" s="11"/>
      <c r="N194" s="11"/>
      <c r="O194" s="11"/>
      <c r="P194" s="11"/>
      <c r="Q194" s="11"/>
      <c r="R194" s="11"/>
      <c r="S194" s="11"/>
      <c r="T194" s="11"/>
      <c r="U194" s="11"/>
      <c r="V194" s="11"/>
      <c r="W194" s="11"/>
      <c r="X194" s="11"/>
      <c r="Y194" s="11"/>
      <c r="Z194" s="11"/>
    </row>
    <row r="195" ht="63.75" customHeight="1">
      <c r="A195" s="11"/>
      <c r="B195" s="13"/>
      <c r="C195" s="32" t="s">
        <v>645</v>
      </c>
      <c r="D195" s="33" t="s">
        <v>646</v>
      </c>
      <c r="E195" s="29" t="s">
        <v>67</v>
      </c>
      <c r="F195" s="33" t="s">
        <v>347</v>
      </c>
      <c r="G195" s="34" t="s">
        <v>348</v>
      </c>
      <c r="H195" s="12" t="s">
        <v>84</v>
      </c>
      <c r="I195" s="11"/>
      <c r="J195" s="11"/>
      <c r="K195" s="11"/>
      <c r="L195" s="11"/>
      <c r="M195" s="11"/>
      <c r="N195" s="11"/>
      <c r="O195" s="11"/>
      <c r="P195" s="11"/>
      <c r="Q195" s="11"/>
      <c r="R195" s="11"/>
      <c r="S195" s="11"/>
      <c r="T195" s="11"/>
      <c r="U195" s="11"/>
      <c r="V195" s="11"/>
      <c r="W195" s="11"/>
      <c r="X195" s="11"/>
      <c r="Y195" s="11"/>
      <c r="Z195" s="11"/>
    </row>
    <row r="196" ht="111.0" customHeight="1">
      <c r="A196" s="11"/>
      <c r="B196" s="13"/>
      <c r="C196" s="32" t="s">
        <v>647</v>
      </c>
      <c r="D196" s="33" t="s">
        <v>350</v>
      </c>
      <c r="E196" s="29" t="s">
        <v>67</v>
      </c>
      <c r="F196" s="33" t="s">
        <v>351</v>
      </c>
      <c r="G196" s="34" t="s">
        <v>352</v>
      </c>
      <c r="H196" s="12" t="s">
        <v>84</v>
      </c>
      <c r="I196" s="11"/>
      <c r="J196" s="11"/>
      <c r="K196" s="11"/>
      <c r="L196" s="11"/>
      <c r="M196" s="11"/>
      <c r="N196" s="11"/>
      <c r="O196" s="11"/>
      <c r="P196" s="11"/>
      <c r="Q196" s="11"/>
      <c r="R196" s="11"/>
      <c r="S196" s="11"/>
      <c r="T196" s="11"/>
      <c r="U196" s="11"/>
      <c r="V196" s="11"/>
      <c r="W196" s="11"/>
      <c r="X196" s="11"/>
      <c r="Y196" s="11"/>
      <c r="Z196" s="11"/>
    </row>
    <row r="197" ht="79.5" customHeight="1">
      <c r="A197" s="11"/>
      <c r="B197" s="13"/>
      <c r="C197" s="32" t="s">
        <v>648</v>
      </c>
      <c r="D197" s="33" t="s">
        <v>354</v>
      </c>
      <c r="E197" s="29" t="s">
        <v>67</v>
      </c>
      <c r="F197" s="33" t="s">
        <v>355</v>
      </c>
      <c r="G197" s="34" t="s">
        <v>356</v>
      </c>
      <c r="H197" s="12" t="s">
        <v>84</v>
      </c>
      <c r="I197" s="11"/>
      <c r="J197" s="11"/>
      <c r="K197" s="11"/>
      <c r="L197" s="11"/>
      <c r="M197" s="11"/>
      <c r="N197" s="11"/>
      <c r="O197" s="11"/>
      <c r="P197" s="11"/>
      <c r="Q197" s="11"/>
      <c r="R197" s="11"/>
      <c r="S197" s="11"/>
      <c r="T197" s="11"/>
      <c r="U197" s="11"/>
      <c r="V197" s="11"/>
      <c r="W197" s="11"/>
      <c r="X197" s="11"/>
      <c r="Y197" s="11"/>
      <c r="Z197" s="11"/>
    </row>
    <row r="198" ht="79.5" customHeight="1">
      <c r="A198" s="11"/>
      <c r="B198" s="13"/>
      <c r="C198" s="32" t="s">
        <v>649</v>
      </c>
      <c r="D198" s="33" t="s">
        <v>358</v>
      </c>
      <c r="E198" s="29" t="s">
        <v>67</v>
      </c>
      <c r="F198" s="33" t="s">
        <v>359</v>
      </c>
      <c r="G198" s="34" t="s">
        <v>360</v>
      </c>
      <c r="H198" s="12" t="s">
        <v>84</v>
      </c>
      <c r="I198" s="11"/>
      <c r="J198" s="11"/>
      <c r="K198" s="11"/>
      <c r="L198" s="11"/>
      <c r="M198" s="11"/>
      <c r="N198" s="11"/>
      <c r="O198" s="11"/>
      <c r="P198" s="11"/>
      <c r="Q198" s="11"/>
      <c r="R198" s="11"/>
      <c r="S198" s="11"/>
      <c r="T198" s="11"/>
      <c r="U198" s="11"/>
      <c r="V198" s="11"/>
      <c r="W198" s="11"/>
      <c r="X198" s="11"/>
      <c r="Y198" s="11"/>
      <c r="Z198" s="11"/>
    </row>
    <row r="199" ht="79.5" customHeight="1">
      <c r="A199" s="11"/>
      <c r="B199" s="13"/>
      <c r="C199" s="32" t="s">
        <v>650</v>
      </c>
      <c r="D199" s="33" t="s">
        <v>362</v>
      </c>
      <c r="E199" s="29" t="s">
        <v>67</v>
      </c>
      <c r="F199" s="33" t="s">
        <v>363</v>
      </c>
      <c r="G199" s="34" t="s">
        <v>364</v>
      </c>
      <c r="H199" s="12" t="s">
        <v>84</v>
      </c>
      <c r="I199" s="11"/>
      <c r="J199" s="11"/>
      <c r="K199" s="11"/>
      <c r="L199" s="11"/>
      <c r="M199" s="11"/>
      <c r="N199" s="11"/>
      <c r="O199" s="11"/>
      <c r="P199" s="11"/>
      <c r="Q199" s="11"/>
      <c r="R199" s="11"/>
      <c r="S199" s="11"/>
      <c r="T199" s="11"/>
      <c r="U199" s="11"/>
      <c r="V199" s="11"/>
      <c r="W199" s="11"/>
      <c r="X199" s="11"/>
      <c r="Y199" s="11"/>
      <c r="Z199" s="11"/>
    </row>
    <row r="200" ht="63.75" customHeight="1">
      <c r="A200" s="11"/>
      <c r="B200" s="13"/>
      <c r="C200" s="32" t="s">
        <v>651</v>
      </c>
      <c r="D200" s="33" t="s">
        <v>366</v>
      </c>
      <c r="E200" s="29" t="s">
        <v>67</v>
      </c>
      <c r="F200" s="33" t="s">
        <v>367</v>
      </c>
      <c r="G200" s="34" t="s">
        <v>368</v>
      </c>
      <c r="H200" s="12" t="s">
        <v>84</v>
      </c>
      <c r="I200" s="11"/>
      <c r="J200" s="11"/>
      <c r="K200" s="11"/>
      <c r="L200" s="11"/>
      <c r="M200" s="11"/>
      <c r="N200" s="11"/>
      <c r="O200" s="11"/>
      <c r="P200" s="11"/>
      <c r="Q200" s="11"/>
      <c r="R200" s="11"/>
      <c r="S200" s="11"/>
      <c r="T200" s="11"/>
      <c r="U200" s="11"/>
      <c r="V200" s="11"/>
      <c r="W200" s="11"/>
      <c r="X200" s="11"/>
      <c r="Y200" s="11"/>
      <c r="Z200" s="11"/>
    </row>
    <row r="201" ht="63.75" customHeight="1">
      <c r="A201" s="11"/>
      <c r="B201" s="13"/>
      <c r="C201" s="32" t="s">
        <v>652</v>
      </c>
      <c r="D201" s="33" t="s">
        <v>370</v>
      </c>
      <c r="E201" s="29" t="s">
        <v>67</v>
      </c>
      <c r="F201" s="33" t="s">
        <v>371</v>
      </c>
      <c r="G201" s="34" t="s">
        <v>372</v>
      </c>
      <c r="H201" s="12" t="s">
        <v>84</v>
      </c>
      <c r="I201" s="11"/>
      <c r="J201" s="11"/>
      <c r="K201" s="11"/>
      <c r="L201" s="11"/>
      <c r="M201" s="11"/>
      <c r="N201" s="11"/>
      <c r="O201" s="11"/>
      <c r="P201" s="11"/>
      <c r="Q201" s="11"/>
      <c r="R201" s="11"/>
      <c r="S201" s="11"/>
      <c r="T201" s="11"/>
      <c r="U201" s="11"/>
      <c r="V201" s="11"/>
      <c r="W201" s="11"/>
      <c r="X201" s="11"/>
      <c r="Y201" s="11"/>
      <c r="Z201" s="11"/>
    </row>
    <row r="202" ht="79.5" customHeight="1">
      <c r="A202" s="11"/>
      <c r="B202" s="13"/>
      <c r="C202" s="32" t="s">
        <v>653</v>
      </c>
      <c r="D202" s="33" t="s">
        <v>654</v>
      </c>
      <c r="E202" s="29" t="s">
        <v>67</v>
      </c>
      <c r="F202" s="33" t="s">
        <v>375</v>
      </c>
      <c r="G202" s="34" t="s">
        <v>376</v>
      </c>
      <c r="H202" s="12" t="s">
        <v>84</v>
      </c>
      <c r="I202" s="11"/>
      <c r="J202" s="11"/>
      <c r="K202" s="11"/>
      <c r="L202" s="11"/>
      <c r="M202" s="11"/>
      <c r="N202" s="11"/>
      <c r="O202" s="11"/>
      <c r="P202" s="11"/>
      <c r="Q202" s="11"/>
      <c r="R202" s="11"/>
      <c r="S202" s="11"/>
      <c r="T202" s="11"/>
      <c r="U202" s="11"/>
      <c r="V202" s="11"/>
      <c r="W202" s="11"/>
      <c r="X202" s="11"/>
      <c r="Y202" s="11"/>
      <c r="Z202" s="11"/>
    </row>
    <row r="203" ht="79.5" customHeight="1">
      <c r="A203" s="11"/>
      <c r="B203" s="13"/>
      <c r="C203" s="32" t="s">
        <v>655</v>
      </c>
      <c r="D203" s="33" t="s">
        <v>378</v>
      </c>
      <c r="E203" s="29" t="s">
        <v>67</v>
      </c>
      <c r="F203" s="33" t="s">
        <v>379</v>
      </c>
      <c r="G203" s="34" t="s">
        <v>380</v>
      </c>
      <c r="H203" s="12" t="s">
        <v>84</v>
      </c>
      <c r="I203" s="11"/>
      <c r="J203" s="11"/>
      <c r="K203" s="11"/>
      <c r="L203" s="11"/>
      <c r="M203" s="11"/>
      <c r="N203" s="11"/>
      <c r="O203" s="11"/>
      <c r="P203" s="11"/>
      <c r="Q203" s="11"/>
      <c r="R203" s="11"/>
      <c r="S203" s="11"/>
      <c r="T203" s="11"/>
      <c r="U203" s="11"/>
      <c r="V203" s="11"/>
      <c r="W203" s="11"/>
      <c r="X203" s="11"/>
      <c r="Y203" s="11"/>
      <c r="Z203" s="11"/>
    </row>
    <row r="204" ht="63.75" customHeight="1">
      <c r="A204" s="11"/>
      <c r="B204" s="13"/>
      <c r="C204" s="32" t="s">
        <v>656</v>
      </c>
      <c r="D204" s="33" t="s">
        <v>382</v>
      </c>
      <c r="E204" s="29" t="s">
        <v>67</v>
      </c>
      <c r="F204" s="33" t="s">
        <v>383</v>
      </c>
      <c r="G204" s="34" t="s">
        <v>384</v>
      </c>
      <c r="H204" s="12" t="s">
        <v>84</v>
      </c>
      <c r="I204" s="11"/>
      <c r="J204" s="11"/>
      <c r="K204" s="11"/>
      <c r="L204" s="11"/>
      <c r="M204" s="11"/>
      <c r="N204" s="11"/>
      <c r="O204" s="11"/>
      <c r="P204" s="11"/>
      <c r="Q204" s="11"/>
      <c r="R204" s="11"/>
      <c r="S204" s="11"/>
      <c r="T204" s="11"/>
      <c r="U204" s="11"/>
      <c r="V204" s="11"/>
      <c r="W204" s="11"/>
      <c r="X204" s="11"/>
      <c r="Y204" s="11"/>
      <c r="Z204" s="11"/>
    </row>
    <row r="205" ht="111.0" customHeight="1">
      <c r="A205" s="11"/>
      <c r="B205" s="13"/>
      <c r="C205" s="32" t="s">
        <v>657</v>
      </c>
      <c r="D205" s="33" t="s">
        <v>386</v>
      </c>
      <c r="E205" s="29" t="s">
        <v>67</v>
      </c>
      <c r="F205" s="33" t="s">
        <v>387</v>
      </c>
      <c r="G205" s="34" t="s">
        <v>388</v>
      </c>
      <c r="H205" s="12" t="s">
        <v>84</v>
      </c>
      <c r="I205" s="11"/>
      <c r="J205" s="11"/>
      <c r="K205" s="11"/>
      <c r="L205" s="11"/>
      <c r="M205" s="11"/>
      <c r="N205" s="11"/>
      <c r="O205" s="11"/>
      <c r="P205" s="11"/>
      <c r="Q205" s="11"/>
      <c r="R205" s="11"/>
      <c r="S205" s="11"/>
      <c r="T205" s="11"/>
      <c r="U205" s="11"/>
      <c r="V205" s="11"/>
      <c r="W205" s="11"/>
      <c r="X205" s="11"/>
      <c r="Y205" s="11"/>
      <c r="Z205" s="11"/>
    </row>
    <row r="206" ht="142.5" customHeight="1">
      <c r="A206" s="11"/>
      <c r="B206" s="13"/>
      <c r="C206" s="32" t="s">
        <v>658</v>
      </c>
      <c r="D206" s="33" t="s">
        <v>659</v>
      </c>
      <c r="E206" s="29" t="s">
        <v>67</v>
      </c>
      <c r="F206" s="33" t="s">
        <v>391</v>
      </c>
      <c r="G206" s="34" t="s">
        <v>392</v>
      </c>
      <c r="H206" s="12" t="s">
        <v>84</v>
      </c>
      <c r="I206" s="11"/>
      <c r="J206" s="11"/>
      <c r="K206" s="11"/>
      <c r="L206" s="11"/>
      <c r="M206" s="11"/>
      <c r="N206" s="11"/>
      <c r="O206" s="11"/>
      <c r="P206" s="11"/>
      <c r="Q206" s="11"/>
      <c r="R206" s="11"/>
      <c r="S206" s="11"/>
      <c r="T206" s="11"/>
      <c r="U206" s="11"/>
      <c r="V206" s="11"/>
      <c r="W206" s="11"/>
      <c r="X206" s="11"/>
      <c r="Y206" s="11"/>
      <c r="Z206" s="11"/>
    </row>
    <row r="207" ht="95.25" customHeight="1">
      <c r="A207" s="11"/>
      <c r="B207" s="13"/>
      <c r="C207" s="27" t="s">
        <v>660</v>
      </c>
      <c r="D207" s="28" t="s">
        <v>661</v>
      </c>
      <c r="E207" s="29" t="s">
        <v>67</v>
      </c>
      <c r="F207" s="28" t="s">
        <v>662</v>
      </c>
      <c r="G207" s="30" t="s">
        <v>663</v>
      </c>
      <c r="H207" s="12" t="s">
        <v>84</v>
      </c>
      <c r="I207" s="11"/>
      <c r="J207" s="11"/>
      <c r="K207" s="11"/>
      <c r="L207" s="11"/>
      <c r="M207" s="11"/>
      <c r="N207" s="11"/>
      <c r="O207" s="11"/>
      <c r="P207" s="11"/>
      <c r="Q207" s="11"/>
      <c r="R207" s="11"/>
      <c r="S207" s="11"/>
      <c r="T207" s="11"/>
      <c r="U207" s="11"/>
      <c r="V207" s="11"/>
      <c r="W207" s="11"/>
      <c r="X207" s="11"/>
      <c r="Y207" s="11"/>
      <c r="Z207" s="11"/>
    </row>
    <row r="208" ht="79.5" customHeight="1">
      <c r="A208" s="11"/>
      <c r="B208" s="13"/>
      <c r="C208" s="32" t="s">
        <v>664</v>
      </c>
      <c r="D208" s="33" t="s">
        <v>665</v>
      </c>
      <c r="E208" s="29" t="s">
        <v>67</v>
      </c>
      <c r="F208" s="33" t="s">
        <v>666</v>
      </c>
      <c r="G208" s="34" t="s">
        <v>667</v>
      </c>
      <c r="H208" s="12" t="s">
        <v>84</v>
      </c>
      <c r="I208" s="11"/>
      <c r="J208" s="11"/>
      <c r="K208" s="11"/>
      <c r="L208" s="11"/>
      <c r="M208" s="11"/>
      <c r="N208" s="11"/>
      <c r="O208" s="11"/>
      <c r="P208" s="11"/>
      <c r="Q208" s="11"/>
      <c r="R208" s="11"/>
      <c r="S208" s="11"/>
      <c r="T208" s="11"/>
      <c r="U208" s="11"/>
      <c r="V208" s="11"/>
      <c r="W208" s="11"/>
      <c r="X208" s="11"/>
      <c r="Y208" s="11"/>
      <c r="Z208" s="11"/>
    </row>
    <row r="209" ht="95.25" customHeight="1">
      <c r="A209" s="11"/>
      <c r="B209" s="13"/>
      <c r="C209" s="32" t="s">
        <v>668</v>
      </c>
      <c r="D209" s="33" t="s">
        <v>669</v>
      </c>
      <c r="E209" s="29" t="s">
        <v>67</v>
      </c>
      <c r="F209" s="33" t="s">
        <v>670</v>
      </c>
      <c r="G209" s="34" t="s">
        <v>671</v>
      </c>
      <c r="H209" s="12" t="s">
        <v>84</v>
      </c>
      <c r="I209" s="11"/>
      <c r="J209" s="11"/>
      <c r="K209" s="11"/>
      <c r="L209" s="11"/>
      <c r="M209" s="11"/>
      <c r="N209" s="11"/>
      <c r="O209" s="11"/>
      <c r="P209" s="11"/>
      <c r="Q209" s="11"/>
      <c r="R209" s="11"/>
      <c r="S209" s="11"/>
      <c r="T209" s="11"/>
      <c r="U209" s="11"/>
      <c r="V209" s="11"/>
      <c r="W209" s="11"/>
      <c r="X209" s="11"/>
      <c r="Y209" s="11"/>
      <c r="Z209" s="11"/>
    </row>
    <row r="210" ht="126.75" customHeight="1">
      <c r="A210" s="11"/>
      <c r="B210" s="13"/>
      <c r="C210" s="32" t="s">
        <v>672</v>
      </c>
      <c r="D210" s="33" t="s">
        <v>673</v>
      </c>
      <c r="E210" s="29" t="s">
        <v>67</v>
      </c>
      <c r="F210" s="33" t="s">
        <v>93</v>
      </c>
      <c r="G210" s="34" t="s">
        <v>94</v>
      </c>
      <c r="H210" s="12" t="s">
        <v>84</v>
      </c>
      <c r="I210" s="11"/>
      <c r="J210" s="11"/>
      <c r="K210" s="11"/>
      <c r="L210" s="11"/>
      <c r="M210" s="11"/>
      <c r="N210" s="11"/>
      <c r="O210" s="11"/>
      <c r="P210" s="11"/>
      <c r="Q210" s="11"/>
      <c r="R210" s="11"/>
      <c r="S210" s="11"/>
      <c r="T210" s="11"/>
      <c r="U210" s="11"/>
      <c r="V210" s="11"/>
      <c r="W210" s="11"/>
      <c r="X210" s="11"/>
      <c r="Y210" s="11"/>
      <c r="Z210" s="11"/>
    </row>
    <row r="211" ht="111.0" customHeight="1">
      <c r="A211" s="11"/>
      <c r="B211" s="13"/>
      <c r="C211" s="32" t="s">
        <v>674</v>
      </c>
      <c r="D211" s="33" t="s">
        <v>675</v>
      </c>
      <c r="E211" s="29" t="s">
        <v>67</v>
      </c>
      <c r="F211" s="33" t="s">
        <v>407</v>
      </c>
      <c r="G211" s="34" t="s">
        <v>408</v>
      </c>
      <c r="H211" s="12" t="s">
        <v>84</v>
      </c>
      <c r="I211" s="11"/>
      <c r="J211" s="11"/>
      <c r="K211" s="11"/>
      <c r="L211" s="11"/>
      <c r="M211" s="11"/>
      <c r="N211" s="11"/>
      <c r="O211" s="11"/>
      <c r="P211" s="11"/>
      <c r="Q211" s="11"/>
      <c r="R211" s="11"/>
      <c r="S211" s="11"/>
      <c r="T211" s="11"/>
      <c r="U211" s="11"/>
      <c r="V211" s="11"/>
      <c r="W211" s="11"/>
      <c r="X211" s="11"/>
      <c r="Y211" s="11"/>
      <c r="Z211" s="11"/>
    </row>
    <row r="212" ht="95.25" customHeight="1">
      <c r="A212" s="11"/>
      <c r="B212" s="13"/>
      <c r="C212" s="32" t="s">
        <v>676</v>
      </c>
      <c r="D212" s="33" t="s">
        <v>410</v>
      </c>
      <c r="E212" s="29" t="s">
        <v>67</v>
      </c>
      <c r="F212" s="33" t="s">
        <v>101</v>
      </c>
      <c r="G212" s="34" t="s">
        <v>411</v>
      </c>
      <c r="H212" s="12" t="s">
        <v>84</v>
      </c>
      <c r="I212" s="11"/>
      <c r="J212" s="11"/>
      <c r="K212" s="11"/>
      <c r="L212" s="11"/>
      <c r="M212" s="11"/>
      <c r="N212" s="11"/>
      <c r="O212" s="11"/>
      <c r="P212" s="11"/>
      <c r="Q212" s="11"/>
      <c r="R212" s="11"/>
      <c r="S212" s="11"/>
      <c r="T212" s="11"/>
      <c r="U212" s="11"/>
      <c r="V212" s="11"/>
      <c r="W212" s="11"/>
      <c r="X212" s="11"/>
      <c r="Y212" s="11"/>
      <c r="Z212" s="11"/>
    </row>
    <row r="213" ht="268.5" customHeight="1">
      <c r="A213" s="11"/>
      <c r="B213" s="13"/>
      <c r="C213" s="32" t="s">
        <v>677</v>
      </c>
      <c r="D213" s="33" t="s">
        <v>678</v>
      </c>
      <c r="E213" s="29" t="s">
        <v>67</v>
      </c>
      <c r="F213" s="33" t="s">
        <v>679</v>
      </c>
      <c r="G213" s="34" t="s">
        <v>680</v>
      </c>
      <c r="H213" s="12" t="s">
        <v>84</v>
      </c>
      <c r="I213" s="11"/>
      <c r="J213" s="11"/>
      <c r="K213" s="11"/>
      <c r="L213" s="11"/>
      <c r="M213" s="11"/>
      <c r="N213" s="11"/>
      <c r="O213" s="11"/>
      <c r="P213" s="11"/>
      <c r="Q213" s="11"/>
      <c r="R213" s="11"/>
      <c r="S213" s="11"/>
      <c r="T213" s="11"/>
      <c r="U213" s="11"/>
      <c r="V213" s="11"/>
      <c r="W213" s="11"/>
      <c r="X213" s="11"/>
      <c r="Y213" s="11"/>
      <c r="Z213" s="11"/>
    </row>
    <row r="214" ht="174.0" customHeight="1">
      <c r="A214" s="11"/>
      <c r="B214" s="13"/>
      <c r="C214" s="32" t="s">
        <v>681</v>
      </c>
      <c r="D214" s="33" t="s">
        <v>682</v>
      </c>
      <c r="E214" s="29" t="s">
        <v>67</v>
      </c>
      <c r="F214" s="33" t="s">
        <v>683</v>
      </c>
      <c r="G214" s="34" t="s">
        <v>684</v>
      </c>
      <c r="H214" s="12" t="s">
        <v>84</v>
      </c>
      <c r="I214" s="11"/>
      <c r="J214" s="11"/>
      <c r="K214" s="11"/>
      <c r="L214" s="11"/>
      <c r="M214" s="11"/>
      <c r="N214" s="11"/>
      <c r="O214" s="11"/>
      <c r="P214" s="11"/>
      <c r="Q214" s="11"/>
      <c r="R214" s="11"/>
      <c r="S214" s="11"/>
      <c r="T214" s="11"/>
      <c r="U214" s="11"/>
      <c r="V214" s="11"/>
      <c r="W214" s="11"/>
      <c r="X214" s="11"/>
      <c r="Y214" s="11"/>
      <c r="Z214" s="11"/>
    </row>
    <row r="215" ht="142.5" customHeight="1">
      <c r="A215" s="11"/>
      <c r="B215" s="13"/>
      <c r="C215" s="32" t="s">
        <v>685</v>
      </c>
      <c r="D215" s="33" t="s">
        <v>686</v>
      </c>
      <c r="E215" s="29" t="s">
        <v>67</v>
      </c>
      <c r="F215" s="33" t="s">
        <v>687</v>
      </c>
      <c r="G215" s="34" t="s">
        <v>688</v>
      </c>
      <c r="H215" s="12" t="s">
        <v>84</v>
      </c>
      <c r="I215" s="11"/>
      <c r="J215" s="11"/>
      <c r="K215" s="11"/>
      <c r="L215" s="11"/>
      <c r="M215" s="11"/>
      <c r="N215" s="11"/>
      <c r="O215" s="11"/>
      <c r="P215" s="11"/>
      <c r="Q215" s="11"/>
      <c r="R215" s="11"/>
      <c r="S215" s="11"/>
      <c r="T215" s="11"/>
      <c r="U215" s="11"/>
      <c r="V215" s="11"/>
      <c r="W215" s="11"/>
      <c r="X215" s="11"/>
      <c r="Y215" s="11"/>
      <c r="Z215" s="11"/>
    </row>
    <row r="216" ht="126.75" customHeight="1">
      <c r="A216" s="11"/>
      <c r="B216" s="13"/>
      <c r="C216" s="32" t="s">
        <v>689</v>
      </c>
      <c r="D216" s="33" t="s">
        <v>557</v>
      </c>
      <c r="E216" s="29" t="s">
        <v>67</v>
      </c>
      <c r="F216" s="33" t="s">
        <v>421</v>
      </c>
      <c r="G216" s="34" t="s">
        <v>118</v>
      </c>
      <c r="H216" s="12" t="s">
        <v>84</v>
      </c>
      <c r="I216" s="11"/>
      <c r="J216" s="11"/>
      <c r="K216" s="11"/>
      <c r="L216" s="11"/>
      <c r="M216" s="11"/>
      <c r="N216" s="11"/>
      <c r="O216" s="11"/>
      <c r="P216" s="11"/>
      <c r="Q216" s="11"/>
      <c r="R216" s="11"/>
      <c r="S216" s="11"/>
      <c r="T216" s="11"/>
      <c r="U216" s="11"/>
      <c r="V216" s="11"/>
      <c r="W216" s="11"/>
      <c r="X216" s="11"/>
      <c r="Y216" s="11"/>
      <c r="Z216" s="11"/>
    </row>
    <row r="217" ht="111.0" customHeight="1">
      <c r="A217" s="11"/>
      <c r="B217" s="13"/>
      <c r="C217" s="32" t="s">
        <v>690</v>
      </c>
      <c r="D217" s="33" t="s">
        <v>120</v>
      </c>
      <c r="E217" s="29" t="s">
        <v>67</v>
      </c>
      <c r="F217" s="33" t="s">
        <v>121</v>
      </c>
      <c r="G217" s="34" t="s">
        <v>122</v>
      </c>
      <c r="H217" s="12" t="s">
        <v>84</v>
      </c>
      <c r="I217" s="11"/>
      <c r="J217" s="11"/>
      <c r="K217" s="11"/>
      <c r="L217" s="11"/>
      <c r="M217" s="11"/>
      <c r="N217" s="11"/>
      <c r="O217" s="11"/>
      <c r="P217" s="11"/>
      <c r="Q217" s="11"/>
      <c r="R217" s="11"/>
      <c r="S217" s="11"/>
      <c r="T217" s="11"/>
      <c r="U217" s="11"/>
      <c r="V217" s="11"/>
      <c r="W217" s="11"/>
      <c r="X217" s="11"/>
      <c r="Y217" s="11"/>
      <c r="Z217" s="11"/>
    </row>
    <row r="218" ht="111.0" customHeight="1">
      <c r="A218" s="11"/>
      <c r="B218" s="13"/>
      <c r="C218" s="32" t="s">
        <v>691</v>
      </c>
      <c r="D218" s="33" t="s">
        <v>692</v>
      </c>
      <c r="E218" s="29" t="s">
        <v>67</v>
      </c>
      <c r="F218" s="33" t="s">
        <v>425</v>
      </c>
      <c r="G218" s="34" t="s">
        <v>126</v>
      </c>
      <c r="H218" s="12" t="s">
        <v>84</v>
      </c>
      <c r="I218" s="11"/>
      <c r="J218" s="11"/>
      <c r="K218" s="11"/>
      <c r="L218" s="11"/>
      <c r="M218" s="11"/>
      <c r="N218" s="11"/>
      <c r="O218" s="11"/>
      <c r="P218" s="11"/>
      <c r="Q218" s="11"/>
      <c r="R218" s="11"/>
      <c r="S218" s="11"/>
      <c r="T218" s="11"/>
      <c r="U218" s="11"/>
      <c r="V218" s="11"/>
      <c r="W218" s="11"/>
      <c r="X218" s="11"/>
      <c r="Y218" s="11"/>
      <c r="Z218" s="11"/>
    </row>
    <row r="219" ht="79.5" customHeight="1">
      <c r="A219" s="11"/>
      <c r="B219" s="13"/>
      <c r="C219" s="32" t="s">
        <v>693</v>
      </c>
      <c r="D219" s="33" t="s">
        <v>128</v>
      </c>
      <c r="E219" s="29" t="s">
        <v>67</v>
      </c>
      <c r="F219" s="33" t="s">
        <v>129</v>
      </c>
      <c r="G219" s="34" t="s">
        <v>130</v>
      </c>
      <c r="H219" s="12" t="s">
        <v>84</v>
      </c>
      <c r="I219" s="11"/>
      <c r="J219" s="11"/>
      <c r="K219" s="11"/>
      <c r="L219" s="11"/>
      <c r="M219" s="11"/>
      <c r="N219" s="11"/>
      <c r="O219" s="11"/>
      <c r="P219" s="11"/>
      <c r="Q219" s="11"/>
      <c r="R219" s="11"/>
      <c r="S219" s="11"/>
      <c r="T219" s="11"/>
      <c r="U219" s="11"/>
      <c r="V219" s="11"/>
      <c r="W219" s="11"/>
      <c r="X219" s="11"/>
      <c r="Y219" s="11"/>
      <c r="Z219" s="11"/>
    </row>
    <row r="220" ht="158.25" customHeight="1">
      <c r="A220" s="11"/>
      <c r="B220" s="13"/>
      <c r="C220" s="32" t="s">
        <v>694</v>
      </c>
      <c r="D220" s="33" t="s">
        <v>695</v>
      </c>
      <c r="E220" s="29" t="s">
        <v>67</v>
      </c>
      <c r="F220" s="33" t="s">
        <v>428</v>
      </c>
      <c r="G220" s="34" t="s">
        <v>134</v>
      </c>
      <c r="H220" s="12" t="s">
        <v>84</v>
      </c>
      <c r="I220" s="11"/>
      <c r="J220" s="11"/>
      <c r="K220" s="11"/>
      <c r="L220" s="11"/>
      <c r="M220" s="11"/>
      <c r="N220" s="11"/>
      <c r="O220" s="11"/>
      <c r="P220" s="11"/>
      <c r="Q220" s="11"/>
      <c r="R220" s="11"/>
      <c r="S220" s="11"/>
      <c r="T220" s="11"/>
      <c r="U220" s="11"/>
      <c r="V220" s="11"/>
      <c r="W220" s="11"/>
      <c r="X220" s="11"/>
      <c r="Y220" s="11"/>
      <c r="Z220" s="11"/>
    </row>
    <row r="221" ht="252.75" customHeight="1">
      <c r="A221" s="11"/>
      <c r="B221" s="13"/>
      <c r="C221" s="32" t="s">
        <v>696</v>
      </c>
      <c r="D221" s="33" t="s">
        <v>697</v>
      </c>
      <c r="E221" s="29" t="s">
        <v>67</v>
      </c>
      <c r="F221" s="33" t="s">
        <v>184</v>
      </c>
      <c r="G221" s="34" t="s">
        <v>185</v>
      </c>
      <c r="H221" s="12" t="s">
        <v>84</v>
      </c>
      <c r="I221" s="11"/>
      <c r="J221" s="11"/>
      <c r="K221" s="11"/>
      <c r="L221" s="11"/>
      <c r="M221" s="11"/>
      <c r="N221" s="11"/>
      <c r="O221" s="11"/>
      <c r="P221" s="11"/>
      <c r="Q221" s="11"/>
      <c r="R221" s="11"/>
      <c r="S221" s="11"/>
      <c r="T221" s="11"/>
      <c r="U221" s="11"/>
      <c r="V221" s="11"/>
      <c r="W221" s="11"/>
      <c r="X221" s="11"/>
      <c r="Y221" s="11"/>
      <c r="Z221" s="11"/>
    </row>
    <row r="222" ht="205.5" customHeight="1">
      <c r="A222" s="11"/>
      <c r="B222" s="13"/>
      <c r="C222" s="32" t="s">
        <v>698</v>
      </c>
      <c r="D222" s="33" t="s">
        <v>699</v>
      </c>
      <c r="E222" s="29" t="s">
        <v>67</v>
      </c>
      <c r="F222" s="33" t="s">
        <v>188</v>
      </c>
      <c r="G222" s="34" t="s">
        <v>189</v>
      </c>
      <c r="H222" s="12" t="s">
        <v>84</v>
      </c>
      <c r="I222" s="11"/>
      <c r="J222" s="11"/>
      <c r="K222" s="11"/>
      <c r="L222" s="11"/>
      <c r="M222" s="11"/>
      <c r="N222" s="11"/>
      <c r="O222" s="11"/>
      <c r="P222" s="11"/>
      <c r="Q222" s="11"/>
      <c r="R222" s="11"/>
      <c r="S222" s="11"/>
      <c r="T222" s="11"/>
      <c r="U222" s="11"/>
      <c r="V222" s="11"/>
      <c r="W222" s="11"/>
      <c r="X222" s="11"/>
      <c r="Y222" s="11"/>
      <c r="Z222" s="11"/>
    </row>
    <row r="223" ht="142.5" customHeight="1">
      <c r="A223" s="11"/>
      <c r="B223" s="13"/>
      <c r="C223" s="32" t="s">
        <v>700</v>
      </c>
      <c r="D223" s="33" t="s">
        <v>574</v>
      </c>
      <c r="E223" s="29" t="s">
        <v>67</v>
      </c>
      <c r="F223" s="33" t="s">
        <v>575</v>
      </c>
      <c r="G223" s="34" t="s">
        <v>576</v>
      </c>
      <c r="H223" s="12" t="s">
        <v>84</v>
      </c>
      <c r="I223" s="11"/>
      <c r="J223" s="11"/>
      <c r="K223" s="11"/>
      <c r="L223" s="11"/>
      <c r="M223" s="11"/>
      <c r="N223" s="11"/>
      <c r="O223" s="11"/>
      <c r="P223" s="11"/>
      <c r="Q223" s="11"/>
      <c r="R223" s="11"/>
      <c r="S223" s="11"/>
      <c r="T223" s="11"/>
      <c r="U223" s="11"/>
      <c r="V223" s="11"/>
      <c r="W223" s="11"/>
      <c r="X223" s="11"/>
      <c r="Y223" s="11"/>
      <c r="Z223" s="11"/>
    </row>
    <row r="224" ht="252.75" customHeight="1">
      <c r="A224" s="11"/>
      <c r="B224" s="13"/>
      <c r="C224" s="32" t="s">
        <v>701</v>
      </c>
      <c r="D224" s="33" t="s">
        <v>702</v>
      </c>
      <c r="E224" s="29" t="s">
        <v>67</v>
      </c>
      <c r="F224" s="33" t="s">
        <v>579</v>
      </c>
      <c r="G224" s="34" t="s">
        <v>703</v>
      </c>
      <c r="H224" s="12" t="s">
        <v>84</v>
      </c>
      <c r="I224" s="11"/>
      <c r="J224" s="11"/>
      <c r="K224" s="11"/>
      <c r="L224" s="11"/>
      <c r="M224" s="11"/>
      <c r="N224" s="11"/>
      <c r="O224" s="11"/>
      <c r="P224" s="11"/>
      <c r="Q224" s="11"/>
      <c r="R224" s="11"/>
      <c r="S224" s="11"/>
      <c r="T224" s="11"/>
      <c r="U224" s="11"/>
      <c r="V224" s="11"/>
      <c r="W224" s="11"/>
      <c r="X224" s="11"/>
      <c r="Y224" s="11"/>
      <c r="Z224" s="11"/>
    </row>
    <row r="225" ht="174.0" customHeight="1">
      <c r="A225" s="11"/>
      <c r="B225" s="13"/>
      <c r="C225" s="32" t="s">
        <v>704</v>
      </c>
      <c r="D225" s="33" t="s">
        <v>222</v>
      </c>
      <c r="E225" s="29" t="s">
        <v>67</v>
      </c>
      <c r="F225" s="33" t="s">
        <v>223</v>
      </c>
      <c r="G225" s="34" t="s">
        <v>224</v>
      </c>
      <c r="H225" s="12" t="s">
        <v>84</v>
      </c>
      <c r="I225" s="11"/>
      <c r="J225" s="11"/>
      <c r="K225" s="11"/>
      <c r="L225" s="11"/>
      <c r="M225" s="11"/>
      <c r="N225" s="11"/>
      <c r="O225" s="11"/>
      <c r="P225" s="11"/>
      <c r="Q225" s="11"/>
      <c r="R225" s="11"/>
      <c r="S225" s="11"/>
      <c r="T225" s="11"/>
      <c r="U225" s="11"/>
      <c r="V225" s="11"/>
      <c r="W225" s="11"/>
      <c r="X225" s="11"/>
      <c r="Y225" s="11"/>
      <c r="Z225" s="11"/>
    </row>
    <row r="226" ht="205.5" customHeight="1">
      <c r="A226" s="11"/>
      <c r="B226" s="13"/>
      <c r="C226" s="32" t="s">
        <v>705</v>
      </c>
      <c r="D226" s="33" t="s">
        <v>706</v>
      </c>
      <c r="E226" s="29" t="s">
        <v>67</v>
      </c>
      <c r="F226" s="33" t="s">
        <v>707</v>
      </c>
      <c r="G226" s="34" t="s">
        <v>708</v>
      </c>
      <c r="H226" s="12" t="s">
        <v>84</v>
      </c>
      <c r="I226" s="11"/>
      <c r="J226" s="11"/>
      <c r="K226" s="11"/>
      <c r="L226" s="11"/>
      <c r="M226" s="11"/>
      <c r="N226" s="11"/>
      <c r="O226" s="11"/>
      <c r="P226" s="11"/>
      <c r="Q226" s="11"/>
      <c r="R226" s="11"/>
      <c r="S226" s="11"/>
      <c r="T226" s="11"/>
      <c r="U226" s="11"/>
      <c r="V226" s="11"/>
      <c r="W226" s="11"/>
      <c r="X226" s="11"/>
      <c r="Y226" s="11"/>
      <c r="Z226" s="11"/>
    </row>
    <row r="227" ht="189.75" customHeight="1">
      <c r="A227" s="11"/>
      <c r="B227" s="13"/>
      <c r="C227" s="32" t="s">
        <v>709</v>
      </c>
      <c r="D227" s="33" t="s">
        <v>710</v>
      </c>
      <c r="E227" s="29" t="s">
        <v>67</v>
      </c>
      <c r="F227" s="33" t="s">
        <v>173</v>
      </c>
      <c r="G227" s="34" t="s">
        <v>432</v>
      </c>
      <c r="H227" s="12" t="s">
        <v>84</v>
      </c>
      <c r="I227" s="11"/>
      <c r="J227" s="11"/>
      <c r="K227" s="11"/>
      <c r="L227" s="11"/>
      <c r="M227" s="11"/>
      <c r="N227" s="11"/>
      <c r="O227" s="11"/>
      <c r="P227" s="11"/>
      <c r="Q227" s="11"/>
      <c r="R227" s="11"/>
      <c r="S227" s="11"/>
      <c r="T227" s="11"/>
      <c r="U227" s="11"/>
      <c r="V227" s="11"/>
      <c r="W227" s="11"/>
      <c r="X227" s="11"/>
      <c r="Y227" s="11"/>
      <c r="Z227" s="11"/>
    </row>
    <row r="228" ht="174.0" customHeight="1">
      <c r="A228" s="11"/>
      <c r="B228" s="13"/>
      <c r="C228" s="32" t="s">
        <v>711</v>
      </c>
      <c r="D228" s="33" t="s">
        <v>712</v>
      </c>
      <c r="E228" s="29" t="s">
        <v>67</v>
      </c>
      <c r="F228" s="33" t="s">
        <v>145</v>
      </c>
      <c r="G228" s="34" t="s">
        <v>713</v>
      </c>
      <c r="H228" s="12" t="s">
        <v>84</v>
      </c>
      <c r="I228" s="11"/>
      <c r="J228" s="11"/>
      <c r="K228" s="11"/>
      <c r="L228" s="11"/>
      <c r="M228" s="11"/>
      <c r="N228" s="11"/>
      <c r="O228" s="11"/>
      <c r="P228" s="11"/>
      <c r="Q228" s="11"/>
      <c r="R228" s="11"/>
      <c r="S228" s="11"/>
      <c r="T228" s="11"/>
      <c r="U228" s="11"/>
      <c r="V228" s="11"/>
      <c r="W228" s="11"/>
      <c r="X228" s="11"/>
      <c r="Y228" s="11"/>
      <c r="Z228" s="11"/>
    </row>
    <row r="229" ht="189.75" customHeight="1">
      <c r="A229" s="11"/>
      <c r="B229" s="13"/>
      <c r="C229" s="32" t="s">
        <v>714</v>
      </c>
      <c r="D229" s="33" t="s">
        <v>591</v>
      </c>
      <c r="E229" s="29" t="s">
        <v>67</v>
      </c>
      <c r="F229" s="33" t="s">
        <v>592</v>
      </c>
      <c r="G229" s="34" t="s">
        <v>439</v>
      </c>
      <c r="H229" s="12" t="s">
        <v>84</v>
      </c>
      <c r="I229" s="11"/>
      <c r="J229" s="11"/>
      <c r="K229" s="11"/>
      <c r="L229" s="11"/>
      <c r="M229" s="11"/>
      <c r="N229" s="11"/>
      <c r="O229" s="11"/>
      <c r="P229" s="11"/>
      <c r="Q229" s="11"/>
      <c r="R229" s="11"/>
      <c r="S229" s="11"/>
      <c r="T229" s="11"/>
      <c r="U229" s="11"/>
      <c r="V229" s="11"/>
      <c r="W229" s="11"/>
      <c r="X229" s="11"/>
      <c r="Y229" s="11"/>
      <c r="Z229" s="11"/>
    </row>
    <row r="230" ht="205.5" customHeight="1">
      <c r="A230" s="11"/>
      <c r="B230" s="13"/>
      <c r="C230" s="32" t="s">
        <v>715</v>
      </c>
      <c r="D230" s="33" t="s">
        <v>598</v>
      </c>
      <c r="E230" s="29" t="s">
        <v>67</v>
      </c>
      <c r="F230" s="33" t="s">
        <v>599</v>
      </c>
      <c r="G230" s="34" t="s">
        <v>443</v>
      </c>
      <c r="H230" s="12" t="s">
        <v>84</v>
      </c>
      <c r="I230" s="11"/>
      <c r="J230" s="11"/>
      <c r="K230" s="11"/>
      <c r="L230" s="11"/>
      <c r="M230" s="11"/>
      <c r="N230" s="11"/>
      <c r="O230" s="11"/>
      <c r="P230" s="11"/>
      <c r="Q230" s="11"/>
      <c r="R230" s="11"/>
      <c r="S230" s="11"/>
      <c r="T230" s="11"/>
      <c r="U230" s="11"/>
      <c r="V230" s="11"/>
      <c r="W230" s="11"/>
      <c r="X230" s="11"/>
      <c r="Y230" s="11"/>
      <c r="Z230" s="11"/>
    </row>
    <row r="231" ht="189.75" customHeight="1">
      <c r="A231" s="11"/>
      <c r="B231" s="13"/>
      <c r="C231" s="32" t="s">
        <v>716</v>
      </c>
      <c r="D231" s="33" t="s">
        <v>449</v>
      </c>
      <c r="E231" s="29" t="s">
        <v>67</v>
      </c>
      <c r="F231" s="33" t="s">
        <v>605</v>
      </c>
      <c r="G231" s="34" t="s">
        <v>451</v>
      </c>
      <c r="H231" s="12" t="s">
        <v>84</v>
      </c>
      <c r="I231" s="11"/>
      <c r="J231" s="11"/>
      <c r="K231" s="11"/>
      <c r="L231" s="11"/>
      <c r="M231" s="11"/>
      <c r="N231" s="11"/>
      <c r="O231" s="11"/>
      <c r="P231" s="11"/>
      <c r="Q231" s="11"/>
      <c r="R231" s="11"/>
      <c r="S231" s="11"/>
      <c r="T231" s="11"/>
      <c r="U231" s="11"/>
      <c r="V231" s="11"/>
      <c r="W231" s="11"/>
      <c r="X231" s="11"/>
      <c r="Y231" s="11"/>
      <c r="Z231" s="11"/>
    </row>
    <row r="232" ht="252.75" customHeight="1">
      <c r="A232" s="11"/>
      <c r="B232" s="13"/>
      <c r="C232" s="32" t="s">
        <v>717</v>
      </c>
      <c r="D232" s="33" t="s">
        <v>718</v>
      </c>
      <c r="E232" s="29" t="s">
        <v>67</v>
      </c>
      <c r="F232" s="33" t="s">
        <v>169</v>
      </c>
      <c r="G232" s="34" t="s">
        <v>615</v>
      </c>
      <c r="H232" s="12" t="s">
        <v>84</v>
      </c>
      <c r="I232" s="11"/>
      <c r="J232" s="11"/>
      <c r="K232" s="11"/>
      <c r="L232" s="11"/>
      <c r="M232" s="11"/>
      <c r="N232" s="11"/>
      <c r="O232" s="11"/>
      <c r="P232" s="11"/>
      <c r="Q232" s="11"/>
      <c r="R232" s="11"/>
      <c r="S232" s="11"/>
      <c r="T232" s="11"/>
      <c r="U232" s="11"/>
      <c r="V232" s="11"/>
      <c r="W232" s="11"/>
      <c r="X232" s="11"/>
      <c r="Y232" s="11"/>
      <c r="Z232" s="11"/>
    </row>
    <row r="233" ht="205.5" customHeight="1">
      <c r="A233" s="11"/>
      <c r="B233" s="13"/>
      <c r="C233" s="32" t="s">
        <v>719</v>
      </c>
      <c r="D233" s="33" t="s">
        <v>720</v>
      </c>
      <c r="E233" s="29" t="s">
        <v>67</v>
      </c>
      <c r="F233" s="33" t="s">
        <v>161</v>
      </c>
      <c r="G233" s="34" t="s">
        <v>162</v>
      </c>
      <c r="H233" s="12" t="s">
        <v>84</v>
      </c>
      <c r="I233" s="11"/>
      <c r="J233" s="11"/>
      <c r="K233" s="11"/>
      <c r="L233" s="11"/>
      <c r="M233" s="11"/>
      <c r="N233" s="11"/>
      <c r="O233" s="11"/>
      <c r="P233" s="11"/>
      <c r="Q233" s="11"/>
      <c r="R233" s="11"/>
      <c r="S233" s="11"/>
      <c r="T233" s="11"/>
      <c r="U233" s="11"/>
      <c r="V233" s="11"/>
      <c r="W233" s="11"/>
      <c r="X233" s="11"/>
      <c r="Y233" s="11"/>
      <c r="Z233" s="11"/>
    </row>
    <row r="234" ht="189.75" customHeight="1">
      <c r="A234" s="11"/>
      <c r="B234" s="13"/>
      <c r="C234" s="32" t="s">
        <v>721</v>
      </c>
      <c r="D234" s="33" t="s">
        <v>722</v>
      </c>
      <c r="E234" s="29" t="s">
        <v>67</v>
      </c>
      <c r="F234" s="33" t="s">
        <v>177</v>
      </c>
      <c r="G234" s="34" t="s">
        <v>723</v>
      </c>
      <c r="H234" s="12" t="s">
        <v>84</v>
      </c>
      <c r="I234" s="11"/>
      <c r="J234" s="11"/>
      <c r="K234" s="11"/>
      <c r="L234" s="11"/>
      <c r="M234" s="11"/>
      <c r="N234" s="11"/>
      <c r="O234" s="11"/>
      <c r="P234" s="11"/>
      <c r="Q234" s="11"/>
      <c r="R234" s="11"/>
      <c r="S234" s="11"/>
      <c r="T234" s="11"/>
      <c r="U234" s="11"/>
      <c r="V234" s="11"/>
      <c r="W234" s="11"/>
      <c r="X234" s="11"/>
      <c r="Y234" s="11"/>
      <c r="Z234" s="11"/>
    </row>
    <row r="235" ht="158.25" customHeight="1">
      <c r="A235" s="11"/>
      <c r="B235" s="13"/>
      <c r="C235" s="32" t="s">
        <v>724</v>
      </c>
      <c r="D235" s="33" t="s">
        <v>725</v>
      </c>
      <c r="E235" s="29" t="s">
        <v>67</v>
      </c>
      <c r="F235" s="33" t="s">
        <v>457</v>
      </c>
      <c r="G235" s="34" t="s">
        <v>228</v>
      </c>
      <c r="H235" s="12" t="s">
        <v>84</v>
      </c>
      <c r="I235" s="11"/>
      <c r="J235" s="11"/>
      <c r="K235" s="11"/>
      <c r="L235" s="11"/>
      <c r="M235" s="11"/>
      <c r="N235" s="11"/>
      <c r="O235" s="11"/>
      <c r="P235" s="11"/>
      <c r="Q235" s="11"/>
      <c r="R235" s="11"/>
      <c r="S235" s="11"/>
      <c r="T235" s="11"/>
      <c r="U235" s="11"/>
      <c r="V235" s="11"/>
      <c r="W235" s="11"/>
      <c r="X235" s="11"/>
      <c r="Y235" s="11"/>
      <c r="Z235" s="11"/>
    </row>
    <row r="236" ht="174.0" customHeight="1">
      <c r="A236" s="11"/>
      <c r="B236" s="13"/>
      <c r="C236" s="32" t="s">
        <v>726</v>
      </c>
      <c r="D236" s="33" t="s">
        <v>727</v>
      </c>
      <c r="E236" s="29" t="s">
        <v>67</v>
      </c>
      <c r="F236" s="33" t="s">
        <v>231</v>
      </c>
      <c r="G236" s="34" t="s">
        <v>232</v>
      </c>
      <c r="H236" s="12" t="s">
        <v>84</v>
      </c>
      <c r="I236" s="11"/>
      <c r="J236" s="11"/>
      <c r="K236" s="11"/>
      <c r="L236" s="11"/>
      <c r="M236" s="11"/>
      <c r="N236" s="11"/>
      <c r="O236" s="11"/>
      <c r="P236" s="11"/>
      <c r="Q236" s="11"/>
      <c r="R236" s="11"/>
      <c r="S236" s="11"/>
      <c r="T236" s="11"/>
      <c r="U236" s="11"/>
      <c r="V236" s="11"/>
      <c r="W236" s="11"/>
      <c r="X236" s="11"/>
      <c r="Y236" s="11"/>
      <c r="Z236" s="11"/>
    </row>
    <row r="237" ht="79.5" customHeight="1">
      <c r="A237" s="11"/>
      <c r="B237" s="13"/>
      <c r="C237" s="32" t="s">
        <v>728</v>
      </c>
      <c r="D237" s="33" t="s">
        <v>729</v>
      </c>
      <c r="E237" s="29" t="s">
        <v>67</v>
      </c>
      <c r="F237" s="33" t="s">
        <v>730</v>
      </c>
      <c r="G237" s="34" t="s">
        <v>236</v>
      </c>
      <c r="H237" s="12" t="s">
        <v>84</v>
      </c>
      <c r="I237" s="11"/>
      <c r="J237" s="11"/>
      <c r="K237" s="11"/>
      <c r="L237" s="11"/>
      <c r="M237" s="11"/>
      <c r="N237" s="11"/>
      <c r="O237" s="11"/>
      <c r="P237" s="11"/>
      <c r="Q237" s="11"/>
      <c r="R237" s="11"/>
      <c r="S237" s="11"/>
      <c r="T237" s="11"/>
      <c r="U237" s="11"/>
      <c r="V237" s="11"/>
      <c r="W237" s="11"/>
      <c r="X237" s="11"/>
      <c r="Y237" s="11"/>
      <c r="Z237" s="11"/>
    </row>
    <row r="238" ht="63.75" customHeight="1">
      <c r="A238" s="11"/>
      <c r="B238" s="13"/>
      <c r="C238" s="32" t="s">
        <v>731</v>
      </c>
      <c r="D238" s="33" t="s">
        <v>732</v>
      </c>
      <c r="E238" s="29" t="s">
        <v>67</v>
      </c>
      <c r="F238" s="33" t="s">
        <v>239</v>
      </c>
      <c r="G238" s="34" t="s">
        <v>240</v>
      </c>
      <c r="H238" s="12" t="s">
        <v>84</v>
      </c>
      <c r="I238" s="11"/>
      <c r="J238" s="11"/>
      <c r="K238" s="11"/>
      <c r="L238" s="11"/>
      <c r="M238" s="11"/>
      <c r="N238" s="11"/>
      <c r="O238" s="11"/>
      <c r="P238" s="11"/>
      <c r="Q238" s="11"/>
      <c r="R238" s="11"/>
      <c r="S238" s="11"/>
      <c r="T238" s="11"/>
      <c r="U238" s="11"/>
      <c r="V238" s="11"/>
      <c r="W238" s="11"/>
      <c r="X238" s="11"/>
      <c r="Y238" s="11"/>
      <c r="Z238" s="11"/>
    </row>
    <row r="239" ht="205.5" customHeight="1">
      <c r="A239" s="11"/>
      <c r="B239" s="13"/>
      <c r="C239" s="32" t="s">
        <v>733</v>
      </c>
      <c r="D239" s="33" t="s">
        <v>734</v>
      </c>
      <c r="E239" s="29" t="s">
        <v>67</v>
      </c>
      <c r="F239" s="33" t="s">
        <v>243</v>
      </c>
      <c r="G239" s="34" t="s">
        <v>244</v>
      </c>
      <c r="H239" s="12" t="s">
        <v>84</v>
      </c>
      <c r="I239" s="11"/>
      <c r="J239" s="11"/>
      <c r="K239" s="11"/>
      <c r="L239" s="11"/>
      <c r="M239" s="11"/>
      <c r="N239" s="11"/>
      <c r="O239" s="11"/>
      <c r="P239" s="11"/>
      <c r="Q239" s="11"/>
      <c r="R239" s="11"/>
      <c r="S239" s="11"/>
      <c r="T239" s="11"/>
      <c r="U239" s="11"/>
      <c r="V239" s="11"/>
      <c r="W239" s="11"/>
      <c r="X239" s="11"/>
      <c r="Y239" s="11"/>
      <c r="Z239" s="11"/>
    </row>
    <row r="240" ht="111.0" customHeight="1">
      <c r="A240" s="11"/>
      <c r="B240" s="13"/>
      <c r="C240" s="32" t="s">
        <v>735</v>
      </c>
      <c r="D240" s="33" t="s">
        <v>468</v>
      </c>
      <c r="E240" s="29" t="s">
        <v>67</v>
      </c>
      <c r="F240" s="33" t="s">
        <v>736</v>
      </c>
      <c r="G240" s="34" t="s">
        <v>248</v>
      </c>
      <c r="H240" s="12" t="s">
        <v>84</v>
      </c>
      <c r="I240" s="11"/>
      <c r="J240" s="11"/>
      <c r="K240" s="11"/>
      <c r="L240" s="11"/>
      <c r="M240" s="11"/>
      <c r="N240" s="11"/>
      <c r="O240" s="11"/>
      <c r="P240" s="11"/>
      <c r="Q240" s="11"/>
      <c r="R240" s="11"/>
      <c r="S240" s="11"/>
      <c r="T240" s="11"/>
      <c r="U240" s="11"/>
      <c r="V240" s="11"/>
      <c r="W240" s="11"/>
      <c r="X240" s="11"/>
      <c r="Y240" s="11"/>
      <c r="Z240" s="11"/>
    </row>
    <row r="241" ht="95.25" customHeight="1">
      <c r="A241" s="11"/>
      <c r="B241" s="13"/>
      <c r="C241" s="32" t="s">
        <v>737</v>
      </c>
      <c r="D241" s="33" t="s">
        <v>250</v>
      </c>
      <c r="E241" s="29" t="s">
        <v>67</v>
      </c>
      <c r="F241" s="33" t="s">
        <v>251</v>
      </c>
      <c r="G241" s="34" t="s">
        <v>252</v>
      </c>
      <c r="H241" s="12" t="s">
        <v>84</v>
      </c>
      <c r="I241" s="11"/>
      <c r="J241" s="11"/>
      <c r="K241" s="11"/>
      <c r="L241" s="11"/>
      <c r="M241" s="11"/>
      <c r="N241" s="11"/>
      <c r="O241" s="11"/>
      <c r="P241" s="11"/>
      <c r="Q241" s="11"/>
      <c r="R241" s="11"/>
      <c r="S241" s="11"/>
      <c r="T241" s="11"/>
      <c r="U241" s="11"/>
      <c r="V241" s="11"/>
      <c r="W241" s="11"/>
      <c r="X241" s="11"/>
      <c r="Y241" s="11"/>
      <c r="Z241" s="11"/>
    </row>
    <row r="242" ht="126.75" customHeight="1">
      <c r="A242" s="11"/>
      <c r="B242" s="13"/>
      <c r="C242" s="32" t="s">
        <v>738</v>
      </c>
      <c r="D242" s="33" t="s">
        <v>254</v>
      </c>
      <c r="E242" s="29" t="s">
        <v>67</v>
      </c>
      <c r="F242" s="33" t="s">
        <v>255</v>
      </c>
      <c r="G242" s="34" t="s">
        <v>256</v>
      </c>
      <c r="H242" s="12" t="s">
        <v>84</v>
      </c>
      <c r="I242" s="11"/>
      <c r="J242" s="11"/>
      <c r="K242" s="11"/>
      <c r="L242" s="11"/>
      <c r="M242" s="11"/>
      <c r="N242" s="11"/>
      <c r="O242" s="11"/>
      <c r="P242" s="11"/>
      <c r="Q242" s="11"/>
      <c r="R242" s="11"/>
      <c r="S242" s="11"/>
      <c r="T242" s="11"/>
      <c r="U242" s="11"/>
      <c r="V242" s="11"/>
      <c r="W242" s="11"/>
      <c r="X242" s="11"/>
      <c r="Y242" s="11"/>
      <c r="Z242" s="11"/>
    </row>
    <row r="243" ht="126.75" customHeight="1">
      <c r="A243" s="11"/>
      <c r="B243" s="13"/>
      <c r="C243" s="32" t="s">
        <v>739</v>
      </c>
      <c r="D243" s="33" t="s">
        <v>258</v>
      </c>
      <c r="E243" s="29" t="s">
        <v>67</v>
      </c>
      <c r="F243" s="33" t="s">
        <v>259</v>
      </c>
      <c r="G243" s="34" t="s">
        <v>260</v>
      </c>
      <c r="H243" s="12" t="s">
        <v>84</v>
      </c>
      <c r="I243" s="11"/>
      <c r="J243" s="11"/>
      <c r="K243" s="11"/>
      <c r="L243" s="11"/>
      <c r="M243" s="11"/>
      <c r="N243" s="11"/>
      <c r="O243" s="11"/>
      <c r="P243" s="11"/>
      <c r="Q243" s="11"/>
      <c r="R243" s="11"/>
      <c r="S243" s="11"/>
      <c r="T243" s="11"/>
      <c r="U243" s="11"/>
      <c r="V243" s="11"/>
      <c r="W243" s="11"/>
      <c r="X243" s="11"/>
      <c r="Y243" s="11"/>
      <c r="Z243" s="11"/>
    </row>
    <row r="244" ht="126.75" customHeight="1">
      <c r="A244" s="11"/>
      <c r="B244" s="13"/>
      <c r="C244" s="32" t="s">
        <v>740</v>
      </c>
      <c r="D244" s="33" t="s">
        <v>262</v>
      </c>
      <c r="E244" s="29" t="s">
        <v>67</v>
      </c>
      <c r="F244" s="33" t="s">
        <v>263</v>
      </c>
      <c r="G244" s="34" t="s">
        <v>264</v>
      </c>
      <c r="H244" s="12" t="s">
        <v>84</v>
      </c>
      <c r="I244" s="11"/>
      <c r="J244" s="11"/>
      <c r="K244" s="11"/>
      <c r="L244" s="11"/>
      <c r="M244" s="11"/>
      <c r="N244" s="11"/>
      <c r="O244" s="11"/>
      <c r="P244" s="11"/>
      <c r="Q244" s="11"/>
      <c r="R244" s="11"/>
      <c r="S244" s="11"/>
      <c r="T244" s="11"/>
      <c r="U244" s="11"/>
      <c r="V244" s="11"/>
      <c r="W244" s="11"/>
      <c r="X244" s="11"/>
      <c r="Y244" s="11"/>
      <c r="Z244" s="11"/>
    </row>
    <row r="245" ht="126.75" customHeight="1">
      <c r="A245" s="11"/>
      <c r="B245" s="13"/>
      <c r="C245" s="32" t="s">
        <v>741</v>
      </c>
      <c r="D245" s="33" t="s">
        <v>266</v>
      </c>
      <c r="E245" s="29" t="s">
        <v>67</v>
      </c>
      <c r="F245" s="33" t="s">
        <v>267</v>
      </c>
      <c r="G245" s="34" t="s">
        <v>268</v>
      </c>
      <c r="H245" s="12" t="s">
        <v>84</v>
      </c>
      <c r="I245" s="11"/>
      <c r="J245" s="11"/>
      <c r="K245" s="11"/>
      <c r="L245" s="11"/>
      <c r="M245" s="11"/>
      <c r="N245" s="11"/>
      <c r="O245" s="11"/>
      <c r="P245" s="11"/>
      <c r="Q245" s="11"/>
      <c r="R245" s="11"/>
      <c r="S245" s="11"/>
      <c r="T245" s="11"/>
      <c r="U245" s="11"/>
      <c r="V245" s="11"/>
      <c r="W245" s="11"/>
      <c r="X245" s="11"/>
      <c r="Y245" s="11"/>
      <c r="Z245" s="11"/>
    </row>
    <row r="246" ht="111.0" customHeight="1">
      <c r="A246" s="11"/>
      <c r="B246" s="13"/>
      <c r="C246" s="32" t="s">
        <v>742</v>
      </c>
      <c r="D246" s="33" t="s">
        <v>270</v>
      </c>
      <c r="E246" s="29" t="s">
        <v>67</v>
      </c>
      <c r="F246" s="33" t="s">
        <v>271</v>
      </c>
      <c r="G246" s="34" t="s">
        <v>272</v>
      </c>
      <c r="H246" s="12" t="s">
        <v>84</v>
      </c>
      <c r="I246" s="11"/>
      <c r="J246" s="11"/>
      <c r="K246" s="11"/>
      <c r="L246" s="11"/>
      <c r="M246" s="11"/>
      <c r="N246" s="11"/>
      <c r="O246" s="11"/>
      <c r="P246" s="11"/>
      <c r="Q246" s="11"/>
      <c r="R246" s="11"/>
      <c r="S246" s="11"/>
      <c r="T246" s="11"/>
      <c r="U246" s="11"/>
      <c r="V246" s="11"/>
      <c r="W246" s="11"/>
      <c r="X246" s="11"/>
      <c r="Y246" s="11"/>
      <c r="Z246" s="11"/>
    </row>
    <row r="247" ht="111.0" customHeight="1">
      <c r="A247" s="11"/>
      <c r="B247" s="13"/>
      <c r="C247" s="32" t="s">
        <v>743</v>
      </c>
      <c r="D247" s="33" t="s">
        <v>274</v>
      </c>
      <c r="E247" s="29" t="s">
        <v>67</v>
      </c>
      <c r="F247" s="33" t="s">
        <v>275</v>
      </c>
      <c r="G247" s="34" t="s">
        <v>276</v>
      </c>
      <c r="H247" s="12" t="s">
        <v>84</v>
      </c>
      <c r="I247" s="11"/>
      <c r="J247" s="11"/>
      <c r="K247" s="11"/>
      <c r="L247" s="11"/>
      <c r="M247" s="11"/>
      <c r="N247" s="11"/>
      <c r="O247" s="11"/>
      <c r="P247" s="11"/>
      <c r="Q247" s="11"/>
      <c r="R247" s="11"/>
      <c r="S247" s="11"/>
      <c r="T247" s="11"/>
      <c r="U247" s="11"/>
      <c r="V247" s="11"/>
      <c r="W247" s="11"/>
      <c r="X247" s="11"/>
      <c r="Y247" s="11"/>
      <c r="Z247" s="11"/>
    </row>
    <row r="248" ht="111.0" customHeight="1">
      <c r="A248" s="11"/>
      <c r="B248" s="13"/>
      <c r="C248" s="32" t="s">
        <v>744</v>
      </c>
      <c r="D248" s="33" t="s">
        <v>278</v>
      </c>
      <c r="E248" s="29" t="s">
        <v>67</v>
      </c>
      <c r="F248" s="33" t="s">
        <v>279</v>
      </c>
      <c r="G248" s="34" t="s">
        <v>280</v>
      </c>
      <c r="H248" s="12" t="s">
        <v>84</v>
      </c>
      <c r="I248" s="11"/>
      <c r="J248" s="11"/>
      <c r="K248" s="11"/>
      <c r="L248" s="11"/>
      <c r="M248" s="11"/>
      <c r="N248" s="11"/>
      <c r="O248" s="11"/>
      <c r="P248" s="11"/>
      <c r="Q248" s="11"/>
      <c r="R248" s="11"/>
      <c r="S248" s="11"/>
      <c r="T248" s="11"/>
      <c r="U248" s="11"/>
      <c r="V248" s="11"/>
      <c r="W248" s="11"/>
      <c r="X248" s="11"/>
      <c r="Y248" s="11"/>
      <c r="Z248" s="11"/>
    </row>
    <row r="249" ht="111.0" customHeight="1">
      <c r="A249" s="11"/>
      <c r="B249" s="13"/>
      <c r="C249" s="32" t="s">
        <v>745</v>
      </c>
      <c r="D249" s="33" t="s">
        <v>746</v>
      </c>
      <c r="E249" s="29" t="s">
        <v>67</v>
      </c>
      <c r="F249" s="33" t="s">
        <v>283</v>
      </c>
      <c r="G249" s="34" t="s">
        <v>284</v>
      </c>
      <c r="H249" s="12" t="s">
        <v>84</v>
      </c>
      <c r="I249" s="11"/>
      <c r="J249" s="11"/>
      <c r="K249" s="11"/>
      <c r="L249" s="11"/>
      <c r="M249" s="11"/>
      <c r="N249" s="11"/>
      <c r="O249" s="11"/>
      <c r="P249" s="11"/>
      <c r="Q249" s="11"/>
      <c r="R249" s="11"/>
      <c r="S249" s="11"/>
      <c r="T249" s="11"/>
      <c r="U249" s="11"/>
      <c r="V249" s="11"/>
      <c r="W249" s="11"/>
      <c r="X249" s="11"/>
      <c r="Y249" s="11"/>
      <c r="Z249" s="11"/>
    </row>
    <row r="250" ht="79.5" customHeight="1">
      <c r="A250" s="11"/>
      <c r="B250" s="13"/>
      <c r="C250" s="32" t="s">
        <v>747</v>
      </c>
      <c r="D250" s="33" t="s">
        <v>748</v>
      </c>
      <c r="E250" s="29" t="s">
        <v>67</v>
      </c>
      <c r="F250" s="33" t="s">
        <v>287</v>
      </c>
      <c r="G250" s="34" t="s">
        <v>288</v>
      </c>
      <c r="H250" s="12" t="s">
        <v>84</v>
      </c>
      <c r="I250" s="11"/>
      <c r="J250" s="11"/>
      <c r="K250" s="11"/>
      <c r="L250" s="11"/>
      <c r="M250" s="11"/>
      <c r="N250" s="11"/>
      <c r="O250" s="11"/>
      <c r="P250" s="11"/>
      <c r="Q250" s="11"/>
      <c r="R250" s="11"/>
      <c r="S250" s="11"/>
      <c r="T250" s="11"/>
      <c r="U250" s="11"/>
      <c r="V250" s="11"/>
      <c r="W250" s="11"/>
      <c r="X250" s="11"/>
      <c r="Y250" s="11"/>
      <c r="Z250" s="11"/>
    </row>
    <row r="251" ht="158.25" customHeight="1">
      <c r="A251" s="11"/>
      <c r="B251" s="13"/>
      <c r="C251" s="32" t="s">
        <v>749</v>
      </c>
      <c r="D251" s="33" t="s">
        <v>750</v>
      </c>
      <c r="E251" s="29" t="s">
        <v>67</v>
      </c>
      <c r="F251" s="33" t="s">
        <v>291</v>
      </c>
      <c r="G251" s="34" t="s">
        <v>292</v>
      </c>
      <c r="H251" s="12" t="s">
        <v>84</v>
      </c>
      <c r="I251" s="11"/>
      <c r="J251" s="11"/>
      <c r="K251" s="11"/>
      <c r="L251" s="11"/>
      <c r="M251" s="11"/>
      <c r="N251" s="11"/>
      <c r="O251" s="11"/>
      <c r="P251" s="11"/>
      <c r="Q251" s="11"/>
      <c r="R251" s="11"/>
      <c r="S251" s="11"/>
      <c r="T251" s="11"/>
      <c r="U251" s="11"/>
      <c r="V251" s="11"/>
      <c r="W251" s="11"/>
      <c r="X251" s="11"/>
      <c r="Y251" s="11"/>
      <c r="Z251" s="11"/>
    </row>
    <row r="252" ht="79.5" customHeight="1">
      <c r="A252" s="11"/>
      <c r="B252" s="13"/>
      <c r="C252" s="32" t="s">
        <v>751</v>
      </c>
      <c r="D252" s="33" t="s">
        <v>752</v>
      </c>
      <c r="E252" s="29" t="s">
        <v>67</v>
      </c>
      <c r="F252" s="33" t="s">
        <v>295</v>
      </c>
      <c r="G252" s="34" t="s">
        <v>296</v>
      </c>
      <c r="H252" s="12" t="s">
        <v>84</v>
      </c>
      <c r="I252" s="11"/>
      <c r="J252" s="11"/>
      <c r="K252" s="11"/>
      <c r="L252" s="11"/>
      <c r="M252" s="11"/>
      <c r="N252" s="11"/>
      <c r="O252" s="11"/>
      <c r="P252" s="11"/>
      <c r="Q252" s="11"/>
      <c r="R252" s="11"/>
      <c r="S252" s="11"/>
      <c r="T252" s="11"/>
      <c r="U252" s="11"/>
      <c r="V252" s="11"/>
      <c r="W252" s="11"/>
      <c r="X252" s="11"/>
      <c r="Y252" s="11"/>
      <c r="Z252" s="11"/>
    </row>
    <row r="253" ht="63.75" customHeight="1">
      <c r="A253" s="11"/>
      <c r="B253" s="13"/>
      <c r="C253" s="32" t="s">
        <v>753</v>
      </c>
      <c r="D253" s="33" t="s">
        <v>298</v>
      </c>
      <c r="E253" s="29" t="s">
        <v>67</v>
      </c>
      <c r="F253" s="33" t="s">
        <v>299</v>
      </c>
      <c r="G253" s="34" t="s">
        <v>300</v>
      </c>
      <c r="H253" s="12" t="s">
        <v>84</v>
      </c>
      <c r="I253" s="11"/>
      <c r="J253" s="11"/>
      <c r="K253" s="11"/>
      <c r="L253" s="11"/>
      <c r="M253" s="11"/>
      <c r="N253" s="11"/>
      <c r="O253" s="11"/>
      <c r="P253" s="11"/>
      <c r="Q253" s="11"/>
      <c r="R253" s="11"/>
      <c r="S253" s="11"/>
      <c r="T253" s="11"/>
      <c r="U253" s="11"/>
      <c r="V253" s="11"/>
      <c r="W253" s="11"/>
      <c r="X253" s="11"/>
      <c r="Y253" s="11"/>
      <c r="Z253" s="11"/>
    </row>
    <row r="254" ht="126.75" customHeight="1">
      <c r="A254" s="11"/>
      <c r="B254" s="13"/>
      <c r="C254" s="32" t="s">
        <v>754</v>
      </c>
      <c r="D254" s="33" t="s">
        <v>755</v>
      </c>
      <c r="E254" s="29" t="s">
        <v>67</v>
      </c>
      <c r="F254" s="33" t="s">
        <v>303</v>
      </c>
      <c r="G254" s="34" t="s">
        <v>304</v>
      </c>
      <c r="H254" s="12" t="s">
        <v>84</v>
      </c>
      <c r="I254" s="11"/>
      <c r="J254" s="11"/>
      <c r="K254" s="11"/>
      <c r="L254" s="11"/>
      <c r="M254" s="11"/>
      <c r="N254" s="11"/>
      <c r="O254" s="11"/>
      <c r="P254" s="11"/>
      <c r="Q254" s="11"/>
      <c r="R254" s="11"/>
      <c r="S254" s="11"/>
      <c r="T254" s="11"/>
      <c r="U254" s="11"/>
      <c r="V254" s="11"/>
      <c r="W254" s="11"/>
      <c r="X254" s="11"/>
      <c r="Y254" s="11"/>
      <c r="Z254" s="11"/>
    </row>
    <row r="255" ht="174.0" customHeight="1">
      <c r="A255" s="11"/>
      <c r="B255" s="13"/>
      <c r="C255" s="32" t="s">
        <v>756</v>
      </c>
      <c r="D255" s="33" t="s">
        <v>306</v>
      </c>
      <c r="E255" s="29" t="s">
        <v>67</v>
      </c>
      <c r="F255" s="33" t="s">
        <v>307</v>
      </c>
      <c r="G255" s="34" t="s">
        <v>308</v>
      </c>
      <c r="H255" s="12" t="s">
        <v>84</v>
      </c>
      <c r="I255" s="11"/>
      <c r="J255" s="11"/>
      <c r="K255" s="11"/>
      <c r="L255" s="11"/>
      <c r="M255" s="11"/>
      <c r="N255" s="11"/>
      <c r="O255" s="11"/>
      <c r="P255" s="11"/>
      <c r="Q255" s="11"/>
      <c r="R255" s="11"/>
      <c r="S255" s="11"/>
      <c r="T255" s="11"/>
      <c r="U255" s="11"/>
      <c r="V255" s="11"/>
      <c r="W255" s="11"/>
      <c r="X255" s="11"/>
      <c r="Y255" s="11"/>
      <c r="Z255" s="11"/>
    </row>
    <row r="256" ht="95.25" customHeight="1">
      <c r="A256" s="11"/>
      <c r="B256" s="13"/>
      <c r="C256" s="32" t="s">
        <v>757</v>
      </c>
      <c r="D256" s="33" t="s">
        <v>758</v>
      </c>
      <c r="E256" s="29" t="s">
        <v>67</v>
      </c>
      <c r="F256" s="33" t="s">
        <v>311</v>
      </c>
      <c r="G256" s="34" t="s">
        <v>312</v>
      </c>
      <c r="H256" s="12" t="s">
        <v>84</v>
      </c>
      <c r="I256" s="11"/>
      <c r="J256" s="11"/>
      <c r="K256" s="11"/>
      <c r="L256" s="11"/>
      <c r="M256" s="11"/>
      <c r="N256" s="11"/>
      <c r="O256" s="11"/>
      <c r="P256" s="11"/>
      <c r="Q256" s="11"/>
      <c r="R256" s="11"/>
      <c r="S256" s="11"/>
      <c r="T256" s="11"/>
      <c r="U256" s="11"/>
      <c r="V256" s="11"/>
      <c r="W256" s="11"/>
      <c r="X256" s="11"/>
      <c r="Y256" s="11"/>
      <c r="Z256" s="11"/>
    </row>
    <row r="257" ht="63.75" customHeight="1">
      <c r="A257" s="11"/>
      <c r="B257" s="13"/>
      <c r="C257" s="32" t="s">
        <v>759</v>
      </c>
      <c r="D257" s="33" t="s">
        <v>760</v>
      </c>
      <c r="E257" s="29" t="s">
        <v>67</v>
      </c>
      <c r="F257" s="33" t="s">
        <v>315</v>
      </c>
      <c r="G257" s="34" t="s">
        <v>316</v>
      </c>
      <c r="H257" s="12" t="s">
        <v>84</v>
      </c>
      <c r="I257" s="11"/>
      <c r="J257" s="11"/>
      <c r="K257" s="11"/>
      <c r="L257" s="11"/>
      <c r="M257" s="11"/>
      <c r="N257" s="11"/>
      <c r="O257" s="11"/>
      <c r="P257" s="11"/>
      <c r="Q257" s="11"/>
      <c r="R257" s="11"/>
      <c r="S257" s="11"/>
      <c r="T257" s="11"/>
      <c r="U257" s="11"/>
      <c r="V257" s="11"/>
      <c r="W257" s="11"/>
      <c r="X257" s="11"/>
      <c r="Y257" s="11"/>
      <c r="Z257" s="11"/>
    </row>
    <row r="258" ht="95.25" customHeight="1">
      <c r="A258" s="11"/>
      <c r="B258" s="13"/>
      <c r="C258" s="32" t="s">
        <v>761</v>
      </c>
      <c r="D258" s="33" t="s">
        <v>338</v>
      </c>
      <c r="E258" s="29" t="s">
        <v>67</v>
      </c>
      <c r="F258" s="33" t="s">
        <v>339</v>
      </c>
      <c r="G258" s="34" t="s">
        <v>340</v>
      </c>
      <c r="H258" s="12" t="s">
        <v>84</v>
      </c>
      <c r="I258" s="11"/>
      <c r="J258" s="11"/>
      <c r="K258" s="11"/>
      <c r="L258" s="11"/>
      <c r="M258" s="11"/>
      <c r="N258" s="11"/>
      <c r="O258" s="11"/>
      <c r="P258" s="11"/>
      <c r="Q258" s="11"/>
      <c r="R258" s="11"/>
      <c r="S258" s="11"/>
      <c r="T258" s="11"/>
      <c r="U258" s="11"/>
      <c r="V258" s="11"/>
      <c r="W258" s="11"/>
      <c r="X258" s="11"/>
      <c r="Y258" s="11"/>
      <c r="Z258" s="11"/>
    </row>
    <row r="259" ht="79.5" customHeight="1">
      <c r="A259" s="11"/>
      <c r="B259" s="13"/>
      <c r="C259" s="32" t="s">
        <v>762</v>
      </c>
      <c r="D259" s="33" t="s">
        <v>342</v>
      </c>
      <c r="E259" s="29" t="s">
        <v>67</v>
      </c>
      <c r="F259" s="33" t="s">
        <v>343</v>
      </c>
      <c r="G259" s="34" t="s">
        <v>344</v>
      </c>
      <c r="H259" s="12" t="s">
        <v>84</v>
      </c>
      <c r="I259" s="11"/>
      <c r="J259" s="11"/>
      <c r="K259" s="11"/>
      <c r="L259" s="11"/>
      <c r="M259" s="11"/>
      <c r="N259" s="11"/>
      <c r="O259" s="11"/>
      <c r="P259" s="11"/>
      <c r="Q259" s="11"/>
      <c r="R259" s="11"/>
      <c r="S259" s="11"/>
      <c r="T259" s="11"/>
      <c r="U259" s="11"/>
      <c r="V259" s="11"/>
      <c r="W259" s="11"/>
      <c r="X259" s="11"/>
      <c r="Y259" s="11"/>
      <c r="Z259" s="11"/>
    </row>
    <row r="260" ht="63.75" customHeight="1">
      <c r="A260" s="11"/>
      <c r="B260" s="13"/>
      <c r="C260" s="32" t="s">
        <v>763</v>
      </c>
      <c r="D260" s="33" t="s">
        <v>646</v>
      </c>
      <c r="E260" s="29" t="s">
        <v>67</v>
      </c>
      <c r="F260" s="33" t="s">
        <v>347</v>
      </c>
      <c r="G260" s="34" t="s">
        <v>348</v>
      </c>
      <c r="H260" s="12" t="s">
        <v>84</v>
      </c>
      <c r="I260" s="11"/>
      <c r="J260" s="11"/>
      <c r="K260" s="11"/>
      <c r="L260" s="11"/>
      <c r="M260" s="11"/>
      <c r="N260" s="11"/>
      <c r="O260" s="11"/>
      <c r="P260" s="11"/>
      <c r="Q260" s="11"/>
      <c r="R260" s="11"/>
      <c r="S260" s="11"/>
      <c r="T260" s="11"/>
      <c r="U260" s="11"/>
      <c r="V260" s="11"/>
      <c r="W260" s="11"/>
      <c r="X260" s="11"/>
      <c r="Y260" s="11"/>
      <c r="Z260" s="11"/>
    </row>
    <row r="261" ht="111.0" customHeight="1">
      <c r="A261" s="11"/>
      <c r="B261" s="13"/>
      <c r="C261" s="32" t="s">
        <v>764</v>
      </c>
      <c r="D261" s="33" t="s">
        <v>350</v>
      </c>
      <c r="E261" s="29" t="s">
        <v>67</v>
      </c>
      <c r="F261" s="33" t="s">
        <v>351</v>
      </c>
      <c r="G261" s="34" t="s">
        <v>352</v>
      </c>
      <c r="H261" s="12" t="s">
        <v>84</v>
      </c>
      <c r="I261" s="11"/>
      <c r="J261" s="11"/>
      <c r="K261" s="11"/>
      <c r="L261" s="11"/>
      <c r="M261" s="11"/>
      <c r="N261" s="11"/>
      <c r="O261" s="11"/>
      <c r="P261" s="11"/>
      <c r="Q261" s="11"/>
      <c r="R261" s="11"/>
      <c r="S261" s="11"/>
      <c r="T261" s="11"/>
      <c r="U261" s="11"/>
      <c r="V261" s="11"/>
      <c r="W261" s="11"/>
      <c r="X261" s="11"/>
      <c r="Y261" s="11"/>
      <c r="Z261" s="11"/>
    </row>
    <row r="262" ht="79.5" customHeight="1">
      <c r="A262" s="11"/>
      <c r="B262" s="13"/>
      <c r="C262" s="32" t="s">
        <v>765</v>
      </c>
      <c r="D262" s="33" t="s">
        <v>354</v>
      </c>
      <c r="E262" s="29" t="s">
        <v>67</v>
      </c>
      <c r="F262" s="33" t="s">
        <v>355</v>
      </c>
      <c r="G262" s="34" t="s">
        <v>356</v>
      </c>
      <c r="H262" s="12" t="s">
        <v>84</v>
      </c>
      <c r="I262" s="11"/>
      <c r="J262" s="11"/>
      <c r="K262" s="11"/>
      <c r="L262" s="11"/>
      <c r="M262" s="11"/>
      <c r="N262" s="11"/>
      <c r="O262" s="11"/>
      <c r="P262" s="11"/>
      <c r="Q262" s="11"/>
      <c r="R262" s="11"/>
      <c r="S262" s="11"/>
      <c r="T262" s="11"/>
      <c r="U262" s="11"/>
      <c r="V262" s="11"/>
      <c r="W262" s="11"/>
      <c r="X262" s="11"/>
      <c r="Y262" s="11"/>
      <c r="Z262" s="11"/>
    </row>
    <row r="263" ht="79.5" customHeight="1">
      <c r="A263" s="11"/>
      <c r="B263" s="13"/>
      <c r="C263" s="32" t="s">
        <v>766</v>
      </c>
      <c r="D263" s="33" t="s">
        <v>358</v>
      </c>
      <c r="E263" s="29" t="s">
        <v>67</v>
      </c>
      <c r="F263" s="33" t="s">
        <v>359</v>
      </c>
      <c r="G263" s="34" t="s">
        <v>360</v>
      </c>
      <c r="H263" s="12" t="s">
        <v>84</v>
      </c>
      <c r="I263" s="11"/>
      <c r="J263" s="11"/>
      <c r="K263" s="11"/>
      <c r="L263" s="11"/>
      <c r="M263" s="11"/>
      <c r="N263" s="11"/>
      <c r="O263" s="11"/>
      <c r="P263" s="11"/>
      <c r="Q263" s="11"/>
      <c r="R263" s="11"/>
      <c r="S263" s="11"/>
      <c r="T263" s="11"/>
      <c r="U263" s="11"/>
      <c r="V263" s="11"/>
      <c r="W263" s="11"/>
      <c r="X263" s="11"/>
      <c r="Y263" s="11"/>
      <c r="Z263" s="11"/>
    </row>
    <row r="264" ht="79.5" customHeight="1">
      <c r="A264" s="11"/>
      <c r="B264" s="13"/>
      <c r="C264" s="32" t="s">
        <v>767</v>
      </c>
      <c r="D264" s="33" t="s">
        <v>362</v>
      </c>
      <c r="E264" s="29" t="s">
        <v>67</v>
      </c>
      <c r="F264" s="33" t="s">
        <v>363</v>
      </c>
      <c r="G264" s="34" t="s">
        <v>364</v>
      </c>
      <c r="H264" s="12" t="s">
        <v>84</v>
      </c>
      <c r="I264" s="11"/>
      <c r="J264" s="11"/>
      <c r="K264" s="11"/>
      <c r="L264" s="11"/>
      <c r="M264" s="11"/>
      <c r="N264" s="11"/>
      <c r="O264" s="11"/>
      <c r="P264" s="11"/>
      <c r="Q264" s="11"/>
      <c r="R264" s="11"/>
      <c r="S264" s="11"/>
      <c r="T264" s="11"/>
      <c r="U264" s="11"/>
      <c r="V264" s="11"/>
      <c r="W264" s="11"/>
      <c r="X264" s="11"/>
      <c r="Y264" s="11"/>
      <c r="Z264" s="11"/>
    </row>
    <row r="265" ht="63.75" customHeight="1">
      <c r="A265" s="11"/>
      <c r="B265" s="13"/>
      <c r="C265" s="32" t="s">
        <v>768</v>
      </c>
      <c r="D265" s="33" t="s">
        <v>366</v>
      </c>
      <c r="E265" s="29" t="s">
        <v>67</v>
      </c>
      <c r="F265" s="33" t="s">
        <v>367</v>
      </c>
      <c r="G265" s="34" t="s">
        <v>368</v>
      </c>
      <c r="H265" s="12" t="s">
        <v>84</v>
      </c>
      <c r="I265" s="11"/>
      <c r="J265" s="11"/>
      <c r="K265" s="11"/>
      <c r="L265" s="11"/>
      <c r="M265" s="11"/>
      <c r="N265" s="11"/>
      <c r="O265" s="11"/>
      <c r="P265" s="11"/>
      <c r="Q265" s="11"/>
      <c r="R265" s="11"/>
      <c r="S265" s="11"/>
      <c r="T265" s="11"/>
      <c r="U265" s="11"/>
      <c r="V265" s="11"/>
      <c r="W265" s="11"/>
      <c r="X265" s="11"/>
      <c r="Y265" s="11"/>
      <c r="Z265" s="11"/>
    </row>
    <row r="266" ht="80.25" customHeight="1">
      <c r="A266" s="11"/>
      <c r="B266" s="13"/>
      <c r="C266" s="32" t="s">
        <v>769</v>
      </c>
      <c r="D266" s="33" t="s">
        <v>370</v>
      </c>
      <c r="E266" s="29" t="s">
        <v>67</v>
      </c>
      <c r="F266" s="33" t="s">
        <v>371</v>
      </c>
      <c r="G266" s="34" t="s">
        <v>372</v>
      </c>
      <c r="H266" s="12" t="s">
        <v>84</v>
      </c>
      <c r="I266" s="11"/>
      <c r="J266" s="11"/>
      <c r="K266" s="11"/>
      <c r="L266" s="11"/>
      <c r="M266" s="11"/>
      <c r="N266" s="11"/>
      <c r="O266" s="11"/>
      <c r="P266" s="11"/>
      <c r="Q266" s="11"/>
      <c r="R266" s="11"/>
      <c r="S266" s="11"/>
      <c r="T266" s="11"/>
      <c r="U266" s="11"/>
      <c r="V266" s="11"/>
      <c r="W266" s="11"/>
      <c r="X266" s="11"/>
      <c r="Y266" s="11"/>
      <c r="Z266" s="11"/>
    </row>
    <row r="267" ht="79.5" customHeight="1">
      <c r="A267" s="11"/>
      <c r="B267" s="13"/>
      <c r="C267" s="32" t="s">
        <v>770</v>
      </c>
      <c r="D267" s="33" t="s">
        <v>771</v>
      </c>
      <c r="E267" s="29" t="s">
        <v>67</v>
      </c>
      <c r="F267" s="33" t="s">
        <v>375</v>
      </c>
      <c r="G267" s="34" t="s">
        <v>376</v>
      </c>
      <c r="H267" s="12" t="s">
        <v>84</v>
      </c>
      <c r="I267" s="11"/>
      <c r="J267" s="11"/>
      <c r="K267" s="11"/>
      <c r="L267" s="11"/>
      <c r="M267" s="11"/>
      <c r="N267" s="11"/>
      <c r="O267" s="11"/>
      <c r="P267" s="11"/>
      <c r="Q267" s="11"/>
      <c r="R267" s="11"/>
      <c r="S267" s="11"/>
      <c r="T267" s="11"/>
      <c r="U267" s="11"/>
      <c r="V267" s="11"/>
      <c r="W267" s="11"/>
      <c r="X267" s="11"/>
      <c r="Y267" s="11"/>
      <c r="Z267" s="11"/>
    </row>
    <row r="268" ht="95.25" customHeight="1">
      <c r="A268" s="11"/>
      <c r="B268" s="13"/>
      <c r="C268" s="32" t="s">
        <v>772</v>
      </c>
      <c r="D268" s="33" t="s">
        <v>378</v>
      </c>
      <c r="E268" s="29" t="s">
        <v>67</v>
      </c>
      <c r="F268" s="33" t="s">
        <v>379</v>
      </c>
      <c r="G268" s="34" t="s">
        <v>380</v>
      </c>
      <c r="H268" s="12" t="s">
        <v>84</v>
      </c>
      <c r="I268" s="11"/>
      <c r="J268" s="11"/>
      <c r="K268" s="11"/>
      <c r="L268" s="11"/>
      <c r="M268" s="11"/>
      <c r="N268" s="11"/>
      <c r="O268" s="11"/>
      <c r="P268" s="11"/>
      <c r="Q268" s="11"/>
      <c r="R268" s="11"/>
      <c r="S268" s="11"/>
      <c r="T268" s="11"/>
      <c r="U268" s="11"/>
      <c r="V268" s="11"/>
      <c r="W268" s="11"/>
      <c r="X268" s="11"/>
      <c r="Y268" s="11"/>
      <c r="Z268" s="11"/>
    </row>
    <row r="269" ht="63.75" customHeight="1">
      <c r="A269" s="11"/>
      <c r="B269" s="13"/>
      <c r="C269" s="32" t="s">
        <v>773</v>
      </c>
      <c r="D269" s="33" t="s">
        <v>382</v>
      </c>
      <c r="E269" s="29" t="s">
        <v>67</v>
      </c>
      <c r="F269" s="33" t="s">
        <v>383</v>
      </c>
      <c r="G269" s="34" t="s">
        <v>384</v>
      </c>
      <c r="H269" s="12" t="s">
        <v>84</v>
      </c>
      <c r="I269" s="11"/>
      <c r="J269" s="11"/>
      <c r="K269" s="11"/>
      <c r="L269" s="11"/>
      <c r="M269" s="11"/>
      <c r="N269" s="11"/>
      <c r="O269" s="11"/>
      <c r="P269" s="11"/>
      <c r="Q269" s="11"/>
      <c r="R269" s="11"/>
      <c r="S269" s="11"/>
      <c r="T269" s="11"/>
      <c r="U269" s="11"/>
      <c r="V269" s="11"/>
      <c r="W269" s="11"/>
      <c r="X269" s="11"/>
      <c r="Y269" s="11"/>
      <c r="Z269" s="11"/>
    </row>
    <row r="270" ht="111.0" customHeight="1">
      <c r="A270" s="11"/>
      <c r="B270" s="13"/>
      <c r="C270" s="32" t="s">
        <v>774</v>
      </c>
      <c r="D270" s="33" t="s">
        <v>386</v>
      </c>
      <c r="E270" s="29" t="s">
        <v>67</v>
      </c>
      <c r="F270" s="33" t="s">
        <v>387</v>
      </c>
      <c r="G270" s="34" t="s">
        <v>388</v>
      </c>
      <c r="H270" s="12" t="s">
        <v>84</v>
      </c>
      <c r="I270" s="11"/>
      <c r="J270" s="11"/>
      <c r="K270" s="11"/>
      <c r="L270" s="11"/>
      <c r="M270" s="11"/>
      <c r="N270" s="11"/>
      <c r="O270" s="11"/>
      <c r="P270" s="11"/>
      <c r="Q270" s="11"/>
      <c r="R270" s="11"/>
      <c r="S270" s="11"/>
      <c r="T270" s="11"/>
      <c r="U270" s="11"/>
      <c r="V270" s="11"/>
      <c r="W270" s="11"/>
      <c r="X270" s="11"/>
      <c r="Y270" s="11"/>
      <c r="Z270" s="11"/>
    </row>
    <row r="271" ht="142.5" customHeight="1">
      <c r="A271" s="11"/>
      <c r="B271" s="13"/>
      <c r="C271" s="32" t="s">
        <v>775</v>
      </c>
      <c r="D271" s="33" t="s">
        <v>776</v>
      </c>
      <c r="E271" s="29" t="s">
        <v>67</v>
      </c>
      <c r="F271" s="33" t="s">
        <v>391</v>
      </c>
      <c r="G271" s="34" t="s">
        <v>392</v>
      </c>
      <c r="H271" s="12" t="s">
        <v>84</v>
      </c>
      <c r="I271" s="11"/>
      <c r="J271" s="11"/>
      <c r="K271" s="11"/>
      <c r="L271" s="11"/>
      <c r="M271" s="11"/>
      <c r="N271" s="11"/>
      <c r="O271" s="11"/>
      <c r="P271" s="11"/>
      <c r="Q271" s="11"/>
      <c r="R271" s="11"/>
      <c r="S271" s="11"/>
      <c r="T271" s="11"/>
      <c r="U271" s="11"/>
      <c r="V271" s="11"/>
      <c r="W271" s="11"/>
      <c r="X271" s="11"/>
      <c r="Y271" s="11"/>
      <c r="Z271" s="11"/>
    </row>
    <row r="272" ht="95.25" customHeight="1">
      <c r="A272" s="11"/>
      <c r="B272" s="13"/>
      <c r="C272" s="27" t="s">
        <v>777</v>
      </c>
      <c r="D272" s="28" t="s">
        <v>778</v>
      </c>
      <c r="E272" s="40" t="s">
        <v>70</v>
      </c>
      <c r="F272" s="28" t="s">
        <v>779</v>
      </c>
      <c r="G272" s="30" t="s">
        <v>780</v>
      </c>
      <c r="H272" s="12" t="s">
        <v>84</v>
      </c>
      <c r="I272" s="11"/>
      <c r="J272" s="11"/>
      <c r="K272" s="11"/>
      <c r="L272" s="11"/>
      <c r="M272" s="11"/>
      <c r="N272" s="11"/>
      <c r="O272" s="11"/>
      <c r="P272" s="11"/>
      <c r="Q272" s="11"/>
      <c r="R272" s="11"/>
      <c r="S272" s="11"/>
      <c r="T272" s="11"/>
      <c r="U272" s="11"/>
      <c r="V272" s="11"/>
      <c r="W272" s="11"/>
      <c r="X272" s="11"/>
      <c r="Y272" s="11"/>
      <c r="Z272" s="11"/>
    </row>
    <row r="273" ht="63.75" customHeight="1">
      <c r="A273" s="11"/>
      <c r="B273" s="13"/>
      <c r="C273" s="32" t="s">
        <v>781</v>
      </c>
      <c r="D273" s="33" t="s">
        <v>782</v>
      </c>
      <c r="E273" s="40" t="s">
        <v>70</v>
      </c>
      <c r="F273" s="33" t="s">
        <v>783</v>
      </c>
      <c r="G273" s="34" t="s">
        <v>784</v>
      </c>
      <c r="H273" s="12" t="s">
        <v>84</v>
      </c>
      <c r="I273" s="11"/>
      <c r="J273" s="11"/>
      <c r="K273" s="11"/>
      <c r="L273" s="11"/>
      <c r="M273" s="11"/>
      <c r="N273" s="11"/>
      <c r="O273" s="11"/>
      <c r="P273" s="11"/>
      <c r="Q273" s="11"/>
      <c r="R273" s="11"/>
      <c r="S273" s="11"/>
      <c r="T273" s="11"/>
      <c r="U273" s="11"/>
      <c r="V273" s="11"/>
      <c r="W273" s="11"/>
      <c r="X273" s="11"/>
      <c r="Y273" s="11"/>
      <c r="Z273" s="11"/>
    </row>
    <row r="274" ht="79.5" customHeight="1">
      <c r="A274" s="11"/>
      <c r="B274" s="13"/>
      <c r="C274" s="32" t="s">
        <v>785</v>
      </c>
      <c r="D274" s="33" t="s">
        <v>786</v>
      </c>
      <c r="E274" s="40" t="s">
        <v>70</v>
      </c>
      <c r="F274" s="33" t="s">
        <v>787</v>
      </c>
      <c r="G274" s="34" t="s">
        <v>788</v>
      </c>
      <c r="H274" s="12" t="s">
        <v>84</v>
      </c>
      <c r="I274" s="11"/>
      <c r="J274" s="11"/>
      <c r="K274" s="11"/>
      <c r="L274" s="11"/>
      <c r="M274" s="11"/>
      <c r="N274" s="11"/>
      <c r="O274" s="11"/>
      <c r="P274" s="11"/>
      <c r="Q274" s="11"/>
      <c r="R274" s="11"/>
      <c r="S274" s="11"/>
      <c r="T274" s="11"/>
      <c r="U274" s="11"/>
      <c r="V274" s="11"/>
      <c r="W274" s="11"/>
      <c r="X274" s="11"/>
      <c r="Y274" s="11"/>
      <c r="Z274" s="11"/>
    </row>
    <row r="275" ht="79.5" customHeight="1">
      <c r="A275" s="11"/>
      <c r="B275" s="13"/>
      <c r="C275" s="32" t="s">
        <v>789</v>
      </c>
      <c r="D275" s="33" t="s">
        <v>790</v>
      </c>
      <c r="E275" s="40" t="s">
        <v>70</v>
      </c>
      <c r="F275" s="33" t="s">
        <v>791</v>
      </c>
      <c r="G275" s="34" t="s">
        <v>792</v>
      </c>
      <c r="H275" s="12" t="s">
        <v>84</v>
      </c>
      <c r="I275" s="11"/>
      <c r="J275" s="11"/>
      <c r="K275" s="11"/>
      <c r="L275" s="11"/>
      <c r="M275" s="11"/>
      <c r="N275" s="11"/>
      <c r="O275" s="11"/>
      <c r="P275" s="11"/>
      <c r="Q275" s="11"/>
      <c r="R275" s="11"/>
      <c r="S275" s="11"/>
      <c r="T275" s="11"/>
      <c r="U275" s="11"/>
      <c r="V275" s="11"/>
      <c r="W275" s="11"/>
      <c r="X275" s="11"/>
      <c r="Y275" s="11"/>
      <c r="Z275" s="11"/>
    </row>
    <row r="276" ht="126.75" customHeight="1">
      <c r="A276" s="11"/>
      <c r="B276" s="13"/>
      <c r="C276" s="32" t="s">
        <v>793</v>
      </c>
      <c r="D276" s="33" t="s">
        <v>794</v>
      </c>
      <c r="E276" s="40" t="s">
        <v>70</v>
      </c>
      <c r="F276" s="33" t="s">
        <v>93</v>
      </c>
      <c r="G276" s="34" t="s">
        <v>94</v>
      </c>
      <c r="H276" s="12" t="s">
        <v>84</v>
      </c>
      <c r="I276" s="11"/>
      <c r="J276" s="11"/>
      <c r="K276" s="11"/>
      <c r="L276" s="11"/>
      <c r="M276" s="11"/>
      <c r="N276" s="11"/>
      <c r="O276" s="11"/>
      <c r="P276" s="11"/>
      <c r="Q276" s="11"/>
      <c r="R276" s="11"/>
      <c r="S276" s="11"/>
      <c r="T276" s="11"/>
      <c r="U276" s="11"/>
      <c r="V276" s="11"/>
      <c r="W276" s="11"/>
      <c r="X276" s="11"/>
      <c r="Y276" s="11"/>
      <c r="Z276" s="11"/>
    </row>
    <row r="277" ht="126.75" customHeight="1">
      <c r="A277" s="11"/>
      <c r="B277" s="13"/>
      <c r="C277" s="32" t="s">
        <v>795</v>
      </c>
      <c r="D277" s="33" t="s">
        <v>796</v>
      </c>
      <c r="E277" s="40" t="s">
        <v>70</v>
      </c>
      <c r="F277" s="33" t="s">
        <v>407</v>
      </c>
      <c r="G277" s="34" t="s">
        <v>408</v>
      </c>
      <c r="H277" s="12" t="s">
        <v>84</v>
      </c>
      <c r="I277" s="11"/>
      <c r="J277" s="11"/>
      <c r="K277" s="11"/>
      <c r="L277" s="11"/>
      <c r="M277" s="11"/>
      <c r="N277" s="11"/>
      <c r="O277" s="11"/>
      <c r="P277" s="11"/>
      <c r="Q277" s="11"/>
      <c r="R277" s="11"/>
      <c r="S277" s="11"/>
      <c r="T277" s="11"/>
      <c r="U277" s="11"/>
      <c r="V277" s="11"/>
      <c r="W277" s="11"/>
      <c r="X277" s="11"/>
      <c r="Y277" s="11"/>
      <c r="Z277" s="11"/>
    </row>
    <row r="278" ht="95.25" customHeight="1">
      <c r="A278" s="11"/>
      <c r="B278" s="13"/>
      <c r="C278" s="32" t="s">
        <v>797</v>
      </c>
      <c r="D278" s="33" t="s">
        <v>410</v>
      </c>
      <c r="E278" s="40" t="s">
        <v>70</v>
      </c>
      <c r="F278" s="33" t="s">
        <v>101</v>
      </c>
      <c r="G278" s="34" t="s">
        <v>411</v>
      </c>
      <c r="H278" s="12" t="s">
        <v>84</v>
      </c>
      <c r="I278" s="11"/>
      <c r="J278" s="11"/>
      <c r="K278" s="11"/>
      <c r="L278" s="11"/>
      <c r="M278" s="11"/>
      <c r="N278" s="11"/>
      <c r="O278" s="11"/>
      <c r="P278" s="11"/>
      <c r="Q278" s="11"/>
      <c r="R278" s="11"/>
      <c r="S278" s="11"/>
      <c r="T278" s="11"/>
      <c r="U278" s="11"/>
      <c r="V278" s="11"/>
      <c r="W278" s="11"/>
      <c r="X278" s="11"/>
      <c r="Y278" s="11"/>
      <c r="Z278" s="11"/>
    </row>
    <row r="279" ht="237.0" customHeight="1">
      <c r="A279" s="11"/>
      <c r="B279" s="13"/>
      <c r="C279" s="32" t="s">
        <v>798</v>
      </c>
      <c r="D279" s="33" t="s">
        <v>799</v>
      </c>
      <c r="E279" s="40" t="s">
        <v>70</v>
      </c>
      <c r="F279" s="33" t="s">
        <v>800</v>
      </c>
      <c r="G279" s="34" t="s">
        <v>801</v>
      </c>
      <c r="H279" s="12" t="s">
        <v>84</v>
      </c>
      <c r="I279" s="11"/>
      <c r="J279" s="11"/>
      <c r="K279" s="11"/>
      <c r="L279" s="11"/>
      <c r="M279" s="11"/>
      <c r="N279" s="11"/>
      <c r="O279" s="11"/>
      <c r="P279" s="11"/>
      <c r="Q279" s="11"/>
      <c r="R279" s="11"/>
      <c r="S279" s="11"/>
      <c r="T279" s="11"/>
      <c r="U279" s="11"/>
      <c r="V279" s="11"/>
      <c r="W279" s="11"/>
      <c r="X279" s="11"/>
      <c r="Y279" s="11"/>
      <c r="Z279" s="11"/>
    </row>
    <row r="280" ht="142.5" customHeight="1">
      <c r="A280" s="11"/>
      <c r="B280" s="13"/>
      <c r="C280" s="32" t="s">
        <v>802</v>
      </c>
      <c r="D280" s="33" t="s">
        <v>803</v>
      </c>
      <c r="E280" s="40" t="s">
        <v>70</v>
      </c>
      <c r="F280" s="33" t="s">
        <v>683</v>
      </c>
      <c r="G280" s="34" t="s">
        <v>804</v>
      </c>
      <c r="H280" s="12" t="s">
        <v>84</v>
      </c>
      <c r="I280" s="11"/>
      <c r="J280" s="11"/>
      <c r="K280" s="11"/>
      <c r="L280" s="11"/>
      <c r="M280" s="11"/>
      <c r="N280" s="11"/>
      <c r="O280" s="11"/>
      <c r="P280" s="11"/>
      <c r="Q280" s="11"/>
      <c r="R280" s="11"/>
      <c r="S280" s="11"/>
      <c r="T280" s="11"/>
      <c r="U280" s="11"/>
      <c r="V280" s="11"/>
      <c r="W280" s="11"/>
      <c r="X280" s="11"/>
      <c r="Y280" s="11"/>
      <c r="Z280" s="11"/>
    </row>
    <row r="281" ht="142.5" customHeight="1">
      <c r="A281" s="11"/>
      <c r="B281" s="13"/>
      <c r="C281" s="32" t="s">
        <v>805</v>
      </c>
      <c r="D281" s="33" t="s">
        <v>686</v>
      </c>
      <c r="E281" s="40" t="s">
        <v>70</v>
      </c>
      <c r="F281" s="33" t="s">
        <v>687</v>
      </c>
      <c r="G281" s="34" t="s">
        <v>688</v>
      </c>
      <c r="H281" s="12" t="s">
        <v>84</v>
      </c>
      <c r="I281" s="11"/>
      <c r="J281" s="11"/>
      <c r="K281" s="11"/>
      <c r="L281" s="11"/>
      <c r="M281" s="11"/>
      <c r="N281" s="11"/>
      <c r="O281" s="11"/>
      <c r="P281" s="11"/>
      <c r="Q281" s="11"/>
      <c r="R281" s="11"/>
      <c r="S281" s="11"/>
      <c r="T281" s="11"/>
      <c r="U281" s="11"/>
      <c r="V281" s="11"/>
      <c r="W281" s="11"/>
      <c r="X281" s="11"/>
      <c r="Y281" s="11"/>
      <c r="Z281" s="11"/>
    </row>
    <row r="282" ht="126.75" customHeight="1">
      <c r="A282" s="11"/>
      <c r="B282" s="13"/>
      <c r="C282" s="32" t="s">
        <v>806</v>
      </c>
      <c r="D282" s="33" t="s">
        <v>557</v>
      </c>
      <c r="E282" s="40" t="s">
        <v>70</v>
      </c>
      <c r="F282" s="33" t="s">
        <v>421</v>
      </c>
      <c r="G282" s="34" t="s">
        <v>118</v>
      </c>
      <c r="H282" s="12" t="s">
        <v>84</v>
      </c>
      <c r="I282" s="11"/>
      <c r="J282" s="11"/>
      <c r="K282" s="11"/>
      <c r="L282" s="11"/>
      <c r="M282" s="11"/>
      <c r="N282" s="11"/>
      <c r="O282" s="11"/>
      <c r="P282" s="11"/>
      <c r="Q282" s="11"/>
      <c r="R282" s="11"/>
      <c r="S282" s="11"/>
      <c r="T282" s="11"/>
      <c r="U282" s="11"/>
      <c r="V282" s="11"/>
      <c r="W282" s="11"/>
      <c r="X282" s="11"/>
      <c r="Y282" s="11"/>
      <c r="Z282" s="11"/>
    </row>
    <row r="283" ht="111.0" customHeight="1">
      <c r="A283" s="11"/>
      <c r="B283" s="13"/>
      <c r="C283" s="32" t="s">
        <v>807</v>
      </c>
      <c r="D283" s="33" t="s">
        <v>120</v>
      </c>
      <c r="E283" s="40" t="s">
        <v>70</v>
      </c>
      <c r="F283" s="33" t="s">
        <v>121</v>
      </c>
      <c r="G283" s="34" t="s">
        <v>122</v>
      </c>
      <c r="H283" s="12" t="s">
        <v>84</v>
      </c>
      <c r="I283" s="11"/>
      <c r="J283" s="11"/>
      <c r="K283" s="11"/>
      <c r="L283" s="11"/>
      <c r="M283" s="11"/>
      <c r="N283" s="11"/>
      <c r="O283" s="11"/>
      <c r="P283" s="11"/>
      <c r="Q283" s="11"/>
      <c r="R283" s="11"/>
      <c r="S283" s="11"/>
      <c r="T283" s="11"/>
      <c r="U283" s="11"/>
      <c r="V283" s="11"/>
      <c r="W283" s="11"/>
      <c r="X283" s="11"/>
      <c r="Y283" s="11"/>
      <c r="Z283" s="11"/>
    </row>
    <row r="284" ht="111.0" customHeight="1">
      <c r="A284" s="11"/>
      <c r="B284" s="13"/>
      <c r="C284" s="32" t="s">
        <v>808</v>
      </c>
      <c r="D284" s="33" t="s">
        <v>424</v>
      </c>
      <c r="E284" s="40" t="s">
        <v>70</v>
      </c>
      <c r="F284" s="33" t="s">
        <v>425</v>
      </c>
      <c r="G284" s="34" t="s">
        <v>126</v>
      </c>
      <c r="H284" s="12" t="s">
        <v>84</v>
      </c>
      <c r="I284" s="11"/>
      <c r="J284" s="11"/>
      <c r="K284" s="11"/>
      <c r="L284" s="11"/>
      <c r="M284" s="11"/>
      <c r="N284" s="11"/>
      <c r="O284" s="11"/>
      <c r="P284" s="11"/>
      <c r="Q284" s="11"/>
      <c r="R284" s="11"/>
      <c r="S284" s="11"/>
      <c r="T284" s="11"/>
      <c r="U284" s="11"/>
      <c r="V284" s="11"/>
      <c r="W284" s="11"/>
      <c r="X284" s="11"/>
      <c r="Y284" s="11"/>
      <c r="Z284" s="11"/>
    </row>
    <row r="285" ht="79.5" customHeight="1">
      <c r="A285" s="11"/>
      <c r="B285" s="13"/>
      <c r="C285" s="32" t="s">
        <v>809</v>
      </c>
      <c r="D285" s="33" t="s">
        <v>128</v>
      </c>
      <c r="E285" s="40" t="s">
        <v>70</v>
      </c>
      <c r="F285" s="33" t="s">
        <v>129</v>
      </c>
      <c r="G285" s="34" t="s">
        <v>130</v>
      </c>
      <c r="H285" s="12" t="s">
        <v>84</v>
      </c>
      <c r="I285" s="11"/>
      <c r="J285" s="11"/>
      <c r="K285" s="11"/>
      <c r="L285" s="11"/>
      <c r="M285" s="11"/>
      <c r="N285" s="11"/>
      <c r="O285" s="11"/>
      <c r="P285" s="11"/>
      <c r="Q285" s="11"/>
      <c r="R285" s="11"/>
      <c r="S285" s="11"/>
      <c r="T285" s="11"/>
      <c r="U285" s="11"/>
      <c r="V285" s="11"/>
      <c r="W285" s="11"/>
      <c r="X285" s="11"/>
      <c r="Y285" s="11"/>
      <c r="Z285" s="11"/>
    </row>
    <row r="286" ht="158.25" customHeight="1">
      <c r="A286" s="11"/>
      <c r="B286" s="13"/>
      <c r="C286" s="32" t="s">
        <v>810</v>
      </c>
      <c r="D286" s="33" t="s">
        <v>695</v>
      </c>
      <c r="E286" s="40" t="s">
        <v>70</v>
      </c>
      <c r="F286" s="33" t="s">
        <v>428</v>
      </c>
      <c r="G286" s="34" t="s">
        <v>134</v>
      </c>
      <c r="H286" s="12" t="s">
        <v>84</v>
      </c>
      <c r="I286" s="11"/>
      <c r="J286" s="11"/>
      <c r="K286" s="11"/>
      <c r="L286" s="11"/>
      <c r="M286" s="11"/>
      <c r="N286" s="11"/>
      <c r="O286" s="11"/>
      <c r="P286" s="11"/>
      <c r="Q286" s="11"/>
      <c r="R286" s="11"/>
      <c r="S286" s="11"/>
      <c r="T286" s="11"/>
      <c r="U286" s="11"/>
      <c r="V286" s="11"/>
      <c r="W286" s="11"/>
      <c r="X286" s="11"/>
      <c r="Y286" s="11"/>
      <c r="Z286" s="11"/>
    </row>
    <row r="287" ht="158.25" customHeight="1">
      <c r="A287" s="11"/>
      <c r="B287" s="13"/>
      <c r="C287" s="32" t="s">
        <v>811</v>
      </c>
      <c r="D287" s="33" t="s">
        <v>812</v>
      </c>
      <c r="E287" s="40" t="s">
        <v>70</v>
      </c>
      <c r="F287" s="33" t="s">
        <v>813</v>
      </c>
      <c r="G287" s="34" t="s">
        <v>814</v>
      </c>
      <c r="H287" s="12" t="s">
        <v>84</v>
      </c>
      <c r="I287" s="11"/>
      <c r="J287" s="11"/>
      <c r="K287" s="11"/>
      <c r="L287" s="11"/>
      <c r="M287" s="11"/>
      <c r="N287" s="11"/>
      <c r="O287" s="11"/>
      <c r="P287" s="11"/>
      <c r="Q287" s="11"/>
      <c r="R287" s="11"/>
      <c r="S287" s="11"/>
      <c r="T287" s="11"/>
      <c r="U287" s="11"/>
      <c r="V287" s="11"/>
      <c r="W287" s="11"/>
      <c r="X287" s="11"/>
      <c r="Y287" s="11"/>
      <c r="Z287" s="11"/>
    </row>
    <row r="288" ht="189.75" customHeight="1">
      <c r="A288" s="11"/>
      <c r="B288" s="13"/>
      <c r="C288" s="32" t="s">
        <v>815</v>
      </c>
      <c r="D288" s="33" t="s">
        <v>816</v>
      </c>
      <c r="E288" s="40" t="s">
        <v>70</v>
      </c>
      <c r="F288" s="33" t="s">
        <v>173</v>
      </c>
      <c r="G288" s="34" t="s">
        <v>432</v>
      </c>
      <c r="H288" s="12" t="s">
        <v>84</v>
      </c>
      <c r="I288" s="11"/>
      <c r="J288" s="11"/>
      <c r="K288" s="11"/>
      <c r="L288" s="11"/>
      <c r="M288" s="11"/>
      <c r="N288" s="11"/>
      <c r="O288" s="11"/>
      <c r="P288" s="11"/>
      <c r="Q288" s="11"/>
      <c r="R288" s="11"/>
      <c r="S288" s="11"/>
      <c r="T288" s="11"/>
      <c r="U288" s="11"/>
      <c r="V288" s="11"/>
      <c r="W288" s="11"/>
      <c r="X288" s="11"/>
      <c r="Y288" s="11"/>
      <c r="Z288" s="11"/>
    </row>
    <row r="289" ht="189.75" customHeight="1">
      <c r="A289" s="11"/>
      <c r="B289" s="13"/>
      <c r="C289" s="32" t="s">
        <v>817</v>
      </c>
      <c r="D289" s="33" t="s">
        <v>591</v>
      </c>
      <c r="E289" s="40" t="s">
        <v>70</v>
      </c>
      <c r="F289" s="33" t="s">
        <v>592</v>
      </c>
      <c r="G289" s="34" t="s">
        <v>818</v>
      </c>
      <c r="H289" s="12" t="s">
        <v>84</v>
      </c>
      <c r="I289" s="11"/>
      <c r="J289" s="11"/>
      <c r="K289" s="11"/>
      <c r="L289" s="11"/>
      <c r="M289" s="11"/>
      <c r="N289" s="11"/>
      <c r="O289" s="11"/>
      <c r="P289" s="11"/>
      <c r="Q289" s="11"/>
      <c r="R289" s="11"/>
      <c r="S289" s="11"/>
      <c r="T289" s="11"/>
      <c r="U289" s="11"/>
      <c r="V289" s="11"/>
      <c r="W289" s="11"/>
      <c r="X289" s="11"/>
      <c r="Y289" s="11"/>
      <c r="Z289" s="11"/>
    </row>
    <row r="290" ht="237.0" customHeight="1">
      <c r="A290" s="11"/>
      <c r="B290" s="13"/>
      <c r="C290" s="32" t="s">
        <v>819</v>
      </c>
      <c r="D290" s="33" t="s">
        <v>820</v>
      </c>
      <c r="E290" s="40" t="s">
        <v>70</v>
      </c>
      <c r="F290" s="33" t="s">
        <v>821</v>
      </c>
      <c r="G290" s="34" t="s">
        <v>822</v>
      </c>
      <c r="H290" s="12" t="s">
        <v>84</v>
      </c>
      <c r="I290" s="11"/>
      <c r="J290" s="11"/>
      <c r="K290" s="11"/>
      <c r="L290" s="11"/>
      <c r="M290" s="11"/>
      <c r="N290" s="11"/>
      <c r="O290" s="11"/>
      <c r="P290" s="11"/>
      <c r="Q290" s="11"/>
      <c r="R290" s="11"/>
      <c r="S290" s="11"/>
      <c r="T290" s="11"/>
      <c r="U290" s="11"/>
      <c r="V290" s="11"/>
      <c r="W290" s="11"/>
      <c r="X290" s="11"/>
      <c r="Y290" s="11"/>
      <c r="Z290" s="11"/>
    </row>
    <row r="291" ht="189.75" customHeight="1">
      <c r="A291" s="11"/>
      <c r="B291" s="13"/>
      <c r="C291" s="32" t="s">
        <v>823</v>
      </c>
      <c r="D291" s="33" t="s">
        <v>824</v>
      </c>
      <c r="E291" s="40" t="s">
        <v>70</v>
      </c>
      <c r="F291" s="33" t="s">
        <v>599</v>
      </c>
      <c r="G291" s="34" t="s">
        <v>443</v>
      </c>
      <c r="H291" s="12" t="s">
        <v>84</v>
      </c>
      <c r="I291" s="11"/>
      <c r="J291" s="11"/>
      <c r="K291" s="11"/>
      <c r="L291" s="11"/>
      <c r="M291" s="11"/>
      <c r="N291" s="11"/>
      <c r="O291" s="11"/>
      <c r="P291" s="11"/>
      <c r="Q291" s="11"/>
      <c r="R291" s="11"/>
      <c r="S291" s="11"/>
      <c r="T291" s="11"/>
      <c r="U291" s="11"/>
      <c r="V291" s="11"/>
      <c r="W291" s="11"/>
      <c r="X291" s="11"/>
      <c r="Y291" s="11"/>
      <c r="Z291" s="11"/>
    </row>
    <row r="292" ht="189.75" customHeight="1">
      <c r="A292" s="11"/>
      <c r="B292" s="13"/>
      <c r="C292" s="32" t="s">
        <v>825</v>
      </c>
      <c r="D292" s="33" t="s">
        <v>449</v>
      </c>
      <c r="E292" s="40" t="s">
        <v>70</v>
      </c>
      <c r="F292" s="33" t="s">
        <v>605</v>
      </c>
      <c r="G292" s="34" t="s">
        <v>451</v>
      </c>
      <c r="H292" s="12" t="s">
        <v>84</v>
      </c>
      <c r="I292" s="11"/>
      <c r="J292" s="11"/>
      <c r="K292" s="11"/>
      <c r="L292" s="11"/>
      <c r="M292" s="11"/>
      <c r="N292" s="11"/>
      <c r="O292" s="11"/>
      <c r="P292" s="11"/>
      <c r="Q292" s="11"/>
      <c r="R292" s="11"/>
      <c r="S292" s="11"/>
      <c r="T292" s="11"/>
      <c r="U292" s="11"/>
      <c r="V292" s="11"/>
      <c r="W292" s="11"/>
      <c r="X292" s="11"/>
      <c r="Y292" s="11"/>
      <c r="Z292" s="11"/>
    </row>
    <row r="293" ht="252.75" customHeight="1">
      <c r="A293" s="11"/>
      <c r="B293" s="13"/>
      <c r="C293" s="32" t="s">
        <v>826</v>
      </c>
      <c r="D293" s="33" t="s">
        <v>827</v>
      </c>
      <c r="E293" s="40" t="s">
        <v>70</v>
      </c>
      <c r="F293" s="33" t="s">
        <v>169</v>
      </c>
      <c r="G293" s="34" t="s">
        <v>615</v>
      </c>
      <c r="H293" s="12" t="s">
        <v>84</v>
      </c>
      <c r="I293" s="11"/>
      <c r="J293" s="11"/>
      <c r="K293" s="11"/>
      <c r="L293" s="11"/>
      <c r="M293" s="11"/>
      <c r="N293" s="11"/>
      <c r="O293" s="11"/>
      <c r="P293" s="11"/>
      <c r="Q293" s="11"/>
      <c r="R293" s="11"/>
      <c r="S293" s="11"/>
      <c r="T293" s="11"/>
      <c r="U293" s="11"/>
      <c r="V293" s="11"/>
      <c r="W293" s="11"/>
      <c r="X293" s="11"/>
      <c r="Y293" s="11"/>
      <c r="Z293" s="11"/>
    </row>
    <row r="294" ht="158.25" customHeight="1">
      <c r="A294" s="11"/>
      <c r="B294" s="13"/>
      <c r="C294" s="32" t="s">
        <v>828</v>
      </c>
      <c r="D294" s="33" t="s">
        <v>725</v>
      </c>
      <c r="E294" s="40" t="s">
        <v>70</v>
      </c>
      <c r="F294" s="33" t="s">
        <v>457</v>
      </c>
      <c r="G294" s="34" t="s">
        <v>228</v>
      </c>
      <c r="H294" s="12" t="s">
        <v>84</v>
      </c>
      <c r="I294" s="11"/>
      <c r="J294" s="11"/>
      <c r="K294" s="11"/>
      <c r="L294" s="11"/>
      <c r="M294" s="11"/>
      <c r="N294" s="11"/>
      <c r="O294" s="11"/>
      <c r="P294" s="11"/>
      <c r="Q294" s="11"/>
      <c r="R294" s="11"/>
      <c r="S294" s="11"/>
      <c r="T294" s="11"/>
      <c r="U294" s="11"/>
      <c r="V294" s="11"/>
      <c r="W294" s="11"/>
      <c r="X294" s="11"/>
      <c r="Y294" s="11"/>
      <c r="Z294" s="11"/>
    </row>
    <row r="295" ht="126.75" customHeight="1">
      <c r="A295" s="11"/>
      <c r="B295" s="13"/>
      <c r="C295" s="32" t="s">
        <v>829</v>
      </c>
      <c r="D295" s="33" t="s">
        <v>830</v>
      </c>
      <c r="E295" s="40" t="s">
        <v>70</v>
      </c>
      <c r="F295" s="33" t="s">
        <v>231</v>
      </c>
      <c r="G295" s="34" t="s">
        <v>232</v>
      </c>
      <c r="H295" s="12" t="s">
        <v>84</v>
      </c>
      <c r="I295" s="11"/>
      <c r="J295" s="11"/>
      <c r="K295" s="11"/>
      <c r="L295" s="11"/>
      <c r="M295" s="11"/>
      <c r="N295" s="11"/>
      <c r="O295" s="11"/>
      <c r="P295" s="11"/>
      <c r="Q295" s="11"/>
      <c r="R295" s="11"/>
      <c r="S295" s="11"/>
      <c r="T295" s="11"/>
      <c r="U295" s="11"/>
      <c r="V295" s="11"/>
      <c r="W295" s="11"/>
      <c r="X295" s="11"/>
      <c r="Y295" s="11"/>
      <c r="Z295" s="11"/>
    </row>
    <row r="296" ht="95.25" customHeight="1">
      <c r="A296" s="11"/>
      <c r="B296" s="13"/>
      <c r="C296" s="32" t="s">
        <v>831</v>
      </c>
      <c r="D296" s="33" t="s">
        <v>832</v>
      </c>
      <c r="E296" s="40" t="s">
        <v>70</v>
      </c>
      <c r="F296" s="33" t="s">
        <v>730</v>
      </c>
      <c r="G296" s="34" t="s">
        <v>236</v>
      </c>
      <c r="H296" s="12" t="s">
        <v>84</v>
      </c>
      <c r="I296" s="11"/>
      <c r="J296" s="11"/>
      <c r="K296" s="11"/>
      <c r="L296" s="11"/>
      <c r="M296" s="11"/>
      <c r="N296" s="11"/>
      <c r="O296" s="11"/>
      <c r="P296" s="11"/>
      <c r="Q296" s="11"/>
      <c r="R296" s="11"/>
      <c r="S296" s="11"/>
      <c r="T296" s="11"/>
      <c r="U296" s="11"/>
      <c r="V296" s="11"/>
      <c r="W296" s="11"/>
      <c r="X296" s="11"/>
      <c r="Y296" s="11"/>
      <c r="Z296" s="11"/>
    </row>
    <row r="297" ht="63.75" customHeight="1">
      <c r="A297" s="11"/>
      <c r="B297" s="13"/>
      <c r="C297" s="32" t="s">
        <v>833</v>
      </c>
      <c r="D297" s="33" t="s">
        <v>834</v>
      </c>
      <c r="E297" s="40" t="s">
        <v>70</v>
      </c>
      <c r="F297" s="33" t="s">
        <v>239</v>
      </c>
      <c r="G297" s="34" t="s">
        <v>240</v>
      </c>
      <c r="H297" s="12" t="s">
        <v>84</v>
      </c>
      <c r="I297" s="11"/>
      <c r="J297" s="11"/>
      <c r="K297" s="11"/>
      <c r="L297" s="11"/>
      <c r="M297" s="11"/>
      <c r="N297" s="11"/>
      <c r="O297" s="11"/>
      <c r="P297" s="11"/>
      <c r="Q297" s="11"/>
      <c r="R297" s="11"/>
      <c r="S297" s="11"/>
      <c r="T297" s="11"/>
      <c r="U297" s="11"/>
      <c r="V297" s="11"/>
      <c r="W297" s="11"/>
      <c r="X297" s="11"/>
      <c r="Y297" s="11"/>
      <c r="Z297" s="11"/>
    </row>
    <row r="298" ht="142.5" customHeight="1">
      <c r="A298" s="11"/>
      <c r="B298" s="13"/>
      <c r="C298" s="32" t="s">
        <v>835</v>
      </c>
      <c r="D298" s="33" t="s">
        <v>836</v>
      </c>
      <c r="E298" s="40" t="s">
        <v>70</v>
      </c>
      <c r="F298" s="33" t="s">
        <v>243</v>
      </c>
      <c r="G298" s="34" t="s">
        <v>244</v>
      </c>
      <c r="H298" s="12" t="s">
        <v>84</v>
      </c>
      <c r="I298" s="11"/>
      <c r="J298" s="11"/>
      <c r="K298" s="11"/>
      <c r="L298" s="11"/>
      <c r="M298" s="11"/>
      <c r="N298" s="11"/>
      <c r="O298" s="11"/>
      <c r="P298" s="11"/>
      <c r="Q298" s="11"/>
      <c r="R298" s="11"/>
      <c r="S298" s="11"/>
      <c r="T298" s="11"/>
      <c r="U298" s="11"/>
      <c r="V298" s="11"/>
      <c r="W298" s="11"/>
      <c r="X298" s="11"/>
      <c r="Y298" s="11"/>
      <c r="Z298" s="11"/>
    </row>
    <row r="299" ht="111.0" customHeight="1">
      <c r="A299" s="11"/>
      <c r="B299" s="13"/>
      <c r="C299" s="32" t="s">
        <v>837</v>
      </c>
      <c r="D299" s="33" t="s">
        <v>468</v>
      </c>
      <c r="E299" s="40" t="s">
        <v>70</v>
      </c>
      <c r="F299" s="33" t="s">
        <v>838</v>
      </c>
      <c r="G299" s="34" t="s">
        <v>248</v>
      </c>
      <c r="H299" s="12" t="s">
        <v>84</v>
      </c>
      <c r="I299" s="11"/>
      <c r="J299" s="11"/>
      <c r="K299" s="11"/>
      <c r="L299" s="11"/>
      <c r="M299" s="11"/>
      <c r="N299" s="11"/>
      <c r="O299" s="11"/>
      <c r="P299" s="11"/>
      <c r="Q299" s="11"/>
      <c r="R299" s="11"/>
      <c r="S299" s="11"/>
      <c r="T299" s="11"/>
      <c r="U299" s="11"/>
      <c r="V299" s="11"/>
      <c r="W299" s="11"/>
      <c r="X299" s="11"/>
      <c r="Y299" s="11"/>
      <c r="Z299" s="11"/>
    </row>
    <row r="300" ht="95.25" customHeight="1">
      <c r="A300" s="11"/>
      <c r="B300" s="13"/>
      <c r="C300" s="32" t="s">
        <v>839</v>
      </c>
      <c r="D300" s="33" t="s">
        <v>250</v>
      </c>
      <c r="E300" s="40" t="s">
        <v>70</v>
      </c>
      <c r="F300" s="33" t="s">
        <v>251</v>
      </c>
      <c r="G300" s="34" t="s">
        <v>252</v>
      </c>
      <c r="H300" s="12" t="s">
        <v>84</v>
      </c>
      <c r="I300" s="11"/>
      <c r="J300" s="11"/>
      <c r="K300" s="11"/>
      <c r="L300" s="11"/>
      <c r="M300" s="11"/>
      <c r="N300" s="11"/>
      <c r="O300" s="11"/>
      <c r="P300" s="11"/>
      <c r="Q300" s="11"/>
      <c r="R300" s="11"/>
      <c r="S300" s="11"/>
      <c r="T300" s="11"/>
      <c r="U300" s="11"/>
      <c r="V300" s="11"/>
      <c r="W300" s="11"/>
      <c r="X300" s="11"/>
      <c r="Y300" s="11"/>
      <c r="Z300" s="11"/>
    </row>
    <row r="301" ht="126.75" customHeight="1">
      <c r="A301" s="11"/>
      <c r="B301" s="13"/>
      <c r="C301" s="32" t="s">
        <v>840</v>
      </c>
      <c r="D301" s="33" t="s">
        <v>254</v>
      </c>
      <c r="E301" s="40" t="s">
        <v>70</v>
      </c>
      <c r="F301" s="33" t="s">
        <v>255</v>
      </c>
      <c r="G301" s="34" t="s">
        <v>256</v>
      </c>
      <c r="H301" s="12" t="s">
        <v>84</v>
      </c>
      <c r="I301" s="11"/>
      <c r="J301" s="11"/>
      <c r="K301" s="11"/>
      <c r="L301" s="11"/>
      <c r="M301" s="11"/>
      <c r="N301" s="11"/>
      <c r="O301" s="11"/>
      <c r="P301" s="11"/>
      <c r="Q301" s="11"/>
      <c r="R301" s="11"/>
      <c r="S301" s="11"/>
      <c r="T301" s="11"/>
      <c r="U301" s="11"/>
      <c r="V301" s="11"/>
      <c r="W301" s="11"/>
      <c r="X301" s="11"/>
      <c r="Y301" s="11"/>
      <c r="Z301" s="11"/>
    </row>
    <row r="302" ht="126.75" customHeight="1">
      <c r="A302" s="11"/>
      <c r="B302" s="13"/>
      <c r="C302" s="32" t="s">
        <v>841</v>
      </c>
      <c r="D302" s="33" t="s">
        <v>258</v>
      </c>
      <c r="E302" s="40" t="s">
        <v>70</v>
      </c>
      <c r="F302" s="33" t="s">
        <v>259</v>
      </c>
      <c r="G302" s="34" t="s">
        <v>260</v>
      </c>
      <c r="H302" s="12" t="s">
        <v>84</v>
      </c>
      <c r="I302" s="11"/>
      <c r="J302" s="11"/>
      <c r="K302" s="11"/>
      <c r="L302" s="11"/>
      <c r="M302" s="11"/>
      <c r="N302" s="11"/>
      <c r="O302" s="11"/>
      <c r="P302" s="11"/>
      <c r="Q302" s="11"/>
      <c r="R302" s="11"/>
      <c r="S302" s="11"/>
      <c r="T302" s="11"/>
      <c r="U302" s="11"/>
      <c r="V302" s="11"/>
      <c r="W302" s="11"/>
      <c r="X302" s="11"/>
      <c r="Y302" s="11"/>
      <c r="Z302" s="11"/>
    </row>
    <row r="303" ht="126.75" customHeight="1">
      <c r="A303" s="11"/>
      <c r="B303" s="13"/>
      <c r="C303" s="32" t="s">
        <v>842</v>
      </c>
      <c r="D303" s="33" t="s">
        <v>262</v>
      </c>
      <c r="E303" s="40" t="s">
        <v>70</v>
      </c>
      <c r="F303" s="33" t="s">
        <v>263</v>
      </c>
      <c r="G303" s="34" t="s">
        <v>264</v>
      </c>
      <c r="H303" s="12" t="s">
        <v>84</v>
      </c>
      <c r="I303" s="11"/>
      <c r="J303" s="11"/>
      <c r="K303" s="11"/>
      <c r="L303" s="11"/>
      <c r="M303" s="11"/>
      <c r="N303" s="11"/>
      <c r="O303" s="11"/>
      <c r="P303" s="11"/>
      <c r="Q303" s="11"/>
      <c r="R303" s="11"/>
      <c r="S303" s="11"/>
      <c r="T303" s="11"/>
      <c r="U303" s="11"/>
      <c r="V303" s="11"/>
      <c r="W303" s="11"/>
      <c r="X303" s="11"/>
      <c r="Y303" s="11"/>
      <c r="Z303" s="11"/>
    </row>
    <row r="304" ht="126.75" customHeight="1">
      <c r="A304" s="11"/>
      <c r="B304" s="13"/>
      <c r="C304" s="32" t="s">
        <v>843</v>
      </c>
      <c r="D304" s="33" t="s">
        <v>266</v>
      </c>
      <c r="E304" s="40" t="s">
        <v>70</v>
      </c>
      <c r="F304" s="33" t="s">
        <v>267</v>
      </c>
      <c r="G304" s="34" t="s">
        <v>268</v>
      </c>
      <c r="H304" s="12" t="s">
        <v>84</v>
      </c>
      <c r="I304" s="11"/>
      <c r="J304" s="11"/>
      <c r="K304" s="11"/>
      <c r="L304" s="11"/>
      <c r="M304" s="11"/>
      <c r="N304" s="11"/>
      <c r="O304" s="11"/>
      <c r="P304" s="11"/>
      <c r="Q304" s="11"/>
      <c r="R304" s="11"/>
      <c r="S304" s="11"/>
      <c r="T304" s="11"/>
      <c r="U304" s="11"/>
      <c r="V304" s="11"/>
      <c r="W304" s="11"/>
      <c r="X304" s="11"/>
      <c r="Y304" s="11"/>
      <c r="Z304" s="11"/>
    </row>
    <row r="305" ht="111.0" customHeight="1">
      <c r="A305" s="11"/>
      <c r="B305" s="13"/>
      <c r="C305" s="32" t="s">
        <v>844</v>
      </c>
      <c r="D305" s="33" t="s">
        <v>270</v>
      </c>
      <c r="E305" s="40" t="s">
        <v>70</v>
      </c>
      <c r="F305" s="33" t="s">
        <v>271</v>
      </c>
      <c r="G305" s="34" t="s">
        <v>272</v>
      </c>
      <c r="H305" s="12" t="s">
        <v>84</v>
      </c>
      <c r="I305" s="11"/>
      <c r="J305" s="11"/>
      <c r="K305" s="11"/>
      <c r="L305" s="11"/>
      <c r="M305" s="11"/>
      <c r="N305" s="11"/>
      <c r="O305" s="11"/>
      <c r="P305" s="11"/>
      <c r="Q305" s="11"/>
      <c r="R305" s="11"/>
      <c r="S305" s="11"/>
      <c r="T305" s="11"/>
      <c r="U305" s="11"/>
      <c r="V305" s="11"/>
      <c r="W305" s="11"/>
      <c r="X305" s="11"/>
      <c r="Y305" s="11"/>
      <c r="Z305" s="11"/>
    </row>
    <row r="306" ht="111.0" customHeight="1">
      <c r="A306" s="11"/>
      <c r="B306" s="13"/>
      <c r="C306" s="32" t="s">
        <v>845</v>
      </c>
      <c r="D306" s="33" t="s">
        <v>274</v>
      </c>
      <c r="E306" s="40" t="s">
        <v>70</v>
      </c>
      <c r="F306" s="33" t="s">
        <v>275</v>
      </c>
      <c r="G306" s="34" t="s">
        <v>276</v>
      </c>
      <c r="H306" s="12" t="s">
        <v>84</v>
      </c>
      <c r="I306" s="11"/>
      <c r="J306" s="11"/>
      <c r="K306" s="11"/>
      <c r="L306" s="11"/>
      <c r="M306" s="11"/>
      <c r="N306" s="11"/>
      <c r="O306" s="11"/>
      <c r="P306" s="11"/>
      <c r="Q306" s="11"/>
      <c r="R306" s="11"/>
      <c r="S306" s="11"/>
      <c r="T306" s="11"/>
      <c r="U306" s="11"/>
      <c r="V306" s="11"/>
      <c r="W306" s="11"/>
      <c r="X306" s="11"/>
      <c r="Y306" s="11"/>
      <c r="Z306" s="11"/>
    </row>
    <row r="307" ht="111.0" customHeight="1">
      <c r="A307" s="11"/>
      <c r="B307" s="13"/>
      <c r="C307" s="32" t="s">
        <v>846</v>
      </c>
      <c r="D307" s="33" t="s">
        <v>278</v>
      </c>
      <c r="E307" s="40" t="s">
        <v>70</v>
      </c>
      <c r="F307" s="33" t="s">
        <v>279</v>
      </c>
      <c r="G307" s="34" t="s">
        <v>280</v>
      </c>
      <c r="H307" s="12" t="s">
        <v>84</v>
      </c>
      <c r="I307" s="11"/>
      <c r="J307" s="11"/>
      <c r="K307" s="11"/>
      <c r="L307" s="11"/>
      <c r="M307" s="11"/>
      <c r="N307" s="11"/>
      <c r="O307" s="11"/>
      <c r="P307" s="11"/>
      <c r="Q307" s="11"/>
      <c r="R307" s="11"/>
      <c r="S307" s="11"/>
      <c r="T307" s="11"/>
      <c r="U307" s="11"/>
      <c r="V307" s="11"/>
      <c r="W307" s="11"/>
      <c r="X307" s="11"/>
      <c r="Y307" s="11"/>
      <c r="Z307" s="11"/>
    </row>
    <row r="308" ht="111.0" customHeight="1">
      <c r="A308" s="11"/>
      <c r="B308" s="13"/>
      <c r="C308" s="32" t="s">
        <v>847</v>
      </c>
      <c r="D308" s="33" t="s">
        <v>848</v>
      </c>
      <c r="E308" s="40" t="s">
        <v>70</v>
      </c>
      <c r="F308" s="33" t="s">
        <v>283</v>
      </c>
      <c r="G308" s="34" t="s">
        <v>284</v>
      </c>
      <c r="H308" s="12" t="s">
        <v>84</v>
      </c>
      <c r="I308" s="11"/>
      <c r="J308" s="11"/>
      <c r="K308" s="11"/>
      <c r="L308" s="11"/>
      <c r="M308" s="11"/>
      <c r="N308" s="11"/>
      <c r="O308" s="11"/>
      <c r="P308" s="11"/>
      <c r="Q308" s="11"/>
      <c r="R308" s="11"/>
      <c r="S308" s="11"/>
      <c r="T308" s="11"/>
      <c r="U308" s="11"/>
      <c r="V308" s="11"/>
      <c r="W308" s="11"/>
      <c r="X308" s="11"/>
      <c r="Y308" s="11"/>
      <c r="Z308" s="11"/>
    </row>
    <row r="309" ht="79.5" customHeight="1">
      <c r="A309" s="11"/>
      <c r="B309" s="13"/>
      <c r="C309" s="32" t="s">
        <v>849</v>
      </c>
      <c r="D309" s="33" t="s">
        <v>850</v>
      </c>
      <c r="E309" s="40" t="s">
        <v>70</v>
      </c>
      <c r="F309" s="33" t="s">
        <v>287</v>
      </c>
      <c r="G309" s="34" t="s">
        <v>288</v>
      </c>
      <c r="H309" s="12" t="s">
        <v>84</v>
      </c>
      <c r="I309" s="11"/>
      <c r="J309" s="11"/>
      <c r="K309" s="11"/>
      <c r="L309" s="11"/>
      <c r="M309" s="11"/>
      <c r="N309" s="11"/>
      <c r="O309" s="11"/>
      <c r="P309" s="11"/>
      <c r="Q309" s="11"/>
      <c r="R309" s="11"/>
      <c r="S309" s="11"/>
      <c r="T309" s="11"/>
      <c r="U309" s="11"/>
      <c r="V309" s="11"/>
      <c r="W309" s="11"/>
      <c r="X309" s="11"/>
      <c r="Y309" s="11"/>
      <c r="Z309" s="11"/>
    </row>
    <row r="310" ht="158.25" customHeight="1">
      <c r="A310" s="11"/>
      <c r="B310" s="13"/>
      <c r="C310" s="32" t="s">
        <v>851</v>
      </c>
      <c r="D310" s="33" t="s">
        <v>852</v>
      </c>
      <c r="E310" s="40" t="s">
        <v>70</v>
      </c>
      <c r="F310" s="33" t="s">
        <v>291</v>
      </c>
      <c r="G310" s="34" t="s">
        <v>292</v>
      </c>
      <c r="H310" s="12" t="s">
        <v>84</v>
      </c>
      <c r="I310" s="11"/>
      <c r="J310" s="11"/>
      <c r="K310" s="11"/>
      <c r="L310" s="11"/>
      <c r="M310" s="11"/>
      <c r="N310" s="11"/>
      <c r="O310" s="11"/>
      <c r="P310" s="11"/>
      <c r="Q310" s="11"/>
      <c r="R310" s="11"/>
      <c r="S310" s="11"/>
      <c r="T310" s="11"/>
      <c r="U310" s="11"/>
      <c r="V310" s="11"/>
      <c r="W310" s="11"/>
      <c r="X310" s="11"/>
      <c r="Y310" s="11"/>
      <c r="Z310" s="11"/>
    </row>
    <row r="311" ht="79.5" customHeight="1">
      <c r="A311" s="11"/>
      <c r="B311" s="13"/>
      <c r="C311" s="32" t="s">
        <v>853</v>
      </c>
      <c r="D311" s="33" t="s">
        <v>854</v>
      </c>
      <c r="E311" s="40" t="s">
        <v>70</v>
      </c>
      <c r="F311" s="33" t="s">
        <v>295</v>
      </c>
      <c r="G311" s="34" t="s">
        <v>296</v>
      </c>
      <c r="H311" s="12" t="s">
        <v>84</v>
      </c>
      <c r="I311" s="11"/>
      <c r="J311" s="11"/>
      <c r="K311" s="11"/>
      <c r="L311" s="11"/>
      <c r="M311" s="11"/>
      <c r="N311" s="11"/>
      <c r="O311" s="11"/>
      <c r="P311" s="11"/>
      <c r="Q311" s="11"/>
      <c r="R311" s="11"/>
      <c r="S311" s="11"/>
      <c r="T311" s="11"/>
      <c r="U311" s="11"/>
      <c r="V311" s="11"/>
      <c r="W311" s="11"/>
      <c r="X311" s="11"/>
      <c r="Y311" s="11"/>
      <c r="Z311" s="11"/>
    </row>
    <row r="312" ht="63.75" customHeight="1">
      <c r="A312" s="11"/>
      <c r="B312" s="13"/>
      <c r="C312" s="32" t="s">
        <v>855</v>
      </c>
      <c r="D312" s="33" t="s">
        <v>298</v>
      </c>
      <c r="E312" s="40" t="s">
        <v>70</v>
      </c>
      <c r="F312" s="33" t="s">
        <v>299</v>
      </c>
      <c r="G312" s="34" t="s">
        <v>300</v>
      </c>
      <c r="H312" s="12" t="s">
        <v>84</v>
      </c>
      <c r="I312" s="11"/>
      <c r="J312" s="11"/>
      <c r="K312" s="11"/>
      <c r="L312" s="11"/>
      <c r="M312" s="11"/>
      <c r="N312" s="11"/>
      <c r="O312" s="11"/>
      <c r="P312" s="11"/>
      <c r="Q312" s="11"/>
      <c r="R312" s="11"/>
      <c r="S312" s="11"/>
      <c r="T312" s="11"/>
      <c r="U312" s="11"/>
      <c r="V312" s="11"/>
      <c r="W312" s="11"/>
      <c r="X312" s="11"/>
      <c r="Y312" s="11"/>
      <c r="Z312" s="11"/>
    </row>
    <row r="313" ht="126.75" customHeight="1">
      <c r="A313" s="11"/>
      <c r="B313" s="13"/>
      <c r="C313" s="32" t="s">
        <v>856</v>
      </c>
      <c r="D313" s="33" t="s">
        <v>857</v>
      </c>
      <c r="E313" s="40" t="s">
        <v>70</v>
      </c>
      <c r="F313" s="33" t="s">
        <v>303</v>
      </c>
      <c r="G313" s="34" t="s">
        <v>304</v>
      </c>
      <c r="H313" s="12" t="s">
        <v>84</v>
      </c>
      <c r="I313" s="11"/>
      <c r="J313" s="11"/>
      <c r="K313" s="11"/>
      <c r="L313" s="11"/>
      <c r="M313" s="11"/>
      <c r="N313" s="11"/>
      <c r="O313" s="11"/>
      <c r="P313" s="11"/>
      <c r="Q313" s="11"/>
      <c r="R313" s="11"/>
      <c r="S313" s="11"/>
      <c r="T313" s="11"/>
      <c r="U313" s="11"/>
      <c r="V313" s="11"/>
      <c r="W313" s="11"/>
      <c r="X313" s="11"/>
      <c r="Y313" s="11"/>
      <c r="Z313" s="11"/>
    </row>
    <row r="314" ht="174.0" customHeight="1">
      <c r="A314" s="11"/>
      <c r="B314" s="13"/>
      <c r="C314" s="32" t="s">
        <v>858</v>
      </c>
      <c r="D314" s="33" t="s">
        <v>306</v>
      </c>
      <c r="E314" s="40" t="s">
        <v>70</v>
      </c>
      <c r="F314" s="33" t="s">
        <v>307</v>
      </c>
      <c r="G314" s="34" t="s">
        <v>308</v>
      </c>
      <c r="H314" s="12" t="s">
        <v>84</v>
      </c>
      <c r="I314" s="11"/>
      <c r="J314" s="11"/>
      <c r="K314" s="11"/>
      <c r="L314" s="11"/>
      <c r="M314" s="11"/>
      <c r="N314" s="11"/>
      <c r="O314" s="11"/>
      <c r="P314" s="11"/>
      <c r="Q314" s="11"/>
      <c r="R314" s="11"/>
      <c r="S314" s="11"/>
      <c r="T314" s="11"/>
      <c r="U314" s="11"/>
      <c r="V314" s="11"/>
      <c r="W314" s="11"/>
      <c r="X314" s="11"/>
      <c r="Y314" s="11"/>
      <c r="Z314" s="11"/>
    </row>
    <row r="315" ht="95.25" customHeight="1">
      <c r="A315" s="11"/>
      <c r="B315" s="13"/>
      <c r="C315" s="32" t="s">
        <v>859</v>
      </c>
      <c r="D315" s="33" t="s">
        <v>758</v>
      </c>
      <c r="E315" s="40" t="s">
        <v>70</v>
      </c>
      <c r="F315" s="33" t="s">
        <v>311</v>
      </c>
      <c r="G315" s="34" t="s">
        <v>312</v>
      </c>
      <c r="H315" s="12" t="s">
        <v>84</v>
      </c>
      <c r="I315" s="11"/>
      <c r="J315" s="11"/>
      <c r="K315" s="11"/>
      <c r="L315" s="11"/>
      <c r="M315" s="11"/>
      <c r="N315" s="11"/>
      <c r="O315" s="11"/>
      <c r="P315" s="11"/>
      <c r="Q315" s="11"/>
      <c r="R315" s="11"/>
      <c r="S315" s="11"/>
      <c r="T315" s="11"/>
      <c r="U315" s="11"/>
      <c r="V315" s="11"/>
      <c r="W315" s="11"/>
      <c r="X315" s="11"/>
      <c r="Y315" s="11"/>
      <c r="Z315" s="11"/>
    </row>
    <row r="316" ht="63.75" customHeight="1">
      <c r="A316" s="11"/>
      <c r="B316" s="13"/>
      <c r="C316" s="32" t="s">
        <v>860</v>
      </c>
      <c r="D316" s="33" t="s">
        <v>861</v>
      </c>
      <c r="E316" s="40" t="s">
        <v>70</v>
      </c>
      <c r="F316" s="33" t="s">
        <v>315</v>
      </c>
      <c r="G316" s="34" t="s">
        <v>316</v>
      </c>
      <c r="H316" s="12" t="s">
        <v>84</v>
      </c>
      <c r="I316" s="11"/>
      <c r="J316" s="11"/>
      <c r="K316" s="11"/>
      <c r="L316" s="11"/>
      <c r="M316" s="11"/>
      <c r="N316" s="11"/>
      <c r="O316" s="11"/>
      <c r="P316" s="11"/>
      <c r="Q316" s="11"/>
      <c r="R316" s="11"/>
      <c r="S316" s="11"/>
      <c r="T316" s="11"/>
      <c r="U316" s="11"/>
      <c r="V316" s="11"/>
      <c r="W316" s="11"/>
      <c r="X316" s="11"/>
      <c r="Y316" s="11"/>
      <c r="Z316" s="11"/>
    </row>
    <row r="317" ht="95.25" customHeight="1">
      <c r="A317" s="11"/>
      <c r="B317" s="13"/>
      <c r="C317" s="32" t="s">
        <v>862</v>
      </c>
      <c r="D317" s="33" t="s">
        <v>338</v>
      </c>
      <c r="E317" s="40" t="s">
        <v>70</v>
      </c>
      <c r="F317" s="33" t="s">
        <v>339</v>
      </c>
      <c r="G317" s="34" t="s">
        <v>340</v>
      </c>
      <c r="H317" s="12" t="s">
        <v>84</v>
      </c>
      <c r="I317" s="11"/>
      <c r="J317" s="11"/>
      <c r="K317" s="11"/>
      <c r="L317" s="11"/>
      <c r="M317" s="11"/>
      <c r="N317" s="11"/>
      <c r="O317" s="11"/>
      <c r="P317" s="11"/>
      <c r="Q317" s="11"/>
      <c r="R317" s="11"/>
      <c r="S317" s="11"/>
      <c r="T317" s="11"/>
      <c r="U317" s="11"/>
      <c r="V317" s="11"/>
      <c r="W317" s="11"/>
      <c r="X317" s="11"/>
      <c r="Y317" s="11"/>
      <c r="Z317" s="11"/>
    </row>
    <row r="318" ht="79.5" customHeight="1">
      <c r="A318" s="11"/>
      <c r="B318" s="13"/>
      <c r="C318" s="32" t="s">
        <v>863</v>
      </c>
      <c r="D318" s="33" t="s">
        <v>342</v>
      </c>
      <c r="E318" s="40" t="s">
        <v>70</v>
      </c>
      <c r="F318" s="33" t="s">
        <v>343</v>
      </c>
      <c r="G318" s="34" t="s">
        <v>344</v>
      </c>
      <c r="H318" s="12" t="s">
        <v>84</v>
      </c>
      <c r="I318" s="11"/>
      <c r="J318" s="11"/>
      <c r="K318" s="11"/>
      <c r="L318" s="11"/>
      <c r="M318" s="11"/>
      <c r="N318" s="11"/>
      <c r="O318" s="11"/>
      <c r="P318" s="11"/>
      <c r="Q318" s="11"/>
      <c r="R318" s="11"/>
      <c r="S318" s="11"/>
      <c r="T318" s="11"/>
      <c r="U318" s="11"/>
      <c r="V318" s="11"/>
      <c r="W318" s="11"/>
      <c r="X318" s="11"/>
      <c r="Y318" s="11"/>
      <c r="Z318" s="11"/>
    </row>
    <row r="319" ht="63.75" customHeight="1">
      <c r="A319" s="11"/>
      <c r="B319" s="13"/>
      <c r="C319" s="32" t="s">
        <v>864</v>
      </c>
      <c r="D319" s="33" t="s">
        <v>646</v>
      </c>
      <c r="E319" s="40" t="s">
        <v>70</v>
      </c>
      <c r="F319" s="33" t="s">
        <v>347</v>
      </c>
      <c r="G319" s="34" t="s">
        <v>348</v>
      </c>
      <c r="H319" s="12" t="s">
        <v>84</v>
      </c>
      <c r="I319" s="11"/>
      <c r="J319" s="11"/>
      <c r="K319" s="11"/>
      <c r="L319" s="11"/>
      <c r="M319" s="11"/>
      <c r="N319" s="11"/>
      <c r="O319" s="11"/>
      <c r="P319" s="11"/>
      <c r="Q319" s="11"/>
      <c r="R319" s="11"/>
      <c r="S319" s="11"/>
      <c r="T319" s="11"/>
      <c r="U319" s="11"/>
      <c r="V319" s="11"/>
      <c r="W319" s="11"/>
      <c r="X319" s="11"/>
      <c r="Y319" s="11"/>
      <c r="Z319" s="11"/>
    </row>
    <row r="320" ht="111.0" customHeight="1">
      <c r="A320" s="11"/>
      <c r="B320" s="13"/>
      <c r="C320" s="32" t="s">
        <v>865</v>
      </c>
      <c r="D320" s="33" t="s">
        <v>350</v>
      </c>
      <c r="E320" s="40" t="s">
        <v>70</v>
      </c>
      <c r="F320" s="33" t="s">
        <v>351</v>
      </c>
      <c r="G320" s="34" t="s">
        <v>352</v>
      </c>
      <c r="H320" s="12" t="s">
        <v>84</v>
      </c>
      <c r="I320" s="11"/>
      <c r="J320" s="11"/>
      <c r="K320" s="11"/>
      <c r="L320" s="11"/>
      <c r="M320" s="11"/>
      <c r="N320" s="11"/>
      <c r="O320" s="11"/>
      <c r="P320" s="11"/>
      <c r="Q320" s="11"/>
      <c r="R320" s="11"/>
      <c r="S320" s="11"/>
      <c r="T320" s="11"/>
      <c r="U320" s="11"/>
      <c r="V320" s="11"/>
      <c r="W320" s="11"/>
      <c r="X320" s="11"/>
      <c r="Y320" s="11"/>
      <c r="Z320" s="11"/>
    </row>
    <row r="321" ht="79.5" customHeight="1">
      <c r="A321" s="11"/>
      <c r="B321" s="13"/>
      <c r="C321" s="32" t="s">
        <v>866</v>
      </c>
      <c r="D321" s="33" t="s">
        <v>354</v>
      </c>
      <c r="E321" s="40" t="s">
        <v>70</v>
      </c>
      <c r="F321" s="33" t="s">
        <v>355</v>
      </c>
      <c r="G321" s="34" t="s">
        <v>356</v>
      </c>
      <c r="H321" s="12" t="s">
        <v>84</v>
      </c>
      <c r="I321" s="11"/>
      <c r="J321" s="11"/>
      <c r="K321" s="11"/>
      <c r="L321" s="11"/>
      <c r="M321" s="11"/>
      <c r="N321" s="11"/>
      <c r="O321" s="11"/>
      <c r="P321" s="11"/>
      <c r="Q321" s="11"/>
      <c r="R321" s="11"/>
      <c r="S321" s="11"/>
      <c r="T321" s="11"/>
      <c r="U321" s="11"/>
      <c r="V321" s="11"/>
      <c r="W321" s="11"/>
      <c r="X321" s="11"/>
      <c r="Y321" s="11"/>
      <c r="Z321" s="11"/>
    </row>
    <row r="322" ht="79.5" customHeight="1">
      <c r="A322" s="11"/>
      <c r="B322" s="13"/>
      <c r="C322" s="32" t="s">
        <v>867</v>
      </c>
      <c r="D322" s="33" t="s">
        <v>358</v>
      </c>
      <c r="E322" s="40" t="s">
        <v>70</v>
      </c>
      <c r="F322" s="33" t="s">
        <v>359</v>
      </c>
      <c r="G322" s="34" t="s">
        <v>360</v>
      </c>
      <c r="H322" s="12" t="s">
        <v>84</v>
      </c>
      <c r="I322" s="11"/>
      <c r="J322" s="11"/>
      <c r="K322" s="11"/>
      <c r="L322" s="11"/>
      <c r="M322" s="11"/>
      <c r="N322" s="11"/>
      <c r="O322" s="11"/>
      <c r="P322" s="11"/>
      <c r="Q322" s="11"/>
      <c r="R322" s="11"/>
      <c r="S322" s="11"/>
      <c r="T322" s="11"/>
      <c r="U322" s="11"/>
      <c r="V322" s="11"/>
      <c r="W322" s="11"/>
      <c r="X322" s="11"/>
      <c r="Y322" s="11"/>
      <c r="Z322" s="11"/>
    </row>
    <row r="323" ht="79.5" customHeight="1">
      <c r="A323" s="11"/>
      <c r="B323" s="13"/>
      <c r="C323" s="32" t="s">
        <v>868</v>
      </c>
      <c r="D323" s="33" t="s">
        <v>362</v>
      </c>
      <c r="E323" s="40" t="s">
        <v>70</v>
      </c>
      <c r="F323" s="33" t="s">
        <v>363</v>
      </c>
      <c r="G323" s="34" t="s">
        <v>364</v>
      </c>
      <c r="H323" s="12" t="s">
        <v>84</v>
      </c>
      <c r="I323" s="11"/>
      <c r="J323" s="11"/>
      <c r="K323" s="11"/>
      <c r="L323" s="11"/>
      <c r="M323" s="11"/>
      <c r="N323" s="11"/>
      <c r="O323" s="11"/>
      <c r="P323" s="11"/>
      <c r="Q323" s="11"/>
      <c r="R323" s="11"/>
      <c r="S323" s="11"/>
      <c r="T323" s="11"/>
      <c r="U323" s="11"/>
      <c r="V323" s="11"/>
      <c r="W323" s="11"/>
      <c r="X323" s="11"/>
      <c r="Y323" s="11"/>
      <c r="Z323" s="11"/>
    </row>
    <row r="324" ht="63.75" customHeight="1">
      <c r="A324" s="11"/>
      <c r="B324" s="13"/>
      <c r="C324" s="32" t="s">
        <v>869</v>
      </c>
      <c r="D324" s="33" t="s">
        <v>366</v>
      </c>
      <c r="E324" s="40" t="s">
        <v>70</v>
      </c>
      <c r="F324" s="33" t="s">
        <v>367</v>
      </c>
      <c r="G324" s="34" t="s">
        <v>368</v>
      </c>
      <c r="H324" s="12" t="s">
        <v>84</v>
      </c>
      <c r="I324" s="11"/>
      <c r="J324" s="11"/>
      <c r="K324" s="11"/>
      <c r="L324" s="11"/>
      <c r="M324" s="11"/>
      <c r="N324" s="11"/>
      <c r="O324" s="11"/>
      <c r="P324" s="11"/>
      <c r="Q324" s="11"/>
      <c r="R324" s="11"/>
      <c r="S324" s="11"/>
      <c r="T324" s="11"/>
      <c r="U324" s="11"/>
      <c r="V324" s="11"/>
      <c r="W324" s="11"/>
      <c r="X324" s="11"/>
      <c r="Y324" s="11"/>
      <c r="Z324" s="11"/>
    </row>
    <row r="325" ht="79.5" customHeight="1">
      <c r="A325" s="11"/>
      <c r="B325" s="13"/>
      <c r="C325" s="32" t="s">
        <v>870</v>
      </c>
      <c r="D325" s="33" t="s">
        <v>370</v>
      </c>
      <c r="E325" s="40" t="s">
        <v>70</v>
      </c>
      <c r="F325" s="33" t="s">
        <v>371</v>
      </c>
      <c r="G325" s="34" t="s">
        <v>372</v>
      </c>
      <c r="H325" s="12" t="s">
        <v>84</v>
      </c>
      <c r="I325" s="11"/>
      <c r="J325" s="11"/>
      <c r="K325" s="11"/>
      <c r="L325" s="11"/>
      <c r="M325" s="11"/>
      <c r="N325" s="11"/>
      <c r="O325" s="11"/>
      <c r="P325" s="11"/>
      <c r="Q325" s="11"/>
      <c r="R325" s="11"/>
      <c r="S325" s="11"/>
      <c r="T325" s="11"/>
      <c r="U325" s="11"/>
      <c r="V325" s="11"/>
      <c r="W325" s="11"/>
      <c r="X325" s="11"/>
      <c r="Y325" s="11"/>
      <c r="Z325" s="11"/>
    </row>
    <row r="326" ht="79.5" customHeight="1">
      <c r="A326" s="11"/>
      <c r="B326" s="13"/>
      <c r="C326" s="32" t="s">
        <v>871</v>
      </c>
      <c r="D326" s="33" t="s">
        <v>872</v>
      </c>
      <c r="E326" s="40" t="s">
        <v>70</v>
      </c>
      <c r="F326" s="33" t="s">
        <v>375</v>
      </c>
      <c r="G326" s="34" t="s">
        <v>376</v>
      </c>
      <c r="H326" s="12" t="s">
        <v>84</v>
      </c>
      <c r="I326" s="11"/>
      <c r="J326" s="11"/>
      <c r="K326" s="11"/>
      <c r="L326" s="11"/>
      <c r="M326" s="11"/>
      <c r="N326" s="11"/>
      <c r="O326" s="11"/>
      <c r="P326" s="11"/>
      <c r="Q326" s="11"/>
      <c r="R326" s="11"/>
      <c r="S326" s="11"/>
      <c r="T326" s="11"/>
      <c r="U326" s="11"/>
      <c r="V326" s="11"/>
      <c r="W326" s="11"/>
      <c r="X326" s="11"/>
      <c r="Y326" s="11"/>
      <c r="Z326" s="11"/>
    </row>
    <row r="327" ht="95.25" customHeight="1">
      <c r="A327" s="11"/>
      <c r="B327" s="13"/>
      <c r="C327" s="32" t="s">
        <v>873</v>
      </c>
      <c r="D327" s="33" t="s">
        <v>378</v>
      </c>
      <c r="E327" s="40" t="s">
        <v>70</v>
      </c>
      <c r="F327" s="33" t="s">
        <v>379</v>
      </c>
      <c r="G327" s="34" t="s">
        <v>380</v>
      </c>
      <c r="H327" s="12" t="s">
        <v>84</v>
      </c>
      <c r="I327" s="11"/>
      <c r="J327" s="11"/>
      <c r="K327" s="11"/>
      <c r="L327" s="11"/>
      <c r="M327" s="11"/>
      <c r="N327" s="11"/>
      <c r="O327" s="11"/>
      <c r="P327" s="11"/>
      <c r="Q327" s="11"/>
      <c r="R327" s="11"/>
      <c r="S327" s="11"/>
      <c r="T327" s="11"/>
      <c r="U327" s="11"/>
      <c r="V327" s="11"/>
      <c r="W327" s="11"/>
      <c r="X327" s="11"/>
      <c r="Y327" s="11"/>
      <c r="Z327" s="11"/>
    </row>
    <row r="328" ht="63.75" customHeight="1">
      <c r="A328" s="11"/>
      <c r="B328" s="13"/>
      <c r="C328" s="32" t="s">
        <v>874</v>
      </c>
      <c r="D328" s="33" t="s">
        <v>382</v>
      </c>
      <c r="E328" s="40" t="s">
        <v>70</v>
      </c>
      <c r="F328" s="33" t="s">
        <v>383</v>
      </c>
      <c r="G328" s="34" t="s">
        <v>384</v>
      </c>
      <c r="H328" s="12" t="s">
        <v>84</v>
      </c>
      <c r="I328" s="11"/>
      <c r="J328" s="11"/>
      <c r="K328" s="11"/>
      <c r="L328" s="11"/>
      <c r="M328" s="11"/>
      <c r="N328" s="11"/>
      <c r="O328" s="11"/>
      <c r="P328" s="11"/>
      <c r="Q328" s="11"/>
      <c r="R328" s="11"/>
      <c r="S328" s="11"/>
      <c r="T328" s="11"/>
      <c r="U328" s="11"/>
      <c r="V328" s="11"/>
      <c r="W328" s="11"/>
      <c r="X328" s="11"/>
      <c r="Y328" s="11"/>
      <c r="Z328" s="11"/>
    </row>
    <row r="329" ht="111.0" customHeight="1">
      <c r="A329" s="11"/>
      <c r="B329" s="13"/>
      <c r="C329" s="32" t="s">
        <v>875</v>
      </c>
      <c r="D329" s="33" t="s">
        <v>386</v>
      </c>
      <c r="E329" s="40" t="s">
        <v>70</v>
      </c>
      <c r="F329" s="33" t="s">
        <v>387</v>
      </c>
      <c r="G329" s="34" t="s">
        <v>388</v>
      </c>
      <c r="H329" s="12" t="s">
        <v>84</v>
      </c>
      <c r="I329" s="11"/>
      <c r="J329" s="11"/>
      <c r="K329" s="11"/>
      <c r="L329" s="11"/>
      <c r="M329" s="11"/>
      <c r="N329" s="11"/>
      <c r="O329" s="11"/>
      <c r="P329" s="11"/>
      <c r="Q329" s="11"/>
      <c r="R329" s="11"/>
      <c r="S329" s="11"/>
      <c r="T329" s="11"/>
      <c r="U329" s="11"/>
      <c r="V329" s="11"/>
      <c r="W329" s="11"/>
      <c r="X329" s="11"/>
      <c r="Y329" s="11"/>
      <c r="Z329" s="11"/>
    </row>
    <row r="330" ht="142.5" customHeight="1">
      <c r="A330" s="11"/>
      <c r="B330" s="13"/>
      <c r="C330" s="32" t="s">
        <v>876</v>
      </c>
      <c r="D330" s="33" t="s">
        <v>877</v>
      </c>
      <c r="E330" s="40" t="s">
        <v>70</v>
      </c>
      <c r="F330" s="33" t="s">
        <v>391</v>
      </c>
      <c r="G330" s="34" t="s">
        <v>392</v>
      </c>
      <c r="H330" s="12" t="s">
        <v>84</v>
      </c>
      <c r="I330" s="11"/>
      <c r="J330" s="11"/>
      <c r="K330" s="11"/>
      <c r="L330" s="11"/>
      <c r="M330" s="11"/>
      <c r="N330" s="11"/>
      <c r="O330" s="11"/>
      <c r="P330" s="11"/>
      <c r="Q330" s="11"/>
      <c r="R330" s="11"/>
      <c r="S330" s="11"/>
      <c r="T330" s="11"/>
      <c r="U330" s="11"/>
      <c r="V330" s="11"/>
      <c r="W330" s="11"/>
      <c r="X330" s="11"/>
      <c r="Y330" s="11"/>
      <c r="Z330" s="11"/>
    </row>
    <row r="331" ht="95.25" customHeight="1">
      <c r="A331" s="11"/>
      <c r="B331" s="13"/>
      <c r="C331" s="27" t="s">
        <v>878</v>
      </c>
      <c r="D331" s="28" t="s">
        <v>879</v>
      </c>
      <c r="E331" s="40" t="s">
        <v>70</v>
      </c>
      <c r="F331" s="28" t="s">
        <v>880</v>
      </c>
      <c r="G331" s="30" t="s">
        <v>881</v>
      </c>
      <c r="H331" s="12" t="s">
        <v>84</v>
      </c>
      <c r="I331" s="11"/>
      <c r="J331" s="11"/>
      <c r="K331" s="11"/>
      <c r="L331" s="11"/>
      <c r="M331" s="11"/>
      <c r="N331" s="11"/>
      <c r="O331" s="11"/>
      <c r="P331" s="11"/>
      <c r="Q331" s="11"/>
      <c r="R331" s="11"/>
      <c r="S331" s="11"/>
      <c r="T331" s="11"/>
      <c r="U331" s="11"/>
      <c r="V331" s="11"/>
      <c r="W331" s="11"/>
      <c r="X331" s="11"/>
      <c r="Y331" s="11"/>
      <c r="Z331" s="11"/>
    </row>
    <row r="332" ht="126.75" customHeight="1">
      <c r="A332" s="11"/>
      <c r="B332" s="13"/>
      <c r="C332" s="32" t="s">
        <v>882</v>
      </c>
      <c r="D332" s="33" t="s">
        <v>883</v>
      </c>
      <c r="E332" s="40" t="s">
        <v>70</v>
      </c>
      <c r="F332" s="33" t="s">
        <v>93</v>
      </c>
      <c r="G332" s="34" t="s">
        <v>94</v>
      </c>
      <c r="H332" s="12" t="s">
        <v>84</v>
      </c>
      <c r="I332" s="11"/>
      <c r="J332" s="11"/>
      <c r="K332" s="11"/>
      <c r="L332" s="11"/>
      <c r="M332" s="11"/>
      <c r="N332" s="11"/>
      <c r="O332" s="11"/>
      <c r="P332" s="11"/>
      <c r="Q332" s="11"/>
      <c r="R332" s="11"/>
      <c r="S332" s="11"/>
      <c r="T332" s="11"/>
      <c r="U332" s="11"/>
      <c r="V332" s="11"/>
      <c r="W332" s="11"/>
      <c r="X332" s="11"/>
      <c r="Y332" s="11"/>
      <c r="Z332" s="11"/>
    </row>
    <row r="333" ht="111.0" customHeight="1">
      <c r="A333" s="11"/>
      <c r="B333" s="13"/>
      <c r="C333" s="32" t="s">
        <v>884</v>
      </c>
      <c r="D333" s="33" t="s">
        <v>885</v>
      </c>
      <c r="E333" s="40" t="s">
        <v>70</v>
      </c>
      <c r="F333" s="33" t="s">
        <v>407</v>
      </c>
      <c r="G333" s="34" t="s">
        <v>408</v>
      </c>
      <c r="H333" s="12" t="s">
        <v>84</v>
      </c>
      <c r="I333" s="11"/>
      <c r="J333" s="11"/>
      <c r="K333" s="11"/>
      <c r="L333" s="11"/>
      <c r="M333" s="11"/>
      <c r="N333" s="11"/>
      <c r="O333" s="11"/>
      <c r="P333" s="11"/>
      <c r="Q333" s="11"/>
      <c r="R333" s="11"/>
      <c r="S333" s="11"/>
      <c r="T333" s="11"/>
      <c r="U333" s="11"/>
      <c r="V333" s="11"/>
      <c r="W333" s="11"/>
      <c r="X333" s="11"/>
      <c r="Y333" s="11"/>
      <c r="Z333" s="11"/>
    </row>
    <row r="334" ht="95.25" customHeight="1">
      <c r="A334" s="11"/>
      <c r="B334" s="13"/>
      <c r="C334" s="32" t="s">
        <v>886</v>
      </c>
      <c r="D334" s="33" t="s">
        <v>410</v>
      </c>
      <c r="E334" s="40" t="s">
        <v>70</v>
      </c>
      <c r="F334" s="33" t="s">
        <v>101</v>
      </c>
      <c r="G334" s="34" t="s">
        <v>411</v>
      </c>
      <c r="H334" s="12" t="s">
        <v>84</v>
      </c>
      <c r="I334" s="11"/>
      <c r="J334" s="11"/>
      <c r="K334" s="11"/>
      <c r="L334" s="11"/>
      <c r="M334" s="11"/>
      <c r="N334" s="11"/>
      <c r="O334" s="11"/>
      <c r="P334" s="11"/>
      <c r="Q334" s="11"/>
      <c r="R334" s="11"/>
      <c r="S334" s="11"/>
      <c r="T334" s="11"/>
      <c r="U334" s="11"/>
      <c r="V334" s="11"/>
      <c r="W334" s="11"/>
      <c r="X334" s="11"/>
      <c r="Y334" s="11"/>
      <c r="Z334" s="11"/>
    </row>
    <row r="335" ht="205.5" customHeight="1">
      <c r="A335" s="11"/>
      <c r="B335" s="13"/>
      <c r="C335" s="32" t="s">
        <v>887</v>
      </c>
      <c r="D335" s="33" t="s">
        <v>888</v>
      </c>
      <c r="E335" s="40" t="s">
        <v>70</v>
      </c>
      <c r="F335" s="33" t="s">
        <v>889</v>
      </c>
      <c r="G335" s="34" t="s">
        <v>680</v>
      </c>
      <c r="H335" s="12" t="s">
        <v>84</v>
      </c>
      <c r="I335" s="11"/>
      <c r="J335" s="11"/>
      <c r="K335" s="11"/>
      <c r="L335" s="11"/>
      <c r="M335" s="11"/>
      <c r="N335" s="11"/>
      <c r="O335" s="11"/>
      <c r="P335" s="11"/>
      <c r="Q335" s="11"/>
      <c r="R335" s="11"/>
      <c r="S335" s="11"/>
      <c r="T335" s="11"/>
      <c r="U335" s="11"/>
      <c r="V335" s="11"/>
      <c r="W335" s="11"/>
      <c r="X335" s="11"/>
      <c r="Y335" s="11"/>
      <c r="Z335" s="11"/>
    </row>
    <row r="336" ht="142.5" customHeight="1">
      <c r="A336" s="11"/>
      <c r="B336" s="13"/>
      <c r="C336" s="32" t="s">
        <v>890</v>
      </c>
      <c r="D336" s="33" t="s">
        <v>803</v>
      </c>
      <c r="E336" s="40" t="s">
        <v>70</v>
      </c>
      <c r="F336" s="33" t="s">
        <v>683</v>
      </c>
      <c r="G336" s="34" t="s">
        <v>804</v>
      </c>
      <c r="H336" s="12" t="s">
        <v>84</v>
      </c>
      <c r="I336" s="11"/>
      <c r="J336" s="11"/>
      <c r="K336" s="11"/>
      <c r="L336" s="11"/>
      <c r="M336" s="11"/>
      <c r="N336" s="11"/>
      <c r="O336" s="11"/>
      <c r="P336" s="11"/>
      <c r="Q336" s="11"/>
      <c r="R336" s="11"/>
      <c r="S336" s="11"/>
      <c r="T336" s="11"/>
      <c r="U336" s="11"/>
      <c r="V336" s="11"/>
      <c r="W336" s="11"/>
      <c r="X336" s="11"/>
      <c r="Y336" s="11"/>
      <c r="Z336" s="11"/>
    </row>
    <row r="337" ht="95.25" customHeight="1">
      <c r="A337" s="11"/>
      <c r="B337" s="13"/>
      <c r="C337" s="32" t="s">
        <v>891</v>
      </c>
      <c r="D337" s="33" t="s">
        <v>892</v>
      </c>
      <c r="E337" s="40" t="s">
        <v>70</v>
      </c>
      <c r="F337" s="33" t="s">
        <v>687</v>
      </c>
      <c r="G337" s="34" t="s">
        <v>688</v>
      </c>
      <c r="H337" s="12" t="s">
        <v>84</v>
      </c>
      <c r="I337" s="11"/>
      <c r="J337" s="11"/>
      <c r="K337" s="11"/>
      <c r="L337" s="11"/>
      <c r="M337" s="11"/>
      <c r="N337" s="11"/>
      <c r="O337" s="11"/>
      <c r="P337" s="11"/>
      <c r="Q337" s="11"/>
      <c r="R337" s="11"/>
      <c r="S337" s="11"/>
      <c r="T337" s="11"/>
      <c r="U337" s="11"/>
      <c r="V337" s="11"/>
      <c r="W337" s="11"/>
      <c r="X337" s="11"/>
      <c r="Y337" s="11"/>
      <c r="Z337" s="11"/>
    </row>
    <row r="338" ht="126.75" customHeight="1">
      <c r="A338" s="11"/>
      <c r="B338" s="13"/>
      <c r="C338" s="32" t="s">
        <v>893</v>
      </c>
      <c r="D338" s="33" t="s">
        <v>557</v>
      </c>
      <c r="E338" s="40" t="s">
        <v>70</v>
      </c>
      <c r="F338" s="33" t="s">
        <v>421</v>
      </c>
      <c r="G338" s="34" t="s">
        <v>118</v>
      </c>
      <c r="H338" s="12" t="s">
        <v>84</v>
      </c>
      <c r="I338" s="11"/>
      <c r="J338" s="11"/>
      <c r="K338" s="11"/>
      <c r="L338" s="11"/>
      <c r="M338" s="11"/>
      <c r="N338" s="11"/>
      <c r="O338" s="11"/>
      <c r="P338" s="11"/>
      <c r="Q338" s="11"/>
      <c r="R338" s="11"/>
      <c r="S338" s="11"/>
      <c r="T338" s="11"/>
      <c r="U338" s="11"/>
      <c r="V338" s="11"/>
      <c r="W338" s="11"/>
      <c r="X338" s="11"/>
      <c r="Y338" s="11"/>
      <c r="Z338" s="11"/>
    </row>
    <row r="339" ht="111.0" customHeight="1">
      <c r="A339" s="11"/>
      <c r="B339" s="13"/>
      <c r="C339" s="32" t="s">
        <v>894</v>
      </c>
      <c r="D339" s="33" t="s">
        <v>120</v>
      </c>
      <c r="E339" s="40" t="s">
        <v>70</v>
      </c>
      <c r="F339" s="33" t="s">
        <v>121</v>
      </c>
      <c r="G339" s="34" t="s">
        <v>122</v>
      </c>
      <c r="H339" s="12" t="s">
        <v>84</v>
      </c>
      <c r="I339" s="11"/>
      <c r="J339" s="11"/>
      <c r="K339" s="11"/>
      <c r="L339" s="11"/>
      <c r="M339" s="11"/>
      <c r="N339" s="11"/>
      <c r="O339" s="11"/>
      <c r="P339" s="11"/>
      <c r="Q339" s="11"/>
      <c r="R339" s="11"/>
      <c r="S339" s="11"/>
      <c r="T339" s="11"/>
      <c r="U339" s="11"/>
      <c r="V339" s="11"/>
      <c r="W339" s="11"/>
      <c r="X339" s="11"/>
      <c r="Y339" s="11"/>
      <c r="Z339" s="11"/>
    </row>
    <row r="340" ht="111.0" customHeight="1">
      <c r="A340" s="11"/>
      <c r="B340" s="13"/>
      <c r="C340" s="32" t="s">
        <v>895</v>
      </c>
      <c r="D340" s="33" t="s">
        <v>424</v>
      </c>
      <c r="E340" s="40" t="s">
        <v>70</v>
      </c>
      <c r="F340" s="33" t="s">
        <v>425</v>
      </c>
      <c r="G340" s="34" t="s">
        <v>126</v>
      </c>
      <c r="H340" s="12" t="s">
        <v>84</v>
      </c>
      <c r="I340" s="11"/>
      <c r="J340" s="11"/>
      <c r="K340" s="11"/>
      <c r="L340" s="11"/>
      <c r="M340" s="11"/>
      <c r="N340" s="11"/>
      <c r="O340" s="11"/>
      <c r="P340" s="11"/>
      <c r="Q340" s="11"/>
      <c r="R340" s="11"/>
      <c r="S340" s="11"/>
      <c r="T340" s="11"/>
      <c r="U340" s="11"/>
      <c r="V340" s="11"/>
      <c r="W340" s="11"/>
      <c r="X340" s="11"/>
      <c r="Y340" s="11"/>
      <c r="Z340" s="11"/>
    </row>
    <row r="341" ht="79.5" customHeight="1">
      <c r="A341" s="11"/>
      <c r="B341" s="13"/>
      <c r="C341" s="32" t="s">
        <v>896</v>
      </c>
      <c r="D341" s="33" t="s">
        <v>128</v>
      </c>
      <c r="E341" s="40" t="s">
        <v>70</v>
      </c>
      <c r="F341" s="33" t="s">
        <v>129</v>
      </c>
      <c r="G341" s="34" t="s">
        <v>130</v>
      </c>
      <c r="H341" s="12" t="s">
        <v>84</v>
      </c>
      <c r="I341" s="11"/>
      <c r="J341" s="11"/>
      <c r="K341" s="11"/>
      <c r="L341" s="11"/>
      <c r="M341" s="11"/>
      <c r="N341" s="11"/>
      <c r="O341" s="11"/>
      <c r="P341" s="11"/>
      <c r="Q341" s="11"/>
      <c r="R341" s="11"/>
      <c r="S341" s="11"/>
      <c r="T341" s="11"/>
      <c r="U341" s="11"/>
      <c r="V341" s="11"/>
      <c r="W341" s="11"/>
      <c r="X341" s="11"/>
      <c r="Y341" s="11"/>
      <c r="Z341" s="11"/>
    </row>
    <row r="342" ht="126.75" customHeight="1">
      <c r="A342" s="11"/>
      <c r="B342" s="13"/>
      <c r="C342" s="32" t="s">
        <v>897</v>
      </c>
      <c r="D342" s="33" t="s">
        <v>898</v>
      </c>
      <c r="E342" s="40" t="s">
        <v>70</v>
      </c>
      <c r="F342" s="33" t="s">
        <v>428</v>
      </c>
      <c r="G342" s="34" t="s">
        <v>134</v>
      </c>
      <c r="H342" s="12" t="s">
        <v>84</v>
      </c>
      <c r="I342" s="11"/>
      <c r="J342" s="11"/>
      <c r="K342" s="11"/>
      <c r="L342" s="11"/>
      <c r="M342" s="11"/>
      <c r="N342" s="11"/>
      <c r="O342" s="11"/>
      <c r="P342" s="11"/>
      <c r="Q342" s="11"/>
      <c r="R342" s="11"/>
      <c r="S342" s="11"/>
      <c r="T342" s="11"/>
      <c r="U342" s="11"/>
      <c r="V342" s="11"/>
      <c r="W342" s="11"/>
      <c r="X342" s="11"/>
      <c r="Y342" s="11"/>
      <c r="Z342" s="11"/>
    </row>
    <row r="343" ht="158.25" customHeight="1">
      <c r="A343" s="11"/>
      <c r="B343" s="13"/>
      <c r="C343" s="32" t="s">
        <v>899</v>
      </c>
      <c r="D343" s="33" t="s">
        <v>725</v>
      </c>
      <c r="E343" s="40" t="s">
        <v>70</v>
      </c>
      <c r="F343" s="33" t="s">
        <v>457</v>
      </c>
      <c r="G343" s="34" t="s">
        <v>228</v>
      </c>
      <c r="H343" s="12" t="s">
        <v>84</v>
      </c>
      <c r="I343" s="11"/>
      <c r="J343" s="11"/>
      <c r="K343" s="11"/>
      <c r="L343" s="11"/>
      <c r="M343" s="11"/>
      <c r="N343" s="11"/>
      <c r="O343" s="11"/>
      <c r="P343" s="11"/>
      <c r="Q343" s="11"/>
      <c r="R343" s="11"/>
      <c r="S343" s="11"/>
      <c r="T343" s="11"/>
      <c r="U343" s="11"/>
      <c r="V343" s="11"/>
      <c r="W343" s="11"/>
      <c r="X343" s="11"/>
      <c r="Y343" s="11"/>
      <c r="Z343" s="11"/>
    </row>
    <row r="344" ht="126.75" customHeight="1">
      <c r="A344" s="11"/>
      <c r="B344" s="13"/>
      <c r="C344" s="32" t="s">
        <v>900</v>
      </c>
      <c r="D344" s="33" t="s">
        <v>901</v>
      </c>
      <c r="E344" s="40" t="s">
        <v>70</v>
      </c>
      <c r="F344" s="33" t="s">
        <v>231</v>
      </c>
      <c r="G344" s="34" t="s">
        <v>232</v>
      </c>
      <c r="H344" s="12" t="s">
        <v>84</v>
      </c>
      <c r="I344" s="11"/>
      <c r="J344" s="11"/>
      <c r="K344" s="11"/>
      <c r="L344" s="11"/>
      <c r="M344" s="11"/>
      <c r="N344" s="11"/>
      <c r="O344" s="11"/>
      <c r="P344" s="11"/>
      <c r="Q344" s="11"/>
      <c r="R344" s="11"/>
      <c r="S344" s="11"/>
      <c r="T344" s="11"/>
      <c r="U344" s="11"/>
      <c r="V344" s="11"/>
      <c r="W344" s="11"/>
      <c r="X344" s="11"/>
      <c r="Y344" s="11"/>
      <c r="Z344" s="11"/>
    </row>
    <row r="345" ht="95.25" customHeight="1">
      <c r="A345" s="11"/>
      <c r="B345" s="13"/>
      <c r="C345" s="32" t="s">
        <v>902</v>
      </c>
      <c r="D345" s="33" t="s">
        <v>903</v>
      </c>
      <c r="E345" s="40" t="s">
        <v>70</v>
      </c>
      <c r="F345" s="33" t="s">
        <v>730</v>
      </c>
      <c r="G345" s="34" t="s">
        <v>236</v>
      </c>
      <c r="H345" s="12" t="s">
        <v>84</v>
      </c>
      <c r="I345" s="11"/>
      <c r="J345" s="11"/>
      <c r="K345" s="11"/>
      <c r="L345" s="11"/>
      <c r="M345" s="11"/>
      <c r="N345" s="11"/>
      <c r="O345" s="11"/>
      <c r="P345" s="11"/>
      <c r="Q345" s="11"/>
      <c r="R345" s="11"/>
      <c r="S345" s="11"/>
      <c r="T345" s="11"/>
      <c r="U345" s="11"/>
      <c r="V345" s="11"/>
      <c r="W345" s="11"/>
      <c r="X345" s="11"/>
      <c r="Y345" s="11"/>
      <c r="Z345" s="11"/>
    </row>
    <row r="346" ht="63.75" customHeight="1">
      <c r="A346" s="11"/>
      <c r="B346" s="13"/>
      <c r="C346" s="32" t="s">
        <v>904</v>
      </c>
      <c r="D346" s="33" t="s">
        <v>905</v>
      </c>
      <c r="E346" s="40" t="s">
        <v>70</v>
      </c>
      <c r="F346" s="33" t="s">
        <v>239</v>
      </c>
      <c r="G346" s="34" t="s">
        <v>240</v>
      </c>
      <c r="H346" s="12" t="s">
        <v>84</v>
      </c>
      <c r="I346" s="11"/>
      <c r="J346" s="11"/>
      <c r="K346" s="11"/>
      <c r="L346" s="11"/>
      <c r="M346" s="11"/>
      <c r="N346" s="11"/>
      <c r="O346" s="11"/>
      <c r="P346" s="11"/>
      <c r="Q346" s="11"/>
      <c r="R346" s="11"/>
      <c r="S346" s="11"/>
      <c r="T346" s="11"/>
      <c r="U346" s="11"/>
      <c r="V346" s="11"/>
      <c r="W346" s="11"/>
      <c r="X346" s="11"/>
      <c r="Y346" s="11"/>
      <c r="Z346" s="11"/>
    </row>
    <row r="347" ht="142.5" customHeight="1">
      <c r="A347" s="11"/>
      <c r="B347" s="13"/>
      <c r="C347" s="32" t="s">
        <v>906</v>
      </c>
      <c r="D347" s="33" t="s">
        <v>907</v>
      </c>
      <c r="E347" s="40" t="s">
        <v>70</v>
      </c>
      <c r="F347" s="33" t="s">
        <v>243</v>
      </c>
      <c r="G347" s="34" t="s">
        <v>244</v>
      </c>
      <c r="H347" s="12" t="s">
        <v>84</v>
      </c>
      <c r="I347" s="11"/>
      <c r="J347" s="11"/>
      <c r="K347" s="11"/>
      <c r="L347" s="11"/>
      <c r="M347" s="11"/>
      <c r="N347" s="11"/>
      <c r="O347" s="11"/>
      <c r="P347" s="11"/>
      <c r="Q347" s="11"/>
      <c r="R347" s="11"/>
      <c r="S347" s="11"/>
      <c r="T347" s="11"/>
      <c r="U347" s="11"/>
      <c r="V347" s="11"/>
      <c r="W347" s="11"/>
      <c r="X347" s="11"/>
      <c r="Y347" s="11"/>
      <c r="Z347" s="11"/>
    </row>
    <row r="348" ht="111.0" customHeight="1">
      <c r="A348" s="11"/>
      <c r="B348" s="13"/>
      <c r="C348" s="32" t="s">
        <v>908</v>
      </c>
      <c r="D348" s="33" t="s">
        <v>468</v>
      </c>
      <c r="E348" s="40" t="s">
        <v>70</v>
      </c>
      <c r="F348" s="33" t="s">
        <v>909</v>
      </c>
      <c r="G348" s="34" t="s">
        <v>248</v>
      </c>
      <c r="H348" s="12" t="s">
        <v>84</v>
      </c>
      <c r="I348" s="11"/>
      <c r="J348" s="11"/>
      <c r="K348" s="11"/>
      <c r="L348" s="11"/>
      <c r="M348" s="11"/>
      <c r="N348" s="11"/>
      <c r="O348" s="11"/>
      <c r="P348" s="11"/>
      <c r="Q348" s="11"/>
      <c r="R348" s="11"/>
      <c r="S348" s="11"/>
      <c r="T348" s="11"/>
      <c r="U348" s="11"/>
      <c r="V348" s="11"/>
      <c r="W348" s="11"/>
      <c r="X348" s="11"/>
      <c r="Y348" s="11"/>
      <c r="Z348" s="11"/>
    </row>
    <row r="349" ht="95.25" customHeight="1">
      <c r="A349" s="11"/>
      <c r="B349" s="13"/>
      <c r="C349" s="32" t="s">
        <v>910</v>
      </c>
      <c r="D349" s="33" t="s">
        <v>250</v>
      </c>
      <c r="E349" s="40" t="s">
        <v>70</v>
      </c>
      <c r="F349" s="33" t="s">
        <v>251</v>
      </c>
      <c r="G349" s="34" t="s">
        <v>252</v>
      </c>
      <c r="H349" s="12" t="s">
        <v>84</v>
      </c>
      <c r="I349" s="11"/>
      <c r="J349" s="11"/>
      <c r="K349" s="11"/>
      <c r="L349" s="11"/>
      <c r="M349" s="11"/>
      <c r="N349" s="11"/>
      <c r="O349" s="11"/>
      <c r="P349" s="11"/>
      <c r="Q349" s="11"/>
      <c r="R349" s="11"/>
      <c r="S349" s="11"/>
      <c r="T349" s="11"/>
      <c r="U349" s="11"/>
      <c r="V349" s="11"/>
      <c r="W349" s="11"/>
      <c r="X349" s="11"/>
      <c r="Y349" s="11"/>
      <c r="Z349" s="11"/>
    </row>
    <row r="350" ht="126.75" customHeight="1">
      <c r="A350" s="11"/>
      <c r="B350" s="13"/>
      <c r="C350" s="32" t="s">
        <v>911</v>
      </c>
      <c r="D350" s="33" t="s">
        <v>254</v>
      </c>
      <c r="E350" s="40" t="s">
        <v>70</v>
      </c>
      <c r="F350" s="33" t="s">
        <v>255</v>
      </c>
      <c r="G350" s="34" t="s">
        <v>256</v>
      </c>
      <c r="H350" s="12" t="s">
        <v>84</v>
      </c>
      <c r="I350" s="11"/>
      <c r="J350" s="11"/>
      <c r="K350" s="11"/>
      <c r="L350" s="11"/>
      <c r="M350" s="11"/>
      <c r="N350" s="11"/>
      <c r="O350" s="11"/>
      <c r="P350" s="11"/>
      <c r="Q350" s="11"/>
      <c r="R350" s="11"/>
      <c r="S350" s="11"/>
      <c r="T350" s="11"/>
      <c r="U350" s="11"/>
      <c r="V350" s="11"/>
      <c r="W350" s="11"/>
      <c r="X350" s="11"/>
      <c r="Y350" s="11"/>
      <c r="Z350" s="11"/>
    </row>
    <row r="351" ht="111.0" customHeight="1">
      <c r="A351" s="11"/>
      <c r="B351" s="13"/>
      <c r="C351" s="32" t="s">
        <v>912</v>
      </c>
      <c r="D351" s="33" t="s">
        <v>913</v>
      </c>
      <c r="E351" s="40" t="s">
        <v>70</v>
      </c>
      <c r="F351" s="33" t="s">
        <v>259</v>
      </c>
      <c r="G351" s="34" t="s">
        <v>260</v>
      </c>
      <c r="H351" s="12" t="s">
        <v>84</v>
      </c>
      <c r="I351" s="11"/>
      <c r="J351" s="11"/>
      <c r="K351" s="11"/>
      <c r="L351" s="11"/>
      <c r="M351" s="11"/>
      <c r="N351" s="11"/>
      <c r="O351" s="11"/>
      <c r="P351" s="11"/>
      <c r="Q351" s="11"/>
      <c r="R351" s="11"/>
      <c r="S351" s="11"/>
      <c r="T351" s="11"/>
      <c r="U351" s="11"/>
      <c r="V351" s="11"/>
      <c r="W351" s="11"/>
      <c r="X351" s="11"/>
      <c r="Y351" s="11"/>
      <c r="Z351" s="11"/>
    </row>
    <row r="352" ht="126.75" customHeight="1">
      <c r="A352" s="11"/>
      <c r="B352" s="13"/>
      <c r="C352" s="32" t="s">
        <v>914</v>
      </c>
      <c r="D352" s="33" t="s">
        <v>262</v>
      </c>
      <c r="E352" s="40" t="s">
        <v>70</v>
      </c>
      <c r="F352" s="33" t="s">
        <v>263</v>
      </c>
      <c r="G352" s="34" t="s">
        <v>264</v>
      </c>
      <c r="H352" s="12" t="s">
        <v>84</v>
      </c>
      <c r="I352" s="11"/>
      <c r="J352" s="11"/>
      <c r="K352" s="11"/>
      <c r="L352" s="11"/>
      <c r="M352" s="11"/>
      <c r="N352" s="11"/>
      <c r="O352" s="11"/>
      <c r="P352" s="11"/>
      <c r="Q352" s="11"/>
      <c r="R352" s="11"/>
      <c r="S352" s="11"/>
      <c r="T352" s="11"/>
      <c r="U352" s="11"/>
      <c r="V352" s="11"/>
      <c r="W352" s="11"/>
      <c r="X352" s="11"/>
      <c r="Y352" s="11"/>
      <c r="Z352" s="11"/>
    </row>
    <row r="353" ht="129.0" customHeight="1">
      <c r="A353" s="11"/>
      <c r="B353" s="13"/>
      <c r="C353" s="32" t="s">
        <v>915</v>
      </c>
      <c r="D353" s="33" t="s">
        <v>266</v>
      </c>
      <c r="E353" s="40" t="s">
        <v>70</v>
      </c>
      <c r="F353" s="33" t="s">
        <v>267</v>
      </c>
      <c r="G353" s="34" t="s">
        <v>268</v>
      </c>
      <c r="H353" s="12" t="s">
        <v>84</v>
      </c>
      <c r="I353" s="11"/>
      <c r="J353" s="11"/>
      <c r="K353" s="11"/>
      <c r="L353" s="11"/>
      <c r="M353" s="11"/>
      <c r="N353" s="11"/>
      <c r="O353" s="11"/>
      <c r="P353" s="11"/>
      <c r="Q353" s="11"/>
      <c r="R353" s="11"/>
      <c r="S353" s="11"/>
      <c r="T353" s="11"/>
      <c r="U353" s="11"/>
      <c r="V353" s="11"/>
      <c r="W353" s="11"/>
      <c r="X353" s="11"/>
      <c r="Y353" s="11"/>
      <c r="Z353" s="11"/>
    </row>
    <row r="354" ht="111.0" customHeight="1">
      <c r="A354" s="11"/>
      <c r="B354" s="13"/>
      <c r="C354" s="32" t="s">
        <v>916</v>
      </c>
      <c r="D354" s="33" t="s">
        <v>270</v>
      </c>
      <c r="E354" s="40" t="s">
        <v>70</v>
      </c>
      <c r="F354" s="33" t="s">
        <v>271</v>
      </c>
      <c r="G354" s="34" t="s">
        <v>272</v>
      </c>
      <c r="H354" s="12" t="s">
        <v>84</v>
      </c>
      <c r="I354" s="11"/>
      <c r="J354" s="11"/>
      <c r="K354" s="11"/>
      <c r="L354" s="11"/>
      <c r="M354" s="11"/>
      <c r="N354" s="11"/>
      <c r="O354" s="11"/>
      <c r="P354" s="11"/>
      <c r="Q354" s="11"/>
      <c r="R354" s="11"/>
      <c r="S354" s="11"/>
      <c r="T354" s="11"/>
      <c r="U354" s="11"/>
      <c r="V354" s="11"/>
      <c r="W354" s="11"/>
      <c r="X354" s="11"/>
      <c r="Y354" s="11"/>
      <c r="Z354" s="11"/>
    </row>
    <row r="355" ht="111.0" customHeight="1">
      <c r="A355" s="11"/>
      <c r="B355" s="13"/>
      <c r="C355" s="32" t="s">
        <v>917</v>
      </c>
      <c r="D355" s="33" t="s">
        <v>274</v>
      </c>
      <c r="E355" s="40" t="s">
        <v>70</v>
      </c>
      <c r="F355" s="33" t="s">
        <v>275</v>
      </c>
      <c r="G355" s="34" t="s">
        <v>276</v>
      </c>
      <c r="H355" s="12" t="s">
        <v>84</v>
      </c>
      <c r="I355" s="11"/>
      <c r="J355" s="11"/>
      <c r="K355" s="11"/>
      <c r="L355" s="11"/>
      <c r="M355" s="11"/>
      <c r="N355" s="11"/>
      <c r="O355" s="11"/>
      <c r="P355" s="11"/>
      <c r="Q355" s="11"/>
      <c r="R355" s="11"/>
      <c r="S355" s="11"/>
      <c r="T355" s="11"/>
      <c r="U355" s="11"/>
      <c r="V355" s="11"/>
      <c r="W355" s="11"/>
      <c r="X355" s="11"/>
      <c r="Y355" s="11"/>
      <c r="Z355" s="11"/>
    </row>
    <row r="356" ht="111.0" customHeight="1">
      <c r="A356" s="11"/>
      <c r="B356" s="13"/>
      <c r="C356" s="32" t="s">
        <v>918</v>
      </c>
      <c r="D356" s="33" t="s">
        <v>278</v>
      </c>
      <c r="E356" s="40" t="s">
        <v>70</v>
      </c>
      <c r="F356" s="33" t="s">
        <v>279</v>
      </c>
      <c r="G356" s="34" t="s">
        <v>280</v>
      </c>
      <c r="H356" s="12" t="s">
        <v>84</v>
      </c>
      <c r="I356" s="11"/>
      <c r="J356" s="11"/>
      <c r="K356" s="11"/>
      <c r="L356" s="11"/>
      <c r="M356" s="11"/>
      <c r="N356" s="11"/>
      <c r="O356" s="11"/>
      <c r="P356" s="11"/>
      <c r="Q356" s="11"/>
      <c r="R356" s="11"/>
      <c r="S356" s="11"/>
      <c r="T356" s="11"/>
      <c r="U356" s="11"/>
      <c r="V356" s="11"/>
      <c r="W356" s="11"/>
      <c r="X356" s="11"/>
      <c r="Y356" s="11"/>
      <c r="Z356" s="11"/>
    </row>
    <row r="357" ht="95.25" customHeight="1">
      <c r="A357" s="11"/>
      <c r="B357" s="13"/>
      <c r="C357" s="32" t="s">
        <v>919</v>
      </c>
      <c r="D357" s="33" t="s">
        <v>920</v>
      </c>
      <c r="E357" s="40" t="s">
        <v>70</v>
      </c>
      <c r="F357" s="33" t="s">
        <v>283</v>
      </c>
      <c r="G357" s="34" t="s">
        <v>284</v>
      </c>
      <c r="H357" s="12" t="s">
        <v>84</v>
      </c>
      <c r="I357" s="11"/>
      <c r="J357" s="11"/>
      <c r="K357" s="11"/>
      <c r="L357" s="11"/>
      <c r="M357" s="11"/>
      <c r="N357" s="11"/>
      <c r="O357" s="11"/>
      <c r="P357" s="11"/>
      <c r="Q357" s="11"/>
      <c r="R357" s="11"/>
      <c r="S357" s="11"/>
      <c r="T357" s="11"/>
      <c r="U357" s="11"/>
      <c r="V357" s="11"/>
      <c r="W357" s="11"/>
      <c r="X357" s="11"/>
      <c r="Y357" s="11"/>
      <c r="Z357" s="11"/>
    </row>
    <row r="358" ht="79.5" customHeight="1">
      <c r="A358" s="11"/>
      <c r="B358" s="13"/>
      <c r="C358" s="32" t="s">
        <v>921</v>
      </c>
      <c r="D358" s="33" t="s">
        <v>922</v>
      </c>
      <c r="E358" s="40" t="s">
        <v>70</v>
      </c>
      <c r="F358" s="33" t="s">
        <v>287</v>
      </c>
      <c r="G358" s="34" t="s">
        <v>288</v>
      </c>
      <c r="H358" s="12" t="s">
        <v>84</v>
      </c>
      <c r="I358" s="11"/>
      <c r="J358" s="11"/>
      <c r="K358" s="11"/>
      <c r="L358" s="11"/>
      <c r="M358" s="11"/>
      <c r="N358" s="11"/>
      <c r="O358" s="11"/>
      <c r="P358" s="11"/>
      <c r="Q358" s="11"/>
      <c r="R358" s="11"/>
      <c r="S358" s="11"/>
      <c r="T358" s="11"/>
      <c r="U358" s="11"/>
      <c r="V358" s="11"/>
      <c r="W358" s="11"/>
      <c r="X358" s="11"/>
      <c r="Y358" s="11"/>
      <c r="Z358" s="11"/>
    </row>
    <row r="359" ht="142.5" customHeight="1">
      <c r="A359" s="11"/>
      <c r="B359" s="13"/>
      <c r="C359" s="32" t="s">
        <v>923</v>
      </c>
      <c r="D359" s="33" t="s">
        <v>924</v>
      </c>
      <c r="E359" s="40" t="s">
        <v>70</v>
      </c>
      <c r="F359" s="33" t="s">
        <v>291</v>
      </c>
      <c r="G359" s="34" t="s">
        <v>292</v>
      </c>
      <c r="H359" s="12" t="s">
        <v>84</v>
      </c>
      <c r="I359" s="11"/>
      <c r="J359" s="11"/>
      <c r="K359" s="11"/>
      <c r="L359" s="11"/>
      <c r="M359" s="11"/>
      <c r="N359" s="11"/>
      <c r="O359" s="11"/>
      <c r="P359" s="11"/>
      <c r="Q359" s="11"/>
      <c r="R359" s="11"/>
      <c r="S359" s="11"/>
      <c r="T359" s="11"/>
      <c r="U359" s="11"/>
      <c r="V359" s="11"/>
      <c r="W359" s="11"/>
      <c r="X359" s="11"/>
      <c r="Y359" s="11"/>
      <c r="Z359" s="11"/>
    </row>
    <row r="360" ht="79.5" customHeight="1">
      <c r="A360" s="11"/>
      <c r="B360" s="13"/>
      <c r="C360" s="32" t="s">
        <v>925</v>
      </c>
      <c r="D360" s="33" t="s">
        <v>926</v>
      </c>
      <c r="E360" s="40" t="s">
        <v>70</v>
      </c>
      <c r="F360" s="33" t="s">
        <v>295</v>
      </c>
      <c r="G360" s="34" t="s">
        <v>296</v>
      </c>
      <c r="H360" s="12" t="s">
        <v>84</v>
      </c>
      <c r="I360" s="11"/>
      <c r="J360" s="11"/>
      <c r="K360" s="11"/>
      <c r="L360" s="11"/>
      <c r="M360" s="11"/>
      <c r="N360" s="11"/>
      <c r="O360" s="11"/>
      <c r="P360" s="11"/>
      <c r="Q360" s="11"/>
      <c r="R360" s="11"/>
      <c r="S360" s="11"/>
      <c r="T360" s="11"/>
      <c r="U360" s="11"/>
      <c r="V360" s="11"/>
      <c r="W360" s="11"/>
      <c r="X360" s="11"/>
      <c r="Y360" s="11"/>
      <c r="Z360" s="11"/>
    </row>
    <row r="361" ht="63.75" customHeight="1">
      <c r="A361" s="11"/>
      <c r="B361" s="13"/>
      <c r="C361" s="32" t="s">
        <v>927</v>
      </c>
      <c r="D361" s="33" t="s">
        <v>298</v>
      </c>
      <c r="E361" s="40" t="s">
        <v>70</v>
      </c>
      <c r="F361" s="33" t="s">
        <v>299</v>
      </c>
      <c r="G361" s="34" t="s">
        <v>300</v>
      </c>
      <c r="H361" s="12" t="s">
        <v>84</v>
      </c>
      <c r="I361" s="11"/>
      <c r="J361" s="11"/>
      <c r="K361" s="11"/>
      <c r="L361" s="11"/>
      <c r="M361" s="11"/>
      <c r="N361" s="11"/>
      <c r="O361" s="11"/>
      <c r="P361" s="11"/>
      <c r="Q361" s="11"/>
      <c r="R361" s="11"/>
      <c r="S361" s="11"/>
      <c r="T361" s="11"/>
      <c r="U361" s="11"/>
      <c r="V361" s="11"/>
      <c r="W361" s="11"/>
      <c r="X361" s="11"/>
      <c r="Y361" s="11"/>
      <c r="Z361" s="11"/>
    </row>
    <row r="362" ht="126.75" customHeight="1">
      <c r="A362" s="11"/>
      <c r="B362" s="13"/>
      <c r="C362" s="32" t="s">
        <v>928</v>
      </c>
      <c r="D362" s="33" t="s">
        <v>633</v>
      </c>
      <c r="E362" s="40" t="s">
        <v>70</v>
      </c>
      <c r="F362" s="33" t="s">
        <v>303</v>
      </c>
      <c r="G362" s="34" t="s">
        <v>304</v>
      </c>
      <c r="H362" s="12" t="s">
        <v>84</v>
      </c>
      <c r="I362" s="11"/>
      <c r="J362" s="11"/>
      <c r="K362" s="11"/>
      <c r="L362" s="11"/>
      <c r="M362" s="11"/>
      <c r="N362" s="11"/>
      <c r="O362" s="11"/>
      <c r="P362" s="11"/>
      <c r="Q362" s="11"/>
      <c r="R362" s="11"/>
      <c r="S362" s="11"/>
      <c r="T362" s="11"/>
      <c r="U362" s="11"/>
      <c r="V362" s="11"/>
      <c r="W362" s="11"/>
      <c r="X362" s="11"/>
      <c r="Y362" s="11"/>
      <c r="Z362" s="11"/>
    </row>
    <row r="363" ht="174.0" customHeight="1">
      <c r="A363" s="11"/>
      <c r="B363" s="13"/>
      <c r="C363" s="32" t="s">
        <v>929</v>
      </c>
      <c r="D363" s="33" t="s">
        <v>306</v>
      </c>
      <c r="E363" s="40" t="s">
        <v>70</v>
      </c>
      <c r="F363" s="33" t="s">
        <v>307</v>
      </c>
      <c r="G363" s="34" t="s">
        <v>308</v>
      </c>
      <c r="H363" s="12" t="s">
        <v>84</v>
      </c>
      <c r="I363" s="11"/>
      <c r="J363" s="11"/>
      <c r="K363" s="11"/>
      <c r="L363" s="11"/>
      <c r="M363" s="11"/>
      <c r="N363" s="11"/>
      <c r="O363" s="11"/>
      <c r="P363" s="11"/>
      <c r="Q363" s="11"/>
      <c r="R363" s="11"/>
      <c r="S363" s="11"/>
      <c r="T363" s="11"/>
      <c r="U363" s="11"/>
      <c r="V363" s="11"/>
      <c r="W363" s="11"/>
      <c r="X363" s="11"/>
      <c r="Y363" s="11"/>
      <c r="Z363" s="11"/>
    </row>
    <row r="364" ht="63.75" customHeight="1">
      <c r="A364" s="11"/>
      <c r="B364" s="13"/>
      <c r="C364" s="32" t="s">
        <v>930</v>
      </c>
      <c r="D364" s="33" t="s">
        <v>931</v>
      </c>
      <c r="E364" s="40" t="s">
        <v>70</v>
      </c>
      <c r="F364" s="33" t="s">
        <v>315</v>
      </c>
      <c r="G364" s="34" t="s">
        <v>932</v>
      </c>
      <c r="H364" s="12" t="s">
        <v>84</v>
      </c>
      <c r="I364" s="11"/>
      <c r="J364" s="11"/>
      <c r="K364" s="11"/>
      <c r="L364" s="11"/>
      <c r="M364" s="11"/>
      <c r="N364" s="11"/>
      <c r="O364" s="11"/>
      <c r="P364" s="11"/>
      <c r="Q364" s="11"/>
      <c r="R364" s="11"/>
      <c r="S364" s="11"/>
      <c r="T364" s="11"/>
      <c r="U364" s="11"/>
      <c r="V364" s="11"/>
      <c r="W364" s="11"/>
      <c r="X364" s="11"/>
      <c r="Y364" s="11"/>
      <c r="Z364" s="11"/>
    </row>
    <row r="365" ht="95.25" customHeight="1">
      <c r="A365" s="11"/>
      <c r="B365" s="13"/>
      <c r="C365" s="32" t="s">
        <v>933</v>
      </c>
      <c r="D365" s="33" t="s">
        <v>338</v>
      </c>
      <c r="E365" s="40" t="s">
        <v>70</v>
      </c>
      <c r="F365" s="33" t="s">
        <v>339</v>
      </c>
      <c r="G365" s="34" t="s">
        <v>340</v>
      </c>
      <c r="H365" s="12" t="s">
        <v>84</v>
      </c>
      <c r="I365" s="11"/>
      <c r="J365" s="11"/>
      <c r="K365" s="11"/>
      <c r="L365" s="11"/>
      <c r="M365" s="11"/>
      <c r="N365" s="11"/>
      <c r="O365" s="11"/>
      <c r="P365" s="11"/>
      <c r="Q365" s="11"/>
      <c r="R365" s="11"/>
      <c r="S365" s="11"/>
      <c r="T365" s="11"/>
      <c r="U365" s="11"/>
      <c r="V365" s="11"/>
      <c r="W365" s="11"/>
      <c r="X365" s="11"/>
      <c r="Y365" s="11"/>
      <c r="Z365" s="11"/>
    </row>
    <row r="366" ht="79.5" customHeight="1">
      <c r="A366" s="11"/>
      <c r="B366" s="13"/>
      <c r="C366" s="32" t="s">
        <v>934</v>
      </c>
      <c r="D366" s="33" t="s">
        <v>342</v>
      </c>
      <c r="E366" s="40" t="s">
        <v>70</v>
      </c>
      <c r="F366" s="33" t="s">
        <v>343</v>
      </c>
      <c r="G366" s="34" t="s">
        <v>344</v>
      </c>
      <c r="H366" s="12" t="s">
        <v>84</v>
      </c>
      <c r="I366" s="11"/>
      <c r="J366" s="11"/>
      <c r="K366" s="11"/>
      <c r="L366" s="11"/>
      <c r="M366" s="11"/>
      <c r="N366" s="11"/>
      <c r="O366" s="11"/>
      <c r="P366" s="11"/>
      <c r="Q366" s="11"/>
      <c r="R366" s="11"/>
      <c r="S366" s="11"/>
      <c r="T366" s="11"/>
      <c r="U366" s="11"/>
      <c r="V366" s="11"/>
      <c r="W366" s="11"/>
      <c r="X366" s="11"/>
      <c r="Y366" s="11"/>
      <c r="Z366" s="11"/>
    </row>
    <row r="367" ht="63.75" customHeight="1">
      <c r="A367" s="11"/>
      <c r="B367" s="13"/>
      <c r="C367" s="32" t="s">
        <v>935</v>
      </c>
      <c r="D367" s="33" t="s">
        <v>646</v>
      </c>
      <c r="E367" s="40" t="s">
        <v>70</v>
      </c>
      <c r="F367" s="33" t="s">
        <v>347</v>
      </c>
      <c r="G367" s="34" t="s">
        <v>348</v>
      </c>
      <c r="H367" s="12" t="s">
        <v>84</v>
      </c>
      <c r="I367" s="11"/>
      <c r="J367" s="11"/>
      <c r="K367" s="11"/>
      <c r="L367" s="11"/>
      <c r="M367" s="11"/>
      <c r="N367" s="11"/>
      <c r="O367" s="11"/>
      <c r="P367" s="11"/>
      <c r="Q367" s="11"/>
      <c r="R367" s="11"/>
      <c r="S367" s="11"/>
      <c r="T367" s="11"/>
      <c r="U367" s="11"/>
      <c r="V367" s="11"/>
      <c r="W367" s="11"/>
      <c r="X367" s="11"/>
      <c r="Y367" s="11"/>
      <c r="Z367" s="11"/>
    </row>
    <row r="368" ht="111.0" customHeight="1">
      <c r="A368" s="11"/>
      <c r="B368" s="13"/>
      <c r="C368" s="32" t="s">
        <v>936</v>
      </c>
      <c r="D368" s="33" t="s">
        <v>350</v>
      </c>
      <c r="E368" s="40" t="s">
        <v>70</v>
      </c>
      <c r="F368" s="33" t="s">
        <v>351</v>
      </c>
      <c r="G368" s="34" t="s">
        <v>352</v>
      </c>
      <c r="H368" s="12" t="s">
        <v>84</v>
      </c>
      <c r="I368" s="11"/>
      <c r="J368" s="11"/>
      <c r="K368" s="11"/>
      <c r="L368" s="11"/>
      <c r="M368" s="11"/>
      <c r="N368" s="11"/>
      <c r="O368" s="11"/>
      <c r="P368" s="11"/>
      <c r="Q368" s="11"/>
      <c r="R368" s="11"/>
      <c r="S368" s="11"/>
      <c r="T368" s="11"/>
      <c r="U368" s="11"/>
      <c r="V368" s="11"/>
      <c r="W368" s="11"/>
      <c r="X368" s="11"/>
      <c r="Y368" s="11"/>
      <c r="Z368" s="11"/>
    </row>
    <row r="369" ht="79.5" customHeight="1">
      <c r="A369" s="11"/>
      <c r="B369" s="13"/>
      <c r="C369" s="32" t="s">
        <v>937</v>
      </c>
      <c r="D369" s="33" t="s">
        <v>354</v>
      </c>
      <c r="E369" s="40" t="s">
        <v>70</v>
      </c>
      <c r="F369" s="33" t="s">
        <v>355</v>
      </c>
      <c r="G369" s="34" t="s">
        <v>356</v>
      </c>
      <c r="H369" s="12" t="s">
        <v>84</v>
      </c>
      <c r="I369" s="11"/>
      <c r="J369" s="11"/>
      <c r="K369" s="11"/>
      <c r="L369" s="11"/>
      <c r="M369" s="11"/>
      <c r="N369" s="11"/>
      <c r="O369" s="11"/>
      <c r="P369" s="11"/>
      <c r="Q369" s="11"/>
      <c r="R369" s="11"/>
      <c r="S369" s="11"/>
      <c r="T369" s="11"/>
      <c r="U369" s="11"/>
      <c r="V369" s="11"/>
      <c r="W369" s="11"/>
      <c r="X369" s="11"/>
      <c r="Y369" s="11"/>
      <c r="Z369" s="11"/>
    </row>
    <row r="370" ht="79.5" customHeight="1">
      <c r="A370" s="11"/>
      <c r="B370" s="13"/>
      <c r="C370" s="32" t="s">
        <v>938</v>
      </c>
      <c r="D370" s="33" t="s">
        <v>358</v>
      </c>
      <c r="E370" s="40" t="s">
        <v>70</v>
      </c>
      <c r="F370" s="33" t="s">
        <v>359</v>
      </c>
      <c r="G370" s="34" t="s">
        <v>360</v>
      </c>
      <c r="H370" s="12" t="s">
        <v>84</v>
      </c>
      <c r="I370" s="11"/>
      <c r="J370" s="11"/>
      <c r="K370" s="11"/>
      <c r="L370" s="11"/>
      <c r="M370" s="11"/>
      <c r="N370" s="11"/>
      <c r="O370" s="11"/>
      <c r="P370" s="11"/>
      <c r="Q370" s="11"/>
      <c r="R370" s="11"/>
      <c r="S370" s="11"/>
      <c r="T370" s="11"/>
      <c r="U370" s="11"/>
      <c r="V370" s="11"/>
      <c r="W370" s="11"/>
      <c r="X370" s="11"/>
      <c r="Y370" s="11"/>
      <c r="Z370" s="11"/>
    </row>
    <row r="371" ht="79.5" customHeight="1">
      <c r="A371" s="11"/>
      <c r="B371" s="13"/>
      <c r="C371" s="32" t="s">
        <v>939</v>
      </c>
      <c r="D371" s="33" t="s">
        <v>362</v>
      </c>
      <c r="E371" s="40" t="s">
        <v>70</v>
      </c>
      <c r="F371" s="33" t="s">
        <v>363</v>
      </c>
      <c r="G371" s="34" t="s">
        <v>364</v>
      </c>
      <c r="H371" s="12" t="s">
        <v>84</v>
      </c>
      <c r="I371" s="11"/>
      <c r="J371" s="11"/>
      <c r="K371" s="11"/>
      <c r="L371" s="11"/>
      <c r="M371" s="11"/>
      <c r="N371" s="11"/>
      <c r="O371" s="11"/>
      <c r="P371" s="11"/>
      <c r="Q371" s="11"/>
      <c r="R371" s="11"/>
      <c r="S371" s="11"/>
      <c r="T371" s="11"/>
      <c r="U371" s="11"/>
      <c r="V371" s="11"/>
      <c r="W371" s="11"/>
      <c r="X371" s="11"/>
      <c r="Y371" s="11"/>
      <c r="Z371" s="11"/>
    </row>
    <row r="372" ht="63.75" customHeight="1">
      <c r="A372" s="11"/>
      <c r="B372" s="13"/>
      <c r="C372" s="32" t="s">
        <v>940</v>
      </c>
      <c r="D372" s="33" t="s">
        <v>366</v>
      </c>
      <c r="E372" s="40" t="s">
        <v>70</v>
      </c>
      <c r="F372" s="33" t="s">
        <v>367</v>
      </c>
      <c r="G372" s="34" t="s">
        <v>368</v>
      </c>
      <c r="H372" s="12" t="s">
        <v>84</v>
      </c>
      <c r="I372" s="11"/>
      <c r="J372" s="11"/>
      <c r="K372" s="11"/>
      <c r="L372" s="11"/>
      <c r="M372" s="11"/>
      <c r="N372" s="11"/>
      <c r="O372" s="11"/>
      <c r="P372" s="11"/>
      <c r="Q372" s="11"/>
      <c r="R372" s="11"/>
      <c r="S372" s="11"/>
      <c r="T372" s="11"/>
      <c r="U372" s="11"/>
      <c r="V372" s="11"/>
      <c r="W372" s="11"/>
      <c r="X372" s="11"/>
      <c r="Y372" s="11"/>
      <c r="Z372" s="11"/>
    </row>
    <row r="373" ht="79.5" customHeight="1">
      <c r="A373" s="11"/>
      <c r="B373" s="13"/>
      <c r="C373" s="32" t="s">
        <v>941</v>
      </c>
      <c r="D373" s="33" t="s">
        <v>370</v>
      </c>
      <c r="E373" s="40" t="s">
        <v>70</v>
      </c>
      <c r="F373" s="33" t="s">
        <v>371</v>
      </c>
      <c r="G373" s="34" t="s">
        <v>372</v>
      </c>
      <c r="H373" s="12" t="s">
        <v>84</v>
      </c>
      <c r="I373" s="11"/>
      <c r="J373" s="11"/>
      <c r="K373" s="11"/>
      <c r="L373" s="11"/>
      <c r="M373" s="11"/>
      <c r="N373" s="11"/>
      <c r="O373" s="11"/>
      <c r="P373" s="11"/>
      <c r="Q373" s="11"/>
      <c r="R373" s="11"/>
      <c r="S373" s="11"/>
      <c r="T373" s="11"/>
      <c r="U373" s="11"/>
      <c r="V373" s="11"/>
      <c r="W373" s="11"/>
      <c r="X373" s="11"/>
      <c r="Y373" s="11"/>
      <c r="Z373" s="11"/>
    </row>
    <row r="374" ht="79.5" customHeight="1">
      <c r="A374" s="11"/>
      <c r="B374" s="13"/>
      <c r="C374" s="32" t="s">
        <v>942</v>
      </c>
      <c r="D374" s="33" t="s">
        <v>943</v>
      </c>
      <c r="E374" s="40" t="s">
        <v>70</v>
      </c>
      <c r="F374" s="33" t="s">
        <v>375</v>
      </c>
      <c r="G374" s="34" t="s">
        <v>376</v>
      </c>
      <c r="H374" s="12" t="s">
        <v>84</v>
      </c>
      <c r="I374" s="11"/>
      <c r="J374" s="11"/>
      <c r="K374" s="11"/>
      <c r="L374" s="11"/>
      <c r="M374" s="11"/>
      <c r="N374" s="11"/>
      <c r="O374" s="11"/>
      <c r="P374" s="11"/>
      <c r="Q374" s="11"/>
      <c r="R374" s="11"/>
      <c r="S374" s="11"/>
      <c r="T374" s="11"/>
      <c r="U374" s="11"/>
      <c r="V374" s="11"/>
      <c r="W374" s="11"/>
      <c r="X374" s="11"/>
      <c r="Y374" s="11"/>
      <c r="Z374" s="11"/>
    </row>
    <row r="375" ht="95.25" customHeight="1">
      <c r="A375" s="11"/>
      <c r="B375" s="13"/>
      <c r="C375" s="32" t="s">
        <v>944</v>
      </c>
      <c r="D375" s="33" t="s">
        <v>378</v>
      </c>
      <c r="E375" s="40" t="s">
        <v>70</v>
      </c>
      <c r="F375" s="33" t="s">
        <v>379</v>
      </c>
      <c r="G375" s="34" t="s">
        <v>380</v>
      </c>
      <c r="H375" s="12" t="s">
        <v>84</v>
      </c>
      <c r="I375" s="11"/>
      <c r="J375" s="11"/>
      <c r="K375" s="11"/>
      <c r="L375" s="11"/>
      <c r="M375" s="11"/>
      <c r="N375" s="11"/>
      <c r="O375" s="11"/>
      <c r="P375" s="11"/>
      <c r="Q375" s="11"/>
      <c r="R375" s="11"/>
      <c r="S375" s="11"/>
      <c r="T375" s="11"/>
      <c r="U375" s="11"/>
      <c r="V375" s="11"/>
      <c r="W375" s="11"/>
      <c r="X375" s="11"/>
      <c r="Y375" s="11"/>
      <c r="Z375" s="11"/>
    </row>
    <row r="376" ht="63.75" customHeight="1">
      <c r="A376" s="11"/>
      <c r="B376" s="13"/>
      <c r="C376" s="32" t="s">
        <v>945</v>
      </c>
      <c r="D376" s="33" t="s">
        <v>382</v>
      </c>
      <c r="E376" s="40" t="s">
        <v>70</v>
      </c>
      <c r="F376" s="33" t="s">
        <v>383</v>
      </c>
      <c r="G376" s="34" t="s">
        <v>384</v>
      </c>
      <c r="H376" s="12" t="s">
        <v>84</v>
      </c>
      <c r="I376" s="11"/>
      <c r="J376" s="11"/>
      <c r="K376" s="11"/>
      <c r="L376" s="11"/>
      <c r="M376" s="11"/>
      <c r="N376" s="11"/>
      <c r="O376" s="11"/>
      <c r="P376" s="11"/>
      <c r="Q376" s="11"/>
      <c r="R376" s="11"/>
      <c r="S376" s="11"/>
      <c r="T376" s="11"/>
      <c r="U376" s="11"/>
      <c r="V376" s="11"/>
      <c r="W376" s="11"/>
      <c r="X376" s="11"/>
      <c r="Y376" s="11"/>
      <c r="Z376" s="11"/>
    </row>
    <row r="377" ht="111.0" customHeight="1">
      <c r="A377" s="11"/>
      <c r="B377" s="13"/>
      <c r="C377" s="32" t="s">
        <v>946</v>
      </c>
      <c r="D377" s="33" t="s">
        <v>386</v>
      </c>
      <c r="E377" s="40" t="s">
        <v>70</v>
      </c>
      <c r="F377" s="33" t="s">
        <v>387</v>
      </c>
      <c r="G377" s="34" t="s">
        <v>388</v>
      </c>
      <c r="H377" s="12" t="s">
        <v>84</v>
      </c>
      <c r="I377" s="11"/>
      <c r="J377" s="11"/>
      <c r="K377" s="11"/>
      <c r="L377" s="11"/>
      <c r="M377" s="11"/>
      <c r="N377" s="11"/>
      <c r="O377" s="11"/>
      <c r="P377" s="11"/>
      <c r="Q377" s="11"/>
      <c r="R377" s="11"/>
      <c r="S377" s="11"/>
      <c r="T377" s="11"/>
      <c r="U377" s="11"/>
      <c r="V377" s="11"/>
      <c r="W377" s="11"/>
      <c r="X377" s="11"/>
      <c r="Y377" s="11"/>
      <c r="Z377" s="11"/>
    </row>
    <row r="378" ht="142.5" customHeight="1">
      <c r="A378" s="11"/>
      <c r="B378" s="13"/>
      <c r="C378" s="32" t="s">
        <v>947</v>
      </c>
      <c r="D378" s="33" t="s">
        <v>948</v>
      </c>
      <c r="E378" s="40" t="s">
        <v>70</v>
      </c>
      <c r="F378" s="33" t="s">
        <v>391</v>
      </c>
      <c r="G378" s="34" t="s">
        <v>392</v>
      </c>
      <c r="H378" s="12" t="s">
        <v>84</v>
      </c>
      <c r="I378" s="11"/>
      <c r="J378" s="11"/>
      <c r="K378" s="11"/>
      <c r="L378" s="11"/>
      <c r="M378" s="11"/>
      <c r="N378" s="11"/>
      <c r="O378" s="11"/>
      <c r="P378" s="11"/>
      <c r="Q378" s="11"/>
      <c r="R378" s="11"/>
      <c r="S378" s="11"/>
      <c r="T378" s="11"/>
      <c r="U378" s="11"/>
      <c r="V378" s="11"/>
      <c r="W378" s="11"/>
      <c r="X378" s="11"/>
      <c r="Y378" s="11"/>
      <c r="Z378" s="11"/>
    </row>
    <row r="379" ht="95.25" customHeight="1">
      <c r="A379" s="11"/>
      <c r="B379" s="13"/>
      <c r="C379" s="27" t="s">
        <v>949</v>
      </c>
      <c r="D379" s="28" t="s">
        <v>950</v>
      </c>
      <c r="E379" s="40" t="s">
        <v>70</v>
      </c>
      <c r="F379" s="28" t="s">
        <v>951</v>
      </c>
      <c r="G379" s="30" t="s">
        <v>952</v>
      </c>
      <c r="H379" s="12" t="s">
        <v>84</v>
      </c>
      <c r="I379" s="11"/>
      <c r="J379" s="11"/>
      <c r="K379" s="11"/>
      <c r="L379" s="11"/>
      <c r="M379" s="11"/>
      <c r="N379" s="11"/>
      <c r="O379" s="11"/>
      <c r="P379" s="11"/>
      <c r="Q379" s="11"/>
      <c r="R379" s="11"/>
      <c r="S379" s="11"/>
      <c r="T379" s="11"/>
      <c r="U379" s="11"/>
      <c r="V379" s="11"/>
      <c r="W379" s="11"/>
      <c r="X379" s="11"/>
      <c r="Y379" s="11"/>
      <c r="Z379" s="11"/>
    </row>
    <row r="380" ht="79.5" customHeight="1">
      <c r="A380" s="11"/>
      <c r="B380" s="13"/>
      <c r="C380" s="32" t="s">
        <v>953</v>
      </c>
      <c r="D380" s="33" t="s">
        <v>954</v>
      </c>
      <c r="E380" s="40" t="s">
        <v>70</v>
      </c>
      <c r="F380" s="33" t="s">
        <v>955</v>
      </c>
      <c r="G380" s="34" t="s">
        <v>956</v>
      </c>
      <c r="H380" s="12" t="s">
        <v>84</v>
      </c>
      <c r="I380" s="11"/>
      <c r="J380" s="11"/>
      <c r="K380" s="11"/>
      <c r="L380" s="11"/>
      <c r="M380" s="11"/>
      <c r="N380" s="11"/>
      <c r="O380" s="11"/>
      <c r="P380" s="11"/>
      <c r="Q380" s="11"/>
      <c r="R380" s="11"/>
      <c r="S380" s="11"/>
      <c r="T380" s="11"/>
      <c r="U380" s="11"/>
      <c r="V380" s="11"/>
      <c r="W380" s="11"/>
      <c r="X380" s="11"/>
      <c r="Y380" s="11"/>
      <c r="Z380" s="11"/>
    </row>
    <row r="381" ht="126.75" customHeight="1">
      <c r="A381" s="11"/>
      <c r="B381" s="13"/>
      <c r="C381" s="32" t="s">
        <v>957</v>
      </c>
      <c r="D381" s="33" t="s">
        <v>958</v>
      </c>
      <c r="E381" s="40" t="s">
        <v>70</v>
      </c>
      <c r="F381" s="33" t="s">
        <v>959</v>
      </c>
      <c r="G381" s="34" t="s">
        <v>960</v>
      </c>
      <c r="H381" s="12" t="s">
        <v>84</v>
      </c>
      <c r="I381" s="11"/>
      <c r="J381" s="11"/>
      <c r="K381" s="11"/>
      <c r="L381" s="11"/>
      <c r="M381" s="11"/>
      <c r="N381" s="11"/>
      <c r="O381" s="11"/>
      <c r="P381" s="11"/>
      <c r="Q381" s="11"/>
      <c r="R381" s="11"/>
      <c r="S381" s="11"/>
      <c r="T381" s="11"/>
      <c r="U381" s="11"/>
      <c r="V381" s="11"/>
      <c r="W381" s="11"/>
      <c r="X381" s="11"/>
      <c r="Y381" s="11"/>
      <c r="Z381" s="11"/>
    </row>
    <row r="382" ht="111.0" customHeight="1">
      <c r="A382" s="11"/>
      <c r="B382" s="13"/>
      <c r="C382" s="32" t="s">
        <v>961</v>
      </c>
      <c r="D382" s="33" t="s">
        <v>962</v>
      </c>
      <c r="E382" s="40" t="s">
        <v>70</v>
      </c>
      <c r="F382" s="33" t="s">
        <v>963</v>
      </c>
      <c r="G382" s="34" t="s">
        <v>964</v>
      </c>
      <c r="H382" s="12" t="s">
        <v>84</v>
      </c>
      <c r="I382" s="11"/>
      <c r="J382" s="11"/>
      <c r="K382" s="11"/>
      <c r="L382" s="11"/>
      <c r="M382" s="11"/>
      <c r="N382" s="11"/>
      <c r="O382" s="11"/>
      <c r="P382" s="11"/>
      <c r="Q382" s="11"/>
      <c r="R382" s="11"/>
      <c r="S382" s="11"/>
      <c r="T382" s="11"/>
      <c r="U382" s="11"/>
      <c r="V382" s="11"/>
      <c r="W382" s="11"/>
      <c r="X382" s="11"/>
      <c r="Y382" s="11"/>
      <c r="Z382" s="11"/>
    </row>
    <row r="383" ht="95.25" customHeight="1">
      <c r="A383" s="11"/>
      <c r="B383" s="13"/>
      <c r="C383" s="32" t="s">
        <v>965</v>
      </c>
      <c r="D383" s="33" t="s">
        <v>410</v>
      </c>
      <c r="E383" s="40" t="s">
        <v>70</v>
      </c>
      <c r="F383" s="33" t="s">
        <v>966</v>
      </c>
      <c r="G383" s="34" t="s">
        <v>967</v>
      </c>
      <c r="H383" s="12" t="s">
        <v>84</v>
      </c>
      <c r="I383" s="11"/>
      <c r="J383" s="11"/>
      <c r="K383" s="11"/>
      <c r="L383" s="11"/>
      <c r="M383" s="11"/>
      <c r="N383" s="11"/>
      <c r="O383" s="11"/>
      <c r="P383" s="11"/>
      <c r="Q383" s="11"/>
      <c r="R383" s="11"/>
      <c r="S383" s="11"/>
      <c r="T383" s="11"/>
      <c r="U383" s="11"/>
      <c r="V383" s="11"/>
      <c r="W383" s="11"/>
      <c r="X383" s="11"/>
      <c r="Y383" s="11"/>
      <c r="Z383" s="11"/>
    </row>
    <row r="384" ht="189.75" customHeight="1">
      <c r="A384" s="11"/>
      <c r="B384" s="13"/>
      <c r="C384" s="32" t="s">
        <v>968</v>
      </c>
      <c r="D384" s="33" t="s">
        <v>969</v>
      </c>
      <c r="E384" s="40" t="s">
        <v>70</v>
      </c>
      <c r="F384" s="33" t="s">
        <v>970</v>
      </c>
      <c r="G384" s="34" t="s">
        <v>971</v>
      </c>
      <c r="H384" s="12" t="s">
        <v>84</v>
      </c>
      <c r="I384" s="11"/>
      <c r="J384" s="11"/>
      <c r="K384" s="11"/>
      <c r="L384" s="11"/>
      <c r="M384" s="11"/>
      <c r="N384" s="11"/>
      <c r="O384" s="11"/>
      <c r="P384" s="11"/>
      <c r="Q384" s="11"/>
      <c r="R384" s="11"/>
      <c r="S384" s="11"/>
      <c r="T384" s="11"/>
      <c r="U384" s="11"/>
      <c r="V384" s="11"/>
      <c r="W384" s="11"/>
      <c r="X384" s="11"/>
      <c r="Y384" s="11"/>
      <c r="Z384" s="11"/>
    </row>
    <row r="385" ht="142.5" customHeight="1">
      <c r="A385" s="11"/>
      <c r="B385" s="13"/>
      <c r="C385" s="32" t="s">
        <v>972</v>
      </c>
      <c r="D385" s="33" t="s">
        <v>803</v>
      </c>
      <c r="E385" s="40" t="s">
        <v>70</v>
      </c>
      <c r="F385" s="33" t="s">
        <v>973</v>
      </c>
      <c r="G385" s="34" t="s">
        <v>974</v>
      </c>
      <c r="H385" s="12" t="s">
        <v>84</v>
      </c>
      <c r="I385" s="11"/>
      <c r="J385" s="11"/>
      <c r="K385" s="11"/>
      <c r="L385" s="11"/>
      <c r="M385" s="11"/>
      <c r="N385" s="11"/>
      <c r="O385" s="11"/>
      <c r="P385" s="11"/>
      <c r="Q385" s="11"/>
      <c r="R385" s="11"/>
      <c r="S385" s="11"/>
      <c r="T385" s="11"/>
      <c r="U385" s="11"/>
      <c r="V385" s="11"/>
      <c r="W385" s="11"/>
      <c r="X385" s="11"/>
      <c r="Y385" s="11"/>
      <c r="Z385" s="11"/>
    </row>
    <row r="386" ht="95.25" customHeight="1">
      <c r="A386" s="11"/>
      <c r="B386" s="13"/>
      <c r="C386" s="32" t="s">
        <v>975</v>
      </c>
      <c r="D386" s="33" t="s">
        <v>892</v>
      </c>
      <c r="E386" s="40" t="s">
        <v>70</v>
      </c>
      <c r="F386" s="33" t="s">
        <v>976</v>
      </c>
      <c r="G386" s="34" t="s">
        <v>977</v>
      </c>
      <c r="H386" s="12" t="s">
        <v>84</v>
      </c>
      <c r="I386" s="11"/>
      <c r="J386" s="11"/>
      <c r="K386" s="11"/>
      <c r="L386" s="11"/>
      <c r="M386" s="11"/>
      <c r="N386" s="11"/>
      <c r="O386" s="11"/>
      <c r="P386" s="11"/>
      <c r="Q386" s="11"/>
      <c r="R386" s="11"/>
      <c r="S386" s="11"/>
      <c r="T386" s="11"/>
      <c r="U386" s="11"/>
      <c r="V386" s="11"/>
      <c r="W386" s="11"/>
      <c r="X386" s="11"/>
      <c r="Y386" s="11"/>
      <c r="Z386" s="11"/>
    </row>
    <row r="387" ht="126.75" customHeight="1">
      <c r="A387" s="11"/>
      <c r="B387" s="13"/>
      <c r="C387" s="32" t="s">
        <v>978</v>
      </c>
      <c r="D387" s="33" t="s">
        <v>557</v>
      </c>
      <c r="E387" s="40" t="s">
        <v>70</v>
      </c>
      <c r="F387" s="33" t="s">
        <v>979</v>
      </c>
      <c r="G387" s="34" t="s">
        <v>980</v>
      </c>
      <c r="H387" s="12" t="s">
        <v>84</v>
      </c>
      <c r="I387" s="11"/>
      <c r="J387" s="11"/>
      <c r="K387" s="11"/>
      <c r="L387" s="11"/>
      <c r="M387" s="11"/>
      <c r="N387" s="11"/>
      <c r="O387" s="11"/>
      <c r="P387" s="11"/>
      <c r="Q387" s="11"/>
      <c r="R387" s="11"/>
      <c r="S387" s="11"/>
      <c r="T387" s="11"/>
      <c r="U387" s="11"/>
      <c r="V387" s="11"/>
      <c r="W387" s="11"/>
      <c r="X387" s="11"/>
      <c r="Y387" s="11"/>
      <c r="Z387" s="11"/>
    </row>
    <row r="388" ht="111.0" customHeight="1">
      <c r="A388" s="11"/>
      <c r="B388" s="13"/>
      <c r="C388" s="32" t="s">
        <v>981</v>
      </c>
      <c r="D388" s="33" t="s">
        <v>120</v>
      </c>
      <c r="E388" s="40" t="s">
        <v>70</v>
      </c>
      <c r="F388" s="33" t="s">
        <v>982</v>
      </c>
      <c r="G388" s="34" t="s">
        <v>983</v>
      </c>
      <c r="H388" s="12" t="s">
        <v>84</v>
      </c>
      <c r="I388" s="11"/>
      <c r="J388" s="11"/>
      <c r="K388" s="11"/>
      <c r="L388" s="11"/>
      <c r="M388" s="11"/>
      <c r="N388" s="11"/>
      <c r="O388" s="11"/>
      <c r="P388" s="11"/>
      <c r="Q388" s="11"/>
      <c r="R388" s="11"/>
      <c r="S388" s="11"/>
      <c r="T388" s="11"/>
      <c r="U388" s="11"/>
      <c r="V388" s="11"/>
      <c r="W388" s="11"/>
      <c r="X388" s="11"/>
      <c r="Y388" s="11"/>
      <c r="Z388" s="11"/>
    </row>
    <row r="389" ht="111.0" customHeight="1">
      <c r="A389" s="11"/>
      <c r="B389" s="13"/>
      <c r="C389" s="32" t="s">
        <v>984</v>
      </c>
      <c r="D389" s="33" t="s">
        <v>424</v>
      </c>
      <c r="E389" s="40" t="s">
        <v>70</v>
      </c>
      <c r="F389" s="33" t="s">
        <v>985</v>
      </c>
      <c r="G389" s="34" t="s">
        <v>986</v>
      </c>
      <c r="H389" s="12" t="s">
        <v>84</v>
      </c>
      <c r="I389" s="11"/>
      <c r="J389" s="11"/>
      <c r="K389" s="11"/>
      <c r="L389" s="11"/>
      <c r="M389" s="11"/>
      <c r="N389" s="11"/>
      <c r="O389" s="11"/>
      <c r="P389" s="11"/>
      <c r="Q389" s="11"/>
      <c r="R389" s="11"/>
      <c r="S389" s="11"/>
      <c r="T389" s="11"/>
      <c r="U389" s="11"/>
      <c r="V389" s="11"/>
      <c r="W389" s="11"/>
      <c r="X389" s="11"/>
      <c r="Y389" s="11"/>
      <c r="Z389" s="11"/>
    </row>
    <row r="390" ht="79.5" customHeight="1">
      <c r="A390" s="11"/>
      <c r="B390" s="13"/>
      <c r="C390" s="32" t="s">
        <v>987</v>
      </c>
      <c r="D390" s="33" t="s">
        <v>128</v>
      </c>
      <c r="E390" s="40" t="s">
        <v>70</v>
      </c>
      <c r="F390" s="33" t="s">
        <v>988</v>
      </c>
      <c r="G390" s="34" t="s">
        <v>989</v>
      </c>
      <c r="H390" s="12" t="s">
        <v>84</v>
      </c>
      <c r="I390" s="11"/>
      <c r="J390" s="11"/>
      <c r="K390" s="11"/>
      <c r="L390" s="11"/>
      <c r="M390" s="11"/>
      <c r="N390" s="11"/>
      <c r="O390" s="11"/>
      <c r="P390" s="11"/>
      <c r="Q390" s="11"/>
      <c r="R390" s="11"/>
      <c r="S390" s="11"/>
      <c r="T390" s="11"/>
      <c r="U390" s="11"/>
      <c r="V390" s="11"/>
      <c r="W390" s="11"/>
      <c r="X390" s="11"/>
      <c r="Y390" s="11"/>
      <c r="Z390" s="11"/>
    </row>
    <row r="391" ht="126.75" customHeight="1">
      <c r="A391" s="11"/>
      <c r="B391" s="13"/>
      <c r="C391" s="32" t="s">
        <v>990</v>
      </c>
      <c r="D391" s="33" t="s">
        <v>898</v>
      </c>
      <c r="E391" s="40" t="s">
        <v>70</v>
      </c>
      <c r="F391" s="33" t="s">
        <v>991</v>
      </c>
      <c r="G391" s="34" t="s">
        <v>992</v>
      </c>
      <c r="H391" s="12" t="s">
        <v>84</v>
      </c>
      <c r="I391" s="11"/>
      <c r="J391" s="11"/>
      <c r="K391" s="11"/>
      <c r="L391" s="11"/>
      <c r="M391" s="11"/>
      <c r="N391" s="11"/>
      <c r="O391" s="11"/>
      <c r="P391" s="11"/>
      <c r="Q391" s="11"/>
      <c r="R391" s="11"/>
      <c r="S391" s="11"/>
      <c r="T391" s="11"/>
      <c r="U391" s="11"/>
      <c r="V391" s="11"/>
      <c r="W391" s="11"/>
      <c r="X391" s="11"/>
      <c r="Y391" s="11"/>
      <c r="Z391" s="11"/>
    </row>
    <row r="392" ht="205.5" customHeight="1">
      <c r="A392" s="11"/>
      <c r="B392" s="13"/>
      <c r="C392" s="32" t="s">
        <v>993</v>
      </c>
      <c r="D392" s="33" t="s">
        <v>994</v>
      </c>
      <c r="E392" s="40" t="s">
        <v>70</v>
      </c>
      <c r="F392" s="33" t="s">
        <v>995</v>
      </c>
      <c r="G392" s="34" t="s">
        <v>996</v>
      </c>
      <c r="H392" s="12" t="s">
        <v>84</v>
      </c>
      <c r="I392" s="11"/>
      <c r="J392" s="11"/>
      <c r="K392" s="11"/>
      <c r="L392" s="11"/>
      <c r="M392" s="11"/>
      <c r="N392" s="11"/>
      <c r="O392" s="11"/>
      <c r="P392" s="11"/>
      <c r="Q392" s="11"/>
      <c r="R392" s="11"/>
      <c r="S392" s="11"/>
      <c r="T392" s="11"/>
      <c r="U392" s="11"/>
      <c r="V392" s="11"/>
      <c r="W392" s="11"/>
      <c r="X392" s="11"/>
      <c r="Y392" s="11"/>
      <c r="Z392" s="11"/>
    </row>
    <row r="393" ht="142.5" customHeight="1">
      <c r="A393" s="11"/>
      <c r="B393" s="13"/>
      <c r="C393" s="32" t="s">
        <v>997</v>
      </c>
      <c r="D393" s="33" t="s">
        <v>998</v>
      </c>
      <c r="E393" s="40" t="s">
        <v>70</v>
      </c>
      <c r="F393" s="33" t="s">
        <v>999</v>
      </c>
      <c r="G393" s="34" t="s">
        <v>1000</v>
      </c>
      <c r="H393" s="12" t="s">
        <v>84</v>
      </c>
      <c r="I393" s="11"/>
      <c r="J393" s="11"/>
      <c r="K393" s="11"/>
      <c r="L393" s="11"/>
      <c r="M393" s="11"/>
      <c r="N393" s="11"/>
      <c r="O393" s="11"/>
      <c r="P393" s="11"/>
      <c r="Q393" s="11"/>
      <c r="R393" s="11"/>
      <c r="S393" s="11"/>
      <c r="T393" s="11"/>
      <c r="U393" s="11"/>
      <c r="V393" s="11"/>
      <c r="W393" s="11"/>
      <c r="X393" s="11"/>
      <c r="Y393" s="11"/>
      <c r="Z393" s="11"/>
    </row>
    <row r="394" ht="189.75" customHeight="1">
      <c r="A394" s="11"/>
      <c r="B394" s="13"/>
      <c r="C394" s="32" t="s">
        <v>1001</v>
      </c>
      <c r="D394" s="33" t="s">
        <v>1002</v>
      </c>
      <c r="E394" s="40" t="s">
        <v>70</v>
      </c>
      <c r="F394" s="33" t="s">
        <v>1003</v>
      </c>
      <c r="G394" s="34" t="s">
        <v>1004</v>
      </c>
      <c r="H394" s="12" t="s">
        <v>84</v>
      </c>
      <c r="I394" s="11"/>
      <c r="J394" s="11"/>
      <c r="K394" s="11"/>
      <c r="L394" s="11"/>
      <c r="M394" s="11"/>
      <c r="N394" s="11"/>
      <c r="O394" s="11"/>
      <c r="P394" s="11"/>
      <c r="Q394" s="11"/>
      <c r="R394" s="11"/>
      <c r="S394" s="11"/>
      <c r="T394" s="11"/>
      <c r="U394" s="11"/>
      <c r="V394" s="11"/>
      <c r="W394" s="11"/>
      <c r="X394" s="11"/>
      <c r="Y394" s="11"/>
      <c r="Z394" s="11"/>
    </row>
    <row r="395" ht="189.75" customHeight="1">
      <c r="A395" s="11"/>
      <c r="B395" s="13"/>
      <c r="C395" s="32" t="s">
        <v>1005</v>
      </c>
      <c r="D395" s="33" t="s">
        <v>1006</v>
      </c>
      <c r="E395" s="40" t="s">
        <v>70</v>
      </c>
      <c r="F395" s="33" t="s">
        <v>1007</v>
      </c>
      <c r="G395" s="34" t="s">
        <v>1008</v>
      </c>
      <c r="H395" s="12" t="s">
        <v>84</v>
      </c>
      <c r="I395" s="11"/>
      <c r="J395" s="11"/>
      <c r="K395" s="11"/>
      <c r="L395" s="11"/>
      <c r="M395" s="11"/>
      <c r="N395" s="11"/>
      <c r="O395" s="11"/>
      <c r="P395" s="11"/>
      <c r="Q395" s="11"/>
      <c r="R395" s="11"/>
      <c r="S395" s="11"/>
      <c r="T395" s="11"/>
      <c r="U395" s="11"/>
      <c r="V395" s="11"/>
      <c r="W395" s="11"/>
      <c r="X395" s="11"/>
      <c r="Y395" s="11"/>
      <c r="Z395" s="11"/>
    </row>
    <row r="396" ht="158.25" customHeight="1">
      <c r="A396" s="11"/>
      <c r="B396" s="13"/>
      <c r="C396" s="32" t="s">
        <v>1009</v>
      </c>
      <c r="D396" s="33" t="s">
        <v>1010</v>
      </c>
      <c r="E396" s="40" t="s">
        <v>70</v>
      </c>
      <c r="F396" s="33" t="s">
        <v>1011</v>
      </c>
      <c r="G396" s="34" t="s">
        <v>1012</v>
      </c>
      <c r="H396" s="12" t="s">
        <v>84</v>
      </c>
      <c r="I396" s="11"/>
      <c r="J396" s="11"/>
      <c r="K396" s="11"/>
      <c r="L396" s="11"/>
      <c r="M396" s="11"/>
      <c r="N396" s="11"/>
      <c r="O396" s="11"/>
      <c r="P396" s="11"/>
      <c r="Q396" s="11"/>
      <c r="R396" s="11"/>
      <c r="S396" s="11"/>
      <c r="T396" s="11"/>
      <c r="U396" s="11"/>
      <c r="V396" s="11"/>
      <c r="W396" s="11"/>
      <c r="X396" s="11"/>
      <c r="Y396" s="11"/>
      <c r="Z396" s="11"/>
    </row>
    <row r="397" ht="189.75" customHeight="1">
      <c r="A397" s="11"/>
      <c r="B397" s="13"/>
      <c r="C397" s="32" t="s">
        <v>1013</v>
      </c>
      <c r="D397" s="33" t="s">
        <v>449</v>
      </c>
      <c r="E397" s="40" t="s">
        <v>70</v>
      </c>
      <c r="F397" s="33" t="s">
        <v>1014</v>
      </c>
      <c r="G397" s="34" t="s">
        <v>1015</v>
      </c>
      <c r="H397" s="12" t="s">
        <v>84</v>
      </c>
      <c r="I397" s="11"/>
      <c r="J397" s="11"/>
      <c r="K397" s="11"/>
      <c r="L397" s="11"/>
      <c r="M397" s="11"/>
      <c r="N397" s="11"/>
      <c r="O397" s="11"/>
      <c r="P397" s="11"/>
      <c r="Q397" s="11"/>
      <c r="R397" s="11"/>
      <c r="S397" s="11"/>
      <c r="T397" s="11"/>
      <c r="U397" s="11"/>
      <c r="V397" s="11"/>
      <c r="W397" s="11"/>
      <c r="X397" s="11"/>
      <c r="Y397" s="11"/>
      <c r="Z397" s="11"/>
    </row>
    <row r="398" ht="237.0" customHeight="1">
      <c r="A398" s="11"/>
      <c r="B398" s="13"/>
      <c r="C398" s="32" t="s">
        <v>1016</v>
      </c>
      <c r="D398" s="33" t="s">
        <v>1017</v>
      </c>
      <c r="E398" s="40" t="s">
        <v>70</v>
      </c>
      <c r="F398" s="33" t="s">
        <v>1018</v>
      </c>
      <c r="G398" s="34" t="s">
        <v>1019</v>
      </c>
      <c r="H398" s="12" t="s">
        <v>84</v>
      </c>
      <c r="I398" s="11"/>
      <c r="J398" s="11"/>
      <c r="K398" s="11"/>
      <c r="L398" s="11"/>
      <c r="M398" s="11"/>
      <c r="N398" s="11"/>
      <c r="O398" s="11"/>
      <c r="P398" s="11"/>
      <c r="Q398" s="11"/>
      <c r="R398" s="11"/>
      <c r="S398" s="11"/>
      <c r="T398" s="11"/>
      <c r="U398" s="11"/>
      <c r="V398" s="11"/>
      <c r="W398" s="11"/>
      <c r="X398" s="11"/>
      <c r="Y398" s="11"/>
      <c r="Z398" s="11"/>
    </row>
    <row r="399" ht="95.25" customHeight="1">
      <c r="A399" s="11"/>
      <c r="B399" s="13"/>
      <c r="C399" s="32" t="s">
        <v>1020</v>
      </c>
      <c r="D399" s="33" t="s">
        <v>611</v>
      </c>
      <c r="E399" s="40" t="s">
        <v>70</v>
      </c>
      <c r="F399" s="33" t="s">
        <v>1021</v>
      </c>
      <c r="G399" s="34" t="s">
        <v>1022</v>
      </c>
      <c r="H399" s="12" t="s">
        <v>84</v>
      </c>
      <c r="I399" s="11"/>
      <c r="J399" s="11"/>
      <c r="K399" s="11"/>
      <c r="L399" s="11"/>
      <c r="M399" s="11"/>
      <c r="N399" s="11"/>
      <c r="O399" s="11"/>
      <c r="P399" s="11"/>
      <c r="Q399" s="11"/>
      <c r="R399" s="11"/>
      <c r="S399" s="11"/>
      <c r="T399" s="11"/>
      <c r="U399" s="11"/>
      <c r="V399" s="11"/>
      <c r="W399" s="11"/>
      <c r="X399" s="11"/>
      <c r="Y399" s="11"/>
      <c r="Z399" s="11"/>
    </row>
    <row r="400" ht="158.25" customHeight="1">
      <c r="A400" s="11"/>
      <c r="B400" s="13"/>
      <c r="C400" s="32" t="s">
        <v>1023</v>
      </c>
      <c r="D400" s="33" t="s">
        <v>725</v>
      </c>
      <c r="E400" s="40" t="s">
        <v>70</v>
      </c>
      <c r="F400" s="33" t="s">
        <v>1024</v>
      </c>
      <c r="G400" s="34" t="s">
        <v>1025</v>
      </c>
      <c r="H400" s="12" t="s">
        <v>84</v>
      </c>
      <c r="I400" s="11"/>
      <c r="J400" s="11"/>
      <c r="K400" s="11"/>
      <c r="L400" s="11"/>
      <c r="M400" s="11"/>
      <c r="N400" s="11"/>
      <c r="O400" s="11"/>
      <c r="P400" s="11"/>
      <c r="Q400" s="11"/>
      <c r="R400" s="11"/>
      <c r="S400" s="11"/>
      <c r="T400" s="11"/>
      <c r="U400" s="11"/>
      <c r="V400" s="11"/>
      <c r="W400" s="11"/>
      <c r="X400" s="11"/>
      <c r="Y400" s="11"/>
      <c r="Z400" s="11"/>
    </row>
    <row r="401" ht="143.25" customHeight="1">
      <c r="A401" s="11"/>
      <c r="B401" s="13"/>
      <c r="C401" s="32" t="s">
        <v>1026</v>
      </c>
      <c r="D401" s="33" t="s">
        <v>1027</v>
      </c>
      <c r="E401" s="40" t="s">
        <v>70</v>
      </c>
      <c r="F401" s="33" t="s">
        <v>1028</v>
      </c>
      <c r="G401" s="34" t="s">
        <v>1029</v>
      </c>
      <c r="H401" s="12" t="s">
        <v>84</v>
      </c>
      <c r="I401" s="11"/>
      <c r="J401" s="11"/>
      <c r="K401" s="11"/>
      <c r="L401" s="11"/>
      <c r="M401" s="11"/>
      <c r="N401" s="11"/>
      <c r="O401" s="11"/>
      <c r="P401" s="11"/>
      <c r="Q401" s="11"/>
      <c r="R401" s="11"/>
      <c r="S401" s="11"/>
      <c r="T401" s="11"/>
      <c r="U401" s="11"/>
      <c r="V401" s="11"/>
      <c r="W401" s="11"/>
      <c r="X401" s="11"/>
      <c r="Y401" s="11"/>
      <c r="Z401" s="11"/>
    </row>
    <row r="402" ht="111.0" customHeight="1">
      <c r="A402" s="11"/>
      <c r="B402" s="13"/>
      <c r="C402" s="32" t="s">
        <v>1030</v>
      </c>
      <c r="D402" s="33" t="s">
        <v>1031</v>
      </c>
      <c r="E402" s="40" t="s">
        <v>70</v>
      </c>
      <c r="F402" s="33" t="s">
        <v>1032</v>
      </c>
      <c r="G402" s="34" t="s">
        <v>1033</v>
      </c>
      <c r="H402" s="12" t="s">
        <v>84</v>
      </c>
      <c r="I402" s="11"/>
      <c r="J402" s="11"/>
      <c r="K402" s="11"/>
      <c r="L402" s="11"/>
      <c r="M402" s="11"/>
      <c r="N402" s="11"/>
      <c r="O402" s="11"/>
      <c r="P402" s="11"/>
      <c r="Q402" s="11"/>
      <c r="R402" s="11"/>
      <c r="S402" s="11"/>
      <c r="T402" s="11"/>
      <c r="U402" s="11"/>
      <c r="V402" s="11"/>
      <c r="W402" s="11"/>
      <c r="X402" s="11"/>
      <c r="Y402" s="11"/>
      <c r="Z402" s="11"/>
    </row>
    <row r="403" ht="63.75" customHeight="1">
      <c r="A403" s="11"/>
      <c r="B403" s="13"/>
      <c r="C403" s="32" t="s">
        <v>1034</v>
      </c>
      <c r="D403" s="33" t="s">
        <v>1035</v>
      </c>
      <c r="E403" s="40" t="s">
        <v>70</v>
      </c>
      <c r="F403" s="33" t="s">
        <v>1036</v>
      </c>
      <c r="G403" s="34" t="s">
        <v>1037</v>
      </c>
      <c r="H403" s="12" t="s">
        <v>84</v>
      </c>
      <c r="I403" s="11"/>
      <c r="J403" s="11"/>
      <c r="K403" s="11"/>
      <c r="L403" s="11"/>
      <c r="M403" s="11"/>
      <c r="N403" s="11"/>
      <c r="O403" s="11"/>
      <c r="P403" s="11"/>
      <c r="Q403" s="11"/>
      <c r="R403" s="11"/>
      <c r="S403" s="11"/>
      <c r="T403" s="11"/>
      <c r="U403" s="11"/>
      <c r="V403" s="11"/>
      <c r="W403" s="11"/>
      <c r="X403" s="11"/>
      <c r="Y403" s="11"/>
      <c r="Z403" s="11"/>
    </row>
    <row r="404" ht="142.5" customHeight="1">
      <c r="A404" s="11"/>
      <c r="B404" s="13"/>
      <c r="C404" s="32" t="s">
        <v>1038</v>
      </c>
      <c r="D404" s="33" t="s">
        <v>1039</v>
      </c>
      <c r="E404" s="40" t="s">
        <v>70</v>
      </c>
      <c r="F404" s="33" t="s">
        <v>1040</v>
      </c>
      <c r="G404" s="34" t="s">
        <v>1041</v>
      </c>
      <c r="H404" s="12" t="s">
        <v>84</v>
      </c>
      <c r="I404" s="11"/>
      <c r="J404" s="11"/>
      <c r="K404" s="11"/>
      <c r="L404" s="11"/>
      <c r="M404" s="11"/>
      <c r="N404" s="11"/>
      <c r="O404" s="11"/>
      <c r="P404" s="11"/>
      <c r="Q404" s="11"/>
      <c r="R404" s="11"/>
      <c r="S404" s="11"/>
      <c r="T404" s="11"/>
      <c r="U404" s="11"/>
      <c r="V404" s="11"/>
      <c r="W404" s="11"/>
      <c r="X404" s="11"/>
      <c r="Y404" s="11"/>
      <c r="Z404" s="11"/>
    </row>
    <row r="405" ht="111.0" customHeight="1">
      <c r="A405" s="11"/>
      <c r="B405" s="13"/>
      <c r="C405" s="32" t="s">
        <v>1042</v>
      </c>
      <c r="D405" s="33" t="s">
        <v>468</v>
      </c>
      <c r="E405" s="40" t="s">
        <v>70</v>
      </c>
      <c r="F405" s="33" t="s">
        <v>1043</v>
      </c>
      <c r="G405" s="34" t="s">
        <v>1044</v>
      </c>
      <c r="H405" s="12" t="s">
        <v>84</v>
      </c>
      <c r="I405" s="11"/>
      <c r="J405" s="11"/>
      <c r="K405" s="11"/>
      <c r="L405" s="11"/>
      <c r="M405" s="11"/>
      <c r="N405" s="11"/>
      <c r="O405" s="11"/>
      <c r="P405" s="11"/>
      <c r="Q405" s="11"/>
      <c r="R405" s="11"/>
      <c r="S405" s="11"/>
      <c r="T405" s="11"/>
      <c r="U405" s="11"/>
      <c r="V405" s="11"/>
      <c r="W405" s="11"/>
      <c r="X405" s="11"/>
      <c r="Y405" s="11"/>
      <c r="Z405" s="11"/>
    </row>
    <row r="406" ht="95.25" customHeight="1">
      <c r="A406" s="11"/>
      <c r="B406" s="13"/>
      <c r="C406" s="32" t="s">
        <v>1045</v>
      </c>
      <c r="D406" s="33" t="s">
        <v>250</v>
      </c>
      <c r="E406" s="40" t="s">
        <v>70</v>
      </c>
      <c r="F406" s="33" t="s">
        <v>1046</v>
      </c>
      <c r="G406" s="34" t="s">
        <v>1047</v>
      </c>
      <c r="H406" s="12" t="s">
        <v>84</v>
      </c>
      <c r="I406" s="11"/>
      <c r="J406" s="11"/>
      <c r="K406" s="11"/>
      <c r="L406" s="11"/>
      <c r="M406" s="11"/>
      <c r="N406" s="11"/>
      <c r="O406" s="11"/>
      <c r="P406" s="11"/>
      <c r="Q406" s="11"/>
      <c r="R406" s="11"/>
      <c r="S406" s="11"/>
      <c r="T406" s="11"/>
      <c r="U406" s="11"/>
      <c r="V406" s="11"/>
      <c r="W406" s="11"/>
      <c r="X406" s="11"/>
      <c r="Y406" s="11"/>
      <c r="Z406" s="11"/>
    </row>
    <row r="407" ht="126.75" customHeight="1">
      <c r="A407" s="11"/>
      <c r="B407" s="13"/>
      <c r="C407" s="32" t="s">
        <v>1048</v>
      </c>
      <c r="D407" s="33" t="s">
        <v>254</v>
      </c>
      <c r="E407" s="40" t="s">
        <v>70</v>
      </c>
      <c r="F407" s="33" t="s">
        <v>1049</v>
      </c>
      <c r="G407" s="34" t="s">
        <v>1050</v>
      </c>
      <c r="H407" s="12" t="s">
        <v>84</v>
      </c>
      <c r="I407" s="11"/>
      <c r="J407" s="11"/>
      <c r="K407" s="11"/>
      <c r="L407" s="11"/>
      <c r="M407" s="11"/>
      <c r="N407" s="11"/>
      <c r="O407" s="11"/>
      <c r="P407" s="11"/>
      <c r="Q407" s="11"/>
      <c r="R407" s="11"/>
      <c r="S407" s="11"/>
      <c r="T407" s="11"/>
      <c r="U407" s="11"/>
      <c r="V407" s="11"/>
      <c r="W407" s="11"/>
      <c r="X407" s="11"/>
      <c r="Y407" s="11"/>
      <c r="Z407" s="11"/>
    </row>
    <row r="408" ht="111.0" customHeight="1">
      <c r="A408" s="11"/>
      <c r="B408" s="13"/>
      <c r="C408" s="32" t="s">
        <v>1051</v>
      </c>
      <c r="D408" s="33" t="s">
        <v>913</v>
      </c>
      <c r="E408" s="40" t="s">
        <v>70</v>
      </c>
      <c r="F408" s="33" t="s">
        <v>1052</v>
      </c>
      <c r="G408" s="34" t="s">
        <v>1053</v>
      </c>
      <c r="H408" s="12" t="s">
        <v>84</v>
      </c>
      <c r="I408" s="11"/>
      <c r="J408" s="11"/>
      <c r="K408" s="11"/>
      <c r="L408" s="11"/>
      <c r="M408" s="11"/>
      <c r="N408" s="11"/>
      <c r="O408" s="11"/>
      <c r="P408" s="11"/>
      <c r="Q408" s="11"/>
      <c r="R408" s="11"/>
      <c r="S408" s="11"/>
      <c r="T408" s="11"/>
      <c r="U408" s="11"/>
      <c r="V408" s="11"/>
      <c r="W408" s="11"/>
      <c r="X408" s="11"/>
      <c r="Y408" s="11"/>
      <c r="Z408" s="11"/>
    </row>
    <row r="409" ht="126.75" customHeight="1">
      <c r="A409" s="11"/>
      <c r="B409" s="13"/>
      <c r="C409" s="32" t="s">
        <v>1054</v>
      </c>
      <c r="D409" s="33" t="s">
        <v>262</v>
      </c>
      <c r="E409" s="40" t="s">
        <v>70</v>
      </c>
      <c r="F409" s="33" t="s">
        <v>1055</v>
      </c>
      <c r="G409" s="34" t="s">
        <v>1056</v>
      </c>
      <c r="H409" s="12" t="s">
        <v>84</v>
      </c>
      <c r="I409" s="11"/>
      <c r="J409" s="11"/>
      <c r="K409" s="11"/>
      <c r="L409" s="11"/>
      <c r="M409" s="11"/>
      <c r="N409" s="11"/>
      <c r="O409" s="11"/>
      <c r="P409" s="11"/>
      <c r="Q409" s="11"/>
      <c r="R409" s="11"/>
      <c r="S409" s="11"/>
      <c r="T409" s="11"/>
      <c r="U409" s="11"/>
      <c r="V409" s="11"/>
      <c r="W409" s="11"/>
      <c r="X409" s="11"/>
      <c r="Y409" s="11"/>
      <c r="Z409" s="11"/>
    </row>
    <row r="410" ht="126.75" customHeight="1">
      <c r="A410" s="11"/>
      <c r="B410" s="13"/>
      <c r="C410" s="32" t="s">
        <v>1057</v>
      </c>
      <c r="D410" s="33" t="s">
        <v>266</v>
      </c>
      <c r="E410" s="40" t="s">
        <v>70</v>
      </c>
      <c r="F410" s="33" t="s">
        <v>1058</v>
      </c>
      <c r="G410" s="34" t="s">
        <v>1059</v>
      </c>
      <c r="H410" s="12" t="s">
        <v>84</v>
      </c>
      <c r="I410" s="11"/>
      <c r="J410" s="11"/>
      <c r="K410" s="11"/>
      <c r="L410" s="11"/>
      <c r="M410" s="11"/>
      <c r="N410" s="11"/>
      <c r="O410" s="11"/>
      <c r="P410" s="11"/>
      <c r="Q410" s="11"/>
      <c r="R410" s="11"/>
      <c r="S410" s="11"/>
      <c r="T410" s="11"/>
      <c r="U410" s="11"/>
      <c r="V410" s="11"/>
      <c r="W410" s="11"/>
      <c r="X410" s="11"/>
      <c r="Y410" s="11"/>
      <c r="Z410" s="11"/>
    </row>
    <row r="411" ht="111.0" customHeight="1">
      <c r="A411" s="11"/>
      <c r="B411" s="13"/>
      <c r="C411" s="32" t="s">
        <v>1060</v>
      </c>
      <c r="D411" s="33" t="s">
        <v>270</v>
      </c>
      <c r="E411" s="40" t="s">
        <v>70</v>
      </c>
      <c r="F411" s="33" t="s">
        <v>1061</v>
      </c>
      <c r="G411" s="34" t="s">
        <v>1062</v>
      </c>
      <c r="H411" s="12" t="s">
        <v>84</v>
      </c>
      <c r="I411" s="11"/>
      <c r="J411" s="11"/>
      <c r="K411" s="11"/>
      <c r="L411" s="11"/>
      <c r="M411" s="11"/>
      <c r="N411" s="11"/>
      <c r="O411" s="11"/>
      <c r="P411" s="11"/>
      <c r="Q411" s="11"/>
      <c r="R411" s="11"/>
      <c r="S411" s="11"/>
      <c r="T411" s="11"/>
      <c r="U411" s="11"/>
      <c r="V411" s="11"/>
      <c r="W411" s="11"/>
      <c r="X411" s="11"/>
      <c r="Y411" s="11"/>
      <c r="Z411" s="11"/>
    </row>
    <row r="412" ht="111.0" customHeight="1">
      <c r="A412" s="11"/>
      <c r="B412" s="13"/>
      <c r="C412" s="32" t="s">
        <v>1063</v>
      </c>
      <c r="D412" s="33" t="s">
        <v>274</v>
      </c>
      <c r="E412" s="40" t="s">
        <v>70</v>
      </c>
      <c r="F412" s="33" t="s">
        <v>1064</v>
      </c>
      <c r="G412" s="34" t="s">
        <v>1065</v>
      </c>
      <c r="H412" s="12" t="s">
        <v>84</v>
      </c>
      <c r="I412" s="11"/>
      <c r="J412" s="11"/>
      <c r="K412" s="11"/>
      <c r="L412" s="11"/>
      <c r="M412" s="11"/>
      <c r="N412" s="11"/>
      <c r="O412" s="11"/>
      <c r="P412" s="11"/>
      <c r="Q412" s="11"/>
      <c r="R412" s="11"/>
      <c r="S412" s="11"/>
      <c r="T412" s="11"/>
      <c r="U412" s="11"/>
      <c r="V412" s="11"/>
      <c r="W412" s="11"/>
      <c r="X412" s="11"/>
      <c r="Y412" s="11"/>
      <c r="Z412" s="11"/>
    </row>
    <row r="413" ht="111.0" customHeight="1">
      <c r="A413" s="11"/>
      <c r="B413" s="13"/>
      <c r="C413" s="32" t="s">
        <v>1066</v>
      </c>
      <c r="D413" s="33" t="s">
        <v>278</v>
      </c>
      <c r="E413" s="40" t="s">
        <v>70</v>
      </c>
      <c r="F413" s="33" t="s">
        <v>1067</v>
      </c>
      <c r="G413" s="34" t="s">
        <v>1068</v>
      </c>
      <c r="H413" s="12" t="s">
        <v>84</v>
      </c>
      <c r="I413" s="11"/>
      <c r="J413" s="11"/>
      <c r="K413" s="11"/>
      <c r="L413" s="11"/>
      <c r="M413" s="11"/>
      <c r="N413" s="11"/>
      <c r="O413" s="11"/>
      <c r="P413" s="11"/>
      <c r="Q413" s="11"/>
      <c r="R413" s="11"/>
      <c r="S413" s="11"/>
      <c r="T413" s="11"/>
      <c r="U413" s="11"/>
      <c r="V413" s="11"/>
      <c r="W413" s="11"/>
      <c r="X413" s="11"/>
      <c r="Y413" s="11"/>
      <c r="Z413" s="11"/>
    </row>
    <row r="414" ht="112.5" customHeight="1">
      <c r="A414" s="11"/>
      <c r="B414" s="13"/>
      <c r="C414" s="32" t="s">
        <v>1069</v>
      </c>
      <c r="D414" s="33" t="s">
        <v>1070</v>
      </c>
      <c r="E414" s="40" t="s">
        <v>70</v>
      </c>
      <c r="F414" s="33" t="s">
        <v>1071</v>
      </c>
      <c r="G414" s="34" t="s">
        <v>1072</v>
      </c>
      <c r="H414" s="12" t="s">
        <v>84</v>
      </c>
      <c r="I414" s="11"/>
      <c r="J414" s="11"/>
      <c r="K414" s="11"/>
      <c r="L414" s="11"/>
      <c r="M414" s="11"/>
      <c r="N414" s="11"/>
      <c r="O414" s="11"/>
      <c r="P414" s="11"/>
      <c r="Q414" s="11"/>
      <c r="R414" s="11"/>
      <c r="S414" s="11"/>
      <c r="T414" s="11"/>
      <c r="U414" s="11"/>
      <c r="V414" s="11"/>
      <c r="W414" s="11"/>
      <c r="X414" s="11"/>
      <c r="Y414" s="11"/>
      <c r="Z414" s="11"/>
    </row>
    <row r="415" ht="63.75" customHeight="1">
      <c r="A415" s="11"/>
      <c r="B415" s="13"/>
      <c r="C415" s="32" t="s">
        <v>1073</v>
      </c>
      <c r="D415" s="33" t="s">
        <v>1074</v>
      </c>
      <c r="E415" s="40" t="s">
        <v>70</v>
      </c>
      <c r="F415" s="33" t="s">
        <v>1075</v>
      </c>
      <c r="G415" s="34" t="s">
        <v>1076</v>
      </c>
      <c r="H415" s="12" t="s">
        <v>84</v>
      </c>
      <c r="I415" s="11"/>
      <c r="J415" s="11"/>
      <c r="K415" s="11"/>
      <c r="L415" s="11"/>
      <c r="M415" s="11"/>
      <c r="N415" s="11"/>
      <c r="O415" s="11"/>
      <c r="P415" s="11"/>
      <c r="Q415" s="11"/>
      <c r="R415" s="11"/>
      <c r="S415" s="11"/>
      <c r="T415" s="11"/>
      <c r="U415" s="11"/>
      <c r="V415" s="11"/>
      <c r="W415" s="11"/>
      <c r="X415" s="11"/>
      <c r="Y415" s="11"/>
      <c r="Z415" s="11"/>
    </row>
    <row r="416" ht="142.5" customHeight="1">
      <c r="A416" s="11"/>
      <c r="B416" s="13"/>
      <c r="C416" s="32" t="s">
        <v>1077</v>
      </c>
      <c r="D416" s="33" t="s">
        <v>1078</v>
      </c>
      <c r="E416" s="40" t="s">
        <v>70</v>
      </c>
      <c r="F416" s="33" t="s">
        <v>1079</v>
      </c>
      <c r="G416" s="34" t="s">
        <v>1080</v>
      </c>
      <c r="H416" s="12" t="s">
        <v>84</v>
      </c>
      <c r="I416" s="11"/>
      <c r="J416" s="11"/>
      <c r="K416" s="11"/>
      <c r="L416" s="11"/>
      <c r="M416" s="11"/>
      <c r="N416" s="11"/>
      <c r="O416" s="11"/>
      <c r="P416" s="11"/>
      <c r="Q416" s="11"/>
      <c r="R416" s="11"/>
      <c r="S416" s="11"/>
      <c r="T416" s="11"/>
      <c r="U416" s="11"/>
      <c r="V416" s="11"/>
      <c r="W416" s="11"/>
      <c r="X416" s="11"/>
      <c r="Y416" s="11"/>
      <c r="Z416" s="11"/>
    </row>
    <row r="417" ht="63.75" customHeight="1">
      <c r="A417" s="11"/>
      <c r="B417" s="13"/>
      <c r="C417" s="32" t="s">
        <v>1081</v>
      </c>
      <c r="D417" s="33" t="s">
        <v>1082</v>
      </c>
      <c r="E417" s="40" t="s">
        <v>70</v>
      </c>
      <c r="F417" s="33" t="s">
        <v>1083</v>
      </c>
      <c r="G417" s="34" t="s">
        <v>1084</v>
      </c>
      <c r="H417" s="12" t="s">
        <v>84</v>
      </c>
      <c r="I417" s="11"/>
      <c r="J417" s="11"/>
      <c r="K417" s="11"/>
      <c r="L417" s="11"/>
      <c r="M417" s="11"/>
      <c r="N417" s="11"/>
      <c r="O417" s="11"/>
      <c r="P417" s="11"/>
      <c r="Q417" s="11"/>
      <c r="R417" s="11"/>
      <c r="S417" s="11"/>
      <c r="T417" s="11"/>
      <c r="U417" s="11"/>
      <c r="V417" s="11"/>
      <c r="W417" s="11"/>
      <c r="X417" s="11"/>
      <c r="Y417" s="11"/>
      <c r="Z417" s="11"/>
    </row>
    <row r="418" ht="63.75" customHeight="1">
      <c r="A418" s="11"/>
      <c r="B418" s="13"/>
      <c r="C418" s="32" t="s">
        <v>1085</v>
      </c>
      <c r="D418" s="33" t="s">
        <v>298</v>
      </c>
      <c r="E418" s="40" t="s">
        <v>70</v>
      </c>
      <c r="F418" s="33" t="s">
        <v>1086</v>
      </c>
      <c r="G418" s="34" t="s">
        <v>1087</v>
      </c>
      <c r="H418" s="12" t="s">
        <v>84</v>
      </c>
      <c r="I418" s="11"/>
      <c r="J418" s="11"/>
      <c r="K418" s="11"/>
      <c r="L418" s="11"/>
      <c r="M418" s="11"/>
      <c r="N418" s="11"/>
      <c r="O418" s="11"/>
      <c r="P418" s="11"/>
      <c r="Q418" s="11"/>
      <c r="R418" s="11"/>
      <c r="S418" s="11"/>
      <c r="T418" s="11"/>
      <c r="U418" s="11"/>
      <c r="V418" s="11"/>
      <c r="W418" s="11"/>
      <c r="X418" s="11"/>
      <c r="Y418" s="11"/>
      <c r="Z418" s="11"/>
    </row>
    <row r="419" ht="126.75" customHeight="1">
      <c r="A419" s="11"/>
      <c r="B419" s="13"/>
      <c r="C419" s="32" t="s">
        <v>1088</v>
      </c>
      <c r="D419" s="33" t="s">
        <v>633</v>
      </c>
      <c r="E419" s="40" t="s">
        <v>70</v>
      </c>
      <c r="F419" s="33" t="s">
        <v>1089</v>
      </c>
      <c r="G419" s="34" t="s">
        <v>1090</v>
      </c>
      <c r="H419" s="12" t="s">
        <v>84</v>
      </c>
      <c r="I419" s="11"/>
      <c r="J419" s="11"/>
      <c r="K419" s="11"/>
      <c r="L419" s="11"/>
      <c r="M419" s="11"/>
      <c r="N419" s="11"/>
      <c r="O419" s="11"/>
      <c r="P419" s="11"/>
      <c r="Q419" s="11"/>
      <c r="R419" s="11"/>
      <c r="S419" s="11"/>
      <c r="T419" s="11"/>
      <c r="U419" s="11"/>
      <c r="V419" s="11"/>
      <c r="W419" s="11"/>
      <c r="X419" s="11"/>
      <c r="Y419" s="11"/>
      <c r="Z419" s="11"/>
    </row>
    <row r="420" ht="174.0" customHeight="1">
      <c r="A420" s="11"/>
      <c r="B420" s="13"/>
      <c r="C420" s="32" t="s">
        <v>1091</v>
      </c>
      <c r="D420" s="33" t="s">
        <v>1092</v>
      </c>
      <c r="E420" s="40" t="s">
        <v>70</v>
      </c>
      <c r="F420" s="33" t="s">
        <v>1093</v>
      </c>
      <c r="G420" s="34" t="s">
        <v>1094</v>
      </c>
      <c r="H420" s="12" t="s">
        <v>84</v>
      </c>
      <c r="I420" s="11"/>
      <c r="J420" s="11"/>
      <c r="K420" s="11"/>
      <c r="L420" s="11"/>
      <c r="M420" s="11"/>
      <c r="N420" s="11"/>
      <c r="O420" s="11"/>
      <c r="P420" s="11"/>
      <c r="Q420" s="11"/>
      <c r="R420" s="11"/>
      <c r="S420" s="11"/>
      <c r="T420" s="11"/>
      <c r="U420" s="11"/>
      <c r="V420" s="11"/>
      <c r="W420" s="11"/>
      <c r="X420" s="11"/>
      <c r="Y420" s="11"/>
      <c r="Z420" s="11"/>
    </row>
    <row r="421" ht="95.25" customHeight="1">
      <c r="A421" s="11"/>
      <c r="B421" s="13"/>
      <c r="C421" s="32" t="s">
        <v>1095</v>
      </c>
      <c r="D421" s="33" t="s">
        <v>1096</v>
      </c>
      <c r="E421" s="40" t="s">
        <v>70</v>
      </c>
      <c r="F421" s="33" t="s">
        <v>1097</v>
      </c>
      <c r="G421" s="34" t="s">
        <v>1098</v>
      </c>
      <c r="H421" s="12" t="s">
        <v>84</v>
      </c>
      <c r="I421" s="11"/>
      <c r="J421" s="11"/>
      <c r="K421" s="11"/>
      <c r="L421" s="11"/>
      <c r="M421" s="11"/>
      <c r="N421" s="11"/>
      <c r="O421" s="11"/>
      <c r="P421" s="11"/>
      <c r="Q421" s="11"/>
      <c r="R421" s="11"/>
      <c r="S421" s="11"/>
      <c r="T421" s="11"/>
      <c r="U421" s="11"/>
      <c r="V421" s="11"/>
      <c r="W421" s="11"/>
      <c r="X421" s="11"/>
      <c r="Y421" s="11"/>
      <c r="Z421" s="11"/>
    </row>
    <row r="422" ht="63.75" customHeight="1">
      <c r="A422" s="11"/>
      <c r="B422" s="13"/>
      <c r="C422" s="32" t="s">
        <v>1099</v>
      </c>
      <c r="D422" s="33" t="s">
        <v>1100</v>
      </c>
      <c r="E422" s="40" t="s">
        <v>70</v>
      </c>
      <c r="F422" s="33" t="s">
        <v>1101</v>
      </c>
      <c r="G422" s="34" t="s">
        <v>1102</v>
      </c>
      <c r="H422" s="12" t="s">
        <v>84</v>
      </c>
      <c r="I422" s="11"/>
      <c r="J422" s="11"/>
      <c r="K422" s="11"/>
      <c r="L422" s="11"/>
      <c r="M422" s="11"/>
      <c r="N422" s="11"/>
      <c r="O422" s="11"/>
      <c r="P422" s="11"/>
      <c r="Q422" s="11"/>
      <c r="R422" s="11"/>
      <c r="S422" s="11"/>
      <c r="T422" s="11"/>
      <c r="U422" s="11"/>
      <c r="V422" s="11"/>
      <c r="W422" s="11"/>
      <c r="X422" s="11"/>
      <c r="Y422" s="11"/>
      <c r="Z422" s="11"/>
    </row>
    <row r="423" ht="95.25" customHeight="1">
      <c r="A423" s="11"/>
      <c r="B423" s="13"/>
      <c r="C423" s="32" t="s">
        <v>1103</v>
      </c>
      <c r="D423" s="33" t="s">
        <v>338</v>
      </c>
      <c r="E423" s="40" t="s">
        <v>70</v>
      </c>
      <c r="F423" s="33" t="s">
        <v>1104</v>
      </c>
      <c r="G423" s="34" t="s">
        <v>1105</v>
      </c>
      <c r="H423" s="12" t="s">
        <v>84</v>
      </c>
      <c r="I423" s="11"/>
      <c r="J423" s="11"/>
      <c r="K423" s="11"/>
      <c r="L423" s="11"/>
      <c r="M423" s="11"/>
      <c r="N423" s="11"/>
      <c r="O423" s="11"/>
      <c r="P423" s="11"/>
      <c r="Q423" s="11"/>
      <c r="R423" s="11"/>
      <c r="S423" s="11"/>
      <c r="T423" s="11"/>
      <c r="U423" s="11"/>
      <c r="V423" s="11"/>
      <c r="W423" s="11"/>
      <c r="X423" s="11"/>
      <c r="Y423" s="11"/>
      <c r="Z423" s="11"/>
    </row>
    <row r="424" ht="79.5" customHeight="1">
      <c r="A424" s="11"/>
      <c r="B424" s="13"/>
      <c r="C424" s="32" t="s">
        <v>1106</v>
      </c>
      <c r="D424" s="33" t="s">
        <v>342</v>
      </c>
      <c r="E424" s="40" t="s">
        <v>70</v>
      </c>
      <c r="F424" s="33" t="s">
        <v>1107</v>
      </c>
      <c r="G424" s="34" t="s">
        <v>1108</v>
      </c>
      <c r="H424" s="12" t="s">
        <v>84</v>
      </c>
      <c r="I424" s="11"/>
      <c r="J424" s="11"/>
      <c r="K424" s="11"/>
      <c r="L424" s="11"/>
      <c r="M424" s="11"/>
      <c r="N424" s="11"/>
      <c r="O424" s="11"/>
      <c r="P424" s="11"/>
      <c r="Q424" s="11"/>
      <c r="R424" s="11"/>
      <c r="S424" s="11"/>
      <c r="T424" s="11"/>
      <c r="U424" s="11"/>
      <c r="V424" s="11"/>
      <c r="W424" s="11"/>
      <c r="X424" s="11"/>
      <c r="Y424" s="11"/>
      <c r="Z424" s="11"/>
    </row>
    <row r="425" ht="63.75" customHeight="1">
      <c r="A425" s="11"/>
      <c r="B425" s="13"/>
      <c r="C425" s="32" t="s">
        <v>1109</v>
      </c>
      <c r="D425" s="33" t="s">
        <v>646</v>
      </c>
      <c r="E425" s="40" t="s">
        <v>70</v>
      </c>
      <c r="F425" s="33" t="s">
        <v>1110</v>
      </c>
      <c r="G425" s="34" t="s">
        <v>1111</v>
      </c>
      <c r="H425" s="12" t="s">
        <v>84</v>
      </c>
      <c r="I425" s="11"/>
      <c r="J425" s="11"/>
      <c r="K425" s="11"/>
      <c r="L425" s="11"/>
      <c r="M425" s="11"/>
      <c r="N425" s="11"/>
      <c r="O425" s="11"/>
      <c r="P425" s="11"/>
      <c r="Q425" s="11"/>
      <c r="R425" s="11"/>
      <c r="S425" s="11"/>
      <c r="T425" s="11"/>
      <c r="U425" s="11"/>
      <c r="V425" s="11"/>
      <c r="W425" s="11"/>
      <c r="X425" s="11"/>
      <c r="Y425" s="11"/>
      <c r="Z425" s="11"/>
    </row>
    <row r="426" ht="111.0" customHeight="1">
      <c r="A426" s="11"/>
      <c r="B426" s="13"/>
      <c r="C426" s="32" t="s">
        <v>1112</v>
      </c>
      <c r="D426" s="33" t="s">
        <v>350</v>
      </c>
      <c r="E426" s="40" t="s">
        <v>70</v>
      </c>
      <c r="F426" s="33" t="s">
        <v>1113</v>
      </c>
      <c r="G426" s="34" t="s">
        <v>1114</v>
      </c>
      <c r="H426" s="12" t="s">
        <v>84</v>
      </c>
      <c r="I426" s="11"/>
      <c r="J426" s="11"/>
      <c r="K426" s="11"/>
      <c r="L426" s="11"/>
      <c r="M426" s="11"/>
      <c r="N426" s="11"/>
      <c r="O426" s="11"/>
      <c r="P426" s="11"/>
      <c r="Q426" s="11"/>
      <c r="R426" s="11"/>
      <c r="S426" s="11"/>
      <c r="T426" s="11"/>
      <c r="U426" s="11"/>
      <c r="V426" s="11"/>
      <c r="W426" s="11"/>
      <c r="X426" s="11"/>
      <c r="Y426" s="11"/>
      <c r="Z426" s="11"/>
    </row>
    <row r="427" ht="79.5" customHeight="1">
      <c r="A427" s="11"/>
      <c r="B427" s="13"/>
      <c r="C427" s="32" t="s">
        <v>1115</v>
      </c>
      <c r="D427" s="33" t="s">
        <v>354</v>
      </c>
      <c r="E427" s="40" t="s">
        <v>70</v>
      </c>
      <c r="F427" s="33" t="s">
        <v>1116</v>
      </c>
      <c r="G427" s="34" t="s">
        <v>1117</v>
      </c>
      <c r="H427" s="12" t="s">
        <v>84</v>
      </c>
      <c r="I427" s="11"/>
      <c r="J427" s="11"/>
      <c r="K427" s="11"/>
      <c r="L427" s="11"/>
      <c r="M427" s="11"/>
      <c r="N427" s="11"/>
      <c r="O427" s="11"/>
      <c r="P427" s="11"/>
      <c r="Q427" s="11"/>
      <c r="R427" s="11"/>
      <c r="S427" s="11"/>
      <c r="T427" s="11"/>
      <c r="U427" s="11"/>
      <c r="V427" s="11"/>
      <c r="W427" s="11"/>
      <c r="X427" s="11"/>
      <c r="Y427" s="11"/>
      <c r="Z427" s="11"/>
    </row>
    <row r="428" ht="79.5" customHeight="1">
      <c r="A428" s="11"/>
      <c r="B428" s="13"/>
      <c r="C428" s="32" t="s">
        <v>1118</v>
      </c>
      <c r="D428" s="33" t="s">
        <v>358</v>
      </c>
      <c r="E428" s="40" t="s">
        <v>70</v>
      </c>
      <c r="F428" s="33" t="s">
        <v>1119</v>
      </c>
      <c r="G428" s="34" t="s">
        <v>1120</v>
      </c>
      <c r="H428" s="12" t="s">
        <v>84</v>
      </c>
      <c r="I428" s="11"/>
      <c r="J428" s="11"/>
      <c r="K428" s="11"/>
      <c r="L428" s="11"/>
      <c r="M428" s="11"/>
      <c r="N428" s="11"/>
      <c r="O428" s="11"/>
      <c r="P428" s="11"/>
      <c r="Q428" s="11"/>
      <c r="R428" s="11"/>
      <c r="S428" s="11"/>
      <c r="T428" s="11"/>
      <c r="U428" s="11"/>
      <c r="V428" s="11"/>
      <c r="W428" s="11"/>
      <c r="X428" s="11"/>
      <c r="Y428" s="11"/>
      <c r="Z428" s="11"/>
    </row>
    <row r="429" ht="63.75" customHeight="1">
      <c r="A429" s="11"/>
      <c r="B429" s="13"/>
      <c r="C429" s="32" t="s">
        <v>1121</v>
      </c>
      <c r="D429" s="33" t="s">
        <v>362</v>
      </c>
      <c r="E429" s="40" t="s">
        <v>70</v>
      </c>
      <c r="F429" s="33" t="s">
        <v>1122</v>
      </c>
      <c r="G429" s="34" t="s">
        <v>1123</v>
      </c>
      <c r="H429" s="12" t="s">
        <v>84</v>
      </c>
      <c r="I429" s="11"/>
      <c r="J429" s="11"/>
      <c r="K429" s="11"/>
      <c r="L429" s="11"/>
      <c r="M429" s="11"/>
      <c r="N429" s="11"/>
      <c r="O429" s="11"/>
      <c r="P429" s="11"/>
      <c r="Q429" s="11"/>
      <c r="R429" s="11"/>
      <c r="S429" s="11"/>
      <c r="T429" s="11"/>
      <c r="U429" s="11"/>
      <c r="V429" s="11"/>
      <c r="W429" s="11"/>
      <c r="X429" s="11"/>
      <c r="Y429" s="11"/>
      <c r="Z429" s="11"/>
    </row>
    <row r="430" ht="63.75" customHeight="1">
      <c r="A430" s="11"/>
      <c r="B430" s="13"/>
      <c r="C430" s="32" t="s">
        <v>1124</v>
      </c>
      <c r="D430" s="33" t="s">
        <v>366</v>
      </c>
      <c r="E430" s="40" t="s">
        <v>70</v>
      </c>
      <c r="F430" s="33" t="s">
        <v>1125</v>
      </c>
      <c r="G430" s="34" t="s">
        <v>1126</v>
      </c>
      <c r="H430" s="12" t="s">
        <v>84</v>
      </c>
      <c r="I430" s="11"/>
      <c r="J430" s="11"/>
      <c r="K430" s="11"/>
      <c r="L430" s="11"/>
      <c r="M430" s="11"/>
      <c r="N430" s="11"/>
      <c r="O430" s="11"/>
      <c r="P430" s="11"/>
      <c r="Q430" s="11"/>
      <c r="R430" s="11"/>
      <c r="S430" s="11"/>
      <c r="T430" s="11"/>
      <c r="U430" s="11"/>
      <c r="V430" s="11"/>
      <c r="W430" s="11"/>
      <c r="X430" s="11"/>
      <c r="Y430" s="11"/>
      <c r="Z430" s="11"/>
    </row>
    <row r="431" ht="95.25" customHeight="1">
      <c r="A431" s="11"/>
      <c r="B431" s="13"/>
      <c r="C431" s="32" t="s">
        <v>1127</v>
      </c>
      <c r="D431" s="33" t="s">
        <v>370</v>
      </c>
      <c r="E431" s="40" t="s">
        <v>70</v>
      </c>
      <c r="F431" s="33" t="s">
        <v>1128</v>
      </c>
      <c r="G431" s="34" t="s">
        <v>1129</v>
      </c>
      <c r="H431" s="12" t="s">
        <v>84</v>
      </c>
      <c r="I431" s="11"/>
      <c r="J431" s="11"/>
      <c r="K431" s="11"/>
      <c r="L431" s="11"/>
      <c r="M431" s="11"/>
      <c r="N431" s="11"/>
      <c r="O431" s="11"/>
      <c r="P431" s="11"/>
      <c r="Q431" s="11"/>
      <c r="R431" s="11"/>
      <c r="S431" s="11"/>
      <c r="T431" s="11"/>
      <c r="U431" s="11"/>
      <c r="V431" s="11"/>
      <c r="W431" s="11"/>
      <c r="X431" s="11"/>
      <c r="Y431" s="11"/>
      <c r="Z431" s="11"/>
    </row>
    <row r="432" ht="79.5" customHeight="1">
      <c r="A432" s="11"/>
      <c r="B432" s="13"/>
      <c r="C432" s="32" t="s">
        <v>1130</v>
      </c>
      <c r="D432" s="33" t="s">
        <v>1131</v>
      </c>
      <c r="E432" s="40" t="s">
        <v>70</v>
      </c>
      <c r="F432" s="33" t="s">
        <v>1132</v>
      </c>
      <c r="G432" s="34" t="s">
        <v>1133</v>
      </c>
      <c r="H432" s="12" t="s">
        <v>84</v>
      </c>
      <c r="I432" s="11"/>
      <c r="J432" s="11"/>
      <c r="K432" s="11"/>
      <c r="L432" s="11"/>
      <c r="M432" s="11"/>
      <c r="N432" s="11"/>
      <c r="O432" s="11"/>
      <c r="P432" s="11"/>
      <c r="Q432" s="11"/>
      <c r="R432" s="11"/>
      <c r="S432" s="11"/>
      <c r="T432" s="11"/>
      <c r="U432" s="11"/>
      <c r="V432" s="11"/>
      <c r="W432" s="11"/>
      <c r="X432" s="11"/>
      <c r="Y432" s="11"/>
      <c r="Z432" s="11"/>
    </row>
    <row r="433" ht="95.25" customHeight="1">
      <c r="A433" s="11"/>
      <c r="B433" s="13"/>
      <c r="C433" s="32" t="s">
        <v>1134</v>
      </c>
      <c r="D433" s="33" t="s">
        <v>378</v>
      </c>
      <c r="E433" s="40" t="s">
        <v>70</v>
      </c>
      <c r="F433" s="33" t="s">
        <v>1135</v>
      </c>
      <c r="G433" s="34" t="s">
        <v>1136</v>
      </c>
      <c r="H433" s="12" t="s">
        <v>84</v>
      </c>
      <c r="I433" s="11"/>
      <c r="J433" s="11"/>
      <c r="K433" s="11"/>
      <c r="L433" s="11"/>
      <c r="M433" s="11"/>
      <c r="N433" s="11"/>
      <c r="O433" s="11"/>
      <c r="P433" s="11"/>
      <c r="Q433" s="11"/>
      <c r="R433" s="11"/>
      <c r="S433" s="11"/>
      <c r="T433" s="11"/>
      <c r="U433" s="11"/>
      <c r="V433" s="11"/>
      <c r="W433" s="11"/>
      <c r="X433" s="11"/>
      <c r="Y433" s="11"/>
      <c r="Z433" s="11"/>
    </row>
    <row r="434" ht="63.75" customHeight="1">
      <c r="A434" s="11"/>
      <c r="B434" s="13"/>
      <c r="C434" s="32" t="s">
        <v>1137</v>
      </c>
      <c r="D434" s="33" t="s">
        <v>382</v>
      </c>
      <c r="E434" s="40" t="s">
        <v>70</v>
      </c>
      <c r="F434" s="33" t="s">
        <v>1138</v>
      </c>
      <c r="G434" s="34" t="s">
        <v>1139</v>
      </c>
      <c r="H434" s="12" t="s">
        <v>84</v>
      </c>
      <c r="I434" s="11"/>
      <c r="J434" s="11"/>
      <c r="K434" s="11"/>
      <c r="L434" s="11"/>
      <c r="M434" s="11"/>
      <c r="N434" s="11"/>
      <c r="O434" s="11"/>
      <c r="P434" s="11"/>
      <c r="Q434" s="11"/>
      <c r="R434" s="11"/>
      <c r="S434" s="11"/>
      <c r="T434" s="11"/>
      <c r="U434" s="11"/>
      <c r="V434" s="11"/>
      <c r="W434" s="11"/>
      <c r="X434" s="11"/>
      <c r="Y434" s="11"/>
      <c r="Z434" s="11"/>
    </row>
    <row r="435" ht="111.0" customHeight="1">
      <c r="A435" s="11"/>
      <c r="B435" s="13"/>
      <c r="C435" s="32" t="s">
        <v>1140</v>
      </c>
      <c r="D435" s="33" t="s">
        <v>386</v>
      </c>
      <c r="E435" s="40" t="s">
        <v>70</v>
      </c>
      <c r="F435" s="33" t="s">
        <v>1141</v>
      </c>
      <c r="G435" s="34" t="s">
        <v>1142</v>
      </c>
      <c r="H435" s="12" t="s">
        <v>84</v>
      </c>
      <c r="I435" s="11"/>
      <c r="J435" s="11"/>
      <c r="K435" s="11"/>
      <c r="L435" s="11"/>
      <c r="M435" s="11"/>
      <c r="N435" s="11"/>
      <c r="O435" s="11"/>
      <c r="P435" s="11"/>
      <c r="Q435" s="11"/>
      <c r="R435" s="11"/>
      <c r="S435" s="11"/>
      <c r="T435" s="11"/>
      <c r="U435" s="11"/>
      <c r="V435" s="11"/>
      <c r="W435" s="11"/>
      <c r="X435" s="11"/>
      <c r="Y435" s="11"/>
      <c r="Z435" s="11"/>
    </row>
    <row r="436" ht="142.5" customHeight="1">
      <c r="A436" s="11"/>
      <c r="B436" s="13"/>
      <c r="C436" s="32" t="s">
        <v>1143</v>
      </c>
      <c r="D436" s="33" t="s">
        <v>1144</v>
      </c>
      <c r="E436" s="40" t="s">
        <v>70</v>
      </c>
      <c r="F436" s="33" t="s">
        <v>1145</v>
      </c>
      <c r="G436" s="34" t="s">
        <v>1146</v>
      </c>
      <c r="H436" s="12" t="s">
        <v>84</v>
      </c>
      <c r="I436" s="11"/>
      <c r="J436" s="11"/>
      <c r="K436" s="11"/>
      <c r="L436" s="11"/>
      <c r="M436" s="11"/>
      <c r="N436" s="11"/>
      <c r="O436" s="11"/>
      <c r="P436" s="11"/>
      <c r="Q436" s="11"/>
      <c r="R436" s="11"/>
      <c r="S436" s="11"/>
      <c r="T436" s="11"/>
      <c r="U436" s="11"/>
      <c r="V436" s="11"/>
      <c r="W436" s="11"/>
      <c r="X436" s="11"/>
      <c r="Y436" s="11"/>
      <c r="Z436" s="11"/>
    </row>
    <row r="437" ht="15.75" customHeight="1">
      <c r="A437" s="11"/>
      <c r="B437" s="13"/>
      <c r="C437" s="13"/>
      <c r="D437" s="13"/>
      <c r="E437" s="13"/>
      <c r="F437" s="13"/>
      <c r="G437" s="41"/>
      <c r="H437" s="12"/>
      <c r="I437" s="11"/>
      <c r="J437" s="11"/>
      <c r="K437" s="11"/>
      <c r="L437" s="11"/>
      <c r="M437" s="11"/>
      <c r="N437" s="11"/>
      <c r="O437" s="11"/>
      <c r="P437" s="11"/>
      <c r="Q437" s="11"/>
      <c r="R437" s="11"/>
      <c r="S437" s="11"/>
      <c r="T437" s="11"/>
      <c r="U437" s="11"/>
      <c r="V437" s="11"/>
      <c r="W437" s="11"/>
      <c r="X437" s="11"/>
      <c r="Y437" s="11"/>
      <c r="Z437" s="11"/>
    </row>
    <row r="438" ht="15.75" customHeight="1">
      <c r="A438" s="11"/>
      <c r="B438" s="13"/>
      <c r="C438" s="13"/>
      <c r="D438" s="13"/>
      <c r="E438" s="13"/>
      <c r="F438" s="13"/>
      <c r="G438" s="41"/>
      <c r="H438" s="12"/>
      <c r="I438" s="11"/>
      <c r="J438" s="11"/>
      <c r="K438" s="11"/>
      <c r="L438" s="11"/>
      <c r="M438" s="11"/>
      <c r="N438" s="11"/>
      <c r="O438" s="11"/>
      <c r="P438" s="11"/>
      <c r="Q438" s="11"/>
      <c r="R438" s="11"/>
      <c r="S438" s="11"/>
      <c r="T438" s="11"/>
      <c r="U438" s="11"/>
      <c r="V438" s="11"/>
      <c r="W438" s="11"/>
      <c r="X438" s="11"/>
      <c r="Y438" s="11"/>
      <c r="Z438" s="11"/>
    </row>
    <row r="439" ht="15.75" customHeight="1">
      <c r="A439" s="11"/>
      <c r="B439" s="13"/>
      <c r="C439" s="13"/>
      <c r="D439" s="13"/>
      <c r="E439" s="13"/>
      <c r="F439" s="13"/>
      <c r="G439" s="41"/>
      <c r="H439" s="12"/>
      <c r="I439" s="11"/>
      <c r="J439" s="11"/>
      <c r="K439" s="11"/>
      <c r="L439" s="11"/>
      <c r="M439" s="11"/>
      <c r="N439" s="11"/>
      <c r="O439" s="11"/>
      <c r="P439" s="11"/>
      <c r="Q439" s="11"/>
      <c r="R439" s="11"/>
      <c r="S439" s="11"/>
      <c r="T439" s="11"/>
      <c r="U439" s="11"/>
      <c r="V439" s="11"/>
      <c r="W439" s="11"/>
      <c r="X439" s="11"/>
      <c r="Y439" s="11"/>
      <c r="Z439" s="11"/>
    </row>
    <row r="440" ht="15.75" customHeight="1">
      <c r="A440" s="11"/>
      <c r="B440" s="13"/>
      <c r="C440" s="13"/>
      <c r="D440" s="13"/>
      <c r="E440" s="13"/>
      <c r="F440" s="13"/>
      <c r="G440" s="41"/>
      <c r="H440" s="12"/>
      <c r="I440" s="11"/>
      <c r="J440" s="11"/>
      <c r="K440" s="11"/>
      <c r="L440" s="11"/>
      <c r="M440" s="11"/>
      <c r="N440" s="11"/>
      <c r="O440" s="11"/>
      <c r="P440" s="11"/>
      <c r="Q440" s="11"/>
      <c r="R440" s="11"/>
      <c r="S440" s="11"/>
      <c r="T440" s="11"/>
      <c r="U440" s="11"/>
      <c r="V440" s="11"/>
      <c r="W440" s="11"/>
      <c r="X440" s="11"/>
      <c r="Y440" s="11"/>
      <c r="Z440" s="11"/>
    </row>
    <row r="441" ht="15.75" customHeight="1">
      <c r="A441" s="11"/>
      <c r="B441" s="13"/>
      <c r="C441" s="13"/>
      <c r="D441" s="13"/>
      <c r="E441" s="13"/>
      <c r="F441" s="13"/>
      <c r="G441" s="41"/>
      <c r="H441" s="12"/>
      <c r="I441" s="11"/>
      <c r="J441" s="11"/>
      <c r="K441" s="11"/>
      <c r="L441" s="11"/>
      <c r="M441" s="11"/>
      <c r="N441" s="11"/>
      <c r="O441" s="11"/>
      <c r="P441" s="11"/>
      <c r="Q441" s="11"/>
      <c r="R441" s="11"/>
      <c r="S441" s="11"/>
      <c r="T441" s="11"/>
      <c r="U441" s="11"/>
      <c r="V441" s="11"/>
      <c r="W441" s="11"/>
      <c r="X441" s="11"/>
      <c r="Y441" s="11"/>
      <c r="Z441" s="11"/>
    </row>
    <row r="442" ht="15.75" customHeight="1">
      <c r="A442" s="11"/>
      <c r="B442" s="13"/>
      <c r="C442" s="13"/>
      <c r="D442" s="13"/>
      <c r="E442" s="13"/>
      <c r="F442" s="13"/>
      <c r="G442" s="41"/>
      <c r="H442" s="12"/>
      <c r="I442" s="11"/>
      <c r="J442" s="11"/>
      <c r="K442" s="11"/>
      <c r="L442" s="11"/>
      <c r="M442" s="11"/>
      <c r="N442" s="11"/>
      <c r="O442" s="11"/>
      <c r="P442" s="11"/>
      <c r="Q442" s="11"/>
      <c r="R442" s="11"/>
      <c r="S442" s="11"/>
      <c r="T442" s="11"/>
      <c r="U442" s="11"/>
      <c r="V442" s="11"/>
      <c r="W442" s="11"/>
      <c r="X442" s="11"/>
      <c r="Y442" s="11"/>
      <c r="Z442" s="11"/>
    </row>
    <row r="443" ht="15.75" customHeight="1">
      <c r="A443" s="11"/>
      <c r="B443" s="13"/>
      <c r="C443" s="13"/>
      <c r="D443" s="13"/>
      <c r="E443" s="13"/>
      <c r="F443" s="13"/>
      <c r="G443" s="41"/>
      <c r="H443" s="12"/>
      <c r="I443" s="11"/>
      <c r="J443" s="11"/>
      <c r="K443" s="11"/>
      <c r="L443" s="11"/>
      <c r="M443" s="11"/>
      <c r="N443" s="11"/>
      <c r="O443" s="11"/>
      <c r="P443" s="11"/>
      <c r="Q443" s="11"/>
      <c r="R443" s="11"/>
      <c r="S443" s="11"/>
      <c r="T443" s="11"/>
      <c r="U443" s="11"/>
      <c r="V443" s="11"/>
      <c r="W443" s="11"/>
      <c r="X443" s="11"/>
      <c r="Y443" s="11"/>
      <c r="Z443" s="11"/>
    </row>
    <row r="444" ht="15.75" customHeight="1">
      <c r="A444" s="11"/>
      <c r="B444" s="13"/>
      <c r="C444" s="13"/>
      <c r="D444" s="13"/>
      <c r="E444" s="13"/>
      <c r="F444" s="13"/>
      <c r="G444" s="41"/>
      <c r="H444" s="12"/>
      <c r="I444" s="11"/>
      <c r="J444" s="11"/>
      <c r="K444" s="11"/>
      <c r="L444" s="11"/>
      <c r="M444" s="11"/>
      <c r="N444" s="11"/>
      <c r="O444" s="11"/>
      <c r="P444" s="11"/>
      <c r="Q444" s="11"/>
      <c r="R444" s="11"/>
      <c r="S444" s="11"/>
      <c r="T444" s="11"/>
      <c r="U444" s="11"/>
      <c r="V444" s="11"/>
      <c r="W444" s="11"/>
      <c r="X444" s="11"/>
      <c r="Y444" s="11"/>
      <c r="Z444" s="11"/>
    </row>
    <row r="445" ht="15.75" customHeight="1">
      <c r="A445" s="11"/>
      <c r="B445" s="13"/>
      <c r="C445" s="13"/>
      <c r="D445" s="13"/>
      <c r="E445" s="13"/>
      <c r="F445" s="13"/>
      <c r="G445" s="41"/>
      <c r="H445" s="12"/>
      <c r="I445" s="11"/>
      <c r="J445" s="11"/>
      <c r="K445" s="11"/>
      <c r="L445" s="11"/>
      <c r="M445" s="11"/>
      <c r="N445" s="11"/>
      <c r="O445" s="11"/>
      <c r="P445" s="11"/>
      <c r="Q445" s="11"/>
      <c r="R445" s="11"/>
      <c r="S445" s="11"/>
      <c r="T445" s="11"/>
      <c r="U445" s="11"/>
      <c r="V445" s="11"/>
      <c r="W445" s="11"/>
      <c r="X445" s="11"/>
      <c r="Y445" s="11"/>
      <c r="Z445" s="11"/>
    </row>
    <row r="446" ht="15.75" customHeight="1">
      <c r="A446" s="11"/>
      <c r="B446" s="13"/>
      <c r="C446" s="13"/>
      <c r="D446" s="13"/>
      <c r="E446" s="13"/>
      <c r="F446" s="13"/>
      <c r="G446" s="41"/>
      <c r="H446" s="12"/>
      <c r="I446" s="11"/>
      <c r="J446" s="11"/>
      <c r="K446" s="11"/>
      <c r="L446" s="11"/>
      <c r="M446" s="11"/>
      <c r="N446" s="11"/>
      <c r="O446" s="11"/>
      <c r="P446" s="11"/>
      <c r="Q446" s="11"/>
      <c r="R446" s="11"/>
      <c r="S446" s="11"/>
      <c r="T446" s="11"/>
      <c r="U446" s="11"/>
      <c r="V446" s="11"/>
      <c r="W446" s="11"/>
      <c r="X446" s="11"/>
      <c r="Y446" s="11"/>
      <c r="Z446" s="11"/>
    </row>
    <row r="447" ht="15.75" customHeight="1">
      <c r="A447" s="11"/>
      <c r="B447" s="13"/>
      <c r="C447" s="13"/>
      <c r="D447" s="13"/>
      <c r="E447" s="13"/>
      <c r="F447" s="13"/>
      <c r="G447" s="41"/>
      <c r="H447" s="12"/>
      <c r="I447" s="11"/>
      <c r="J447" s="11"/>
      <c r="K447" s="11"/>
      <c r="L447" s="11"/>
      <c r="M447" s="11"/>
      <c r="N447" s="11"/>
      <c r="O447" s="11"/>
      <c r="P447" s="11"/>
      <c r="Q447" s="11"/>
      <c r="R447" s="11"/>
      <c r="S447" s="11"/>
      <c r="T447" s="11"/>
      <c r="U447" s="11"/>
      <c r="V447" s="11"/>
      <c r="W447" s="11"/>
      <c r="X447" s="11"/>
      <c r="Y447" s="11"/>
      <c r="Z447" s="11"/>
    </row>
    <row r="448" ht="15.75" customHeight="1">
      <c r="A448" s="11"/>
      <c r="B448" s="13"/>
      <c r="C448" s="13"/>
      <c r="D448" s="13"/>
      <c r="E448" s="13"/>
      <c r="F448" s="13"/>
      <c r="G448" s="41"/>
      <c r="H448" s="12"/>
      <c r="I448" s="11"/>
      <c r="J448" s="11"/>
      <c r="K448" s="11"/>
      <c r="L448" s="11"/>
      <c r="M448" s="11"/>
      <c r="N448" s="11"/>
      <c r="O448" s="11"/>
      <c r="P448" s="11"/>
      <c r="Q448" s="11"/>
      <c r="R448" s="11"/>
      <c r="S448" s="11"/>
      <c r="T448" s="11"/>
      <c r="U448" s="11"/>
      <c r="V448" s="11"/>
      <c r="W448" s="11"/>
      <c r="X448" s="11"/>
      <c r="Y448" s="11"/>
      <c r="Z448" s="11"/>
    </row>
    <row r="449" ht="15.75" customHeight="1">
      <c r="A449" s="11"/>
      <c r="B449" s="13"/>
      <c r="C449" s="13"/>
      <c r="D449" s="13"/>
      <c r="E449" s="13"/>
      <c r="F449" s="13"/>
      <c r="G449" s="41"/>
      <c r="H449" s="12"/>
      <c r="I449" s="11"/>
      <c r="J449" s="11"/>
      <c r="K449" s="11"/>
      <c r="L449" s="11"/>
      <c r="M449" s="11"/>
      <c r="N449" s="11"/>
      <c r="O449" s="11"/>
      <c r="P449" s="11"/>
      <c r="Q449" s="11"/>
      <c r="R449" s="11"/>
      <c r="S449" s="11"/>
      <c r="T449" s="11"/>
      <c r="U449" s="11"/>
      <c r="V449" s="11"/>
      <c r="W449" s="11"/>
      <c r="X449" s="11"/>
      <c r="Y449" s="11"/>
      <c r="Z449" s="11"/>
    </row>
    <row r="450" ht="15.75" customHeight="1">
      <c r="A450" s="11"/>
      <c r="B450" s="13"/>
      <c r="C450" s="13"/>
      <c r="D450" s="13"/>
      <c r="E450" s="13"/>
      <c r="F450" s="13"/>
      <c r="G450" s="41"/>
      <c r="H450" s="12"/>
      <c r="I450" s="11"/>
      <c r="J450" s="11"/>
      <c r="K450" s="11"/>
      <c r="L450" s="11"/>
      <c r="M450" s="11"/>
      <c r="N450" s="11"/>
      <c r="O450" s="11"/>
      <c r="P450" s="11"/>
      <c r="Q450" s="11"/>
      <c r="R450" s="11"/>
      <c r="S450" s="11"/>
      <c r="T450" s="11"/>
      <c r="U450" s="11"/>
      <c r="V450" s="11"/>
      <c r="W450" s="11"/>
      <c r="X450" s="11"/>
      <c r="Y450" s="11"/>
      <c r="Z450" s="11"/>
    </row>
    <row r="451" ht="15.75" customHeight="1">
      <c r="A451" s="11"/>
      <c r="B451" s="13"/>
      <c r="C451" s="13"/>
      <c r="D451" s="13"/>
      <c r="E451" s="13"/>
      <c r="F451" s="13"/>
      <c r="G451" s="41"/>
      <c r="H451" s="12"/>
      <c r="I451" s="11"/>
      <c r="J451" s="11"/>
      <c r="K451" s="11"/>
      <c r="L451" s="11"/>
      <c r="M451" s="11"/>
      <c r="N451" s="11"/>
      <c r="O451" s="11"/>
      <c r="P451" s="11"/>
      <c r="Q451" s="11"/>
      <c r="R451" s="11"/>
      <c r="S451" s="11"/>
      <c r="T451" s="11"/>
      <c r="U451" s="11"/>
      <c r="V451" s="11"/>
      <c r="W451" s="11"/>
      <c r="X451" s="11"/>
      <c r="Y451" s="11"/>
      <c r="Z451" s="11"/>
    </row>
    <row r="452" ht="15.75" customHeight="1">
      <c r="A452" s="11"/>
      <c r="B452" s="13"/>
      <c r="C452" s="13"/>
      <c r="D452" s="13"/>
      <c r="E452" s="13"/>
      <c r="F452" s="13"/>
      <c r="G452" s="41"/>
      <c r="H452" s="12"/>
      <c r="I452" s="11"/>
      <c r="J452" s="11"/>
      <c r="K452" s="11"/>
      <c r="L452" s="11"/>
      <c r="M452" s="11"/>
      <c r="N452" s="11"/>
      <c r="O452" s="11"/>
      <c r="P452" s="11"/>
      <c r="Q452" s="11"/>
      <c r="R452" s="11"/>
      <c r="S452" s="11"/>
      <c r="T452" s="11"/>
      <c r="U452" s="11"/>
      <c r="V452" s="11"/>
      <c r="W452" s="11"/>
      <c r="X452" s="11"/>
      <c r="Y452" s="11"/>
      <c r="Z452" s="11"/>
    </row>
    <row r="453" ht="15.75" customHeight="1">
      <c r="A453" s="11"/>
      <c r="B453" s="13"/>
      <c r="C453" s="13"/>
      <c r="D453" s="13"/>
      <c r="E453" s="13"/>
      <c r="F453" s="13"/>
      <c r="G453" s="41"/>
      <c r="H453" s="12"/>
      <c r="I453" s="11"/>
      <c r="J453" s="11"/>
      <c r="K453" s="11"/>
      <c r="L453" s="11"/>
      <c r="M453" s="11"/>
      <c r="N453" s="11"/>
      <c r="O453" s="11"/>
      <c r="P453" s="11"/>
      <c r="Q453" s="11"/>
      <c r="R453" s="11"/>
      <c r="S453" s="11"/>
      <c r="T453" s="11"/>
      <c r="U453" s="11"/>
      <c r="V453" s="11"/>
      <c r="W453" s="11"/>
      <c r="X453" s="11"/>
      <c r="Y453" s="11"/>
      <c r="Z453" s="11"/>
    </row>
    <row r="454" ht="15.75" customHeight="1">
      <c r="A454" s="11"/>
      <c r="B454" s="13"/>
      <c r="C454" s="13"/>
      <c r="D454" s="13"/>
      <c r="E454" s="13"/>
      <c r="F454" s="13"/>
      <c r="G454" s="41"/>
      <c r="H454" s="12"/>
      <c r="I454" s="11"/>
      <c r="J454" s="11"/>
      <c r="K454" s="11"/>
      <c r="L454" s="11"/>
      <c r="M454" s="11"/>
      <c r="N454" s="11"/>
      <c r="O454" s="11"/>
      <c r="P454" s="11"/>
      <c r="Q454" s="11"/>
      <c r="R454" s="11"/>
      <c r="S454" s="11"/>
      <c r="T454" s="11"/>
      <c r="U454" s="11"/>
      <c r="V454" s="11"/>
      <c r="W454" s="11"/>
      <c r="X454" s="11"/>
      <c r="Y454" s="11"/>
      <c r="Z454" s="11"/>
    </row>
    <row r="455" ht="15.75" customHeight="1">
      <c r="A455" s="11"/>
      <c r="B455" s="13"/>
      <c r="C455" s="13"/>
      <c r="D455" s="13"/>
      <c r="E455" s="13"/>
      <c r="F455" s="13"/>
      <c r="G455" s="41"/>
      <c r="H455" s="12"/>
      <c r="I455" s="11"/>
      <c r="J455" s="11"/>
      <c r="K455" s="11"/>
      <c r="L455" s="11"/>
      <c r="M455" s="11"/>
      <c r="N455" s="11"/>
      <c r="O455" s="11"/>
      <c r="P455" s="11"/>
      <c r="Q455" s="11"/>
      <c r="R455" s="11"/>
      <c r="S455" s="11"/>
      <c r="T455" s="11"/>
      <c r="U455" s="11"/>
      <c r="V455" s="11"/>
      <c r="W455" s="11"/>
      <c r="X455" s="11"/>
      <c r="Y455" s="11"/>
      <c r="Z455" s="11"/>
    </row>
    <row r="456" ht="15.75" customHeight="1">
      <c r="A456" s="11"/>
      <c r="B456" s="13"/>
      <c r="C456" s="13"/>
      <c r="D456" s="13"/>
      <c r="E456" s="13"/>
      <c r="F456" s="13"/>
      <c r="G456" s="41"/>
      <c r="H456" s="12"/>
      <c r="I456" s="11"/>
      <c r="J456" s="11"/>
      <c r="K456" s="11"/>
      <c r="L456" s="11"/>
      <c r="M456" s="11"/>
      <c r="N456" s="11"/>
      <c r="O456" s="11"/>
      <c r="P456" s="11"/>
      <c r="Q456" s="11"/>
      <c r="R456" s="11"/>
      <c r="S456" s="11"/>
      <c r="T456" s="11"/>
      <c r="U456" s="11"/>
      <c r="V456" s="11"/>
      <c r="W456" s="11"/>
      <c r="X456" s="11"/>
      <c r="Y456" s="11"/>
      <c r="Z456" s="11"/>
    </row>
    <row r="457" ht="15.75" customHeight="1">
      <c r="A457" s="11"/>
      <c r="B457" s="13"/>
      <c r="C457" s="13"/>
      <c r="D457" s="13"/>
      <c r="E457" s="13"/>
      <c r="F457" s="13"/>
      <c r="G457" s="41"/>
      <c r="H457" s="12"/>
      <c r="I457" s="11"/>
      <c r="J457" s="11"/>
      <c r="K457" s="11"/>
      <c r="L457" s="11"/>
      <c r="M457" s="11"/>
      <c r="N457" s="11"/>
      <c r="O457" s="11"/>
      <c r="P457" s="11"/>
      <c r="Q457" s="11"/>
      <c r="R457" s="11"/>
      <c r="S457" s="11"/>
      <c r="T457" s="11"/>
      <c r="U457" s="11"/>
      <c r="V457" s="11"/>
      <c r="W457" s="11"/>
      <c r="X457" s="11"/>
      <c r="Y457" s="11"/>
      <c r="Z457" s="11"/>
    </row>
    <row r="458" ht="15.75" customHeight="1">
      <c r="A458" s="11"/>
      <c r="B458" s="13"/>
      <c r="C458" s="13"/>
      <c r="D458" s="13"/>
      <c r="E458" s="13"/>
      <c r="F458" s="13"/>
      <c r="G458" s="41"/>
      <c r="H458" s="12"/>
      <c r="I458" s="11"/>
      <c r="J458" s="11"/>
      <c r="K458" s="11"/>
      <c r="L458" s="11"/>
      <c r="M458" s="11"/>
      <c r="N458" s="11"/>
      <c r="O458" s="11"/>
      <c r="P458" s="11"/>
      <c r="Q458" s="11"/>
      <c r="R458" s="11"/>
      <c r="S458" s="11"/>
      <c r="T458" s="11"/>
      <c r="U458" s="11"/>
      <c r="V458" s="11"/>
      <c r="W458" s="11"/>
      <c r="X458" s="11"/>
      <c r="Y458" s="11"/>
      <c r="Z458" s="11"/>
    </row>
    <row r="459" ht="15.75" customHeight="1">
      <c r="A459" s="11"/>
      <c r="B459" s="13"/>
      <c r="C459" s="13"/>
      <c r="D459" s="13"/>
      <c r="E459" s="13"/>
      <c r="F459" s="13"/>
      <c r="G459" s="41"/>
      <c r="H459" s="12"/>
      <c r="I459" s="11"/>
      <c r="J459" s="11"/>
      <c r="K459" s="11"/>
      <c r="L459" s="11"/>
      <c r="M459" s="11"/>
      <c r="N459" s="11"/>
      <c r="O459" s="11"/>
      <c r="P459" s="11"/>
      <c r="Q459" s="11"/>
      <c r="R459" s="11"/>
      <c r="S459" s="11"/>
      <c r="T459" s="11"/>
      <c r="U459" s="11"/>
      <c r="V459" s="11"/>
      <c r="W459" s="11"/>
      <c r="X459" s="11"/>
      <c r="Y459" s="11"/>
      <c r="Z459" s="11"/>
    </row>
    <row r="460" ht="15.75" customHeight="1">
      <c r="A460" s="11"/>
      <c r="B460" s="13"/>
      <c r="C460" s="13"/>
      <c r="D460" s="13"/>
      <c r="E460" s="13"/>
      <c r="F460" s="13"/>
      <c r="G460" s="41"/>
      <c r="H460" s="12"/>
      <c r="I460" s="11"/>
      <c r="J460" s="11"/>
      <c r="K460" s="11"/>
      <c r="L460" s="11"/>
      <c r="M460" s="11"/>
      <c r="N460" s="11"/>
      <c r="O460" s="11"/>
      <c r="P460" s="11"/>
      <c r="Q460" s="11"/>
      <c r="R460" s="11"/>
      <c r="S460" s="11"/>
      <c r="T460" s="11"/>
      <c r="U460" s="11"/>
      <c r="V460" s="11"/>
      <c r="W460" s="11"/>
      <c r="X460" s="11"/>
      <c r="Y460" s="11"/>
      <c r="Z460" s="11"/>
    </row>
    <row r="461" ht="15.75" customHeight="1">
      <c r="A461" s="11"/>
      <c r="B461" s="13"/>
      <c r="C461" s="13"/>
      <c r="D461" s="13"/>
      <c r="E461" s="13"/>
      <c r="F461" s="13"/>
      <c r="G461" s="41"/>
      <c r="H461" s="12"/>
      <c r="I461" s="11"/>
      <c r="J461" s="11"/>
      <c r="K461" s="11"/>
      <c r="L461" s="11"/>
      <c r="M461" s="11"/>
      <c r="N461" s="11"/>
      <c r="O461" s="11"/>
      <c r="P461" s="11"/>
      <c r="Q461" s="11"/>
      <c r="R461" s="11"/>
      <c r="S461" s="11"/>
      <c r="T461" s="11"/>
      <c r="U461" s="11"/>
      <c r="V461" s="11"/>
      <c r="W461" s="11"/>
      <c r="X461" s="11"/>
      <c r="Y461" s="11"/>
      <c r="Z461" s="11"/>
    </row>
    <row r="462" ht="15.75" customHeight="1">
      <c r="A462" s="11"/>
      <c r="B462" s="13"/>
      <c r="C462" s="13"/>
      <c r="D462" s="13"/>
      <c r="E462" s="13"/>
      <c r="F462" s="13"/>
      <c r="G462" s="41"/>
      <c r="H462" s="12"/>
      <c r="I462" s="11"/>
      <c r="J462" s="11"/>
      <c r="K462" s="11"/>
      <c r="L462" s="11"/>
      <c r="M462" s="11"/>
      <c r="N462" s="11"/>
      <c r="O462" s="11"/>
      <c r="P462" s="11"/>
      <c r="Q462" s="11"/>
      <c r="R462" s="11"/>
      <c r="S462" s="11"/>
      <c r="T462" s="11"/>
      <c r="U462" s="11"/>
      <c r="V462" s="11"/>
      <c r="W462" s="11"/>
      <c r="X462" s="11"/>
      <c r="Y462" s="11"/>
      <c r="Z462" s="11"/>
    </row>
    <row r="463" ht="15.75" customHeight="1">
      <c r="A463" s="11"/>
      <c r="B463" s="13"/>
      <c r="C463" s="13"/>
      <c r="D463" s="13"/>
      <c r="E463" s="13"/>
      <c r="F463" s="13"/>
      <c r="G463" s="41"/>
      <c r="H463" s="12"/>
      <c r="I463" s="11"/>
      <c r="J463" s="11"/>
      <c r="K463" s="11"/>
      <c r="L463" s="11"/>
      <c r="M463" s="11"/>
      <c r="N463" s="11"/>
      <c r="O463" s="11"/>
      <c r="P463" s="11"/>
      <c r="Q463" s="11"/>
      <c r="R463" s="11"/>
      <c r="S463" s="11"/>
      <c r="T463" s="11"/>
      <c r="U463" s="11"/>
      <c r="V463" s="11"/>
      <c r="W463" s="11"/>
      <c r="X463" s="11"/>
      <c r="Y463" s="11"/>
      <c r="Z463" s="11"/>
    </row>
    <row r="464" ht="15.75" customHeight="1">
      <c r="A464" s="11"/>
      <c r="B464" s="13"/>
      <c r="C464" s="13"/>
      <c r="D464" s="13"/>
      <c r="E464" s="13"/>
      <c r="F464" s="13"/>
      <c r="G464" s="41"/>
      <c r="H464" s="12"/>
      <c r="I464" s="11"/>
      <c r="J464" s="11"/>
      <c r="K464" s="11"/>
      <c r="L464" s="11"/>
      <c r="M464" s="11"/>
      <c r="N464" s="11"/>
      <c r="O464" s="11"/>
      <c r="P464" s="11"/>
      <c r="Q464" s="11"/>
      <c r="R464" s="11"/>
      <c r="S464" s="11"/>
      <c r="T464" s="11"/>
      <c r="U464" s="11"/>
      <c r="V464" s="11"/>
      <c r="W464" s="11"/>
      <c r="X464" s="11"/>
      <c r="Y464" s="11"/>
      <c r="Z464" s="11"/>
    </row>
    <row r="465" ht="15.75" customHeight="1">
      <c r="A465" s="11"/>
      <c r="B465" s="13"/>
      <c r="C465" s="13"/>
      <c r="D465" s="13"/>
      <c r="E465" s="13"/>
      <c r="F465" s="13"/>
      <c r="G465" s="41"/>
      <c r="H465" s="12"/>
      <c r="I465" s="11"/>
      <c r="J465" s="11"/>
      <c r="K465" s="11"/>
      <c r="L465" s="11"/>
      <c r="M465" s="11"/>
      <c r="N465" s="11"/>
      <c r="O465" s="11"/>
      <c r="P465" s="11"/>
      <c r="Q465" s="11"/>
      <c r="R465" s="11"/>
      <c r="S465" s="11"/>
      <c r="T465" s="11"/>
      <c r="U465" s="11"/>
      <c r="V465" s="11"/>
      <c r="W465" s="11"/>
      <c r="X465" s="11"/>
      <c r="Y465" s="11"/>
      <c r="Z465" s="11"/>
    </row>
    <row r="466" ht="15.75" customHeight="1">
      <c r="A466" s="11"/>
      <c r="B466" s="13"/>
      <c r="C466" s="13"/>
      <c r="D466" s="13"/>
      <c r="E466" s="13"/>
      <c r="F466" s="13"/>
      <c r="G466" s="41"/>
      <c r="H466" s="12"/>
      <c r="I466" s="11"/>
      <c r="J466" s="11"/>
      <c r="K466" s="11"/>
      <c r="L466" s="11"/>
      <c r="M466" s="11"/>
      <c r="N466" s="11"/>
      <c r="O466" s="11"/>
      <c r="P466" s="11"/>
      <c r="Q466" s="11"/>
      <c r="R466" s="11"/>
      <c r="S466" s="11"/>
      <c r="T466" s="11"/>
      <c r="U466" s="11"/>
      <c r="V466" s="11"/>
      <c r="W466" s="11"/>
      <c r="X466" s="11"/>
      <c r="Y466" s="11"/>
      <c r="Z466" s="11"/>
    </row>
    <row r="467" ht="15.75" customHeight="1">
      <c r="A467" s="11"/>
      <c r="B467" s="13"/>
      <c r="C467" s="13"/>
      <c r="D467" s="13"/>
      <c r="E467" s="13"/>
      <c r="F467" s="13"/>
      <c r="G467" s="41"/>
      <c r="H467" s="12"/>
      <c r="I467" s="11"/>
      <c r="J467" s="11"/>
      <c r="K467" s="11"/>
      <c r="L467" s="11"/>
      <c r="M467" s="11"/>
      <c r="N467" s="11"/>
      <c r="O467" s="11"/>
      <c r="P467" s="11"/>
      <c r="Q467" s="11"/>
      <c r="R467" s="11"/>
      <c r="S467" s="11"/>
      <c r="T467" s="11"/>
      <c r="U467" s="11"/>
      <c r="V467" s="11"/>
      <c r="W467" s="11"/>
      <c r="X467" s="11"/>
      <c r="Y467" s="11"/>
      <c r="Z467" s="11"/>
    </row>
    <row r="468" ht="15.75" customHeight="1">
      <c r="A468" s="11"/>
      <c r="B468" s="13"/>
      <c r="C468" s="13"/>
      <c r="D468" s="13"/>
      <c r="E468" s="13"/>
      <c r="F468" s="13"/>
      <c r="G468" s="41"/>
      <c r="H468" s="12"/>
      <c r="I468" s="11"/>
      <c r="J468" s="11"/>
      <c r="K468" s="11"/>
      <c r="L468" s="11"/>
      <c r="M468" s="11"/>
      <c r="N468" s="11"/>
      <c r="O468" s="11"/>
      <c r="P468" s="11"/>
      <c r="Q468" s="11"/>
      <c r="R468" s="11"/>
      <c r="S468" s="11"/>
      <c r="T468" s="11"/>
      <c r="U468" s="11"/>
      <c r="V468" s="11"/>
      <c r="W468" s="11"/>
      <c r="X468" s="11"/>
      <c r="Y468" s="11"/>
      <c r="Z468" s="11"/>
    </row>
    <row r="469" ht="15.75" customHeight="1">
      <c r="A469" s="11"/>
      <c r="B469" s="13"/>
      <c r="C469" s="13"/>
      <c r="D469" s="13"/>
      <c r="E469" s="13"/>
      <c r="F469" s="13"/>
      <c r="G469" s="41"/>
      <c r="H469" s="12"/>
      <c r="I469" s="11"/>
      <c r="J469" s="11"/>
      <c r="K469" s="11"/>
      <c r="L469" s="11"/>
      <c r="M469" s="11"/>
      <c r="N469" s="11"/>
      <c r="O469" s="11"/>
      <c r="P469" s="11"/>
      <c r="Q469" s="11"/>
      <c r="R469" s="11"/>
      <c r="S469" s="11"/>
      <c r="T469" s="11"/>
      <c r="U469" s="11"/>
      <c r="V469" s="11"/>
      <c r="W469" s="11"/>
      <c r="X469" s="11"/>
      <c r="Y469" s="11"/>
      <c r="Z469" s="11"/>
    </row>
    <row r="470" ht="15.75" customHeight="1">
      <c r="A470" s="11"/>
      <c r="B470" s="13"/>
      <c r="C470" s="13"/>
      <c r="D470" s="13"/>
      <c r="E470" s="13"/>
      <c r="F470" s="13"/>
      <c r="G470" s="41"/>
      <c r="H470" s="12"/>
      <c r="I470" s="11"/>
      <c r="J470" s="11"/>
      <c r="K470" s="11"/>
      <c r="L470" s="11"/>
      <c r="M470" s="11"/>
      <c r="N470" s="11"/>
      <c r="O470" s="11"/>
      <c r="P470" s="11"/>
      <c r="Q470" s="11"/>
      <c r="R470" s="11"/>
      <c r="S470" s="11"/>
      <c r="T470" s="11"/>
      <c r="U470" s="11"/>
      <c r="V470" s="11"/>
      <c r="W470" s="11"/>
      <c r="X470" s="11"/>
      <c r="Y470" s="11"/>
      <c r="Z470" s="11"/>
    </row>
    <row r="471" ht="15.75" customHeight="1">
      <c r="A471" s="11"/>
      <c r="B471" s="13"/>
      <c r="C471" s="13"/>
      <c r="D471" s="13"/>
      <c r="E471" s="13"/>
      <c r="F471" s="13"/>
      <c r="G471" s="41"/>
      <c r="H471" s="12"/>
      <c r="I471" s="11"/>
      <c r="J471" s="11"/>
      <c r="K471" s="11"/>
      <c r="L471" s="11"/>
      <c r="M471" s="11"/>
      <c r="N471" s="11"/>
      <c r="O471" s="11"/>
      <c r="P471" s="11"/>
      <c r="Q471" s="11"/>
      <c r="R471" s="11"/>
      <c r="S471" s="11"/>
      <c r="T471" s="11"/>
      <c r="U471" s="11"/>
      <c r="V471" s="11"/>
      <c r="W471" s="11"/>
      <c r="X471" s="11"/>
      <c r="Y471" s="11"/>
      <c r="Z471" s="11"/>
    </row>
    <row r="472" ht="15.75" customHeight="1">
      <c r="A472" s="11"/>
      <c r="B472" s="13"/>
      <c r="C472" s="13"/>
      <c r="D472" s="13"/>
      <c r="E472" s="13"/>
      <c r="F472" s="13"/>
      <c r="G472" s="41"/>
      <c r="H472" s="12"/>
      <c r="I472" s="11"/>
      <c r="J472" s="11"/>
      <c r="K472" s="11"/>
      <c r="L472" s="11"/>
      <c r="M472" s="11"/>
      <c r="N472" s="11"/>
      <c r="O472" s="11"/>
      <c r="P472" s="11"/>
      <c r="Q472" s="11"/>
      <c r="R472" s="11"/>
      <c r="S472" s="11"/>
      <c r="T472" s="11"/>
      <c r="U472" s="11"/>
      <c r="V472" s="11"/>
      <c r="W472" s="11"/>
      <c r="X472" s="11"/>
      <c r="Y472" s="11"/>
      <c r="Z472" s="11"/>
    </row>
    <row r="473" ht="15.75" customHeight="1">
      <c r="A473" s="11"/>
      <c r="B473" s="13"/>
      <c r="C473" s="13"/>
      <c r="D473" s="13"/>
      <c r="E473" s="13"/>
      <c r="F473" s="13"/>
      <c r="G473" s="41"/>
      <c r="H473" s="12"/>
      <c r="I473" s="11"/>
      <c r="J473" s="11"/>
      <c r="K473" s="11"/>
      <c r="L473" s="11"/>
      <c r="M473" s="11"/>
      <c r="N473" s="11"/>
      <c r="O473" s="11"/>
      <c r="P473" s="11"/>
      <c r="Q473" s="11"/>
      <c r="R473" s="11"/>
      <c r="S473" s="11"/>
      <c r="T473" s="11"/>
      <c r="U473" s="11"/>
      <c r="V473" s="11"/>
      <c r="W473" s="11"/>
      <c r="X473" s="11"/>
      <c r="Y473" s="11"/>
      <c r="Z473" s="11"/>
    </row>
    <row r="474" ht="15.75" customHeight="1">
      <c r="A474" s="11"/>
      <c r="B474" s="13"/>
      <c r="C474" s="13"/>
      <c r="D474" s="13"/>
      <c r="E474" s="13"/>
      <c r="F474" s="13"/>
      <c r="G474" s="41"/>
      <c r="H474" s="12"/>
      <c r="I474" s="11"/>
      <c r="J474" s="11"/>
      <c r="K474" s="11"/>
      <c r="L474" s="11"/>
      <c r="M474" s="11"/>
      <c r="N474" s="11"/>
      <c r="O474" s="11"/>
      <c r="P474" s="11"/>
      <c r="Q474" s="11"/>
      <c r="R474" s="11"/>
      <c r="S474" s="11"/>
      <c r="T474" s="11"/>
      <c r="U474" s="11"/>
      <c r="V474" s="11"/>
      <c r="W474" s="11"/>
      <c r="X474" s="11"/>
      <c r="Y474" s="11"/>
      <c r="Z474" s="11"/>
    </row>
    <row r="475" ht="15.75" customHeight="1">
      <c r="A475" s="11"/>
      <c r="B475" s="13"/>
      <c r="C475" s="13"/>
      <c r="D475" s="13"/>
      <c r="E475" s="13"/>
      <c r="F475" s="13"/>
      <c r="G475" s="41"/>
      <c r="H475" s="12"/>
      <c r="I475" s="11"/>
      <c r="J475" s="11"/>
      <c r="K475" s="11"/>
      <c r="L475" s="11"/>
      <c r="M475" s="11"/>
      <c r="N475" s="11"/>
      <c r="O475" s="11"/>
      <c r="P475" s="11"/>
      <c r="Q475" s="11"/>
      <c r="R475" s="11"/>
      <c r="S475" s="11"/>
      <c r="T475" s="11"/>
      <c r="U475" s="11"/>
      <c r="V475" s="11"/>
      <c r="W475" s="11"/>
      <c r="X475" s="11"/>
      <c r="Y475" s="11"/>
      <c r="Z475" s="11"/>
    </row>
    <row r="476" ht="15.75" customHeight="1">
      <c r="A476" s="11"/>
      <c r="B476" s="13"/>
      <c r="C476" s="13"/>
      <c r="D476" s="13"/>
      <c r="E476" s="13"/>
      <c r="F476" s="13"/>
      <c r="G476" s="41"/>
      <c r="H476" s="12"/>
      <c r="I476" s="11"/>
      <c r="J476" s="11"/>
      <c r="K476" s="11"/>
      <c r="L476" s="11"/>
      <c r="M476" s="11"/>
      <c r="N476" s="11"/>
      <c r="O476" s="11"/>
      <c r="P476" s="11"/>
      <c r="Q476" s="11"/>
      <c r="R476" s="11"/>
      <c r="S476" s="11"/>
      <c r="T476" s="11"/>
      <c r="U476" s="11"/>
      <c r="V476" s="11"/>
      <c r="W476" s="11"/>
      <c r="X476" s="11"/>
      <c r="Y476" s="11"/>
      <c r="Z476" s="11"/>
    </row>
    <row r="477" ht="15.75" customHeight="1">
      <c r="A477" s="11"/>
      <c r="B477" s="13"/>
      <c r="C477" s="13"/>
      <c r="D477" s="13"/>
      <c r="E477" s="13"/>
      <c r="F477" s="13"/>
      <c r="G477" s="41"/>
      <c r="H477" s="12"/>
      <c r="I477" s="11"/>
      <c r="J477" s="11"/>
      <c r="K477" s="11"/>
      <c r="L477" s="11"/>
      <c r="M477" s="11"/>
      <c r="N477" s="11"/>
      <c r="O477" s="11"/>
      <c r="P477" s="11"/>
      <c r="Q477" s="11"/>
      <c r="R477" s="11"/>
      <c r="S477" s="11"/>
      <c r="T477" s="11"/>
      <c r="U477" s="11"/>
      <c r="V477" s="11"/>
      <c r="W477" s="11"/>
      <c r="X477" s="11"/>
      <c r="Y477" s="11"/>
      <c r="Z477" s="11"/>
    </row>
    <row r="478" ht="15.75" customHeight="1">
      <c r="A478" s="11"/>
      <c r="B478" s="13"/>
      <c r="C478" s="13"/>
      <c r="D478" s="13"/>
      <c r="E478" s="13"/>
      <c r="F478" s="13"/>
      <c r="G478" s="41"/>
      <c r="H478" s="12"/>
      <c r="I478" s="11"/>
      <c r="J478" s="11"/>
      <c r="K478" s="11"/>
      <c r="L478" s="11"/>
      <c r="M478" s="11"/>
      <c r="N478" s="11"/>
      <c r="O478" s="11"/>
      <c r="P478" s="11"/>
      <c r="Q478" s="11"/>
      <c r="R478" s="11"/>
      <c r="S478" s="11"/>
      <c r="T478" s="11"/>
      <c r="U478" s="11"/>
      <c r="V478" s="11"/>
      <c r="W478" s="11"/>
      <c r="X478" s="11"/>
      <c r="Y478" s="11"/>
      <c r="Z478" s="11"/>
    </row>
    <row r="479" ht="15.75" customHeight="1">
      <c r="A479" s="11"/>
      <c r="B479" s="13"/>
      <c r="C479" s="13"/>
      <c r="D479" s="13"/>
      <c r="E479" s="13"/>
      <c r="F479" s="13"/>
      <c r="G479" s="41"/>
      <c r="H479" s="12"/>
      <c r="I479" s="11"/>
      <c r="J479" s="11"/>
      <c r="K479" s="11"/>
      <c r="L479" s="11"/>
      <c r="M479" s="11"/>
      <c r="N479" s="11"/>
      <c r="O479" s="11"/>
      <c r="P479" s="11"/>
      <c r="Q479" s="11"/>
      <c r="R479" s="11"/>
      <c r="S479" s="11"/>
      <c r="T479" s="11"/>
      <c r="U479" s="11"/>
      <c r="V479" s="11"/>
      <c r="W479" s="11"/>
      <c r="X479" s="11"/>
      <c r="Y479" s="11"/>
      <c r="Z479" s="11"/>
    </row>
    <row r="480" ht="15.75" customHeight="1">
      <c r="A480" s="11"/>
      <c r="B480" s="13"/>
      <c r="C480" s="13"/>
      <c r="D480" s="13"/>
      <c r="E480" s="13"/>
      <c r="F480" s="13"/>
      <c r="G480" s="41"/>
      <c r="H480" s="12"/>
      <c r="I480" s="11"/>
      <c r="J480" s="11"/>
      <c r="K480" s="11"/>
      <c r="L480" s="11"/>
      <c r="M480" s="11"/>
      <c r="N480" s="11"/>
      <c r="O480" s="11"/>
      <c r="P480" s="11"/>
      <c r="Q480" s="11"/>
      <c r="R480" s="11"/>
      <c r="S480" s="11"/>
      <c r="T480" s="11"/>
      <c r="U480" s="11"/>
      <c r="V480" s="11"/>
      <c r="W480" s="11"/>
      <c r="X480" s="11"/>
      <c r="Y480" s="11"/>
      <c r="Z480" s="11"/>
    </row>
    <row r="481" ht="15.75" customHeight="1">
      <c r="A481" s="11"/>
      <c r="B481" s="13"/>
      <c r="C481" s="13"/>
      <c r="D481" s="13"/>
      <c r="E481" s="13"/>
      <c r="F481" s="13"/>
      <c r="G481" s="41"/>
      <c r="H481" s="12"/>
      <c r="I481" s="11"/>
      <c r="J481" s="11"/>
      <c r="K481" s="11"/>
      <c r="L481" s="11"/>
      <c r="M481" s="11"/>
      <c r="N481" s="11"/>
      <c r="O481" s="11"/>
      <c r="P481" s="11"/>
      <c r="Q481" s="11"/>
      <c r="R481" s="11"/>
      <c r="S481" s="11"/>
      <c r="T481" s="11"/>
      <c r="U481" s="11"/>
      <c r="V481" s="11"/>
      <c r="W481" s="11"/>
      <c r="X481" s="11"/>
      <c r="Y481" s="11"/>
      <c r="Z481" s="11"/>
    </row>
    <row r="482" ht="15.75" customHeight="1">
      <c r="A482" s="11"/>
      <c r="B482" s="13"/>
      <c r="C482" s="13"/>
      <c r="D482" s="13"/>
      <c r="E482" s="13"/>
      <c r="F482" s="13"/>
      <c r="G482" s="41"/>
      <c r="H482" s="12"/>
      <c r="I482" s="11"/>
      <c r="J482" s="11"/>
      <c r="K482" s="11"/>
      <c r="L482" s="11"/>
      <c r="M482" s="11"/>
      <c r="N482" s="11"/>
      <c r="O482" s="11"/>
      <c r="P482" s="11"/>
      <c r="Q482" s="11"/>
      <c r="R482" s="11"/>
      <c r="S482" s="11"/>
      <c r="T482" s="11"/>
      <c r="U482" s="11"/>
      <c r="V482" s="11"/>
      <c r="W482" s="11"/>
      <c r="X482" s="11"/>
      <c r="Y482" s="11"/>
      <c r="Z482" s="11"/>
    </row>
    <row r="483" ht="15.75" customHeight="1">
      <c r="A483" s="11"/>
      <c r="B483" s="13"/>
      <c r="C483" s="13"/>
      <c r="D483" s="13"/>
      <c r="E483" s="13"/>
      <c r="F483" s="13"/>
      <c r="G483" s="41"/>
      <c r="H483" s="12"/>
      <c r="I483" s="11"/>
      <c r="J483" s="11"/>
      <c r="K483" s="11"/>
      <c r="L483" s="11"/>
      <c r="M483" s="11"/>
      <c r="N483" s="11"/>
      <c r="O483" s="11"/>
      <c r="P483" s="11"/>
      <c r="Q483" s="11"/>
      <c r="R483" s="11"/>
      <c r="S483" s="11"/>
      <c r="T483" s="11"/>
      <c r="U483" s="11"/>
      <c r="V483" s="11"/>
      <c r="W483" s="11"/>
      <c r="X483" s="11"/>
      <c r="Y483" s="11"/>
      <c r="Z483" s="11"/>
    </row>
    <row r="484" ht="15.75" customHeight="1">
      <c r="A484" s="11"/>
      <c r="B484" s="13"/>
      <c r="C484" s="13"/>
      <c r="D484" s="13"/>
      <c r="E484" s="13"/>
      <c r="F484" s="13"/>
      <c r="G484" s="41"/>
      <c r="H484" s="12"/>
      <c r="I484" s="11"/>
      <c r="J484" s="11"/>
      <c r="K484" s="11"/>
      <c r="L484" s="11"/>
      <c r="M484" s="11"/>
      <c r="N484" s="11"/>
      <c r="O484" s="11"/>
      <c r="P484" s="11"/>
      <c r="Q484" s="11"/>
      <c r="R484" s="11"/>
      <c r="S484" s="11"/>
      <c r="T484" s="11"/>
      <c r="U484" s="11"/>
      <c r="V484" s="11"/>
      <c r="W484" s="11"/>
      <c r="X484" s="11"/>
      <c r="Y484" s="11"/>
      <c r="Z484" s="11"/>
    </row>
    <row r="485" ht="15.75" customHeight="1">
      <c r="A485" s="11"/>
      <c r="B485" s="13"/>
      <c r="C485" s="13"/>
      <c r="D485" s="13"/>
      <c r="E485" s="13"/>
      <c r="F485" s="13"/>
      <c r="G485" s="41"/>
      <c r="H485" s="12"/>
      <c r="I485" s="11"/>
      <c r="J485" s="11"/>
      <c r="K485" s="11"/>
      <c r="L485" s="11"/>
      <c r="M485" s="11"/>
      <c r="N485" s="11"/>
      <c r="O485" s="11"/>
      <c r="P485" s="11"/>
      <c r="Q485" s="11"/>
      <c r="R485" s="11"/>
      <c r="S485" s="11"/>
      <c r="T485" s="11"/>
      <c r="U485" s="11"/>
      <c r="V485" s="11"/>
      <c r="W485" s="11"/>
      <c r="X485" s="11"/>
      <c r="Y485" s="11"/>
      <c r="Z485" s="11"/>
    </row>
    <row r="486" ht="15.75" customHeight="1">
      <c r="A486" s="11"/>
      <c r="B486" s="13"/>
      <c r="C486" s="13"/>
      <c r="D486" s="13"/>
      <c r="E486" s="13"/>
      <c r="F486" s="13"/>
      <c r="G486" s="41"/>
      <c r="H486" s="12"/>
      <c r="I486" s="11"/>
      <c r="J486" s="11"/>
      <c r="K486" s="11"/>
      <c r="L486" s="11"/>
      <c r="M486" s="11"/>
      <c r="N486" s="11"/>
      <c r="O486" s="11"/>
      <c r="P486" s="11"/>
      <c r="Q486" s="11"/>
      <c r="R486" s="11"/>
      <c r="S486" s="11"/>
      <c r="T486" s="11"/>
      <c r="U486" s="11"/>
      <c r="V486" s="11"/>
      <c r="W486" s="11"/>
      <c r="X486" s="11"/>
      <c r="Y486" s="11"/>
      <c r="Z486" s="11"/>
    </row>
    <row r="487" ht="15.75" customHeight="1">
      <c r="A487" s="11"/>
      <c r="B487" s="13"/>
      <c r="C487" s="13"/>
      <c r="D487" s="13"/>
      <c r="E487" s="13"/>
      <c r="F487" s="13"/>
      <c r="G487" s="41"/>
      <c r="H487" s="12"/>
      <c r="I487" s="11"/>
      <c r="J487" s="11"/>
      <c r="K487" s="11"/>
      <c r="L487" s="11"/>
      <c r="M487" s="11"/>
      <c r="N487" s="11"/>
      <c r="O487" s="11"/>
      <c r="P487" s="11"/>
      <c r="Q487" s="11"/>
      <c r="R487" s="11"/>
      <c r="S487" s="11"/>
      <c r="T487" s="11"/>
      <c r="U487" s="11"/>
      <c r="V487" s="11"/>
      <c r="W487" s="11"/>
      <c r="X487" s="11"/>
      <c r="Y487" s="11"/>
      <c r="Z487" s="11"/>
    </row>
    <row r="488" ht="15.75" customHeight="1">
      <c r="A488" s="11"/>
      <c r="B488" s="13"/>
      <c r="C488" s="13"/>
      <c r="D488" s="13"/>
      <c r="E488" s="13"/>
      <c r="F488" s="13"/>
      <c r="G488" s="41"/>
      <c r="H488" s="12"/>
      <c r="I488" s="11"/>
      <c r="J488" s="11"/>
      <c r="K488" s="11"/>
      <c r="L488" s="11"/>
      <c r="M488" s="11"/>
      <c r="N488" s="11"/>
      <c r="O488" s="11"/>
      <c r="P488" s="11"/>
      <c r="Q488" s="11"/>
      <c r="R488" s="11"/>
      <c r="S488" s="11"/>
      <c r="T488" s="11"/>
      <c r="U488" s="11"/>
      <c r="V488" s="11"/>
      <c r="W488" s="11"/>
      <c r="X488" s="11"/>
      <c r="Y488" s="11"/>
      <c r="Z488" s="11"/>
    </row>
    <row r="489" ht="15.75" customHeight="1">
      <c r="A489" s="11"/>
      <c r="B489" s="13"/>
      <c r="C489" s="13"/>
      <c r="D489" s="13"/>
      <c r="E489" s="13"/>
      <c r="F489" s="13"/>
      <c r="G489" s="41"/>
      <c r="H489" s="12"/>
      <c r="I489" s="11"/>
      <c r="J489" s="11"/>
      <c r="K489" s="11"/>
      <c r="L489" s="11"/>
      <c r="M489" s="11"/>
      <c r="N489" s="11"/>
      <c r="O489" s="11"/>
      <c r="P489" s="11"/>
      <c r="Q489" s="11"/>
      <c r="R489" s="11"/>
      <c r="S489" s="11"/>
      <c r="T489" s="11"/>
      <c r="U489" s="11"/>
      <c r="V489" s="11"/>
      <c r="W489" s="11"/>
      <c r="X489" s="11"/>
      <c r="Y489" s="11"/>
      <c r="Z489" s="11"/>
    </row>
    <row r="490" ht="15.75" customHeight="1">
      <c r="A490" s="11"/>
      <c r="B490" s="13"/>
      <c r="C490" s="13"/>
      <c r="D490" s="13"/>
      <c r="E490" s="13"/>
      <c r="F490" s="13"/>
      <c r="G490" s="41"/>
      <c r="H490" s="12"/>
      <c r="I490" s="11"/>
      <c r="J490" s="11"/>
      <c r="K490" s="11"/>
      <c r="L490" s="11"/>
      <c r="M490" s="11"/>
      <c r="N490" s="11"/>
      <c r="O490" s="11"/>
      <c r="P490" s="11"/>
      <c r="Q490" s="11"/>
      <c r="R490" s="11"/>
      <c r="S490" s="11"/>
      <c r="T490" s="11"/>
      <c r="U490" s="11"/>
      <c r="V490" s="11"/>
      <c r="W490" s="11"/>
      <c r="X490" s="11"/>
      <c r="Y490" s="11"/>
      <c r="Z490" s="11"/>
    </row>
    <row r="491" ht="15.75" customHeight="1">
      <c r="A491" s="11"/>
      <c r="B491" s="13"/>
      <c r="C491" s="13"/>
      <c r="D491" s="13"/>
      <c r="E491" s="13"/>
      <c r="F491" s="13"/>
      <c r="G491" s="41"/>
      <c r="H491" s="12"/>
      <c r="I491" s="11"/>
      <c r="J491" s="11"/>
      <c r="K491" s="11"/>
      <c r="L491" s="11"/>
      <c r="M491" s="11"/>
      <c r="N491" s="11"/>
      <c r="O491" s="11"/>
      <c r="P491" s="11"/>
      <c r="Q491" s="11"/>
      <c r="R491" s="11"/>
      <c r="S491" s="11"/>
      <c r="T491" s="11"/>
      <c r="U491" s="11"/>
      <c r="V491" s="11"/>
      <c r="W491" s="11"/>
      <c r="X491" s="11"/>
      <c r="Y491" s="11"/>
      <c r="Z491" s="11"/>
    </row>
    <row r="492" ht="15.75" customHeight="1">
      <c r="A492" s="11"/>
      <c r="B492" s="13"/>
      <c r="C492" s="13"/>
      <c r="D492" s="13"/>
      <c r="E492" s="13"/>
      <c r="F492" s="13"/>
      <c r="G492" s="41"/>
      <c r="H492" s="12"/>
      <c r="I492" s="11"/>
      <c r="J492" s="11"/>
      <c r="K492" s="11"/>
      <c r="L492" s="11"/>
      <c r="M492" s="11"/>
      <c r="N492" s="11"/>
      <c r="O492" s="11"/>
      <c r="P492" s="11"/>
      <c r="Q492" s="11"/>
      <c r="R492" s="11"/>
      <c r="S492" s="11"/>
      <c r="T492" s="11"/>
      <c r="U492" s="11"/>
      <c r="V492" s="11"/>
      <c r="W492" s="11"/>
      <c r="X492" s="11"/>
      <c r="Y492" s="11"/>
      <c r="Z492" s="11"/>
    </row>
    <row r="493" ht="15.75" customHeight="1">
      <c r="A493" s="11"/>
      <c r="B493" s="13"/>
      <c r="C493" s="13"/>
      <c r="D493" s="13"/>
      <c r="E493" s="13"/>
      <c r="F493" s="13"/>
      <c r="G493" s="41"/>
      <c r="H493" s="12"/>
      <c r="I493" s="11"/>
      <c r="J493" s="11"/>
      <c r="K493" s="11"/>
      <c r="L493" s="11"/>
      <c r="M493" s="11"/>
      <c r="N493" s="11"/>
      <c r="O493" s="11"/>
      <c r="P493" s="11"/>
      <c r="Q493" s="11"/>
      <c r="R493" s="11"/>
      <c r="S493" s="11"/>
      <c r="T493" s="11"/>
      <c r="U493" s="11"/>
      <c r="V493" s="11"/>
      <c r="W493" s="11"/>
      <c r="X493" s="11"/>
      <c r="Y493" s="11"/>
      <c r="Z493" s="11"/>
    </row>
    <row r="494" ht="15.75" customHeight="1">
      <c r="A494" s="11"/>
      <c r="B494" s="13"/>
      <c r="C494" s="13"/>
      <c r="D494" s="13"/>
      <c r="E494" s="13"/>
      <c r="F494" s="13"/>
      <c r="G494" s="41"/>
      <c r="H494" s="12"/>
      <c r="I494" s="11"/>
      <c r="J494" s="11"/>
      <c r="K494" s="11"/>
      <c r="L494" s="11"/>
      <c r="M494" s="11"/>
      <c r="N494" s="11"/>
      <c r="O494" s="11"/>
      <c r="P494" s="11"/>
      <c r="Q494" s="11"/>
      <c r="R494" s="11"/>
      <c r="S494" s="11"/>
      <c r="T494" s="11"/>
      <c r="U494" s="11"/>
      <c r="V494" s="11"/>
      <c r="W494" s="11"/>
      <c r="X494" s="11"/>
      <c r="Y494" s="11"/>
      <c r="Z494" s="11"/>
    </row>
    <row r="495" ht="15.75" customHeight="1">
      <c r="A495" s="11"/>
      <c r="B495" s="13"/>
      <c r="C495" s="13"/>
      <c r="D495" s="13"/>
      <c r="E495" s="13"/>
      <c r="F495" s="13"/>
      <c r="G495" s="41"/>
      <c r="H495" s="12"/>
      <c r="I495" s="11"/>
      <c r="J495" s="11"/>
      <c r="K495" s="11"/>
      <c r="L495" s="11"/>
      <c r="M495" s="11"/>
      <c r="N495" s="11"/>
      <c r="O495" s="11"/>
      <c r="P495" s="11"/>
      <c r="Q495" s="11"/>
      <c r="R495" s="11"/>
      <c r="S495" s="11"/>
      <c r="T495" s="11"/>
      <c r="U495" s="11"/>
      <c r="V495" s="11"/>
      <c r="W495" s="11"/>
      <c r="X495" s="11"/>
      <c r="Y495" s="11"/>
      <c r="Z495" s="11"/>
    </row>
    <row r="496" ht="15.75" customHeight="1">
      <c r="A496" s="11"/>
      <c r="B496" s="13"/>
      <c r="C496" s="13"/>
      <c r="D496" s="13"/>
      <c r="E496" s="13"/>
      <c r="F496" s="13"/>
      <c r="G496" s="41"/>
      <c r="H496" s="12"/>
      <c r="I496" s="11"/>
      <c r="J496" s="11"/>
      <c r="K496" s="11"/>
      <c r="L496" s="11"/>
      <c r="M496" s="11"/>
      <c r="N496" s="11"/>
      <c r="O496" s="11"/>
      <c r="P496" s="11"/>
      <c r="Q496" s="11"/>
      <c r="R496" s="11"/>
      <c r="S496" s="11"/>
      <c r="T496" s="11"/>
      <c r="U496" s="11"/>
      <c r="V496" s="11"/>
      <c r="W496" s="11"/>
      <c r="X496" s="11"/>
      <c r="Y496" s="11"/>
      <c r="Z496" s="11"/>
    </row>
    <row r="497" ht="15.75" customHeight="1">
      <c r="A497" s="11"/>
      <c r="B497" s="13"/>
      <c r="C497" s="13"/>
      <c r="D497" s="13"/>
      <c r="E497" s="13"/>
      <c r="F497" s="13"/>
      <c r="G497" s="41"/>
      <c r="H497" s="12"/>
      <c r="I497" s="11"/>
      <c r="J497" s="11"/>
      <c r="K497" s="11"/>
      <c r="L497" s="11"/>
      <c r="M497" s="11"/>
      <c r="N497" s="11"/>
      <c r="O497" s="11"/>
      <c r="P497" s="11"/>
      <c r="Q497" s="11"/>
      <c r="R497" s="11"/>
      <c r="S497" s="11"/>
      <c r="T497" s="11"/>
      <c r="U497" s="11"/>
      <c r="V497" s="11"/>
      <c r="W497" s="11"/>
      <c r="X497" s="11"/>
      <c r="Y497" s="11"/>
      <c r="Z497" s="11"/>
    </row>
    <row r="498" ht="15.75" customHeight="1">
      <c r="A498" s="11"/>
      <c r="B498" s="13"/>
      <c r="C498" s="13"/>
      <c r="D498" s="13"/>
      <c r="E498" s="13"/>
      <c r="F498" s="13"/>
      <c r="G498" s="41"/>
      <c r="H498" s="12"/>
      <c r="I498" s="11"/>
      <c r="J498" s="11"/>
      <c r="K498" s="11"/>
      <c r="L498" s="11"/>
      <c r="M498" s="11"/>
      <c r="N498" s="11"/>
      <c r="O498" s="11"/>
      <c r="P498" s="11"/>
      <c r="Q498" s="11"/>
      <c r="R498" s="11"/>
      <c r="S498" s="11"/>
      <c r="T498" s="11"/>
      <c r="U498" s="11"/>
      <c r="V498" s="11"/>
      <c r="W498" s="11"/>
      <c r="X498" s="11"/>
      <c r="Y498" s="11"/>
      <c r="Z498" s="11"/>
    </row>
    <row r="499" ht="15.75" customHeight="1">
      <c r="A499" s="11"/>
      <c r="B499" s="13"/>
      <c r="C499" s="13"/>
      <c r="D499" s="13"/>
      <c r="E499" s="13"/>
      <c r="F499" s="13"/>
      <c r="G499" s="41"/>
      <c r="H499" s="12"/>
      <c r="I499" s="11"/>
      <c r="J499" s="11"/>
      <c r="K499" s="11"/>
      <c r="L499" s="11"/>
      <c r="M499" s="11"/>
      <c r="N499" s="11"/>
      <c r="O499" s="11"/>
      <c r="P499" s="11"/>
      <c r="Q499" s="11"/>
      <c r="R499" s="11"/>
      <c r="S499" s="11"/>
      <c r="T499" s="11"/>
      <c r="U499" s="11"/>
      <c r="V499" s="11"/>
      <c r="W499" s="11"/>
      <c r="X499" s="11"/>
      <c r="Y499" s="11"/>
      <c r="Z499" s="11"/>
    </row>
    <row r="500" ht="15.75" customHeight="1">
      <c r="A500" s="11"/>
      <c r="B500" s="13"/>
      <c r="C500" s="13"/>
      <c r="D500" s="13"/>
      <c r="E500" s="13"/>
      <c r="F500" s="13"/>
      <c r="G500" s="41"/>
      <c r="H500" s="12"/>
      <c r="I500" s="11"/>
      <c r="J500" s="11"/>
      <c r="K500" s="11"/>
      <c r="L500" s="11"/>
      <c r="M500" s="11"/>
      <c r="N500" s="11"/>
      <c r="O500" s="11"/>
      <c r="P500" s="11"/>
      <c r="Q500" s="11"/>
      <c r="R500" s="11"/>
      <c r="S500" s="11"/>
      <c r="T500" s="11"/>
      <c r="U500" s="11"/>
      <c r="V500" s="11"/>
      <c r="W500" s="11"/>
      <c r="X500" s="11"/>
      <c r="Y500" s="11"/>
      <c r="Z500" s="11"/>
    </row>
    <row r="501" ht="15.75" customHeight="1">
      <c r="A501" s="11"/>
      <c r="B501" s="13"/>
      <c r="C501" s="13"/>
      <c r="D501" s="13"/>
      <c r="E501" s="13"/>
      <c r="F501" s="13"/>
      <c r="G501" s="41"/>
      <c r="H501" s="12"/>
      <c r="I501" s="11"/>
      <c r="J501" s="11"/>
      <c r="K501" s="11"/>
      <c r="L501" s="11"/>
      <c r="M501" s="11"/>
      <c r="N501" s="11"/>
      <c r="O501" s="11"/>
      <c r="P501" s="11"/>
      <c r="Q501" s="11"/>
      <c r="R501" s="11"/>
      <c r="S501" s="11"/>
      <c r="T501" s="11"/>
      <c r="U501" s="11"/>
      <c r="V501" s="11"/>
      <c r="W501" s="11"/>
      <c r="X501" s="11"/>
      <c r="Y501" s="11"/>
      <c r="Z501" s="11"/>
    </row>
    <row r="502" ht="15.75" customHeight="1">
      <c r="A502" s="11"/>
      <c r="B502" s="13"/>
      <c r="C502" s="13"/>
      <c r="D502" s="13"/>
      <c r="E502" s="13"/>
      <c r="F502" s="13"/>
      <c r="G502" s="41"/>
      <c r="H502" s="12"/>
      <c r="I502" s="11"/>
      <c r="J502" s="11"/>
      <c r="K502" s="11"/>
      <c r="L502" s="11"/>
      <c r="M502" s="11"/>
      <c r="N502" s="11"/>
      <c r="O502" s="11"/>
      <c r="P502" s="11"/>
      <c r="Q502" s="11"/>
      <c r="R502" s="11"/>
      <c r="S502" s="11"/>
      <c r="T502" s="11"/>
      <c r="U502" s="11"/>
      <c r="V502" s="11"/>
      <c r="W502" s="11"/>
      <c r="X502" s="11"/>
      <c r="Y502" s="11"/>
      <c r="Z502" s="11"/>
    </row>
    <row r="503" ht="15.75" customHeight="1">
      <c r="A503" s="11"/>
      <c r="B503" s="13"/>
      <c r="C503" s="13"/>
      <c r="D503" s="13"/>
      <c r="E503" s="13"/>
      <c r="F503" s="13"/>
      <c r="G503" s="41"/>
      <c r="H503" s="12"/>
      <c r="I503" s="11"/>
      <c r="J503" s="11"/>
      <c r="K503" s="11"/>
      <c r="L503" s="11"/>
      <c r="M503" s="11"/>
      <c r="N503" s="11"/>
      <c r="O503" s="11"/>
      <c r="P503" s="11"/>
      <c r="Q503" s="11"/>
      <c r="R503" s="11"/>
      <c r="S503" s="11"/>
      <c r="T503" s="11"/>
      <c r="U503" s="11"/>
      <c r="V503" s="11"/>
      <c r="W503" s="11"/>
      <c r="X503" s="11"/>
      <c r="Y503" s="11"/>
      <c r="Z503" s="11"/>
    </row>
    <row r="504" ht="15.75" customHeight="1">
      <c r="A504" s="11"/>
      <c r="B504" s="13"/>
      <c r="C504" s="13"/>
      <c r="D504" s="13"/>
      <c r="E504" s="13"/>
      <c r="F504" s="13"/>
      <c r="G504" s="41"/>
      <c r="H504" s="12"/>
      <c r="I504" s="11"/>
      <c r="J504" s="11"/>
      <c r="K504" s="11"/>
      <c r="L504" s="11"/>
      <c r="M504" s="11"/>
      <c r="N504" s="11"/>
      <c r="O504" s="11"/>
      <c r="P504" s="11"/>
      <c r="Q504" s="11"/>
      <c r="R504" s="11"/>
      <c r="S504" s="11"/>
      <c r="T504" s="11"/>
      <c r="U504" s="11"/>
      <c r="V504" s="11"/>
      <c r="W504" s="11"/>
      <c r="X504" s="11"/>
      <c r="Y504" s="11"/>
      <c r="Z504" s="11"/>
    </row>
    <row r="505" ht="15.75" customHeight="1">
      <c r="A505" s="11"/>
      <c r="B505" s="13"/>
      <c r="C505" s="13"/>
      <c r="D505" s="13"/>
      <c r="E505" s="13"/>
      <c r="F505" s="13"/>
      <c r="G505" s="41"/>
      <c r="H505" s="12"/>
      <c r="I505" s="11"/>
      <c r="J505" s="11"/>
      <c r="K505" s="11"/>
      <c r="L505" s="11"/>
      <c r="M505" s="11"/>
      <c r="N505" s="11"/>
      <c r="O505" s="11"/>
      <c r="P505" s="11"/>
      <c r="Q505" s="11"/>
      <c r="R505" s="11"/>
      <c r="S505" s="11"/>
      <c r="T505" s="11"/>
      <c r="U505" s="11"/>
      <c r="V505" s="11"/>
      <c r="W505" s="11"/>
      <c r="X505" s="11"/>
      <c r="Y505" s="11"/>
      <c r="Z505" s="11"/>
    </row>
    <row r="506" ht="15.75" customHeight="1">
      <c r="A506" s="11"/>
      <c r="B506" s="13"/>
      <c r="C506" s="13"/>
      <c r="D506" s="13"/>
      <c r="E506" s="13"/>
      <c r="F506" s="13"/>
      <c r="G506" s="41"/>
      <c r="H506" s="12"/>
      <c r="I506" s="11"/>
      <c r="J506" s="11"/>
      <c r="K506" s="11"/>
      <c r="L506" s="11"/>
      <c r="M506" s="11"/>
      <c r="N506" s="11"/>
      <c r="O506" s="11"/>
      <c r="P506" s="11"/>
      <c r="Q506" s="11"/>
      <c r="R506" s="11"/>
      <c r="S506" s="11"/>
      <c r="T506" s="11"/>
      <c r="U506" s="11"/>
      <c r="V506" s="11"/>
      <c r="W506" s="11"/>
      <c r="X506" s="11"/>
      <c r="Y506" s="11"/>
      <c r="Z506" s="11"/>
    </row>
    <row r="507" ht="15.75" customHeight="1">
      <c r="A507" s="11"/>
      <c r="B507" s="13"/>
      <c r="C507" s="13"/>
      <c r="D507" s="13"/>
      <c r="E507" s="13"/>
      <c r="F507" s="13"/>
      <c r="G507" s="41"/>
      <c r="H507" s="12"/>
      <c r="I507" s="11"/>
      <c r="J507" s="11"/>
      <c r="K507" s="11"/>
      <c r="L507" s="11"/>
      <c r="M507" s="11"/>
      <c r="N507" s="11"/>
      <c r="O507" s="11"/>
      <c r="P507" s="11"/>
      <c r="Q507" s="11"/>
      <c r="R507" s="11"/>
      <c r="S507" s="11"/>
      <c r="T507" s="11"/>
      <c r="U507" s="11"/>
      <c r="V507" s="11"/>
      <c r="W507" s="11"/>
      <c r="X507" s="11"/>
      <c r="Y507" s="11"/>
      <c r="Z507" s="11"/>
    </row>
    <row r="508" ht="15.75" customHeight="1">
      <c r="A508" s="11"/>
      <c r="B508" s="13"/>
      <c r="C508" s="13"/>
      <c r="D508" s="13"/>
      <c r="E508" s="13"/>
      <c r="F508" s="13"/>
      <c r="G508" s="41"/>
      <c r="H508" s="12"/>
      <c r="I508" s="11"/>
      <c r="J508" s="11"/>
      <c r="K508" s="11"/>
      <c r="L508" s="11"/>
      <c r="M508" s="11"/>
      <c r="N508" s="11"/>
      <c r="O508" s="11"/>
      <c r="P508" s="11"/>
      <c r="Q508" s="11"/>
      <c r="R508" s="11"/>
      <c r="S508" s="11"/>
      <c r="T508" s="11"/>
      <c r="U508" s="11"/>
      <c r="V508" s="11"/>
      <c r="W508" s="11"/>
      <c r="X508" s="11"/>
      <c r="Y508" s="11"/>
      <c r="Z508" s="11"/>
    </row>
    <row r="509" ht="15.75" customHeight="1">
      <c r="A509" s="11"/>
      <c r="B509" s="13"/>
      <c r="C509" s="13"/>
      <c r="D509" s="13"/>
      <c r="E509" s="13"/>
      <c r="F509" s="13"/>
      <c r="G509" s="41"/>
      <c r="H509" s="12"/>
      <c r="I509" s="11"/>
      <c r="J509" s="11"/>
      <c r="K509" s="11"/>
      <c r="L509" s="11"/>
      <c r="M509" s="11"/>
      <c r="N509" s="11"/>
      <c r="O509" s="11"/>
      <c r="P509" s="11"/>
      <c r="Q509" s="11"/>
      <c r="R509" s="11"/>
      <c r="S509" s="11"/>
      <c r="T509" s="11"/>
      <c r="U509" s="11"/>
      <c r="V509" s="11"/>
      <c r="W509" s="11"/>
      <c r="X509" s="11"/>
      <c r="Y509" s="11"/>
      <c r="Z509" s="11"/>
    </row>
    <row r="510" ht="15.75" customHeight="1">
      <c r="A510" s="11"/>
      <c r="B510" s="13"/>
      <c r="C510" s="13"/>
      <c r="D510" s="13"/>
      <c r="E510" s="13"/>
      <c r="F510" s="13"/>
      <c r="G510" s="41"/>
      <c r="H510" s="12"/>
      <c r="I510" s="11"/>
      <c r="J510" s="11"/>
      <c r="K510" s="11"/>
      <c r="L510" s="11"/>
      <c r="M510" s="11"/>
      <c r="N510" s="11"/>
      <c r="O510" s="11"/>
      <c r="P510" s="11"/>
      <c r="Q510" s="11"/>
      <c r="R510" s="11"/>
      <c r="S510" s="11"/>
      <c r="T510" s="11"/>
      <c r="U510" s="11"/>
      <c r="V510" s="11"/>
      <c r="W510" s="11"/>
      <c r="X510" s="11"/>
      <c r="Y510" s="11"/>
      <c r="Z510" s="11"/>
    </row>
    <row r="511" ht="15.75" customHeight="1">
      <c r="A511" s="11"/>
      <c r="B511" s="13"/>
      <c r="C511" s="13"/>
      <c r="D511" s="13"/>
      <c r="E511" s="13"/>
      <c r="F511" s="13"/>
      <c r="G511" s="41"/>
      <c r="H511" s="12"/>
      <c r="I511" s="11"/>
      <c r="J511" s="11"/>
      <c r="K511" s="11"/>
      <c r="L511" s="11"/>
      <c r="M511" s="11"/>
      <c r="N511" s="11"/>
      <c r="O511" s="11"/>
      <c r="P511" s="11"/>
      <c r="Q511" s="11"/>
      <c r="R511" s="11"/>
      <c r="S511" s="11"/>
      <c r="T511" s="11"/>
      <c r="U511" s="11"/>
      <c r="V511" s="11"/>
      <c r="W511" s="11"/>
      <c r="X511" s="11"/>
      <c r="Y511" s="11"/>
      <c r="Z511" s="11"/>
    </row>
    <row r="512" ht="15.75" customHeight="1">
      <c r="A512" s="11"/>
      <c r="B512" s="13"/>
      <c r="C512" s="13"/>
      <c r="D512" s="13"/>
      <c r="E512" s="13"/>
      <c r="F512" s="13"/>
      <c r="G512" s="41"/>
      <c r="H512" s="12"/>
      <c r="I512" s="11"/>
      <c r="J512" s="11"/>
      <c r="K512" s="11"/>
      <c r="L512" s="11"/>
      <c r="M512" s="11"/>
      <c r="N512" s="11"/>
      <c r="O512" s="11"/>
      <c r="P512" s="11"/>
      <c r="Q512" s="11"/>
      <c r="R512" s="11"/>
      <c r="S512" s="11"/>
      <c r="T512" s="11"/>
      <c r="U512" s="11"/>
      <c r="V512" s="11"/>
      <c r="W512" s="11"/>
      <c r="X512" s="11"/>
      <c r="Y512" s="11"/>
      <c r="Z512" s="11"/>
    </row>
    <row r="513" ht="15.75" customHeight="1">
      <c r="A513" s="11"/>
      <c r="B513" s="13"/>
      <c r="C513" s="13"/>
      <c r="D513" s="13"/>
      <c r="E513" s="13"/>
      <c r="F513" s="13"/>
      <c r="G513" s="41"/>
      <c r="H513" s="12"/>
      <c r="I513" s="11"/>
      <c r="J513" s="11"/>
      <c r="K513" s="11"/>
      <c r="L513" s="11"/>
      <c r="M513" s="11"/>
      <c r="N513" s="11"/>
      <c r="O513" s="11"/>
      <c r="P513" s="11"/>
      <c r="Q513" s="11"/>
      <c r="R513" s="11"/>
      <c r="S513" s="11"/>
      <c r="T513" s="11"/>
      <c r="U513" s="11"/>
      <c r="V513" s="11"/>
      <c r="W513" s="11"/>
      <c r="X513" s="11"/>
      <c r="Y513" s="11"/>
      <c r="Z513" s="11"/>
    </row>
    <row r="514" ht="15.75" customHeight="1">
      <c r="A514" s="11"/>
      <c r="B514" s="13"/>
      <c r="C514" s="13"/>
      <c r="D514" s="13"/>
      <c r="E514" s="13"/>
      <c r="F514" s="13"/>
      <c r="G514" s="41"/>
      <c r="H514" s="12"/>
      <c r="I514" s="11"/>
      <c r="J514" s="11"/>
      <c r="K514" s="11"/>
      <c r="L514" s="11"/>
      <c r="M514" s="11"/>
      <c r="N514" s="11"/>
      <c r="O514" s="11"/>
      <c r="P514" s="11"/>
      <c r="Q514" s="11"/>
      <c r="R514" s="11"/>
      <c r="S514" s="11"/>
      <c r="T514" s="11"/>
      <c r="U514" s="11"/>
      <c r="V514" s="11"/>
      <c r="W514" s="11"/>
      <c r="X514" s="11"/>
      <c r="Y514" s="11"/>
      <c r="Z514" s="11"/>
    </row>
    <row r="515" ht="15.75" customHeight="1">
      <c r="A515" s="11"/>
      <c r="B515" s="13"/>
      <c r="C515" s="13"/>
      <c r="D515" s="13"/>
      <c r="E515" s="13"/>
      <c r="F515" s="13"/>
      <c r="G515" s="41"/>
      <c r="H515" s="12"/>
      <c r="I515" s="11"/>
      <c r="J515" s="11"/>
      <c r="K515" s="11"/>
      <c r="L515" s="11"/>
      <c r="M515" s="11"/>
      <c r="N515" s="11"/>
      <c r="O515" s="11"/>
      <c r="P515" s="11"/>
      <c r="Q515" s="11"/>
      <c r="R515" s="11"/>
      <c r="S515" s="11"/>
      <c r="T515" s="11"/>
      <c r="U515" s="11"/>
      <c r="V515" s="11"/>
      <c r="W515" s="11"/>
      <c r="X515" s="11"/>
      <c r="Y515" s="11"/>
      <c r="Z515" s="11"/>
    </row>
    <row r="516" ht="15.75" customHeight="1">
      <c r="A516" s="11"/>
      <c r="B516" s="13"/>
      <c r="C516" s="13"/>
      <c r="D516" s="13"/>
      <c r="E516" s="13"/>
      <c r="F516" s="13"/>
      <c r="G516" s="41"/>
      <c r="H516" s="12"/>
      <c r="I516" s="11"/>
      <c r="J516" s="11"/>
      <c r="K516" s="11"/>
      <c r="L516" s="11"/>
      <c r="M516" s="11"/>
      <c r="N516" s="11"/>
      <c r="O516" s="11"/>
      <c r="P516" s="11"/>
      <c r="Q516" s="11"/>
      <c r="R516" s="11"/>
      <c r="S516" s="11"/>
      <c r="T516" s="11"/>
      <c r="U516" s="11"/>
      <c r="V516" s="11"/>
      <c r="W516" s="11"/>
      <c r="X516" s="11"/>
      <c r="Y516" s="11"/>
      <c r="Z516" s="11"/>
    </row>
    <row r="517" ht="15.75" customHeight="1">
      <c r="A517" s="11"/>
      <c r="B517" s="13"/>
      <c r="C517" s="13"/>
      <c r="D517" s="13"/>
      <c r="E517" s="13"/>
      <c r="F517" s="13"/>
      <c r="G517" s="41"/>
      <c r="H517" s="12"/>
      <c r="I517" s="11"/>
      <c r="J517" s="11"/>
      <c r="K517" s="11"/>
      <c r="L517" s="11"/>
      <c r="M517" s="11"/>
      <c r="N517" s="11"/>
      <c r="O517" s="11"/>
      <c r="P517" s="11"/>
      <c r="Q517" s="11"/>
      <c r="R517" s="11"/>
      <c r="S517" s="11"/>
      <c r="T517" s="11"/>
      <c r="U517" s="11"/>
      <c r="V517" s="11"/>
      <c r="W517" s="11"/>
      <c r="X517" s="11"/>
      <c r="Y517" s="11"/>
      <c r="Z517" s="11"/>
    </row>
    <row r="518" ht="15.75" customHeight="1">
      <c r="A518" s="11"/>
      <c r="B518" s="13"/>
      <c r="C518" s="13"/>
      <c r="D518" s="13"/>
      <c r="E518" s="13"/>
      <c r="F518" s="13"/>
      <c r="G518" s="41"/>
      <c r="H518" s="12"/>
      <c r="I518" s="11"/>
      <c r="J518" s="11"/>
      <c r="K518" s="11"/>
      <c r="L518" s="11"/>
      <c r="M518" s="11"/>
      <c r="N518" s="11"/>
      <c r="O518" s="11"/>
      <c r="P518" s="11"/>
      <c r="Q518" s="11"/>
      <c r="R518" s="11"/>
      <c r="S518" s="11"/>
      <c r="T518" s="11"/>
      <c r="U518" s="11"/>
      <c r="V518" s="11"/>
      <c r="W518" s="11"/>
      <c r="X518" s="11"/>
      <c r="Y518" s="11"/>
      <c r="Z518" s="11"/>
    </row>
    <row r="519" ht="15.75" customHeight="1">
      <c r="A519" s="11"/>
      <c r="B519" s="13"/>
      <c r="C519" s="13"/>
      <c r="D519" s="13"/>
      <c r="E519" s="13"/>
      <c r="F519" s="13"/>
      <c r="G519" s="41"/>
      <c r="H519" s="12"/>
      <c r="I519" s="11"/>
      <c r="J519" s="11"/>
      <c r="K519" s="11"/>
      <c r="L519" s="11"/>
      <c r="M519" s="11"/>
      <c r="N519" s="11"/>
      <c r="O519" s="11"/>
      <c r="P519" s="11"/>
      <c r="Q519" s="11"/>
      <c r="R519" s="11"/>
      <c r="S519" s="11"/>
      <c r="T519" s="11"/>
      <c r="U519" s="11"/>
      <c r="V519" s="11"/>
      <c r="W519" s="11"/>
      <c r="X519" s="11"/>
      <c r="Y519" s="11"/>
      <c r="Z519" s="11"/>
    </row>
    <row r="520" ht="15.75" customHeight="1">
      <c r="A520" s="11"/>
      <c r="B520" s="13"/>
      <c r="C520" s="13"/>
      <c r="D520" s="13"/>
      <c r="E520" s="13"/>
      <c r="F520" s="13"/>
      <c r="G520" s="41"/>
      <c r="H520" s="12"/>
      <c r="I520" s="11"/>
      <c r="J520" s="11"/>
      <c r="K520" s="11"/>
      <c r="L520" s="11"/>
      <c r="M520" s="11"/>
      <c r="N520" s="11"/>
      <c r="O520" s="11"/>
      <c r="P520" s="11"/>
      <c r="Q520" s="11"/>
      <c r="R520" s="11"/>
      <c r="S520" s="11"/>
      <c r="T520" s="11"/>
      <c r="U520" s="11"/>
      <c r="V520" s="11"/>
      <c r="W520" s="11"/>
      <c r="X520" s="11"/>
      <c r="Y520" s="11"/>
      <c r="Z520" s="11"/>
    </row>
    <row r="521" ht="15.75" customHeight="1">
      <c r="A521" s="11"/>
      <c r="B521" s="13"/>
      <c r="C521" s="13"/>
      <c r="D521" s="13"/>
      <c r="E521" s="13"/>
      <c r="F521" s="13"/>
      <c r="G521" s="41"/>
      <c r="H521" s="12"/>
      <c r="I521" s="11"/>
      <c r="J521" s="11"/>
      <c r="K521" s="11"/>
      <c r="L521" s="11"/>
      <c r="M521" s="11"/>
      <c r="N521" s="11"/>
      <c r="O521" s="11"/>
      <c r="P521" s="11"/>
      <c r="Q521" s="11"/>
      <c r="R521" s="11"/>
      <c r="S521" s="11"/>
      <c r="T521" s="11"/>
      <c r="U521" s="11"/>
      <c r="V521" s="11"/>
      <c r="W521" s="11"/>
      <c r="X521" s="11"/>
      <c r="Y521" s="11"/>
      <c r="Z521" s="11"/>
    </row>
    <row r="522" ht="15.75" customHeight="1">
      <c r="A522" s="11"/>
      <c r="B522" s="13"/>
      <c r="C522" s="13"/>
      <c r="D522" s="13"/>
      <c r="E522" s="13"/>
      <c r="F522" s="13"/>
      <c r="G522" s="41"/>
      <c r="H522" s="12"/>
      <c r="I522" s="11"/>
      <c r="J522" s="11"/>
      <c r="K522" s="11"/>
      <c r="L522" s="11"/>
      <c r="M522" s="11"/>
      <c r="N522" s="11"/>
      <c r="O522" s="11"/>
      <c r="P522" s="11"/>
      <c r="Q522" s="11"/>
      <c r="R522" s="11"/>
      <c r="S522" s="11"/>
      <c r="T522" s="11"/>
      <c r="U522" s="11"/>
      <c r="V522" s="11"/>
      <c r="W522" s="11"/>
      <c r="X522" s="11"/>
      <c r="Y522" s="11"/>
      <c r="Z522" s="11"/>
    </row>
    <row r="523" ht="15.75" customHeight="1">
      <c r="A523" s="11"/>
      <c r="B523" s="13"/>
      <c r="C523" s="13"/>
      <c r="D523" s="13"/>
      <c r="E523" s="13"/>
      <c r="F523" s="13"/>
      <c r="G523" s="41"/>
      <c r="H523" s="12"/>
      <c r="I523" s="11"/>
      <c r="J523" s="11"/>
      <c r="K523" s="11"/>
      <c r="L523" s="11"/>
      <c r="M523" s="11"/>
      <c r="N523" s="11"/>
      <c r="O523" s="11"/>
      <c r="P523" s="11"/>
      <c r="Q523" s="11"/>
      <c r="R523" s="11"/>
      <c r="S523" s="11"/>
      <c r="T523" s="11"/>
      <c r="U523" s="11"/>
      <c r="V523" s="11"/>
      <c r="W523" s="11"/>
      <c r="X523" s="11"/>
      <c r="Y523" s="11"/>
      <c r="Z523" s="11"/>
    </row>
    <row r="524" ht="15.75" customHeight="1">
      <c r="A524" s="11"/>
      <c r="B524" s="13"/>
      <c r="C524" s="13"/>
      <c r="D524" s="13"/>
      <c r="E524" s="13"/>
      <c r="F524" s="13"/>
      <c r="G524" s="41"/>
      <c r="H524" s="12"/>
      <c r="I524" s="11"/>
      <c r="J524" s="11"/>
      <c r="K524" s="11"/>
      <c r="L524" s="11"/>
      <c r="M524" s="11"/>
      <c r="N524" s="11"/>
      <c r="O524" s="11"/>
      <c r="P524" s="11"/>
      <c r="Q524" s="11"/>
      <c r="R524" s="11"/>
      <c r="S524" s="11"/>
      <c r="T524" s="11"/>
      <c r="U524" s="11"/>
      <c r="V524" s="11"/>
      <c r="W524" s="11"/>
      <c r="X524" s="11"/>
      <c r="Y524" s="11"/>
      <c r="Z524" s="11"/>
    </row>
    <row r="525" ht="15.75" customHeight="1">
      <c r="A525" s="11"/>
      <c r="B525" s="13"/>
      <c r="C525" s="13"/>
      <c r="D525" s="13"/>
      <c r="E525" s="13"/>
      <c r="F525" s="13"/>
      <c r="G525" s="41"/>
      <c r="H525" s="12"/>
      <c r="I525" s="11"/>
      <c r="J525" s="11"/>
      <c r="K525" s="11"/>
      <c r="L525" s="11"/>
      <c r="M525" s="11"/>
      <c r="N525" s="11"/>
      <c r="O525" s="11"/>
      <c r="P525" s="11"/>
      <c r="Q525" s="11"/>
      <c r="R525" s="11"/>
      <c r="S525" s="11"/>
      <c r="T525" s="11"/>
      <c r="U525" s="11"/>
      <c r="V525" s="11"/>
      <c r="W525" s="11"/>
      <c r="X525" s="11"/>
      <c r="Y525" s="11"/>
      <c r="Z525" s="11"/>
    </row>
    <row r="526" ht="15.75" customHeight="1">
      <c r="A526" s="11"/>
      <c r="B526" s="13"/>
      <c r="C526" s="13"/>
      <c r="D526" s="13"/>
      <c r="E526" s="13"/>
      <c r="F526" s="13"/>
      <c r="G526" s="41"/>
      <c r="H526" s="12"/>
      <c r="I526" s="11"/>
      <c r="J526" s="11"/>
      <c r="K526" s="11"/>
      <c r="L526" s="11"/>
      <c r="M526" s="11"/>
      <c r="N526" s="11"/>
      <c r="O526" s="11"/>
      <c r="P526" s="11"/>
      <c r="Q526" s="11"/>
      <c r="R526" s="11"/>
      <c r="S526" s="11"/>
      <c r="T526" s="11"/>
      <c r="U526" s="11"/>
      <c r="V526" s="11"/>
      <c r="W526" s="11"/>
      <c r="X526" s="11"/>
      <c r="Y526" s="11"/>
      <c r="Z526" s="11"/>
    </row>
    <row r="527" ht="15.75" customHeight="1">
      <c r="A527" s="11"/>
      <c r="B527" s="13"/>
      <c r="C527" s="13"/>
      <c r="D527" s="13"/>
      <c r="E527" s="13"/>
      <c r="F527" s="13"/>
      <c r="G527" s="41"/>
      <c r="H527" s="12"/>
      <c r="I527" s="11"/>
      <c r="J527" s="11"/>
      <c r="K527" s="11"/>
      <c r="L527" s="11"/>
      <c r="M527" s="11"/>
      <c r="N527" s="11"/>
      <c r="O527" s="11"/>
      <c r="P527" s="11"/>
      <c r="Q527" s="11"/>
      <c r="R527" s="11"/>
      <c r="S527" s="11"/>
      <c r="T527" s="11"/>
      <c r="U527" s="11"/>
      <c r="V527" s="11"/>
      <c r="W527" s="11"/>
      <c r="X527" s="11"/>
      <c r="Y527" s="11"/>
      <c r="Z527" s="11"/>
    </row>
    <row r="528" ht="15.75" customHeight="1">
      <c r="A528" s="11"/>
      <c r="B528" s="13"/>
      <c r="C528" s="13"/>
      <c r="D528" s="13"/>
      <c r="E528" s="13"/>
      <c r="F528" s="13"/>
      <c r="G528" s="41"/>
      <c r="H528" s="12"/>
      <c r="I528" s="11"/>
      <c r="J528" s="11"/>
      <c r="K528" s="11"/>
      <c r="L528" s="11"/>
      <c r="M528" s="11"/>
      <c r="N528" s="11"/>
      <c r="O528" s="11"/>
      <c r="P528" s="11"/>
      <c r="Q528" s="11"/>
      <c r="R528" s="11"/>
      <c r="S528" s="11"/>
      <c r="T528" s="11"/>
      <c r="U528" s="11"/>
      <c r="V528" s="11"/>
      <c r="W528" s="11"/>
      <c r="X528" s="11"/>
      <c r="Y528" s="11"/>
      <c r="Z528" s="11"/>
    </row>
    <row r="529" ht="15.75" customHeight="1">
      <c r="A529" s="11"/>
      <c r="B529" s="13"/>
      <c r="C529" s="13"/>
      <c r="D529" s="13"/>
      <c r="E529" s="13"/>
      <c r="F529" s="13"/>
      <c r="G529" s="41"/>
      <c r="H529" s="12"/>
      <c r="I529" s="11"/>
      <c r="J529" s="11"/>
      <c r="K529" s="11"/>
      <c r="L529" s="11"/>
      <c r="M529" s="11"/>
      <c r="N529" s="11"/>
      <c r="O529" s="11"/>
      <c r="P529" s="11"/>
      <c r="Q529" s="11"/>
      <c r="R529" s="11"/>
      <c r="S529" s="11"/>
      <c r="T529" s="11"/>
      <c r="U529" s="11"/>
      <c r="V529" s="11"/>
      <c r="W529" s="11"/>
      <c r="X529" s="11"/>
      <c r="Y529" s="11"/>
      <c r="Z529" s="11"/>
    </row>
    <row r="530" ht="15.75" customHeight="1">
      <c r="A530" s="11"/>
      <c r="B530" s="13"/>
      <c r="C530" s="13"/>
      <c r="D530" s="13"/>
      <c r="E530" s="13"/>
      <c r="F530" s="13"/>
      <c r="G530" s="41"/>
      <c r="H530" s="12"/>
      <c r="I530" s="11"/>
      <c r="J530" s="11"/>
      <c r="K530" s="11"/>
      <c r="L530" s="11"/>
      <c r="M530" s="11"/>
      <c r="N530" s="11"/>
      <c r="O530" s="11"/>
      <c r="P530" s="11"/>
      <c r="Q530" s="11"/>
      <c r="R530" s="11"/>
      <c r="S530" s="11"/>
      <c r="T530" s="11"/>
      <c r="U530" s="11"/>
      <c r="V530" s="11"/>
      <c r="W530" s="11"/>
      <c r="X530" s="11"/>
      <c r="Y530" s="11"/>
      <c r="Z530" s="11"/>
    </row>
    <row r="531" ht="15.75" customHeight="1">
      <c r="A531" s="11"/>
      <c r="B531" s="13"/>
      <c r="C531" s="13"/>
      <c r="D531" s="13"/>
      <c r="E531" s="13"/>
      <c r="F531" s="13"/>
      <c r="G531" s="41"/>
      <c r="H531" s="12"/>
      <c r="I531" s="11"/>
      <c r="J531" s="11"/>
      <c r="K531" s="11"/>
      <c r="L531" s="11"/>
      <c r="M531" s="11"/>
      <c r="N531" s="11"/>
      <c r="O531" s="11"/>
      <c r="P531" s="11"/>
      <c r="Q531" s="11"/>
      <c r="R531" s="11"/>
      <c r="S531" s="11"/>
      <c r="T531" s="11"/>
      <c r="U531" s="11"/>
      <c r="V531" s="11"/>
      <c r="W531" s="11"/>
      <c r="X531" s="11"/>
      <c r="Y531" s="11"/>
      <c r="Z531" s="11"/>
    </row>
    <row r="532" ht="15.75" customHeight="1">
      <c r="A532" s="11"/>
      <c r="B532" s="13"/>
      <c r="C532" s="13"/>
      <c r="D532" s="13"/>
      <c r="E532" s="13"/>
      <c r="F532" s="13"/>
      <c r="G532" s="41"/>
      <c r="H532" s="12"/>
      <c r="I532" s="11"/>
      <c r="J532" s="11"/>
      <c r="K532" s="11"/>
      <c r="L532" s="11"/>
      <c r="M532" s="11"/>
      <c r="N532" s="11"/>
      <c r="O532" s="11"/>
      <c r="P532" s="11"/>
      <c r="Q532" s="11"/>
      <c r="R532" s="11"/>
      <c r="S532" s="11"/>
      <c r="T532" s="11"/>
      <c r="U532" s="11"/>
      <c r="V532" s="11"/>
      <c r="W532" s="11"/>
      <c r="X532" s="11"/>
      <c r="Y532" s="11"/>
      <c r="Z532" s="11"/>
    </row>
    <row r="533" ht="15.75" customHeight="1">
      <c r="A533" s="11"/>
      <c r="B533" s="13"/>
      <c r="C533" s="13"/>
      <c r="D533" s="13"/>
      <c r="E533" s="13"/>
      <c r="F533" s="13"/>
      <c r="G533" s="41"/>
      <c r="H533" s="12"/>
      <c r="I533" s="11"/>
      <c r="J533" s="11"/>
      <c r="K533" s="11"/>
      <c r="L533" s="11"/>
      <c r="M533" s="11"/>
      <c r="N533" s="11"/>
      <c r="O533" s="11"/>
      <c r="P533" s="11"/>
      <c r="Q533" s="11"/>
      <c r="R533" s="11"/>
      <c r="S533" s="11"/>
      <c r="T533" s="11"/>
      <c r="U533" s="11"/>
      <c r="V533" s="11"/>
      <c r="W533" s="11"/>
      <c r="X533" s="11"/>
      <c r="Y533" s="11"/>
      <c r="Z533" s="11"/>
    </row>
    <row r="534" ht="15.75" customHeight="1">
      <c r="A534" s="11"/>
      <c r="B534" s="13"/>
      <c r="C534" s="13"/>
      <c r="D534" s="13"/>
      <c r="E534" s="13"/>
      <c r="F534" s="13"/>
      <c r="G534" s="41"/>
      <c r="H534" s="12"/>
      <c r="I534" s="11"/>
      <c r="J534" s="11"/>
      <c r="K534" s="11"/>
      <c r="L534" s="11"/>
      <c r="M534" s="11"/>
      <c r="N534" s="11"/>
      <c r="O534" s="11"/>
      <c r="P534" s="11"/>
      <c r="Q534" s="11"/>
      <c r="R534" s="11"/>
      <c r="S534" s="11"/>
      <c r="T534" s="11"/>
      <c r="U534" s="11"/>
      <c r="V534" s="11"/>
      <c r="W534" s="11"/>
      <c r="X534" s="11"/>
      <c r="Y534" s="11"/>
      <c r="Z534" s="11"/>
    </row>
    <row r="535" ht="15.75" customHeight="1">
      <c r="A535" s="11"/>
      <c r="B535" s="13"/>
      <c r="C535" s="13"/>
      <c r="D535" s="13"/>
      <c r="E535" s="13"/>
      <c r="F535" s="13"/>
      <c r="G535" s="41"/>
      <c r="H535" s="12"/>
      <c r="I535" s="11"/>
      <c r="J535" s="11"/>
      <c r="K535" s="11"/>
      <c r="L535" s="11"/>
      <c r="M535" s="11"/>
      <c r="N535" s="11"/>
      <c r="O535" s="11"/>
      <c r="P535" s="11"/>
      <c r="Q535" s="11"/>
      <c r="R535" s="11"/>
      <c r="S535" s="11"/>
      <c r="T535" s="11"/>
      <c r="U535" s="11"/>
      <c r="V535" s="11"/>
      <c r="W535" s="11"/>
      <c r="X535" s="11"/>
      <c r="Y535" s="11"/>
      <c r="Z535" s="11"/>
    </row>
    <row r="536" ht="15.75" customHeight="1">
      <c r="A536" s="11"/>
      <c r="B536" s="13"/>
      <c r="C536" s="13"/>
      <c r="D536" s="13"/>
      <c r="E536" s="13"/>
      <c r="F536" s="13"/>
      <c r="G536" s="41"/>
      <c r="H536" s="12"/>
      <c r="I536" s="11"/>
      <c r="J536" s="11"/>
      <c r="K536" s="11"/>
      <c r="L536" s="11"/>
      <c r="M536" s="11"/>
      <c r="N536" s="11"/>
      <c r="O536" s="11"/>
      <c r="P536" s="11"/>
      <c r="Q536" s="11"/>
      <c r="R536" s="11"/>
      <c r="S536" s="11"/>
      <c r="T536" s="11"/>
      <c r="U536" s="11"/>
      <c r="V536" s="11"/>
      <c r="W536" s="11"/>
      <c r="X536" s="11"/>
      <c r="Y536" s="11"/>
      <c r="Z536" s="11"/>
    </row>
    <row r="537" ht="15.75" customHeight="1">
      <c r="A537" s="11"/>
      <c r="B537" s="13"/>
      <c r="C537" s="13"/>
      <c r="D537" s="13"/>
      <c r="E537" s="13"/>
      <c r="F537" s="13"/>
      <c r="G537" s="41"/>
      <c r="H537" s="12"/>
      <c r="I537" s="11"/>
      <c r="J537" s="11"/>
      <c r="K537" s="11"/>
      <c r="L537" s="11"/>
      <c r="M537" s="11"/>
      <c r="N537" s="11"/>
      <c r="O537" s="11"/>
      <c r="P537" s="11"/>
      <c r="Q537" s="11"/>
      <c r="R537" s="11"/>
      <c r="S537" s="11"/>
      <c r="T537" s="11"/>
      <c r="U537" s="11"/>
      <c r="V537" s="11"/>
      <c r="W537" s="11"/>
      <c r="X537" s="11"/>
      <c r="Y537" s="11"/>
      <c r="Z537" s="11"/>
    </row>
    <row r="538" ht="15.75" customHeight="1">
      <c r="A538" s="11"/>
      <c r="B538" s="13"/>
      <c r="C538" s="13"/>
      <c r="D538" s="13"/>
      <c r="E538" s="13"/>
      <c r="F538" s="13"/>
      <c r="G538" s="41"/>
      <c r="H538" s="12"/>
      <c r="I538" s="11"/>
      <c r="J538" s="11"/>
      <c r="K538" s="11"/>
      <c r="L538" s="11"/>
      <c r="M538" s="11"/>
      <c r="N538" s="11"/>
      <c r="O538" s="11"/>
      <c r="P538" s="11"/>
      <c r="Q538" s="11"/>
      <c r="R538" s="11"/>
      <c r="S538" s="11"/>
      <c r="T538" s="11"/>
      <c r="U538" s="11"/>
      <c r="V538" s="11"/>
      <c r="W538" s="11"/>
      <c r="X538" s="11"/>
      <c r="Y538" s="11"/>
      <c r="Z538" s="11"/>
    </row>
    <row r="539" ht="15.75" customHeight="1">
      <c r="A539" s="11"/>
      <c r="B539" s="13"/>
      <c r="C539" s="13"/>
      <c r="D539" s="13"/>
      <c r="E539" s="13"/>
      <c r="F539" s="13"/>
      <c r="G539" s="41"/>
      <c r="H539" s="12"/>
      <c r="I539" s="11"/>
      <c r="J539" s="11"/>
      <c r="K539" s="11"/>
      <c r="L539" s="11"/>
      <c r="M539" s="11"/>
      <c r="N539" s="11"/>
      <c r="O539" s="11"/>
      <c r="P539" s="11"/>
      <c r="Q539" s="11"/>
      <c r="R539" s="11"/>
      <c r="S539" s="11"/>
      <c r="T539" s="11"/>
      <c r="U539" s="11"/>
      <c r="V539" s="11"/>
      <c r="W539" s="11"/>
      <c r="X539" s="11"/>
      <c r="Y539" s="11"/>
      <c r="Z539" s="11"/>
    </row>
    <row r="540" ht="15.75" customHeight="1">
      <c r="A540" s="11"/>
      <c r="B540" s="13"/>
      <c r="C540" s="13"/>
      <c r="D540" s="13"/>
      <c r="E540" s="13"/>
      <c r="F540" s="13"/>
      <c r="G540" s="41"/>
      <c r="H540" s="12"/>
      <c r="I540" s="11"/>
      <c r="J540" s="11"/>
      <c r="K540" s="11"/>
      <c r="L540" s="11"/>
      <c r="M540" s="11"/>
      <c r="N540" s="11"/>
      <c r="O540" s="11"/>
      <c r="P540" s="11"/>
      <c r="Q540" s="11"/>
      <c r="R540" s="11"/>
      <c r="S540" s="11"/>
      <c r="T540" s="11"/>
      <c r="U540" s="11"/>
      <c r="V540" s="11"/>
      <c r="W540" s="11"/>
      <c r="X540" s="11"/>
      <c r="Y540" s="11"/>
      <c r="Z540" s="11"/>
    </row>
    <row r="541" ht="15.75" customHeight="1">
      <c r="A541" s="11"/>
      <c r="B541" s="13"/>
      <c r="C541" s="13"/>
      <c r="D541" s="13"/>
      <c r="E541" s="13"/>
      <c r="F541" s="13"/>
      <c r="G541" s="41"/>
      <c r="H541" s="12"/>
      <c r="I541" s="11"/>
      <c r="J541" s="11"/>
      <c r="K541" s="11"/>
      <c r="L541" s="11"/>
      <c r="M541" s="11"/>
      <c r="N541" s="11"/>
      <c r="O541" s="11"/>
      <c r="P541" s="11"/>
      <c r="Q541" s="11"/>
      <c r="R541" s="11"/>
      <c r="S541" s="11"/>
      <c r="T541" s="11"/>
      <c r="U541" s="11"/>
      <c r="V541" s="11"/>
      <c r="W541" s="11"/>
      <c r="X541" s="11"/>
      <c r="Y541" s="11"/>
      <c r="Z541" s="11"/>
    </row>
    <row r="542" ht="15.75" customHeight="1">
      <c r="A542" s="11"/>
      <c r="B542" s="13"/>
      <c r="C542" s="13"/>
      <c r="D542" s="13"/>
      <c r="E542" s="13"/>
      <c r="F542" s="13"/>
      <c r="G542" s="41"/>
      <c r="H542" s="12"/>
      <c r="I542" s="11"/>
      <c r="J542" s="11"/>
      <c r="K542" s="11"/>
      <c r="L542" s="11"/>
      <c r="M542" s="11"/>
      <c r="N542" s="11"/>
      <c r="O542" s="11"/>
      <c r="P542" s="11"/>
      <c r="Q542" s="11"/>
      <c r="R542" s="11"/>
      <c r="S542" s="11"/>
      <c r="T542" s="11"/>
      <c r="U542" s="11"/>
      <c r="V542" s="11"/>
      <c r="W542" s="11"/>
      <c r="X542" s="11"/>
      <c r="Y542" s="11"/>
      <c r="Z542" s="11"/>
    </row>
    <row r="543" ht="15.75" customHeight="1">
      <c r="A543" s="11"/>
      <c r="B543" s="13"/>
      <c r="C543" s="13"/>
      <c r="D543" s="13"/>
      <c r="E543" s="13"/>
      <c r="F543" s="13"/>
      <c r="G543" s="41"/>
      <c r="H543" s="12"/>
      <c r="I543" s="11"/>
      <c r="J543" s="11"/>
      <c r="K543" s="11"/>
      <c r="L543" s="11"/>
      <c r="M543" s="11"/>
      <c r="N543" s="11"/>
      <c r="O543" s="11"/>
      <c r="P543" s="11"/>
      <c r="Q543" s="11"/>
      <c r="R543" s="11"/>
      <c r="S543" s="11"/>
      <c r="T543" s="11"/>
      <c r="U543" s="11"/>
      <c r="V543" s="11"/>
      <c r="W543" s="11"/>
      <c r="X543" s="11"/>
      <c r="Y543" s="11"/>
      <c r="Z543" s="11"/>
    </row>
    <row r="544" ht="15.75" customHeight="1">
      <c r="A544" s="11"/>
      <c r="B544" s="13"/>
      <c r="C544" s="13"/>
      <c r="D544" s="13"/>
      <c r="E544" s="13"/>
      <c r="F544" s="13"/>
      <c r="G544" s="41"/>
      <c r="H544" s="12"/>
      <c r="I544" s="11"/>
      <c r="J544" s="11"/>
      <c r="K544" s="11"/>
      <c r="L544" s="11"/>
      <c r="M544" s="11"/>
      <c r="N544" s="11"/>
      <c r="O544" s="11"/>
      <c r="P544" s="11"/>
      <c r="Q544" s="11"/>
      <c r="R544" s="11"/>
      <c r="S544" s="11"/>
      <c r="T544" s="11"/>
      <c r="U544" s="11"/>
      <c r="V544" s="11"/>
      <c r="W544" s="11"/>
      <c r="X544" s="11"/>
      <c r="Y544" s="11"/>
      <c r="Z544" s="11"/>
    </row>
    <row r="545" ht="15.75" customHeight="1">
      <c r="A545" s="11"/>
      <c r="B545" s="13"/>
      <c r="C545" s="13"/>
      <c r="D545" s="13"/>
      <c r="E545" s="13"/>
      <c r="F545" s="13"/>
      <c r="G545" s="41"/>
      <c r="H545" s="12"/>
      <c r="I545" s="11"/>
      <c r="J545" s="11"/>
      <c r="K545" s="11"/>
      <c r="L545" s="11"/>
      <c r="M545" s="11"/>
      <c r="N545" s="11"/>
      <c r="O545" s="11"/>
      <c r="P545" s="11"/>
      <c r="Q545" s="11"/>
      <c r="R545" s="11"/>
      <c r="S545" s="11"/>
      <c r="T545" s="11"/>
      <c r="U545" s="11"/>
      <c r="V545" s="11"/>
      <c r="W545" s="11"/>
      <c r="X545" s="11"/>
      <c r="Y545" s="11"/>
      <c r="Z545" s="11"/>
    </row>
    <row r="546" ht="15.75" customHeight="1">
      <c r="A546" s="11"/>
      <c r="B546" s="13"/>
      <c r="C546" s="13"/>
      <c r="D546" s="13"/>
      <c r="E546" s="13"/>
      <c r="F546" s="13"/>
      <c r="G546" s="41"/>
      <c r="H546" s="12"/>
      <c r="I546" s="11"/>
      <c r="J546" s="11"/>
      <c r="K546" s="11"/>
      <c r="L546" s="11"/>
      <c r="M546" s="11"/>
      <c r="N546" s="11"/>
      <c r="O546" s="11"/>
      <c r="P546" s="11"/>
      <c r="Q546" s="11"/>
      <c r="R546" s="11"/>
      <c r="S546" s="11"/>
      <c r="T546" s="11"/>
      <c r="U546" s="11"/>
      <c r="V546" s="11"/>
      <c r="W546" s="11"/>
      <c r="X546" s="11"/>
      <c r="Y546" s="11"/>
      <c r="Z546" s="11"/>
    </row>
    <row r="547" ht="15.75" customHeight="1">
      <c r="A547" s="11"/>
      <c r="B547" s="13"/>
      <c r="C547" s="13"/>
      <c r="D547" s="13"/>
      <c r="E547" s="13"/>
      <c r="F547" s="13"/>
      <c r="G547" s="41"/>
      <c r="H547" s="12"/>
      <c r="I547" s="11"/>
      <c r="J547" s="11"/>
      <c r="K547" s="11"/>
      <c r="L547" s="11"/>
      <c r="M547" s="11"/>
      <c r="N547" s="11"/>
      <c r="O547" s="11"/>
      <c r="P547" s="11"/>
      <c r="Q547" s="11"/>
      <c r="R547" s="11"/>
      <c r="S547" s="11"/>
      <c r="T547" s="11"/>
      <c r="U547" s="11"/>
      <c r="V547" s="11"/>
      <c r="W547" s="11"/>
      <c r="X547" s="11"/>
      <c r="Y547" s="11"/>
      <c r="Z547" s="11"/>
    </row>
    <row r="548" ht="15.75" customHeight="1">
      <c r="A548" s="11"/>
      <c r="B548" s="13"/>
      <c r="C548" s="13"/>
      <c r="D548" s="13"/>
      <c r="E548" s="13"/>
      <c r="F548" s="13"/>
      <c r="G548" s="41"/>
      <c r="H548" s="12"/>
      <c r="I548" s="11"/>
      <c r="J548" s="11"/>
      <c r="K548" s="11"/>
      <c r="L548" s="11"/>
      <c r="M548" s="11"/>
      <c r="N548" s="11"/>
      <c r="O548" s="11"/>
      <c r="P548" s="11"/>
      <c r="Q548" s="11"/>
      <c r="R548" s="11"/>
      <c r="S548" s="11"/>
      <c r="T548" s="11"/>
      <c r="U548" s="11"/>
      <c r="V548" s="11"/>
      <c r="W548" s="11"/>
      <c r="X548" s="11"/>
      <c r="Y548" s="11"/>
      <c r="Z548" s="11"/>
    </row>
    <row r="549" ht="15.75" customHeight="1">
      <c r="A549" s="11"/>
      <c r="B549" s="13"/>
      <c r="C549" s="13"/>
      <c r="D549" s="13"/>
      <c r="E549" s="13"/>
      <c r="F549" s="13"/>
      <c r="G549" s="41"/>
      <c r="H549" s="12"/>
      <c r="I549" s="11"/>
      <c r="J549" s="11"/>
      <c r="K549" s="11"/>
      <c r="L549" s="11"/>
      <c r="M549" s="11"/>
      <c r="N549" s="11"/>
      <c r="O549" s="11"/>
      <c r="P549" s="11"/>
      <c r="Q549" s="11"/>
      <c r="R549" s="11"/>
      <c r="S549" s="11"/>
      <c r="T549" s="11"/>
      <c r="U549" s="11"/>
      <c r="V549" s="11"/>
      <c r="W549" s="11"/>
      <c r="X549" s="11"/>
      <c r="Y549" s="11"/>
      <c r="Z549" s="11"/>
    </row>
    <row r="550" ht="15.75" customHeight="1">
      <c r="A550" s="11"/>
      <c r="B550" s="13"/>
      <c r="C550" s="13"/>
      <c r="D550" s="13"/>
      <c r="E550" s="13"/>
      <c r="F550" s="13"/>
      <c r="G550" s="41"/>
      <c r="H550" s="12"/>
      <c r="I550" s="11"/>
      <c r="J550" s="11"/>
      <c r="K550" s="11"/>
      <c r="L550" s="11"/>
      <c r="M550" s="11"/>
      <c r="N550" s="11"/>
      <c r="O550" s="11"/>
      <c r="P550" s="11"/>
      <c r="Q550" s="11"/>
      <c r="R550" s="11"/>
      <c r="S550" s="11"/>
      <c r="T550" s="11"/>
      <c r="U550" s="11"/>
      <c r="V550" s="11"/>
      <c r="W550" s="11"/>
      <c r="X550" s="11"/>
      <c r="Y550" s="11"/>
      <c r="Z550" s="11"/>
    </row>
    <row r="551" ht="15.75" customHeight="1">
      <c r="A551" s="11"/>
      <c r="B551" s="13"/>
      <c r="C551" s="13"/>
      <c r="D551" s="13"/>
      <c r="E551" s="13"/>
      <c r="F551" s="13"/>
      <c r="G551" s="41"/>
      <c r="H551" s="12"/>
      <c r="I551" s="11"/>
      <c r="J551" s="11"/>
      <c r="K551" s="11"/>
      <c r="L551" s="11"/>
      <c r="M551" s="11"/>
      <c r="N551" s="11"/>
      <c r="O551" s="11"/>
      <c r="P551" s="11"/>
      <c r="Q551" s="11"/>
      <c r="R551" s="11"/>
      <c r="S551" s="11"/>
      <c r="T551" s="11"/>
      <c r="U551" s="11"/>
      <c r="V551" s="11"/>
      <c r="W551" s="11"/>
      <c r="X551" s="11"/>
      <c r="Y551" s="11"/>
      <c r="Z551" s="11"/>
    </row>
    <row r="552" ht="15.75" customHeight="1">
      <c r="A552" s="11"/>
      <c r="B552" s="13"/>
      <c r="C552" s="13"/>
      <c r="D552" s="13"/>
      <c r="E552" s="13"/>
      <c r="F552" s="13"/>
      <c r="G552" s="41"/>
      <c r="H552" s="12"/>
      <c r="I552" s="11"/>
      <c r="J552" s="11"/>
      <c r="K552" s="11"/>
      <c r="L552" s="11"/>
      <c r="M552" s="11"/>
      <c r="N552" s="11"/>
      <c r="O552" s="11"/>
      <c r="P552" s="11"/>
      <c r="Q552" s="11"/>
      <c r="R552" s="11"/>
      <c r="S552" s="11"/>
      <c r="T552" s="11"/>
      <c r="U552" s="11"/>
      <c r="V552" s="11"/>
      <c r="W552" s="11"/>
      <c r="X552" s="11"/>
      <c r="Y552" s="11"/>
      <c r="Z552" s="11"/>
    </row>
    <row r="553" ht="15.75" customHeight="1">
      <c r="A553" s="11"/>
      <c r="B553" s="13"/>
      <c r="C553" s="13"/>
      <c r="D553" s="13"/>
      <c r="E553" s="13"/>
      <c r="F553" s="13"/>
      <c r="G553" s="41"/>
      <c r="H553" s="12"/>
      <c r="I553" s="11"/>
      <c r="J553" s="11"/>
      <c r="K553" s="11"/>
      <c r="L553" s="11"/>
      <c r="M553" s="11"/>
      <c r="N553" s="11"/>
      <c r="O553" s="11"/>
      <c r="P553" s="11"/>
      <c r="Q553" s="11"/>
      <c r="R553" s="11"/>
      <c r="S553" s="11"/>
      <c r="T553" s="11"/>
      <c r="U553" s="11"/>
      <c r="V553" s="11"/>
      <c r="W553" s="11"/>
      <c r="X553" s="11"/>
      <c r="Y553" s="11"/>
      <c r="Z553" s="11"/>
    </row>
    <row r="554" ht="15.75" customHeight="1">
      <c r="A554" s="11"/>
      <c r="B554" s="13"/>
      <c r="C554" s="13"/>
      <c r="D554" s="13"/>
      <c r="E554" s="13"/>
      <c r="F554" s="13"/>
      <c r="G554" s="41"/>
      <c r="H554" s="12"/>
      <c r="I554" s="11"/>
      <c r="J554" s="11"/>
      <c r="K554" s="11"/>
      <c r="L554" s="11"/>
      <c r="M554" s="11"/>
      <c r="N554" s="11"/>
      <c r="O554" s="11"/>
      <c r="P554" s="11"/>
      <c r="Q554" s="11"/>
      <c r="R554" s="11"/>
      <c r="S554" s="11"/>
      <c r="T554" s="11"/>
      <c r="U554" s="11"/>
      <c r="V554" s="11"/>
      <c r="W554" s="11"/>
      <c r="X554" s="11"/>
      <c r="Y554" s="11"/>
      <c r="Z554" s="11"/>
    </row>
    <row r="555" ht="15.75" customHeight="1">
      <c r="A555" s="11"/>
      <c r="B555" s="13"/>
      <c r="C555" s="13"/>
      <c r="D555" s="13"/>
      <c r="E555" s="13"/>
      <c r="F555" s="13"/>
      <c r="G555" s="41"/>
      <c r="H555" s="12"/>
      <c r="I555" s="11"/>
      <c r="J555" s="11"/>
      <c r="K555" s="11"/>
      <c r="L555" s="11"/>
      <c r="M555" s="11"/>
      <c r="N555" s="11"/>
      <c r="O555" s="11"/>
      <c r="P555" s="11"/>
      <c r="Q555" s="11"/>
      <c r="R555" s="11"/>
      <c r="S555" s="11"/>
      <c r="T555" s="11"/>
      <c r="U555" s="11"/>
      <c r="V555" s="11"/>
      <c r="W555" s="11"/>
      <c r="X555" s="11"/>
      <c r="Y555" s="11"/>
      <c r="Z555" s="11"/>
    </row>
    <row r="556" ht="15.75" customHeight="1">
      <c r="A556" s="11"/>
      <c r="B556" s="13"/>
      <c r="C556" s="13"/>
      <c r="D556" s="13"/>
      <c r="E556" s="13"/>
      <c r="F556" s="13"/>
      <c r="G556" s="41"/>
      <c r="H556" s="12"/>
      <c r="I556" s="11"/>
      <c r="J556" s="11"/>
      <c r="K556" s="11"/>
      <c r="L556" s="11"/>
      <c r="M556" s="11"/>
      <c r="N556" s="11"/>
      <c r="O556" s="11"/>
      <c r="P556" s="11"/>
      <c r="Q556" s="11"/>
      <c r="R556" s="11"/>
      <c r="S556" s="11"/>
      <c r="T556" s="11"/>
      <c r="U556" s="11"/>
      <c r="V556" s="11"/>
      <c r="W556" s="11"/>
      <c r="X556" s="11"/>
      <c r="Y556" s="11"/>
      <c r="Z556" s="11"/>
    </row>
    <row r="557" ht="15.75" customHeight="1">
      <c r="A557" s="11"/>
      <c r="B557" s="13"/>
      <c r="C557" s="13"/>
      <c r="D557" s="13"/>
      <c r="E557" s="13"/>
      <c r="F557" s="13"/>
      <c r="G557" s="41"/>
      <c r="H557" s="12"/>
      <c r="I557" s="11"/>
      <c r="J557" s="11"/>
      <c r="K557" s="11"/>
      <c r="L557" s="11"/>
      <c r="M557" s="11"/>
      <c r="N557" s="11"/>
      <c r="O557" s="11"/>
      <c r="P557" s="11"/>
      <c r="Q557" s="11"/>
      <c r="R557" s="11"/>
      <c r="S557" s="11"/>
      <c r="T557" s="11"/>
      <c r="U557" s="11"/>
      <c r="V557" s="11"/>
      <c r="W557" s="11"/>
      <c r="X557" s="11"/>
      <c r="Y557" s="11"/>
      <c r="Z557" s="11"/>
    </row>
    <row r="558" ht="15.75" customHeight="1">
      <c r="A558" s="11"/>
      <c r="B558" s="13"/>
      <c r="C558" s="13"/>
      <c r="D558" s="13"/>
      <c r="E558" s="13"/>
      <c r="F558" s="13"/>
      <c r="G558" s="41"/>
      <c r="H558" s="12"/>
      <c r="I558" s="11"/>
      <c r="J558" s="11"/>
      <c r="K558" s="11"/>
      <c r="L558" s="11"/>
      <c r="M558" s="11"/>
      <c r="N558" s="11"/>
      <c r="O558" s="11"/>
      <c r="P558" s="11"/>
      <c r="Q558" s="11"/>
      <c r="R558" s="11"/>
      <c r="S558" s="11"/>
      <c r="T558" s="11"/>
      <c r="U558" s="11"/>
      <c r="V558" s="11"/>
      <c r="W558" s="11"/>
      <c r="X558" s="11"/>
      <c r="Y558" s="11"/>
      <c r="Z558" s="11"/>
    </row>
    <row r="559" ht="15.75" customHeight="1">
      <c r="A559" s="11"/>
      <c r="B559" s="13"/>
      <c r="C559" s="13"/>
      <c r="D559" s="13"/>
      <c r="E559" s="13"/>
      <c r="F559" s="13"/>
      <c r="G559" s="41"/>
      <c r="H559" s="12"/>
      <c r="I559" s="11"/>
      <c r="J559" s="11"/>
      <c r="K559" s="11"/>
      <c r="L559" s="11"/>
      <c r="M559" s="11"/>
      <c r="N559" s="11"/>
      <c r="O559" s="11"/>
      <c r="P559" s="11"/>
      <c r="Q559" s="11"/>
      <c r="R559" s="11"/>
      <c r="S559" s="11"/>
      <c r="T559" s="11"/>
      <c r="U559" s="11"/>
      <c r="V559" s="11"/>
      <c r="W559" s="11"/>
      <c r="X559" s="11"/>
      <c r="Y559" s="11"/>
      <c r="Z559" s="11"/>
    </row>
    <row r="560" ht="15.75" customHeight="1">
      <c r="A560" s="11"/>
      <c r="B560" s="13"/>
      <c r="C560" s="13"/>
      <c r="D560" s="13"/>
      <c r="E560" s="13"/>
      <c r="F560" s="13"/>
      <c r="G560" s="41"/>
      <c r="H560" s="12"/>
      <c r="I560" s="11"/>
      <c r="J560" s="11"/>
      <c r="K560" s="11"/>
      <c r="L560" s="11"/>
      <c r="M560" s="11"/>
      <c r="N560" s="11"/>
      <c r="O560" s="11"/>
      <c r="P560" s="11"/>
      <c r="Q560" s="11"/>
      <c r="R560" s="11"/>
      <c r="S560" s="11"/>
      <c r="T560" s="11"/>
      <c r="U560" s="11"/>
      <c r="V560" s="11"/>
      <c r="W560" s="11"/>
      <c r="X560" s="11"/>
      <c r="Y560" s="11"/>
      <c r="Z560" s="11"/>
    </row>
    <row r="561" ht="15.75" customHeight="1">
      <c r="A561" s="11"/>
      <c r="B561" s="13"/>
      <c r="C561" s="13"/>
      <c r="D561" s="13"/>
      <c r="E561" s="13"/>
      <c r="F561" s="13"/>
      <c r="G561" s="41"/>
      <c r="H561" s="12"/>
      <c r="I561" s="11"/>
      <c r="J561" s="11"/>
      <c r="K561" s="11"/>
      <c r="L561" s="11"/>
      <c r="M561" s="11"/>
      <c r="N561" s="11"/>
      <c r="O561" s="11"/>
      <c r="P561" s="11"/>
      <c r="Q561" s="11"/>
      <c r="R561" s="11"/>
      <c r="S561" s="11"/>
      <c r="T561" s="11"/>
      <c r="U561" s="11"/>
      <c r="V561" s="11"/>
      <c r="W561" s="11"/>
      <c r="X561" s="11"/>
      <c r="Y561" s="11"/>
      <c r="Z561" s="11"/>
    </row>
    <row r="562" ht="15.75" customHeight="1">
      <c r="A562" s="11"/>
      <c r="B562" s="13"/>
      <c r="C562" s="13"/>
      <c r="D562" s="13"/>
      <c r="E562" s="13"/>
      <c r="F562" s="13"/>
      <c r="G562" s="41"/>
      <c r="H562" s="12"/>
      <c r="I562" s="11"/>
      <c r="J562" s="11"/>
      <c r="K562" s="11"/>
      <c r="L562" s="11"/>
      <c r="M562" s="11"/>
      <c r="N562" s="11"/>
      <c r="O562" s="11"/>
      <c r="P562" s="11"/>
      <c r="Q562" s="11"/>
      <c r="R562" s="11"/>
      <c r="S562" s="11"/>
      <c r="T562" s="11"/>
      <c r="U562" s="11"/>
      <c r="V562" s="11"/>
      <c r="W562" s="11"/>
      <c r="X562" s="11"/>
      <c r="Y562" s="11"/>
      <c r="Z562" s="11"/>
    </row>
    <row r="563" ht="15.75" customHeight="1">
      <c r="A563" s="11"/>
      <c r="B563" s="13"/>
      <c r="C563" s="13"/>
      <c r="D563" s="13"/>
      <c r="E563" s="13"/>
      <c r="F563" s="13"/>
      <c r="G563" s="41"/>
      <c r="H563" s="12"/>
      <c r="I563" s="11"/>
      <c r="J563" s="11"/>
      <c r="K563" s="11"/>
      <c r="L563" s="11"/>
      <c r="M563" s="11"/>
      <c r="N563" s="11"/>
      <c r="O563" s="11"/>
      <c r="P563" s="11"/>
      <c r="Q563" s="11"/>
      <c r="R563" s="11"/>
      <c r="S563" s="11"/>
      <c r="T563" s="11"/>
      <c r="U563" s="11"/>
      <c r="V563" s="11"/>
      <c r="W563" s="11"/>
      <c r="X563" s="11"/>
      <c r="Y563" s="11"/>
      <c r="Z563" s="11"/>
    </row>
    <row r="564" ht="15.75" customHeight="1">
      <c r="A564" s="11"/>
      <c r="B564" s="13"/>
      <c r="C564" s="13"/>
      <c r="D564" s="13"/>
      <c r="E564" s="13"/>
      <c r="F564" s="13"/>
      <c r="G564" s="41"/>
      <c r="H564" s="12"/>
      <c r="I564" s="11"/>
      <c r="J564" s="11"/>
      <c r="K564" s="11"/>
      <c r="L564" s="11"/>
      <c r="M564" s="11"/>
      <c r="N564" s="11"/>
      <c r="O564" s="11"/>
      <c r="P564" s="11"/>
      <c r="Q564" s="11"/>
      <c r="R564" s="11"/>
      <c r="S564" s="11"/>
      <c r="T564" s="11"/>
      <c r="U564" s="11"/>
      <c r="V564" s="11"/>
      <c r="W564" s="11"/>
      <c r="X564" s="11"/>
      <c r="Y564" s="11"/>
      <c r="Z564" s="11"/>
    </row>
    <row r="565" ht="15.75" customHeight="1">
      <c r="A565" s="11"/>
      <c r="B565" s="13"/>
      <c r="C565" s="13"/>
      <c r="D565" s="13"/>
      <c r="E565" s="13"/>
      <c r="F565" s="13"/>
      <c r="G565" s="41"/>
      <c r="H565" s="12"/>
      <c r="I565" s="11"/>
      <c r="J565" s="11"/>
      <c r="K565" s="11"/>
      <c r="L565" s="11"/>
      <c r="M565" s="11"/>
      <c r="N565" s="11"/>
      <c r="O565" s="11"/>
      <c r="P565" s="11"/>
      <c r="Q565" s="11"/>
      <c r="R565" s="11"/>
      <c r="S565" s="11"/>
      <c r="T565" s="11"/>
      <c r="U565" s="11"/>
      <c r="V565" s="11"/>
      <c r="W565" s="11"/>
      <c r="X565" s="11"/>
      <c r="Y565" s="11"/>
      <c r="Z565" s="11"/>
    </row>
    <row r="566" ht="15.75" customHeight="1">
      <c r="A566" s="11"/>
      <c r="B566" s="13"/>
      <c r="C566" s="13"/>
      <c r="D566" s="13"/>
      <c r="E566" s="13"/>
      <c r="F566" s="13"/>
      <c r="G566" s="41"/>
      <c r="H566" s="12"/>
      <c r="I566" s="11"/>
      <c r="J566" s="11"/>
      <c r="K566" s="11"/>
      <c r="L566" s="11"/>
      <c r="M566" s="11"/>
      <c r="N566" s="11"/>
      <c r="O566" s="11"/>
      <c r="P566" s="11"/>
      <c r="Q566" s="11"/>
      <c r="R566" s="11"/>
      <c r="S566" s="11"/>
      <c r="T566" s="11"/>
      <c r="U566" s="11"/>
      <c r="V566" s="11"/>
      <c r="W566" s="11"/>
      <c r="X566" s="11"/>
      <c r="Y566" s="11"/>
      <c r="Z566" s="11"/>
    </row>
    <row r="567" ht="15.75" customHeight="1">
      <c r="A567" s="11"/>
      <c r="B567" s="13"/>
      <c r="C567" s="13"/>
      <c r="D567" s="13"/>
      <c r="E567" s="13"/>
      <c r="F567" s="13"/>
      <c r="G567" s="41"/>
      <c r="H567" s="12"/>
      <c r="I567" s="11"/>
      <c r="J567" s="11"/>
      <c r="K567" s="11"/>
      <c r="L567" s="11"/>
      <c r="M567" s="11"/>
      <c r="N567" s="11"/>
      <c r="O567" s="11"/>
      <c r="P567" s="11"/>
      <c r="Q567" s="11"/>
      <c r="R567" s="11"/>
      <c r="S567" s="11"/>
      <c r="T567" s="11"/>
      <c r="U567" s="11"/>
      <c r="V567" s="11"/>
      <c r="W567" s="11"/>
      <c r="X567" s="11"/>
      <c r="Y567" s="11"/>
      <c r="Z567" s="11"/>
    </row>
    <row r="568" ht="15.75" customHeight="1">
      <c r="A568" s="11"/>
      <c r="B568" s="13"/>
      <c r="C568" s="13"/>
      <c r="D568" s="13"/>
      <c r="E568" s="13"/>
      <c r="F568" s="13"/>
      <c r="G568" s="41"/>
      <c r="H568" s="12"/>
      <c r="I568" s="11"/>
      <c r="J568" s="11"/>
      <c r="K568" s="11"/>
      <c r="L568" s="11"/>
      <c r="M568" s="11"/>
      <c r="N568" s="11"/>
      <c r="O568" s="11"/>
      <c r="P568" s="11"/>
      <c r="Q568" s="11"/>
      <c r="R568" s="11"/>
      <c r="S568" s="11"/>
      <c r="T568" s="11"/>
      <c r="U568" s="11"/>
      <c r="V568" s="11"/>
      <c r="W568" s="11"/>
      <c r="X568" s="11"/>
      <c r="Y568" s="11"/>
      <c r="Z568" s="11"/>
    </row>
    <row r="569" ht="15.75" customHeight="1">
      <c r="A569" s="11"/>
      <c r="B569" s="13"/>
      <c r="C569" s="13"/>
      <c r="D569" s="13"/>
      <c r="E569" s="13"/>
      <c r="F569" s="13"/>
      <c r="G569" s="41"/>
      <c r="H569" s="12"/>
      <c r="I569" s="11"/>
      <c r="J569" s="11"/>
      <c r="K569" s="11"/>
      <c r="L569" s="11"/>
      <c r="M569" s="11"/>
      <c r="N569" s="11"/>
      <c r="O569" s="11"/>
      <c r="P569" s="11"/>
      <c r="Q569" s="11"/>
      <c r="R569" s="11"/>
      <c r="S569" s="11"/>
      <c r="T569" s="11"/>
      <c r="U569" s="11"/>
      <c r="V569" s="11"/>
      <c r="W569" s="11"/>
      <c r="X569" s="11"/>
      <c r="Y569" s="11"/>
      <c r="Z569" s="11"/>
    </row>
    <row r="570" ht="15.75" customHeight="1">
      <c r="A570" s="11"/>
      <c r="B570" s="13"/>
      <c r="C570" s="13"/>
      <c r="D570" s="13"/>
      <c r="E570" s="13"/>
      <c r="F570" s="13"/>
      <c r="G570" s="41"/>
      <c r="H570" s="12"/>
      <c r="I570" s="11"/>
      <c r="J570" s="11"/>
      <c r="K570" s="11"/>
      <c r="L570" s="11"/>
      <c r="M570" s="11"/>
      <c r="N570" s="11"/>
      <c r="O570" s="11"/>
      <c r="P570" s="11"/>
      <c r="Q570" s="11"/>
      <c r="R570" s="11"/>
      <c r="S570" s="11"/>
      <c r="T570" s="11"/>
      <c r="U570" s="11"/>
      <c r="V570" s="11"/>
      <c r="W570" s="11"/>
      <c r="X570" s="11"/>
      <c r="Y570" s="11"/>
      <c r="Z570" s="11"/>
    </row>
    <row r="571" ht="15.75" customHeight="1">
      <c r="A571" s="11"/>
      <c r="B571" s="13"/>
      <c r="C571" s="13"/>
      <c r="D571" s="13"/>
      <c r="E571" s="13"/>
      <c r="F571" s="13"/>
      <c r="G571" s="41"/>
      <c r="H571" s="12"/>
      <c r="I571" s="11"/>
      <c r="J571" s="11"/>
      <c r="K571" s="11"/>
      <c r="L571" s="11"/>
      <c r="M571" s="11"/>
      <c r="N571" s="11"/>
      <c r="O571" s="11"/>
      <c r="P571" s="11"/>
      <c r="Q571" s="11"/>
      <c r="R571" s="11"/>
      <c r="S571" s="11"/>
      <c r="T571" s="11"/>
      <c r="U571" s="11"/>
      <c r="V571" s="11"/>
      <c r="W571" s="11"/>
      <c r="X571" s="11"/>
      <c r="Y571" s="11"/>
      <c r="Z571" s="11"/>
    </row>
    <row r="572" ht="15.75" customHeight="1">
      <c r="A572" s="11"/>
      <c r="B572" s="13"/>
      <c r="C572" s="13"/>
      <c r="D572" s="13"/>
      <c r="E572" s="13"/>
      <c r="F572" s="13"/>
      <c r="G572" s="41"/>
      <c r="H572" s="12"/>
      <c r="I572" s="11"/>
      <c r="J572" s="11"/>
      <c r="K572" s="11"/>
      <c r="L572" s="11"/>
      <c r="M572" s="11"/>
      <c r="N572" s="11"/>
      <c r="O572" s="11"/>
      <c r="P572" s="11"/>
      <c r="Q572" s="11"/>
      <c r="R572" s="11"/>
      <c r="S572" s="11"/>
      <c r="T572" s="11"/>
      <c r="U572" s="11"/>
      <c r="V572" s="11"/>
      <c r="W572" s="11"/>
      <c r="X572" s="11"/>
      <c r="Y572" s="11"/>
      <c r="Z572" s="11"/>
    </row>
    <row r="573" ht="15.75" customHeight="1">
      <c r="A573" s="11"/>
      <c r="B573" s="13"/>
      <c r="C573" s="13"/>
      <c r="D573" s="13"/>
      <c r="E573" s="13"/>
      <c r="F573" s="13"/>
      <c r="G573" s="41"/>
      <c r="H573" s="12"/>
      <c r="I573" s="11"/>
      <c r="J573" s="11"/>
      <c r="K573" s="11"/>
      <c r="L573" s="11"/>
      <c r="M573" s="11"/>
      <c r="N573" s="11"/>
      <c r="O573" s="11"/>
      <c r="P573" s="11"/>
      <c r="Q573" s="11"/>
      <c r="R573" s="11"/>
      <c r="S573" s="11"/>
      <c r="T573" s="11"/>
      <c r="U573" s="11"/>
      <c r="V573" s="11"/>
      <c r="W573" s="11"/>
      <c r="X573" s="11"/>
      <c r="Y573" s="11"/>
      <c r="Z573" s="11"/>
    </row>
    <row r="574" ht="15.75" customHeight="1">
      <c r="A574" s="11"/>
      <c r="B574" s="13"/>
      <c r="C574" s="13"/>
      <c r="D574" s="13"/>
      <c r="E574" s="13"/>
      <c r="F574" s="13"/>
      <c r="G574" s="41"/>
      <c r="H574" s="12"/>
      <c r="I574" s="11"/>
      <c r="J574" s="11"/>
      <c r="K574" s="11"/>
      <c r="L574" s="11"/>
      <c r="M574" s="11"/>
      <c r="N574" s="11"/>
      <c r="O574" s="11"/>
      <c r="P574" s="11"/>
      <c r="Q574" s="11"/>
      <c r="R574" s="11"/>
      <c r="S574" s="11"/>
      <c r="T574" s="11"/>
      <c r="U574" s="11"/>
      <c r="V574" s="11"/>
      <c r="W574" s="11"/>
      <c r="X574" s="11"/>
      <c r="Y574" s="11"/>
      <c r="Z574" s="11"/>
    </row>
    <row r="575" ht="15.75" customHeight="1">
      <c r="A575" s="11"/>
      <c r="B575" s="13"/>
      <c r="C575" s="13"/>
      <c r="D575" s="13"/>
      <c r="E575" s="13"/>
      <c r="F575" s="13"/>
      <c r="G575" s="41"/>
      <c r="H575" s="12"/>
      <c r="I575" s="11"/>
      <c r="J575" s="11"/>
      <c r="K575" s="11"/>
      <c r="L575" s="11"/>
      <c r="M575" s="11"/>
      <c r="N575" s="11"/>
      <c r="O575" s="11"/>
      <c r="P575" s="11"/>
      <c r="Q575" s="11"/>
      <c r="R575" s="11"/>
      <c r="S575" s="11"/>
      <c r="T575" s="11"/>
      <c r="U575" s="11"/>
      <c r="V575" s="11"/>
      <c r="W575" s="11"/>
      <c r="X575" s="11"/>
      <c r="Y575" s="11"/>
      <c r="Z575" s="11"/>
    </row>
    <row r="576" ht="15.75" customHeight="1">
      <c r="A576" s="11"/>
      <c r="B576" s="13"/>
      <c r="C576" s="13"/>
      <c r="D576" s="13"/>
      <c r="E576" s="13"/>
      <c r="F576" s="13"/>
      <c r="G576" s="41"/>
      <c r="H576" s="12"/>
      <c r="I576" s="11"/>
      <c r="J576" s="11"/>
      <c r="K576" s="11"/>
      <c r="L576" s="11"/>
      <c r="M576" s="11"/>
      <c r="N576" s="11"/>
      <c r="O576" s="11"/>
      <c r="P576" s="11"/>
      <c r="Q576" s="11"/>
      <c r="R576" s="11"/>
      <c r="S576" s="11"/>
      <c r="T576" s="11"/>
      <c r="U576" s="11"/>
      <c r="V576" s="11"/>
      <c r="W576" s="11"/>
      <c r="X576" s="11"/>
      <c r="Y576" s="11"/>
      <c r="Z576" s="11"/>
    </row>
    <row r="577" ht="15.75" customHeight="1">
      <c r="A577" s="11"/>
      <c r="B577" s="13"/>
      <c r="C577" s="13"/>
      <c r="D577" s="13"/>
      <c r="E577" s="13"/>
      <c r="F577" s="13"/>
      <c r="G577" s="41"/>
      <c r="H577" s="12"/>
      <c r="I577" s="11"/>
      <c r="J577" s="11"/>
      <c r="K577" s="11"/>
      <c r="L577" s="11"/>
      <c r="M577" s="11"/>
      <c r="N577" s="11"/>
      <c r="O577" s="11"/>
      <c r="P577" s="11"/>
      <c r="Q577" s="11"/>
      <c r="R577" s="11"/>
      <c r="S577" s="11"/>
      <c r="T577" s="11"/>
      <c r="U577" s="11"/>
      <c r="V577" s="11"/>
      <c r="W577" s="11"/>
      <c r="X577" s="11"/>
      <c r="Y577" s="11"/>
      <c r="Z577" s="11"/>
    </row>
    <row r="578" ht="15.75" customHeight="1">
      <c r="A578" s="11"/>
      <c r="B578" s="13"/>
      <c r="C578" s="13"/>
      <c r="D578" s="13"/>
      <c r="E578" s="13"/>
      <c r="F578" s="13"/>
      <c r="G578" s="41"/>
      <c r="H578" s="12"/>
      <c r="I578" s="11"/>
      <c r="J578" s="11"/>
      <c r="K578" s="11"/>
      <c r="L578" s="11"/>
      <c r="M578" s="11"/>
      <c r="N578" s="11"/>
      <c r="O578" s="11"/>
      <c r="P578" s="11"/>
      <c r="Q578" s="11"/>
      <c r="R578" s="11"/>
      <c r="S578" s="11"/>
      <c r="T578" s="11"/>
      <c r="U578" s="11"/>
      <c r="V578" s="11"/>
      <c r="W578" s="11"/>
      <c r="X578" s="11"/>
      <c r="Y578" s="11"/>
      <c r="Z578" s="11"/>
    </row>
    <row r="579" ht="15.75" customHeight="1">
      <c r="A579" s="11"/>
      <c r="B579" s="13"/>
      <c r="C579" s="13"/>
      <c r="D579" s="13"/>
      <c r="E579" s="13"/>
      <c r="F579" s="13"/>
      <c r="G579" s="41"/>
      <c r="H579" s="12"/>
      <c r="I579" s="11"/>
      <c r="J579" s="11"/>
      <c r="K579" s="11"/>
      <c r="L579" s="11"/>
      <c r="M579" s="11"/>
      <c r="N579" s="11"/>
      <c r="O579" s="11"/>
      <c r="P579" s="11"/>
      <c r="Q579" s="11"/>
      <c r="R579" s="11"/>
      <c r="S579" s="11"/>
      <c r="T579" s="11"/>
      <c r="U579" s="11"/>
      <c r="V579" s="11"/>
      <c r="W579" s="11"/>
      <c r="X579" s="11"/>
      <c r="Y579" s="11"/>
      <c r="Z579" s="11"/>
    </row>
    <row r="580" ht="15.75" customHeight="1">
      <c r="A580" s="11"/>
      <c r="B580" s="13"/>
      <c r="C580" s="13"/>
      <c r="D580" s="13"/>
      <c r="E580" s="13"/>
      <c r="F580" s="13"/>
      <c r="G580" s="41"/>
      <c r="H580" s="12"/>
      <c r="I580" s="11"/>
      <c r="J580" s="11"/>
      <c r="K580" s="11"/>
      <c r="L580" s="11"/>
      <c r="M580" s="11"/>
      <c r="N580" s="11"/>
      <c r="O580" s="11"/>
      <c r="P580" s="11"/>
      <c r="Q580" s="11"/>
      <c r="R580" s="11"/>
      <c r="S580" s="11"/>
      <c r="T580" s="11"/>
      <c r="U580" s="11"/>
      <c r="V580" s="11"/>
      <c r="W580" s="11"/>
      <c r="X580" s="11"/>
      <c r="Y580" s="11"/>
      <c r="Z580" s="11"/>
    </row>
    <row r="581" ht="15.75" customHeight="1">
      <c r="A581" s="11"/>
      <c r="B581" s="13"/>
      <c r="C581" s="13"/>
      <c r="D581" s="13"/>
      <c r="E581" s="13"/>
      <c r="F581" s="13"/>
      <c r="G581" s="41"/>
      <c r="H581" s="12"/>
      <c r="I581" s="11"/>
      <c r="J581" s="11"/>
      <c r="K581" s="11"/>
      <c r="L581" s="11"/>
      <c r="M581" s="11"/>
      <c r="N581" s="11"/>
      <c r="O581" s="11"/>
      <c r="P581" s="11"/>
      <c r="Q581" s="11"/>
      <c r="R581" s="11"/>
      <c r="S581" s="11"/>
      <c r="T581" s="11"/>
      <c r="U581" s="11"/>
      <c r="V581" s="11"/>
      <c r="W581" s="11"/>
      <c r="X581" s="11"/>
      <c r="Y581" s="11"/>
      <c r="Z581" s="11"/>
    </row>
    <row r="582" ht="15.75" customHeight="1">
      <c r="A582" s="11"/>
      <c r="B582" s="13"/>
      <c r="C582" s="13"/>
      <c r="D582" s="13"/>
      <c r="E582" s="13"/>
      <c r="F582" s="13"/>
      <c r="G582" s="41"/>
      <c r="H582" s="12"/>
      <c r="I582" s="11"/>
      <c r="J582" s="11"/>
      <c r="K582" s="11"/>
      <c r="L582" s="11"/>
      <c r="M582" s="11"/>
      <c r="N582" s="11"/>
      <c r="O582" s="11"/>
      <c r="P582" s="11"/>
      <c r="Q582" s="11"/>
      <c r="R582" s="11"/>
      <c r="S582" s="11"/>
      <c r="T582" s="11"/>
      <c r="U582" s="11"/>
      <c r="V582" s="11"/>
      <c r="W582" s="11"/>
      <c r="X582" s="11"/>
      <c r="Y582" s="11"/>
      <c r="Z582" s="11"/>
    </row>
    <row r="583" ht="15.75" customHeight="1">
      <c r="A583" s="11"/>
      <c r="B583" s="13"/>
      <c r="C583" s="13"/>
      <c r="D583" s="13"/>
      <c r="E583" s="13"/>
      <c r="F583" s="13"/>
      <c r="G583" s="41"/>
      <c r="H583" s="12"/>
      <c r="I583" s="11"/>
      <c r="J583" s="11"/>
      <c r="K583" s="11"/>
      <c r="L583" s="11"/>
      <c r="M583" s="11"/>
      <c r="N583" s="11"/>
      <c r="O583" s="11"/>
      <c r="P583" s="11"/>
      <c r="Q583" s="11"/>
      <c r="R583" s="11"/>
      <c r="S583" s="11"/>
      <c r="T583" s="11"/>
      <c r="U583" s="11"/>
      <c r="V583" s="11"/>
      <c r="W583" s="11"/>
      <c r="X583" s="11"/>
      <c r="Y583" s="11"/>
      <c r="Z583" s="11"/>
    </row>
    <row r="584" ht="15.75" customHeight="1">
      <c r="A584" s="11"/>
      <c r="B584" s="13"/>
      <c r="C584" s="13"/>
      <c r="D584" s="13"/>
      <c r="E584" s="13"/>
      <c r="F584" s="13"/>
      <c r="G584" s="41"/>
      <c r="H584" s="12"/>
      <c r="I584" s="11"/>
      <c r="J584" s="11"/>
      <c r="K584" s="11"/>
      <c r="L584" s="11"/>
      <c r="M584" s="11"/>
      <c r="N584" s="11"/>
      <c r="O584" s="11"/>
      <c r="P584" s="11"/>
      <c r="Q584" s="11"/>
      <c r="R584" s="11"/>
      <c r="S584" s="11"/>
      <c r="T584" s="11"/>
      <c r="U584" s="11"/>
      <c r="V584" s="11"/>
      <c r="W584" s="11"/>
      <c r="X584" s="11"/>
      <c r="Y584" s="11"/>
      <c r="Z584" s="11"/>
    </row>
    <row r="585" ht="15.75" customHeight="1">
      <c r="A585" s="11"/>
      <c r="B585" s="13"/>
      <c r="C585" s="13"/>
      <c r="D585" s="13"/>
      <c r="E585" s="13"/>
      <c r="F585" s="13"/>
      <c r="G585" s="41"/>
      <c r="H585" s="12"/>
      <c r="I585" s="11"/>
      <c r="J585" s="11"/>
      <c r="K585" s="11"/>
      <c r="L585" s="11"/>
      <c r="M585" s="11"/>
      <c r="N585" s="11"/>
      <c r="O585" s="11"/>
      <c r="P585" s="11"/>
      <c r="Q585" s="11"/>
      <c r="R585" s="11"/>
      <c r="S585" s="11"/>
      <c r="T585" s="11"/>
      <c r="U585" s="11"/>
      <c r="V585" s="11"/>
      <c r="W585" s="11"/>
      <c r="X585" s="11"/>
      <c r="Y585" s="11"/>
      <c r="Z585" s="11"/>
    </row>
    <row r="586" ht="15.75" customHeight="1">
      <c r="A586" s="11"/>
      <c r="B586" s="13"/>
      <c r="C586" s="13"/>
      <c r="D586" s="13"/>
      <c r="E586" s="13"/>
      <c r="F586" s="13"/>
      <c r="G586" s="41"/>
      <c r="H586" s="12"/>
      <c r="I586" s="11"/>
      <c r="J586" s="11"/>
      <c r="K586" s="11"/>
      <c r="L586" s="11"/>
      <c r="M586" s="11"/>
      <c r="N586" s="11"/>
      <c r="O586" s="11"/>
      <c r="P586" s="11"/>
      <c r="Q586" s="11"/>
      <c r="R586" s="11"/>
      <c r="S586" s="11"/>
      <c r="T586" s="11"/>
      <c r="U586" s="11"/>
      <c r="V586" s="11"/>
      <c r="W586" s="11"/>
      <c r="X586" s="11"/>
      <c r="Y586" s="11"/>
      <c r="Z586" s="11"/>
    </row>
    <row r="587" ht="15.75" customHeight="1">
      <c r="A587" s="11"/>
      <c r="B587" s="13"/>
      <c r="C587" s="13"/>
      <c r="D587" s="13"/>
      <c r="E587" s="13"/>
      <c r="F587" s="13"/>
      <c r="G587" s="41"/>
      <c r="H587" s="12"/>
      <c r="I587" s="11"/>
      <c r="J587" s="11"/>
      <c r="K587" s="11"/>
      <c r="L587" s="11"/>
      <c r="M587" s="11"/>
      <c r="N587" s="11"/>
      <c r="O587" s="11"/>
      <c r="P587" s="11"/>
      <c r="Q587" s="11"/>
      <c r="R587" s="11"/>
      <c r="S587" s="11"/>
      <c r="T587" s="11"/>
      <c r="U587" s="11"/>
      <c r="V587" s="11"/>
      <c r="W587" s="11"/>
      <c r="X587" s="11"/>
      <c r="Y587" s="11"/>
      <c r="Z587" s="11"/>
    </row>
    <row r="588" ht="15.75" customHeight="1">
      <c r="A588" s="11"/>
      <c r="B588" s="13"/>
      <c r="C588" s="13"/>
      <c r="D588" s="13"/>
      <c r="E588" s="13"/>
      <c r="F588" s="13"/>
      <c r="G588" s="41"/>
      <c r="H588" s="12"/>
      <c r="I588" s="11"/>
      <c r="J588" s="11"/>
      <c r="K588" s="11"/>
      <c r="L588" s="11"/>
      <c r="M588" s="11"/>
      <c r="N588" s="11"/>
      <c r="O588" s="11"/>
      <c r="P588" s="11"/>
      <c r="Q588" s="11"/>
      <c r="R588" s="11"/>
      <c r="S588" s="11"/>
      <c r="T588" s="11"/>
      <c r="U588" s="11"/>
      <c r="V588" s="11"/>
      <c r="W588" s="11"/>
      <c r="X588" s="11"/>
      <c r="Y588" s="11"/>
      <c r="Z588" s="11"/>
    </row>
    <row r="589" ht="15.75" customHeight="1">
      <c r="A589" s="11"/>
      <c r="B589" s="13"/>
      <c r="C589" s="13"/>
      <c r="D589" s="13"/>
      <c r="E589" s="13"/>
      <c r="F589" s="13"/>
      <c r="G589" s="41"/>
      <c r="H589" s="12"/>
      <c r="I589" s="11"/>
      <c r="J589" s="11"/>
      <c r="K589" s="11"/>
      <c r="L589" s="11"/>
      <c r="M589" s="11"/>
      <c r="N589" s="11"/>
      <c r="O589" s="11"/>
      <c r="P589" s="11"/>
      <c r="Q589" s="11"/>
      <c r="R589" s="11"/>
      <c r="S589" s="11"/>
      <c r="T589" s="11"/>
      <c r="U589" s="11"/>
      <c r="V589" s="11"/>
      <c r="W589" s="11"/>
      <c r="X589" s="11"/>
      <c r="Y589" s="11"/>
      <c r="Z589" s="11"/>
    </row>
    <row r="590" ht="15.75" customHeight="1">
      <c r="A590" s="11"/>
      <c r="B590" s="13"/>
      <c r="C590" s="13"/>
      <c r="D590" s="13"/>
      <c r="E590" s="13"/>
      <c r="F590" s="13"/>
      <c r="G590" s="41"/>
      <c r="H590" s="12"/>
      <c r="I590" s="11"/>
      <c r="J590" s="11"/>
      <c r="K590" s="11"/>
      <c r="L590" s="11"/>
      <c r="M590" s="11"/>
      <c r="N590" s="11"/>
      <c r="O590" s="11"/>
      <c r="P590" s="11"/>
      <c r="Q590" s="11"/>
      <c r="R590" s="11"/>
      <c r="S590" s="11"/>
      <c r="T590" s="11"/>
      <c r="U590" s="11"/>
      <c r="V590" s="11"/>
      <c r="W590" s="11"/>
      <c r="X590" s="11"/>
      <c r="Y590" s="11"/>
      <c r="Z590" s="11"/>
    </row>
    <row r="591" ht="15.75" customHeight="1">
      <c r="A591" s="11"/>
      <c r="B591" s="13"/>
      <c r="C591" s="13"/>
      <c r="D591" s="13"/>
      <c r="E591" s="13"/>
      <c r="F591" s="13"/>
      <c r="G591" s="41"/>
      <c r="H591" s="12"/>
      <c r="I591" s="11"/>
      <c r="J591" s="11"/>
      <c r="K591" s="11"/>
      <c r="L591" s="11"/>
      <c r="M591" s="11"/>
      <c r="N591" s="11"/>
      <c r="O591" s="11"/>
      <c r="P591" s="11"/>
      <c r="Q591" s="11"/>
      <c r="R591" s="11"/>
      <c r="S591" s="11"/>
      <c r="T591" s="11"/>
      <c r="U591" s="11"/>
      <c r="V591" s="11"/>
      <c r="W591" s="11"/>
      <c r="X591" s="11"/>
      <c r="Y591" s="11"/>
      <c r="Z591" s="11"/>
    </row>
    <row r="592" ht="15.75" customHeight="1">
      <c r="A592" s="11"/>
      <c r="B592" s="13"/>
      <c r="C592" s="13"/>
      <c r="D592" s="13"/>
      <c r="E592" s="13"/>
      <c r="F592" s="13"/>
      <c r="G592" s="41"/>
      <c r="H592" s="12"/>
      <c r="I592" s="11"/>
      <c r="J592" s="11"/>
      <c r="K592" s="11"/>
      <c r="L592" s="11"/>
      <c r="M592" s="11"/>
      <c r="N592" s="11"/>
      <c r="O592" s="11"/>
      <c r="P592" s="11"/>
      <c r="Q592" s="11"/>
      <c r="R592" s="11"/>
      <c r="S592" s="11"/>
      <c r="T592" s="11"/>
      <c r="U592" s="11"/>
      <c r="V592" s="11"/>
      <c r="W592" s="11"/>
      <c r="X592" s="11"/>
      <c r="Y592" s="11"/>
      <c r="Z592" s="11"/>
    </row>
    <row r="593" ht="15.75" customHeight="1">
      <c r="A593" s="11"/>
      <c r="B593" s="13"/>
      <c r="C593" s="13"/>
      <c r="D593" s="13"/>
      <c r="E593" s="13"/>
      <c r="F593" s="13"/>
      <c r="G593" s="41"/>
      <c r="H593" s="12"/>
      <c r="I593" s="11"/>
      <c r="J593" s="11"/>
      <c r="K593" s="11"/>
      <c r="L593" s="11"/>
      <c r="M593" s="11"/>
      <c r="N593" s="11"/>
      <c r="O593" s="11"/>
      <c r="P593" s="11"/>
      <c r="Q593" s="11"/>
      <c r="R593" s="11"/>
      <c r="S593" s="11"/>
      <c r="T593" s="11"/>
      <c r="U593" s="11"/>
      <c r="V593" s="11"/>
      <c r="W593" s="11"/>
      <c r="X593" s="11"/>
      <c r="Y593" s="11"/>
      <c r="Z593" s="11"/>
    </row>
    <row r="594" ht="15.75" customHeight="1">
      <c r="A594" s="11"/>
      <c r="B594" s="13"/>
      <c r="C594" s="13"/>
      <c r="D594" s="13"/>
      <c r="E594" s="13"/>
      <c r="F594" s="13"/>
      <c r="G594" s="41"/>
      <c r="H594" s="12"/>
      <c r="I594" s="11"/>
      <c r="J594" s="11"/>
      <c r="K594" s="11"/>
      <c r="L594" s="11"/>
      <c r="M594" s="11"/>
      <c r="N594" s="11"/>
      <c r="O594" s="11"/>
      <c r="P594" s="11"/>
      <c r="Q594" s="11"/>
      <c r="R594" s="11"/>
      <c r="S594" s="11"/>
      <c r="T594" s="11"/>
      <c r="U594" s="11"/>
      <c r="V594" s="11"/>
      <c r="W594" s="11"/>
      <c r="X594" s="11"/>
      <c r="Y594" s="11"/>
      <c r="Z594" s="11"/>
    </row>
    <row r="595" ht="15.75" customHeight="1">
      <c r="A595" s="11"/>
      <c r="B595" s="13"/>
      <c r="C595" s="13"/>
      <c r="D595" s="13"/>
      <c r="E595" s="13"/>
      <c r="F595" s="13"/>
      <c r="G595" s="41"/>
      <c r="H595" s="12"/>
      <c r="I595" s="11"/>
      <c r="J595" s="11"/>
      <c r="K595" s="11"/>
      <c r="L595" s="11"/>
      <c r="M595" s="11"/>
      <c r="N595" s="11"/>
      <c r="O595" s="11"/>
      <c r="P595" s="11"/>
      <c r="Q595" s="11"/>
      <c r="R595" s="11"/>
      <c r="S595" s="11"/>
      <c r="T595" s="11"/>
      <c r="U595" s="11"/>
      <c r="V595" s="11"/>
      <c r="W595" s="11"/>
      <c r="X595" s="11"/>
      <c r="Y595" s="11"/>
      <c r="Z595" s="11"/>
    </row>
    <row r="596" ht="15.75" customHeight="1">
      <c r="A596" s="11"/>
      <c r="B596" s="13"/>
      <c r="C596" s="13"/>
      <c r="D596" s="13"/>
      <c r="E596" s="13"/>
      <c r="F596" s="13"/>
      <c r="G596" s="41"/>
      <c r="H596" s="12"/>
      <c r="I596" s="11"/>
      <c r="J596" s="11"/>
      <c r="K596" s="11"/>
      <c r="L596" s="11"/>
      <c r="M596" s="11"/>
      <c r="N596" s="11"/>
      <c r="O596" s="11"/>
      <c r="P596" s="11"/>
      <c r="Q596" s="11"/>
      <c r="R596" s="11"/>
      <c r="S596" s="11"/>
      <c r="T596" s="11"/>
      <c r="U596" s="11"/>
      <c r="V596" s="11"/>
      <c r="W596" s="11"/>
      <c r="X596" s="11"/>
      <c r="Y596" s="11"/>
      <c r="Z596" s="11"/>
    </row>
    <row r="597" ht="15.75" customHeight="1">
      <c r="A597" s="11"/>
      <c r="B597" s="13"/>
      <c r="C597" s="13"/>
      <c r="D597" s="13"/>
      <c r="E597" s="13"/>
      <c r="F597" s="13"/>
      <c r="G597" s="41"/>
      <c r="H597" s="12"/>
      <c r="I597" s="11"/>
      <c r="J597" s="11"/>
      <c r="K597" s="11"/>
      <c r="L597" s="11"/>
      <c r="M597" s="11"/>
      <c r="N597" s="11"/>
      <c r="O597" s="11"/>
      <c r="P597" s="11"/>
      <c r="Q597" s="11"/>
      <c r="R597" s="11"/>
      <c r="S597" s="11"/>
      <c r="T597" s="11"/>
      <c r="U597" s="11"/>
      <c r="V597" s="11"/>
      <c r="W597" s="11"/>
      <c r="X597" s="11"/>
      <c r="Y597" s="11"/>
      <c r="Z597" s="11"/>
    </row>
    <row r="598" ht="15.75" customHeight="1">
      <c r="A598" s="11"/>
      <c r="B598" s="13"/>
      <c r="C598" s="13"/>
      <c r="D598" s="13"/>
      <c r="E598" s="13"/>
      <c r="F598" s="13"/>
      <c r="G598" s="41"/>
      <c r="H598" s="12"/>
      <c r="I598" s="11"/>
      <c r="J598" s="11"/>
      <c r="K598" s="11"/>
      <c r="L598" s="11"/>
      <c r="M598" s="11"/>
      <c r="N598" s="11"/>
      <c r="O598" s="11"/>
      <c r="P598" s="11"/>
      <c r="Q598" s="11"/>
      <c r="R598" s="11"/>
      <c r="S598" s="11"/>
      <c r="T598" s="11"/>
      <c r="U598" s="11"/>
      <c r="V598" s="11"/>
      <c r="W598" s="11"/>
      <c r="X598" s="11"/>
      <c r="Y598" s="11"/>
      <c r="Z598" s="11"/>
    </row>
    <row r="599" ht="15.75" customHeight="1">
      <c r="A599" s="11"/>
      <c r="B599" s="13"/>
      <c r="C599" s="13"/>
      <c r="D599" s="13"/>
      <c r="E599" s="13"/>
      <c r="F599" s="13"/>
      <c r="G599" s="41"/>
      <c r="H599" s="12"/>
      <c r="I599" s="11"/>
      <c r="J599" s="11"/>
      <c r="K599" s="11"/>
      <c r="L599" s="11"/>
      <c r="M599" s="11"/>
      <c r="N599" s="11"/>
      <c r="O599" s="11"/>
      <c r="P599" s="11"/>
      <c r="Q599" s="11"/>
      <c r="R599" s="11"/>
      <c r="S599" s="11"/>
      <c r="T599" s="11"/>
      <c r="U599" s="11"/>
      <c r="V599" s="11"/>
      <c r="W599" s="11"/>
      <c r="X599" s="11"/>
      <c r="Y599" s="11"/>
      <c r="Z599" s="11"/>
    </row>
    <row r="600" ht="15.75" customHeight="1">
      <c r="A600" s="11"/>
      <c r="B600" s="13"/>
      <c r="C600" s="13"/>
      <c r="D600" s="13"/>
      <c r="E600" s="13"/>
      <c r="F600" s="13"/>
      <c r="G600" s="41"/>
      <c r="H600" s="12"/>
      <c r="I600" s="11"/>
      <c r="J600" s="11"/>
      <c r="K600" s="11"/>
      <c r="L600" s="11"/>
      <c r="M600" s="11"/>
      <c r="N600" s="11"/>
      <c r="O600" s="11"/>
      <c r="P600" s="11"/>
      <c r="Q600" s="11"/>
      <c r="R600" s="11"/>
      <c r="S600" s="11"/>
      <c r="T600" s="11"/>
      <c r="U600" s="11"/>
      <c r="V600" s="11"/>
      <c r="W600" s="11"/>
      <c r="X600" s="11"/>
      <c r="Y600" s="11"/>
      <c r="Z600" s="11"/>
    </row>
    <row r="601" ht="15.75" customHeight="1">
      <c r="A601" s="11"/>
      <c r="B601" s="13"/>
      <c r="C601" s="13"/>
      <c r="D601" s="13"/>
      <c r="E601" s="13"/>
      <c r="F601" s="13"/>
      <c r="G601" s="41"/>
      <c r="H601" s="12"/>
      <c r="I601" s="11"/>
      <c r="J601" s="11"/>
      <c r="K601" s="11"/>
      <c r="L601" s="11"/>
      <c r="M601" s="11"/>
      <c r="N601" s="11"/>
      <c r="O601" s="11"/>
      <c r="P601" s="11"/>
      <c r="Q601" s="11"/>
      <c r="R601" s="11"/>
      <c r="S601" s="11"/>
      <c r="T601" s="11"/>
      <c r="U601" s="11"/>
      <c r="V601" s="11"/>
      <c r="W601" s="11"/>
      <c r="X601" s="11"/>
      <c r="Y601" s="11"/>
      <c r="Z601" s="11"/>
    </row>
    <row r="602" ht="15.75" customHeight="1">
      <c r="A602" s="11"/>
      <c r="B602" s="13"/>
      <c r="C602" s="13"/>
      <c r="D602" s="13"/>
      <c r="E602" s="13"/>
      <c r="F602" s="13"/>
      <c r="G602" s="41"/>
      <c r="H602" s="12"/>
      <c r="I602" s="11"/>
      <c r="J602" s="11"/>
      <c r="K602" s="11"/>
      <c r="L602" s="11"/>
      <c r="M602" s="11"/>
      <c r="N602" s="11"/>
      <c r="O602" s="11"/>
      <c r="P602" s="11"/>
      <c r="Q602" s="11"/>
      <c r="R602" s="11"/>
      <c r="S602" s="11"/>
      <c r="T602" s="11"/>
      <c r="U602" s="11"/>
      <c r="V602" s="11"/>
      <c r="W602" s="11"/>
      <c r="X602" s="11"/>
      <c r="Y602" s="11"/>
      <c r="Z602" s="11"/>
    </row>
    <row r="603" ht="15.75" customHeight="1">
      <c r="A603" s="11"/>
      <c r="B603" s="13"/>
      <c r="C603" s="13"/>
      <c r="D603" s="13"/>
      <c r="E603" s="13"/>
      <c r="F603" s="13"/>
      <c r="G603" s="41"/>
      <c r="H603" s="12"/>
      <c r="I603" s="11"/>
      <c r="J603" s="11"/>
      <c r="K603" s="11"/>
      <c r="L603" s="11"/>
      <c r="M603" s="11"/>
      <c r="N603" s="11"/>
      <c r="O603" s="11"/>
      <c r="P603" s="11"/>
      <c r="Q603" s="11"/>
      <c r="R603" s="11"/>
      <c r="S603" s="11"/>
      <c r="T603" s="11"/>
      <c r="U603" s="11"/>
      <c r="V603" s="11"/>
      <c r="W603" s="11"/>
      <c r="X603" s="11"/>
      <c r="Y603" s="11"/>
      <c r="Z603" s="11"/>
    </row>
    <row r="604" ht="15.75" customHeight="1">
      <c r="A604" s="11"/>
      <c r="B604" s="13"/>
      <c r="C604" s="13"/>
      <c r="D604" s="13"/>
      <c r="E604" s="13"/>
      <c r="F604" s="13"/>
      <c r="G604" s="41"/>
      <c r="H604" s="12"/>
      <c r="I604" s="11"/>
      <c r="J604" s="11"/>
      <c r="K604" s="11"/>
      <c r="L604" s="11"/>
      <c r="M604" s="11"/>
      <c r="N604" s="11"/>
      <c r="O604" s="11"/>
      <c r="P604" s="11"/>
      <c r="Q604" s="11"/>
      <c r="R604" s="11"/>
      <c r="S604" s="11"/>
      <c r="T604" s="11"/>
      <c r="U604" s="11"/>
      <c r="V604" s="11"/>
      <c r="W604" s="11"/>
      <c r="X604" s="11"/>
      <c r="Y604" s="11"/>
      <c r="Z604" s="11"/>
    </row>
    <row r="605" ht="15.75" customHeight="1">
      <c r="A605" s="11"/>
      <c r="B605" s="13"/>
      <c r="C605" s="13"/>
      <c r="D605" s="13"/>
      <c r="E605" s="13"/>
      <c r="F605" s="13"/>
      <c r="G605" s="41"/>
      <c r="H605" s="12"/>
      <c r="I605" s="11"/>
      <c r="J605" s="11"/>
      <c r="K605" s="11"/>
      <c r="L605" s="11"/>
      <c r="M605" s="11"/>
      <c r="N605" s="11"/>
      <c r="O605" s="11"/>
      <c r="P605" s="11"/>
      <c r="Q605" s="11"/>
      <c r="R605" s="11"/>
      <c r="S605" s="11"/>
      <c r="T605" s="11"/>
      <c r="U605" s="11"/>
      <c r="V605" s="11"/>
      <c r="W605" s="11"/>
      <c r="X605" s="11"/>
      <c r="Y605" s="11"/>
      <c r="Z605" s="11"/>
    </row>
    <row r="606" ht="15.75" customHeight="1">
      <c r="A606" s="11"/>
      <c r="B606" s="13"/>
      <c r="C606" s="13"/>
      <c r="D606" s="13"/>
      <c r="E606" s="13"/>
      <c r="F606" s="13"/>
      <c r="G606" s="41"/>
      <c r="H606" s="12"/>
      <c r="I606" s="11"/>
      <c r="J606" s="11"/>
      <c r="K606" s="11"/>
      <c r="L606" s="11"/>
      <c r="M606" s="11"/>
      <c r="N606" s="11"/>
      <c r="O606" s="11"/>
      <c r="P606" s="11"/>
      <c r="Q606" s="11"/>
      <c r="R606" s="11"/>
      <c r="S606" s="11"/>
      <c r="T606" s="11"/>
      <c r="U606" s="11"/>
      <c r="V606" s="11"/>
      <c r="W606" s="11"/>
      <c r="X606" s="11"/>
      <c r="Y606" s="11"/>
      <c r="Z606" s="11"/>
    </row>
    <row r="607" ht="15.75" customHeight="1">
      <c r="A607" s="11"/>
      <c r="B607" s="13"/>
      <c r="C607" s="13"/>
      <c r="D607" s="13"/>
      <c r="E607" s="13"/>
      <c r="F607" s="13"/>
      <c r="G607" s="41"/>
      <c r="H607" s="12"/>
      <c r="I607" s="11"/>
      <c r="J607" s="11"/>
      <c r="K607" s="11"/>
      <c r="L607" s="11"/>
      <c r="M607" s="11"/>
      <c r="N607" s="11"/>
      <c r="O607" s="11"/>
      <c r="P607" s="11"/>
      <c r="Q607" s="11"/>
      <c r="R607" s="11"/>
      <c r="S607" s="11"/>
      <c r="T607" s="11"/>
      <c r="U607" s="11"/>
      <c r="V607" s="11"/>
      <c r="W607" s="11"/>
      <c r="X607" s="11"/>
      <c r="Y607" s="11"/>
      <c r="Z607" s="11"/>
    </row>
    <row r="608" ht="15.75" customHeight="1">
      <c r="A608" s="11"/>
      <c r="B608" s="13"/>
      <c r="C608" s="13"/>
      <c r="D608" s="13"/>
      <c r="E608" s="13"/>
      <c r="F608" s="13"/>
      <c r="G608" s="41"/>
      <c r="H608" s="12"/>
      <c r="I608" s="11"/>
      <c r="J608" s="11"/>
      <c r="K608" s="11"/>
      <c r="L608" s="11"/>
      <c r="M608" s="11"/>
      <c r="N608" s="11"/>
      <c r="O608" s="11"/>
      <c r="P608" s="11"/>
      <c r="Q608" s="11"/>
      <c r="R608" s="11"/>
      <c r="S608" s="11"/>
      <c r="T608" s="11"/>
      <c r="U608" s="11"/>
      <c r="V608" s="11"/>
      <c r="W608" s="11"/>
      <c r="X608" s="11"/>
      <c r="Y608" s="11"/>
      <c r="Z608" s="11"/>
    </row>
    <row r="609" ht="15.75" customHeight="1">
      <c r="A609" s="11"/>
      <c r="B609" s="13"/>
      <c r="C609" s="13"/>
      <c r="D609" s="13"/>
      <c r="E609" s="13"/>
      <c r="F609" s="13"/>
      <c r="G609" s="41"/>
      <c r="H609" s="12"/>
      <c r="I609" s="11"/>
      <c r="J609" s="11"/>
      <c r="K609" s="11"/>
      <c r="L609" s="11"/>
      <c r="M609" s="11"/>
      <c r="N609" s="11"/>
      <c r="O609" s="11"/>
      <c r="P609" s="11"/>
      <c r="Q609" s="11"/>
      <c r="R609" s="11"/>
      <c r="S609" s="11"/>
      <c r="T609" s="11"/>
      <c r="U609" s="11"/>
      <c r="V609" s="11"/>
      <c r="W609" s="11"/>
      <c r="X609" s="11"/>
      <c r="Y609" s="11"/>
      <c r="Z609" s="11"/>
    </row>
    <row r="610" ht="15.75" customHeight="1">
      <c r="A610" s="11"/>
      <c r="B610" s="13"/>
      <c r="C610" s="13"/>
      <c r="D610" s="13"/>
      <c r="E610" s="13"/>
      <c r="F610" s="13"/>
      <c r="G610" s="41"/>
      <c r="H610" s="12"/>
      <c r="I610" s="11"/>
      <c r="J610" s="11"/>
      <c r="K610" s="11"/>
      <c r="L610" s="11"/>
      <c r="M610" s="11"/>
      <c r="N610" s="11"/>
      <c r="O610" s="11"/>
      <c r="P610" s="11"/>
      <c r="Q610" s="11"/>
      <c r="R610" s="11"/>
      <c r="S610" s="11"/>
      <c r="T610" s="11"/>
      <c r="U610" s="11"/>
      <c r="V610" s="11"/>
      <c r="W610" s="11"/>
      <c r="X610" s="11"/>
      <c r="Y610" s="11"/>
      <c r="Z610" s="11"/>
    </row>
    <row r="611" ht="15.75" customHeight="1">
      <c r="A611" s="11"/>
      <c r="B611" s="13"/>
      <c r="C611" s="13"/>
      <c r="D611" s="13"/>
      <c r="E611" s="13"/>
      <c r="F611" s="13"/>
      <c r="G611" s="41"/>
      <c r="H611" s="12"/>
      <c r="I611" s="11"/>
      <c r="J611" s="11"/>
      <c r="K611" s="11"/>
      <c r="L611" s="11"/>
      <c r="M611" s="11"/>
      <c r="N611" s="11"/>
      <c r="O611" s="11"/>
      <c r="P611" s="11"/>
      <c r="Q611" s="11"/>
      <c r="R611" s="11"/>
      <c r="S611" s="11"/>
      <c r="T611" s="11"/>
      <c r="U611" s="11"/>
      <c r="V611" s="11"/>
      <c r="W611" s="11"/>
      <c r="X611" s="11"/>
      <c r="Y611" s="11"/>
      <c r="Z611" s="11"/>
    </row>
    <row r="612" ht="15.75" customHeight="1">
      <c r="A612" s="11"/>
      <c r="B612" s="13"/>
      <c r="C612" s="13"/>
      <c r="D612" s="13"/>
      <c r="E612" s="13"/>
      <c r="F612" s="13"/>
      <c r="G612" s="41"/>
      <c r="H612" s="12"/>
      <c r="I612" s="11"/>
      <c r="J612" s="11"/>
      <c r="K612" s="11"/>
      <c r="L612" s="11"/>
      <c r="M612" s="11"/>
      <c r="N612" s="11"/>
      <c r="O612" s="11"/>
      <c r="P612" s="11"/>
      <c r="Q612" s="11"/>
      <c r="R612" s="11"/>
      <c r="S612" s="11"/>
      <c r="T612" s="11"/>
      <c r="U612" s="11"/>
      <c r="V612" s="11"/>
      <c r="W612" s="11"/>
      <c r="X612" s="11"/>
      <c r="Y612" s="11"/>
      <c r="Z612" s="11"/>
    </row>
    <row r="613" ht="15.75" customHeight="1">
      <c r="A613" s="11"/>
      <c r="B613" s="13"/>
      <c r="C613" s="13"/>
      <c r="D613" s="13"/>
      <c r="E613" s="13"/>
      <c r="F613" s="13"/>
      <c r="G613" s="41"/>
      <c r="H613" s="12"/>
      <c r="I613" s="11"/>
      <c r="J613" s="11"/>
      <c r="K613" s="11"/>
      <c r="L613" s="11"/>
      <c r="M613" s="11"/>
      <c r="N613" s="11"/>
      <c r="O613" s="11"/>
      <c r="P613" s="11"/>
      <c r="Q613" s="11"/>
      <c r="R613" s="11"/>
      <c r="S613" s="11"/>
      <c r="T613" s="11"/>
      <c r="U613" s="11"/>
      <c r="V613" s="11"/>
      <c r="W613" s="11"/>
      <c r="X613" s="11"/>
      <c r="Y613" s="11"/>
      <c r="Z613" s="11"/>
    </row>
    <row r="614" ht="15.75" customHeight="1">
      <c r="A614" s="11"/>
      <c r="B614" s="13"/>
      <c r="C614" s="13"/>
      <c r="D614" s="13"/>
      <c r="E614" s="13"/>
      <c r="F614" s="13"/>
      <c r="G614" s="41"/>
      <c r="H614" s="12"/>
      <c r="I614" s="11"/>
      <c r="J614" s="11"/>
      <c r="K614" s="11"/>
      <c r="L614" s="11"/>
      <c r="M614" s="11"/>
      <c r="N614" s="11"/>
      <c r="O614" s="11"/>
      <c r="P614" s="11"/>
      <c r="Q614" s="11"/>
      <c r="R614" s="11"/>
      <c r="S614" s="11"/>
      <c r="T614" s="11"/>
      <c r="U614" s="11"/>
      <c r="V614" s="11"/>
      <c r="W614" s="11"/>
      <c r="X614" s="11"/>
      <c r="Y614" s="11"/>
      <c r="Z614" s="11"/>
    </row>
    <row r="615" ht="15.75" customHeight="1">
      <c r="A615" s="11"/>
      <c r="B615" s="13"/>
      <c r="C615" s="13"/>
      <c r="D615" s="13"/>
      <c r="E615" s="13"/>
      <c r="F615" s="13"/>
      <c r="G615" s="41"/>
      <c r="H615" s="12"/>
      <c r="I615" s="11"/>
      <c r="J615" s="11"/>
      <c r="K615" s="11"/>
      <c r="L615" s="11"/>
      <c r="M615" s="11"/>
      <c r="N615" s="11"/>
      <c r="O615" s="11"/>
      <c r="P615" s="11"/>
      <c r="Q615" s="11"/>
      <c r="R615" s="11"/>
      <c r="S615" s="11"/>
      <c r="T615" s="11"/>
      <c r="U615" s="11"/>
      <c r="V615" s="11"/>
      <c r="W615" s="11"/>
      <c r="X615" s="11"/>
      <c r="Y615" s="11"/>
      <c r="Z615" s="11"/>
    </row>
    <row r="616" ht="15.75" customHeight="1">
      <c r="A616" s="11"/>
      <c r="B616" s="13"/>
      <c r="C616" s="13"/>
      <c r="D616" s="13"/>
      <c r="E616" s="13"/>
      <c r="F616" s="13"/>
      <c r="G616" s="41"/>
      <c r="H616" s="12"/>
      <c r="I616" s="11"/>
      <c r="J616" s="11"/>
      <c r="K616" s="11"/>
      <c r="L616" s="11"/>
      <c r="M616" s="11"/>
      <c r="N616" s="11"/>
      <c r="O616" s="11"/>
      <c r="P616" s="11"/>
      <c r="Q616" s="11"/>
      <c r="R616" s="11"/>
      <c r="S616" s="11"/>
      <c r="T616" s="11"/>
      <c r="U616" s="11"/>
      <c r="V616" s="11"/>
      <c r="W616" s="11"/>
      <c r="X616" s="11"/>
      <c r="Y616" s="11"/>
      <c r="Z616" s="11"/>
    </row>
    <row r="617" ht="15.75" customHeight="1">
      <c r="A617" s="11"/>
      <c r="B617" s="13"/>
      <c r="C617" s="13"/>
      <c r="D617" s="13"/>
      <c r="E617" s="13"/>
      <c r="F617" s="13"/>
      <c r="G617" s="41"/>
      <c r="H617" s="12"/>
      <c r="I617" s="11"/>
      <c r="J617" s="11"/>
      <c r="K617" s="11"/>
      <c r="L617" s="11"/>
      <c r="M617" s="11"/>
      <c r="N617" s="11"/>
      <c r="O617" s="11"/>
      <c r="P617" s="11"/>
      <c r="Q617" s="11"/>
      <c r="R617" s="11"/>
      <c r="S617" s="11"/>
      <c r="T617" s="11"/>
      <c r="U617" s="11"/>
      <c r="V617" s="11"/>
      <c r="W617" s="11"/>
      <c r="X617" s="11"/>
      <c r="Y617" s="11"/>
      <c r="Z617" s="11"/>
    </row>
    <row r="618" ht="15.75" customHeight="1">
      <c r="A618" s="11"/>
      <c r="B618" s="13"/>
      <c r="C618" s="13"/>
      <c r="D618" s="13"/>
      <c r="E618" s="13"/>
      <c r="F618" s="13"/>
      <c r="G618" s="41"/>
      <c r="H618" s="12"/>
      <c r="I618" s="11"/>
      <c r="J618" s="11"/>
      <c r="K618" s="11"/>
      <c r="L618" s="11"/>
      <c r="M618" s="11"/>
      <c r="N618" s="11"/>
      <c r="O618" s="11"/>
      <c r="P618" s="11"/>
      <c r="Q618" s="11"/>
      <c r="R618" s="11"/>
      <c r="S618" s="11"/>
      <c r="T618" s="11"/>
      <c r="U618" s="11"/>
      <c r="V618" s="11"/>
      <c r="W618" s="11"/>
      <c r="X618" s="11"/>
      <c r="Y618" s="11"/>
      <c r="Z618" s="11"/>
    </row>
    <row r="619" ht="15.75" customHeight="1">
      <c r="A619" s="11"/>
      <c r="B619" s="13"/>
      <c r="C619" s="13"/>
      <c r="D619" s="13"/>
      <c r="E619" s="13"/>
      <c r="F619" s="13"/>
      <c r="G619" s="41"/>
      <c r="H619" s="12"/>
      <c r="I619" s="11"/>
      <c r="J619" s="11"/>
      <c r="K619" s="11"/>
      <c r="L619" s="11"/>
      <c r="M619" s="11"/>
      <c r="N619" s="11"/>
      <c r="O619" s="11"/>
      <c r="P619" s="11"/>
      <c r="Q619" s="11"/>
      <c r="R619" s="11"/>
      <c r="S619" s="11"/>
      <c r="T619" s="11"/>
      <c r="U619" s="11"/>
      <c r="V619" s="11"/>
      <c r="W619" s="11"/>
      <c r="X619" s="11"/>
      <c r="Y619" s="11"/>
      <c r="Z619" s="11"/>
    </row>
    <row r="620" ht="15.75" customHeight="1">
      <c r="A620" s="11"/>
      <c r="B620" s="13"/>
      <c r="C620" s="13"/>
      <c r="D620" s="13"/>
      <c r="E620" s="13"/>
      <c r="F620" s="13"/>
      <c r="G620" s="41"/>
      <c r="H620" s="12"/>
      <c r="I620" s="11"/>
      <c r="J620" s="11"/>
      <c r="K620" s="11"/>
      <c r="L620" s="11"/>
      <c r="M620" s="11"/>
      <c r="N620" s="11"/>
      <c r="O620" s="11"/>
      <c r="P620" s="11"/>
      <c r="Q620" s="11"/>
      <c r="R620" s="11"/>
      <c r="S620" s="11"/>
      <c r="T620" s="11"/>
      <c r="U620" s="11"/>
      <c r="V620" s="11"/>
      <c r="W620" s="11"/>
      <c r="X620" s="11"/>
      <c r="Y620" s="11"/>
      <c r="Z620" s="11"/>
    </row>
    <row r="621" ht="15.75" customHeight="1">
      <c r="A621" s="11"/>
      <c r="B621" s="13"/>
      <c r="C621" s="13"/>
      <c r="D621" s="13"/>
      <c r="E621" s="13"/>
      <c r="F621" s="13"/>
      <c r="G621" s="41"/>
      <c r="H621" s="12"/>
      <c r="I621" s="11"/>
      <c r="J621" s="11"/>
      <c r="K621" s="11"/>
      <c r="L621" s="11"/>
      <c r="M621" s="11"/>
      <c r="N621" s="11"/>
      <c r="O621" s="11"/>
      <c r="P621" s="11"/>
      <c r="Q621" s="11"/>
      <c r="R621" s="11"/>
      <c r="S621" s="11"/>
      <c r="T621" s="11"/>
      <c r="U621" s="11"/>
      <c r="V621" s="11"/>
      <c r="W621" s="11"/>
      <c r="X621" s="11"/>
      <c r="Y621" s="11"/>
      <c r="Z621" s="11"/>
    </row>
    <row r="622" ht="15.75" customHeight="1">
      <c r="A622" s="11"/>
      <c r="B622" s="13"/>
      <c r="C622" s="13"/>
      <c r="D622" s="13"/>
      <c r="E622" s="13"/>
      <c r="F622" s="13"/>
      <c r="G622" s="41"/>
      <c r="H622" s="12"/>
      <c r="I622" s="11"/>
      <c r="J622" s="11"/>
      <c r="K622" s="11"/>
      <c r="L622" s="11"/>
      <c r="M622" s="11"/>
      <c r="N622" s="11"/>
      <c r="O622" s="11"/>
      <c r="P622" s="11"/>
      <c r="Q622" s="11"/>
      <c r="R622" s="11"/>
      <c r="S622" s="11"/>
      <c r="T622" s="11"/>
      <c r="U622" s="11"/>
      <c r="V622" s="11"/>
      <c r="W622" s="11"/>
      <c r="X622" s="11"/>
      <c r="Y622" s="11"/>
      <c r="Z622" s="11"/>
    </row>
    <row r="623" ht="15.75" customHeight="1">
      <c r="A623" s="11"/>
      <c r="B623" s="13"/>
      <c r="C623" s="13"/>
      <c r="D623" s="13"/>
      <c r="E623" s="13"/>
      <c r="F623" s="13"/>
      <c r="G623" s="41"/>
      <c r="H623" s="12"/>
      <c r="I623" s="11"/>
      <c r="J623" s="11"/>
      <c r="K623" s="11"/>
      <c r="L623" s="11"/>
      <c r="M623" s="11"/>
      <c r="N623" s="11"/>
      <c r="O623" s="11"/>
      <c r="P623" s="11"/>
      <c r="Q623" s="11"/>
      <c r="R623" s="11"/>
      <c r="S623" s="11"/>
      <c r="T623" s="11"/>
      <c r="U623" s="11"/>
      <c r="V623" s="11"/>
      <c r="W623" s="11"/>
      <c r="X623" s="11"/>
      <c r="Y623" s="11"/>
      <c r="Z623" s="11"/>
    </row>
    <row r="624" ht="15.75" customHeight="1">
      <c r="A624" s="11"/>
      <c r="B624" s="13"/>
      <c r="C624" s="13"/>
      <c r="D624" s="13"/>
      <c r="E624" s="13"/>
      <c r="F624" s="13"/>
      <c r="G624" s="41"/>
      <c r="H624" s="12"/>
      <c r="I624" s="11"/>
      <c r="J624" s="11"/>
      <c r="K624" s="11"/>
      <c r="L624" s="11"/>
      <c r="M624" s="11"/>
      <c r="N624" s="11"/>
      <c r="O624" s="11"/>
      <c r="P624" s="11"/>
      <c r="Q624" s="11"/>
      <c r="R624" s="11"/>
      <c r="S624" s="11"/>
      <c r="T624" s="11"/>
      <c r="U624" s="11"/>
      <c r="V624" s="11"/>
      <c r="W624" s="11"/>
      <c r="X624" s="11"/>
      <c r="Y624" s="11"/>
      <c r="Z624" s="11"/>
    </row>
    <row r="625" ht="15.75" customHeight="1">
      <c r="A625" s="11"/>
      <c r="B625" s="13"/>
      <c r="C625" s="13"/>
      <c r="D625" s="13"/>
      <c r="E625" s="13"/>
      <c r="F625" s="13"/>
      <c r="G625" s="41"/>
      <c r="H625" s="12"/>
      <c r="I625" s="11"/>
      <c r="J625" s="11"/>
      <c r="K625" s="11"/>
      <c r="L625" s="11"/>
      <c r="M625" s="11"/>
      <c r="N625" s="11"/>
      <c r="O625" s="11"/>
      <c r="P625" s="11"/>
      <c r="Q625" s="11"/>
      <c r="R625" s="11"/>
      <c r="S625" s="11"/>
      <c r="T625" s="11"/>
      <c r="U625" s="11"/>
      <c r="V625" s="11"/>
      <c r="W625" s="11"/>
      <c r="X625" s="11"/>
      <c r="Y625" s="11"/>
      <c r="Z625" s="11"/>
    </row>
    <row r="626" ht="15.75" customHeight="1">
      <c r="A626" s="11"/>
      <c r="B626" s="13"/>
      <c r="C626" s="13"/>
      <c r="D626" s="13"/>
      <c r="E626" s="13"/>
      <c r="F626" s="13"/>
      <c r="G626" s="41"/>
      <c r="H626" s="12"/>
      <c r="I626" s="11"/>
      <c r="J626" s="11"/>
      <c r="K626" s="11"/>
      <c r="L626" s="11"/>
      <c r="M626" s="11"/>
      <c r="N626" s="11"/>
      <c r="O626" s="11"/>
      <c r="P626" s="11"/>
      <c r="Q626" s="11"/>
      <c r="R626" s="11"/>
      <c r="S626" s="11"/>
      <c r="T626" s="11"/>
      <c r="U626" s="11"/>
      <c r="V626" s="11"/>
      <c r="W626" s="11"/>
      <c r="X626" s="11"/>
      <c r="Y626" s="11"/>
      <c r="Z626" s="11"/>
    </row>
    <row r="627" ht="15.75" customHeight="1">
      <c r="A627" s="11"/>
      <c r="B627" s="13"/>
      <c r="C627" s="13"/>
      <c r="D627" s="13"/>
      <c r="E627" s="13"/>
      <c r="F627" s="13"/>
      <c r="G627" s="41"/>
      <c r="H627" s="12"/>
      <c r="I627" s="11"/>
      <c r="J627" s="11"/>
      <c r="K627" s="11"/>
      <c r="L627" s="11"/>
      <c r="M627" s="11"/>
      <c r="N627" s="11"/>
      <c r="O627" s="11"/>
      <c r="P627" s="11"/>
      <c r="Q627" s="11"/>
      <c r="R627" s="11"/>
      <c r="S627" s="11"/>
      <c r="T627" s="11"/>
      <c r="U627" s="11"/>
      <c r="V627" s="11"/>
      <c r="W627" s="11"/>
      <c r="X627" s="11"/>
      <c r="Y627" s="11"/>
      <c r="Z627" s="11"/>
    </row>
    <row r="628" ht="15.75" customHeight="1">
      <c r="A628" s="11"/>
      <c r="B628" s="13"/>
      <c r="C628" s="13"/>
      <c r="D628" s="13"/>
      <c r="E628" s="13"/>
      <c r="F628" s="13"/>
      <c r="G628" s="41"/>
      <c r="H628" s="12"/>
      <c r="I628" s="11"/>
      <c r="J628" s="11"/>
      <c r="K628" s="11"/>
      <c r="L628" s="11"/>
      <c r="M628" s="11"/>
      <c r="N628" s="11"/>
      <c r="O628" s="11"/>
      <c r="P628" s="11"/>
      <c r="Q628" s="11"/>
      <c r="R628" s="11"/>
      <c r="S628" s="11"/>
      <c r="T628" s="11"/>
      <c r="U628" s="11"/>
      <c r="V628" s="11"/>
      <c r="W628" s="11"/>
      <c r="X628" s="11"/>
      <c r="Y628" s="11"/>
      <c r="Z628" s="11"/>
    </row>
    <row r="629" ht="15.75" customHeight="1">
      <c r="A629" s="11"/>
      <c r="B629" s="13"/>
      <c r="C629" s="13"/>
      <c r="D629" s="13"/>
      <c r="E629" s="13"/>
      <c r="F629" s="13"/>
      <c r="G629" s="41"/>
      <c r="H629" s="12"/>
      <c r="I629" s="11"/>
      <c r="J629" s="11"/>
      <c r="K629" s="11"/>
      <c r="L629" s="11"/>
      <c r="M629" s="11"/>
      <c r="N629" s="11"/>
      <c r="O629" s="11"/>
      <c r="P629" s="11"/>
      <c r="Q629" s="11"/>
      <c r="R629" s="11"/>
      <c r="S629" s="11"/>
      <c r="T629" s="11"/>
      <c r="U629" s="11"/>
      <c r="V629" s="11"/>
      <c r="W629" s="11"/>
      <c r="X629" s="11"/>
      <c r="Y629" s="11"/>
      <c r="Z629" s="11"/>
    </row>
    <row r="630" ht="15.75" customHeight="1">
      <c r="A630" s="11"/>
      <c r="B630" s="13"/>
      <c r="C630" s="13"/>
      <c r="D630" s="13"/>
      <c r="E630" s="13"/>
      <c r="F630" s="13"/>
      <c r="G630" s="41"/>
      <c r="H630" s="12"/>
      <c r="I630" s="11"/>
      <c r="J630" s="11"/>
      <c r="K630" s="11"/>
      <c r="L630" s="11"/>
      <c r="M630" s="11"/>
      <c r="N630" s="11"/>
      <c r="O630" s="11"/>
      <c r="P630" s="11"/>
      <c r="Q630" s="11"/>
      <c r="R630" s="11"/>
      <c r="S630" s="11"/>
      <c r="T630" s="11"/>
      <c r="U630" s="11"/>
      <c r="V630" s="11"/>
      <c r="W630" s="11"/>
      <c r="X630" s="11"/>
      <c r="Y630" s="11"/>
      <c r="Z630" s="11"/>
    </row>
    <row r="631" ht="15.75" customHeight="1">
      <c r="A631" s="11"/>
      <c r="B631" s="13"/>
      <c r="C631" s="13"/>
      <c r="D631" s="13"/>
      <c r="E631" s="13"/>
      <c r="F631" s="13"/>
      <c r="G631" s="41"/>
      <c r="H631" s="12"/>
      <c r="I631" s="11"/>
      <c r="J631" s="11"/>
      <c r="K631" s="11"/>
      <c r="L631" s="11"/>
      <c r="M631" s="11"/>
      <c r="N631" s="11"/>
      <c r="O631" s="11"/>
      <c r="P631" s="11"/>
      <c r="Q631" s="11"/>
      <c r="R631" s="11"/>
      <c r="S631" s="11"/>
      <c r="T631" s="11"/>
      <c r="U631" s="11"/>
      <c r="V631" s="11"/>
      <c r="W631" s="11"/>
      <c r="X631" s="11"/>
      <c r="Y631" s="11"/>
      <c r="Z631" s="11"/>
    </row>
    <row r="632" ht="15.75" customHeight="1">
      <c r="A632" s="11"/>
      <c r="B632" s="13"/>
      <c r="C632" s="13"/>
      <c r="D632" s="13"/>
      <c r="E632" s="13"/>
      <c r="F632" s="13"/>
      <c r="G632" s="41"/>
      <c r="H632" s="12"/>
      <c r="I632" s="11"/>
      <c r="J632" s="11"/>
      <c r="K632" s="11"/>
      <c r="L632" s="11"/>
      <c r="M632" s="11"/>
      <c r="N632" s="11"/>
      <c r="O632" s="11"/>
      <c r="P632" s="11"/>
      <c r="Q632" s="11"/>
      <c r="R632" s="11"/>
      <c r="S632" s="11"/>
      <c r="T632" s="11"/>
      <c r="U632" s="11"/>
      <c r="V632" s="11"/>
      <c r="W632" s="11"/>
      <c r="X632" s="11"/>
      <c r="Y632" s="11"/>
      <c r="Z632" s="11"/>
    </row>
    <row r="633" ht="15.75" customHeight="1">
      <c r="A633" s="11"/>
      <c r="B633" s="13"/>
      <c r="C633" s="13"/>
      <c r="D633" s="13"/>
      <c r="E633" s="13"/>
      <c r="F633" s="13"/>
      <c r="G633" s="41"/>
      <c r="H633" s="12"/>
      <c r="I633" s="11"/>
      <c r="J633" s="11"/>
      <c r="K633" s="11"/>
      <c r="L633" s="11"/>
      <c r="M633" s="11"/>
      <c r="N633" s="11"/>
      <c r="O633" s="11"/>
      <c r="P633" s="11"/>
      <c r="Q633" s="11"/>
      <c r="R633" s="11"/>
      <c r="S633" s="11"/>
      <c r="T633" s="11"/>
      <c r="U633" s="11"/>
      <c r="V633" s="11"/>
      <c r="W633" s="11"/>
      <c r="X633" s="11"/>
      <c r="Y633" s="11"/>
      <c r="Z633" s="11"/>
    </row>
    <row r="634" ht="15.75" customHeight="1">
      <c r="A634" s="11"/>
      <c r="B634" s="13"/>
      <c r="C634" s="13"/>
      <c r="D634" s="13"/>
      <c r="E634" s="13"/>
      <c r="F634" s="13"/>
      <c r="G634" s="41"/>
      <c r="H634" s="12"/>
      <c r="I634" s="11"/>
      <c r="J634" s="11"/>
      <c r="K634" s="11"/>
      <c r="L634" s="11"/>
      <c r="M634" s="11"/>
      <c r="N634" s="11"/>
      <c r="O634" s="11"/>
      <c r="P634" s="11"/>
      <c r="Q634" s="11"/>
      <c r="R634" s="11"/>
      <c r="S634" s="11"/>
      <c r="T634" s="11"/>
      <c r="U634" s="11"/>
      <c r="V634" s="11"/>
      <c r="W634" s="11"/>
      <c r="X634" s="11"/>
      <c r="Y634" s="11"/>
      <c r="Z634" s="11"/>
    </row>
    <row r="635" ht="15.75" customHeight="1">
      <c r="A635" s="11"/>
      <c r="B635" s="13"/>
      <c r="C635" s="13"/>
      <c r="D635" s="13"/>
      <c r="E635" s="13"/>
      <c r="F635" s="13"/>
      <c r="G635" s="41"/>
      <c r="H635" s="12"/>
      <c r="I635" s="11"/>
      <c r="J635" s="11"/>
      <c r="K635" s="11"/>
      <c r="L635" s="11"/>
      <c r="M635" s="11"/>
      <c r="N635" s="11"/>
      <c r="O635" s="11"/>
      <c r="P635" s="11"/>
      <c r="Q635" s="11"/>
      <c r="R635" s="11"/>
      <c r="S635" s="11"/>
      <c r="T635" s="11"/>
      <c r="U635" s="11"/>
      <c r="V635" s="11"/>
      <c r="W635" s="11"/>
      <c r="X635" s="11"/>
      <c r="Y635" s="11"/>
      <c r="Z635" s="11"/>
    </row>
    <row r="636" ht="15.75" customHeight="1">
      <c r="A636" s="11"/>
      <c r="B636" s="13"/>
      <c r="C636" s="13"/>
      <c r="D636" s="13"/>
      <c r="E636" s="13"/>
      <c r="F636" s="13"/>
      <c r="G636" s="41"/>
      <c r="H636" s="12"/>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2"/>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2"/>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2"/>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2"/>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2"/>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2"/>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2"/>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2"/>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2"/>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2"/>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2"/>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2"/>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2"/>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2"/>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2"/>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2"/>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2"/>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2"/>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2"/>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2"/>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2"/>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2"/>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2"/>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2"/>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2"/>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2"/>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2"/>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2"/>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2"/>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2"/>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2"/>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2"/>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2"/>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2"/>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2"/>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2"/>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2"/>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2"/>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2"/>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2"/>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2"/>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2"/>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2"/>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2"/>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2"/>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2"/>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2"/>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2"/>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2"/>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2"/>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2"/>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2"/>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2"/>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2"/>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2"/>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2"/>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2"/>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2"/>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2"/>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2"/>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2"/>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2"/>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2"/>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2"/>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2"/>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2"/>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2"/>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2"/>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2"/>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2"/>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2"/>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2"/>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2"/>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2"/>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2"/>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2"/>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2"/>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2"/>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2"/>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2"/>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2"/>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2"/>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2"/>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2"/>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2"/>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2"/>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2"/>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2"/>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2"/>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2"/>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2"/>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2"/>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2"/>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2"/>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2"/>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2"/>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2"/>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2"/>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2"/>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2"/>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2"/>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2"/>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2"/>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2"/>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2"/>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2"/>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2"/>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2"/>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2"/>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2"/>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2"/>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2"/>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2"/>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2"/>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2"/>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2"/>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2"/>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2"/>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2"/>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2"/>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2"/>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2"/>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2"/>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2"/>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2"/>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2"/>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2"/>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2"/>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2"/>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2"/>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2"/>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2"/>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2"/>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2"/>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2"/>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2"/>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2"/>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2"/>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2"/>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2"/>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2"/>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2"/>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2"/>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2"/>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2"/>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2"/>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2"/>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2"/>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2"/>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2"/>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2"/>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2"/>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2"/>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2"/>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2"/>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2"/>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2"/>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2"/>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2"/>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2"/>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2"/>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2"/>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2"/>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2"/>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2"/>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2"/>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2"/>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2"/>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2"/>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2"/>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2"/>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2"/>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2"/>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2"/>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2"/>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2"/>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2"/>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2"/>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2"/>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2"/>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2"/>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2"/>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2"/>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2"/>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2"/>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2"/>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2"/>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2"/>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2"/>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2"/>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2"/>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2"/>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2"/>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2"/>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2"/>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2"/>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2"/>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2"/>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2"/>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2"/>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2"/>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2"/>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2"/>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2"/>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2"/>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2"/>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2"/>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2"/>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2"/>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2"/>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2"/>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2"/>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2"/>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2"/>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2"/>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2"/>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2"/>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2"/>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2"/>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2"/>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2"/>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2"/>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2"/>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2"/>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2"/>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2"/>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2"/>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2"/>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2"/>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2"/>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2"/>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2"/>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2"/>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2"/>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2"/>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2"/>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2"/>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2"/>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2"/>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2"/>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2"/>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2"/>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2"/>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2"/>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2"/>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2"/>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2"/>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2"/>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2"/>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2"/>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2"/>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2"/>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2"/>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2"/>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2"/>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2"/>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2"/>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2"/>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2"/>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2"/>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2"/>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2"/>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2"/>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2"/>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2"/>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2"/>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2"/>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2"/>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2"/>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2"/>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2"/>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2"/>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2"/>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2"/>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2"/>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2"/>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2"/>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2"/>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2"/>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2"/>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2"/>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2"/>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2"/>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2"/>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2"/>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2"/>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2"/>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2"/>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2"/>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2"/>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2"/>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2"/>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2"/>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2"/>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2"/>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2"/>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2"/>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2"/>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2"/>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2"/>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2"/>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2"/>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2"/>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2"/>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2"/>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2"/>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2"/>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2"/>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2"/>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2"/>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2"/>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2"/>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2"/>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2"/>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2"/>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2"/>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2"/>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2"/>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2"/>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2"/>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2"/>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2"/>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2"/>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2"/>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2"/>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2"/>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2"/>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2"/>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2"/>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2"/>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2"/>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2"/>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2"/>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2"/>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2"/>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2"/>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2"/>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2"/>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2"/>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2"/>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2"/>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2"/>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2"/>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2"/>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2"/>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2"/>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2"/>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2"/>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2"/>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2"/>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2"/>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2"/>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2"/>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2"/>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2"/>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2"/>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2"/>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2"/>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2"/>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2"/>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2"/>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2"/>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2"/>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2"/>
      <c r="I1000" s="11"/>
      <c r="J1000" s="11"/>
      <c r="K1000" s="11"/>
      <c r="L1000" s="11"/>
      <c r="M1000" s="11"/>
      <c r="N1000" s="11"/>
      <c r="O1000" s="11"/>
      <c r="P1000" s="11"/>
      <c r="Q1000" s="11"/>
      <c r="R1000" s="11"/>
      <c r="S1000" s="11"/>
      <c r="T1000" s="11"/>
      <c r="U1000" s="11"/>
      <c r="V1000" s="11"/>
      <c r="W1000" s="11"/>
      <c r="X1000" s="11"/>
      <c r="Y1000" s="11"/>
      <c r="Z1000" s="11"/>
    </row>
  </sheetData>
  <autoFilter ref="$B$1:$G$10"/>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BC62"/>
    <pageSetUpPr fitToPage="1"/>
  </sheetPr>
  <sheetViews>
    <sheetView showGridLines="0" workbookViewId="0"/>
  </sheetViews>
  <sheetFormatPr customHeight="1" defaultColWidth="14.43" defaultRowHeight="15.0"/>
  <cols>
    <col customWidth="1" min="1" max="1" width="2.43"/>
    <col customWidth="1" min="2" max="2" width="24.0"/>
    <col customWidth="1" min="3" max="7" width="16.0"/>
    <col customWidth="1" min="8" max="26" width="8.57"/>
  </cols>
  <sheetData>
    <row r="2" ht="23.25" customHeight="1">
      <c r="B2" s="42" t="s">
        <v>1147</v>
      </c>
    </row>
    <row r="3">
      <c r="B3" s="2" t="s">
        <v>1148</v>
      </c>
    </row>
    <row r="5" ht="30.0" customHeight="1">
      <c r="B5" s="10" t="s">
        <v>1149</v>
      </c>
      <c r="C5" s="10" t="s">
        <v>1150</v>
      </c>
      <c r="D5" s="10" t="s">
        <v>1151</v>
      </c>
      <c r="E5" s="10" t="s">
        <v>1152</v>
      </c>
      <c r="F5" s="10" t="s">
        <v>1153</v>
      </c>
      <c r="G5" s="10" t="s">
        <v>1154</v>
      </c>
    </row>
    <row r="6">
      <c r="B6" s="43" t="s">
        <v>1155</v>
      </c>
      <c r="C6" s="44">
        <f>COUNTA(CROP!C2:C5)</f>
        <v>2</v>
      </c>
      <c r="D6" s="44">
        <f>COUNTIF(CROP!S2:S5,"Ready to Certify")</f>
        <v>0</v>
      </c>
      <c r="E6" s="44">
        <f>COUNTIF(CROP!S2:S5,"Needs Review")</f>
        <v>0</v>
      </c>
      <c r="F6" s="44">
        <f>COUNTIF(CROP!S2:S5,"Needs Update")</f>
        <v>0</v>
      </c>
      <c r="G6" s="44">
        <f>COUNTIF(CROP!R2:R5,"High")</f>
        <v>0</v>
      </c>
    </row>
    <row r="7">
      <c r="B7" s="45" t="s">
        <v>1156</v>
      </c>
      <c r="C7" s="46">
        <f t="shared" ref="C7:G7" si="1">SUM(C6)</f>
        <v>2</v>
      </c>
      <c r="D7" s="46">
        <f t="shared" si="1"/>
        <v>0</v>
      </c>
      <c r="E7" s="46">
        <f t="shared" si="1"/>
        <v>0</v>
      </c>
      <c r="F7" s="46">
        <f t="shared" si="1"/>
        <v>0</v>
      </c>
      <c r="G7" s="46">
        <f t="shared" si="1"/>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G2"/>
    <mergeCell ref="B3:G3"/>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2026-08-17T07:16:54Z</dcterms:created>
  <dc:creator>openpyxl</dc:creator>
</cp:coreProperties>
</file>